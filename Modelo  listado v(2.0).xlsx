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4/revision" xmlns:ns2="http://schemas.microsoft.com/office/spreadsheetml/2016/revision6" xmlns:ns3="http://schemas.microsoft.com/office/spreadsheetml/2016/revision10" xmlns:ns4="http://schemas.microsoft.com/office/spreadsheetml/2015/revision2" xmlns:ns6="http://schemas.microsoft.com/office/spreadsheetml/2018/calcfeatures" xmlns:ns7="http://schemas.libreoffice.org/" xmlns:r="http://schemas.openxmlformats.org/officeDocument/2006/relationships">
  <fileVersion appName="xl" lastEdited="7" lowestEdited="7" rupBuild="30430"/>
  <workbookPr/>
  <ns1:revisionPtr revIDLastSave="0" documentId="13_ncr:1_{E85B3149-64E2-4980-893E-26886E763F19}" ns2:coauthVersionLast="47" ns2:coauthVersionMax="47" ns3:uidLastSave="{00000000-0000-0000-0000-000000000000}"/>
  <bookViews>
    <workbookView xWindow="-120" yWindow="-120" windowWidth="29040" windowHeight="15720" tabRatio="500" ns4:uid="{00000000-000D-0000-FFFF-FFFF00000000}" activeTab="0"/>
  </bookViews>
  <sheets>
    <sheet name="Listado" sheetId="1" r:id="rId1"/>
    <sheet name="Resumen" sheetId="3" r:id="rId3"/>
  </sheets>
  <definedNames>
    <definedName name="CitasInvalidas">Resumen!$P:$P</definedName>
    <definedName name="_xlnm.Print_Titles" localSheetId="0">Listado!$1:$1</definedName>
    <definedName name="VigenciasFamilia">Resumen!$O:$O</definedName>
  </definedNames>
  <calcPr calcId="191029" forceFullCalc="1" calcMode="auto" fullCalcOnLoad="1"/>
  <extLst>
    <ext uri="{B58B0392-4F1F-4190-BB64-5DF3571DCE5F}">
      <ns6:calcFeatures>
        <ns6:feature name="microsoft.com:RD"/>
        <ns6:feature name="microsoft.com:Single"/>
        <ns6:feature name="microsoft.com:FV"/>
        <ns6:feature name="microsoft.com:CNMTM"/>
        <ns6:feature name="microsoft.com:LET_WF"/>
        <ns6:feature name="microsoft.com:LAMBDA_WF"/>
        <ns6:feature name="microsoft.com:ARRAYTEXT_WF"/>
      </ns6:calcFeatures>
    </ext>
    <ext uri="{7626C862-2A13-11E5-B345-FEFF819CDC9F}">
      <ns7:extCalcPr stringRefSyntax="ExcelA1"/>
    </ext>
  </extLst>
</workbook>
</file>

<file path=xl/sharedStrings.xml><?xml version="1.0" encoding="utf-8"?>
<sst xmlns="http://schemas.openxmlformats.org/spreadsheetml/2006/main" count="62" uniqueCount="56">
  <si>
    <t>N.º de familias</t>
  </si>
  <si>
    <t>N.º de beneficiarios/as</t>
  </si>
  <si>
    <t>Nombre</t>
  </si>
  <si>
    <t>Apellidos</t>
  </si>
  <si>
    <t>Documento</t>
  </si>
  <si>
    <t>Fecha de nacimiento</t>
  </si>
  <si>
    <t>Edad</t>
  </si>
  <si>
    <t>Fecha derivación</t>
  </si>
  <si>
    <t>Vigencia</t>
  </si>
  <si>
    <t>Alerta</t>
  </si>
  <si>
    <t>N.º de miembros familia</t>
  </si>
  <si>
    <t>Próxima cita</t>
  </si>
  <si>
    <t>ENVASES A REPARTIR POR FAMILIA</t>
  </si>
  <si>
    <t>Beneficiarios:</t>
  </si>
  <si>
    <t>Familias:</t>
  </si>
  <si>
    <t>ALIMENTOS</t>
  </si>
  <si>
    <t>CANTIDADES ASIGNADAS</t>
  </si>
  <si>
    <t>1 MIEMBROS</t>
  </si>
  <si>
    <t>2 MIEMBROS</t>
  </si>
  <si>
    <t>3 MIEMBROS</t>
  </si>
  <si>
    <t>4 MIEMBROS</t>
  </si>
  <si>
    <t>5 MIEMBROS</t>
  </si>
  <si>
    <t>6 MIEMBROS</t>
  </si>
  <si>
    <t>7 MIEMBROS</t>
  </si>
  <si>
    <t>8 MIEMBROS</t>
  </si>
  <si>
    <t>9 MIEMBROS</t>
  </si>
  <si>
    <t>10 MIEMBROS</t>
  </si>
  <si>
    <t>.</t>
  </si>
  <si>
    <t>Leche</t>
  </si>
  <si>
    <t>Harinas y gofio</t>
  </si>
  <si>
    <t>Arroz</t>
  </si>
  <si>
    <t>Pasta</t>
  </si>
  <si>
    <t>Legumbres</t>
  </si>
  <si>
    <t>Salsas variadas</t>
  </si>
  <si>
    <t>Aceites</t>
  </si>
  <si>
    <t>Pescado en conserva</t>
  </si>
  <si>
    <t>Carne en conserva</t>
  </si>
  <si>
    <t>VARIOS</t>
  </si>
  <si>
    <t>RESUMEN BENEFICIARIOS /AS</t>
  </si>
  <si>
    <t>Nº Familias por miembros</t>
  </si>
  <si>
    <t>N.º Personas rango por edades</t>
  </si>
  <si>
    <t>Nº De familias</t>
  </si>
  <si>
    <t>Nº De beneficiarios</t>
  </si>
  <si>
    <t>0-2 años</t>
  </si>
  <si>
    <t>3-18 años</t>
  </si>
  <si>
    <t>19-100 años</t>
  </si>
  <si>
    <t>Servicios Sociales</t>
  </si>
  <si>
    <t>Vigencia aplicada</t>
  </si>
  <si>
    <t>NO EDITAR NI BORRAR</t>
  </si>
  <si>
    <r>
      <rPr>
        <sz val="10"/>
        <color rgb="FF000000"/>
        <rFont val="Arial"/>
        <family val="2"/>
      </rPr>
      <t xml:space="preserve">Si la </t>
    </r>
    <r>
      <rPr>
        <b/>
        <sz val="10"/>
        <color rgb="FF000000"/>
        <rFont val="Arial"/>
        <family val="2"/>
      </rPr>
      <t>DERIVACION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es de los servicios sociales</t>
    </r>
    <r>
      <rPr>
        <b/>
        <u/>
        <sz val="10"/>
        <color rgb="FF000000"/>
        <rFont val="Arial"/>
        <family val="2"/>
      </rPr>
      <t xml:space="preserve"> MARCAR "NO"</t>
    </r>
    <r>
      <rPr>
        <sz val="10"/>
        <color rgb="FF000000"/>
        <rFont val="Arial"/>
        <family val="2"/>
      </rPr>
      <t xml:space="preserve">. </t>
    </r>
    <r>
      <rPr>
        <b/>
        <sz val="10"/>
        <color rgb="FF000000"/>
        <rFont val="Arial"/>
        <family val="2"/>
      </rPr>
      <t xml:space="preserve">DERIVACION de SERVCIO SOCIAL marcar Si o VACIO. </t>
    </r>
  </si>
  <si>
    <t>Las familias cuentan en Resumen y Reparto durante los primeros 90 días desde el vencimiento, incluido el día 90, con o sin cita. Desde el día 91 quedan excluidas aunque tengan cita. También se excluyen si falta una vigencia válida. La próxima cita sirve para seguir la renovación y puede ser anterior al vencimiento.</t>
  </si>
  <si>
    <t>Total de personas excluidas</t>
  </si>
  <si>
    <t>Total de personas incluidas y excluidas</t>
  </si>
  <si>
    <t>PERSONAS POR ORIGEN — INCLUIDAS Y EXCLUIDAS</t>
  </si>
  <si>
    <t>Sí vienen de Servicios sociales</t>
  </si>
  <si>
    <t>No vienen de Servicios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</si>
</sst>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#,##0\ ;[Red]\-#,##0\ "/>
    <numFmt numFmtId="166" formatCode="#,##0.00\ ;[Red]\-#,##0.00\ "/>
  </numFmts>
  <fonts count="32">
    <font>
      <sz val="10"/>
      <color theme="1"/>
      <name val="Arial"/>
      <family val="2"/>
      <charset val="1"/>
    </font>
    <font>
      <b/>
      <sz val="10"/>
      <color rgb="FFFFFFFF"/>
      <name val="Liberation Sans1"/>
      <charset val="1"/>
    </font>
    <font>
      <b/>
      <sz val="10"/>
      <color rgb="FF000000"/>
      <name val="Liberation Sans1"/>
      <charset val="1"/>
    </font>
    <font>
      <sz val="10"/>
      <color rgb="FFCC0000"/>
      <name val="Liberation Sans1"/>
      <charset val="1"/>
    </font>
    <font>
      <sz val="10"/>
      <color rgb="FF000000"/>
      <name val="Liberation Sans1"/>
      <charset val="1"/>
    </font>
    <font>
      <b/>
      <sz val="11"/>
      <color theme="1"/>
      <name val="Arial"/>
      <family val="2"/>
      <charset val="1"/>
    </font>
    <font>
      <i/>
      <sz val="10"/>
      <color rgb="FF808080"/>
      <name val="Liberation Sans1"/>
      <charset val="1"/>
    </font>
    <font>
      <sz val="10"/>
      <color rgb="FF006600"/>
      <name val="Liberation Sans1"/>
      <charset val="1"/>
    </font>
    <font>
      <b/>
      <sz val="18"/>
      <color rgb="FF000000"/>
      <name val="Liberation Sans1"/>
      <charset val="1"/>
    </font>
    <font>
      <b/>
      <sz val="24"/>
      <color rgb="FF000000"/>
      <name val="Liberation Sans1"/>
      <charset val="1"/>
    </font>
    <font>
      <b/>
      <sz val="12"/>
      <color rgb="FF000000"/>
      <name val="Liberation Sans1"/>
      <charset val="1"/>
    </font>
    <font>
      <u/>
      <sz val="10"/>
      <color rgb="FF0000EE"/>
      <name val="Liberation Sans1"/>
      <charset val="1"/>
    </font>
    <font>
      <sz val="10"/>
      <color rgb="FF333333"/>
      <name val="Liberation Sans1"/>
      <charset val="1"/>
    </font>
    <font>
      <b/>
      <i/>
      <u/>
      <sz val="10"/>
      <color rgb="FF000000"/>
      <name val="Liberation Sans1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0"/>
      <color rgb="FF000000"/>
      <name val="Arial1"/>
      <charset val="1"/>
    </font>
    <font>
      <b/>
      <sz val="1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FFDBB6"/>
      </patternFill>
    </fill>
    <fill>
      <patternFill patternType="solid">
        <fgColor rgb="FFCC0000"/>
        <bgColor rgb="FFFF0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CCFFCC"/>
        <bgColor rgb="FFD9E8F6"/>
      </patternFill>
    </fill>
    <fill>
      <patternFill patternType="solid">
        <fgColor rgb="FFFFFFCC"/>
        <bgColor rgb="FFFFFFFF"/>
      </patternFill>
    </fill>
    <fill>
      <patternFill patternType="solid">
        <fgColor rgb="FFD9E8F6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FFDBB6"/>
        <bgColor rgb="FFFFCCCC"/>
      </patternFill>
    </fill>
    <fill>
      <patternFill patternType="solid">
        <fgColor rgb="FFABCDEB"/>
        <bgColor rgb="FFBFBFBF"/>
      </patternFill>
    </fill>
    <fill>
      <patternFill patternType="solid">
        <fgColor rgb="FFE8EEF3"/>
        <bgColor indexed="64"/>
      </patternFill>
    </fill>
    <fill>
      <patternFill patternType="solid">
        <fgColor rgb="FFFFC000"/>
        <bgColor rgb="FFDDDDDD"/>
      </patternFill>
    </fill>
  </fills>
  <borders count="29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theme="1" tint="0.49989318521683401"/>
      </left>
      <right style="hair">
        <color theme="1" tint="0.49989318521683401"/>
      </right>
      <top style="hair">
        <color theme="1" tint="0.49989318521683401"/>
      </top>
      <bottom style="hair">
        <color theme="1" tint="0.499893185216834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002060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thin">
        <color auto="1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theme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auto="1"/>
      </bottom>
      <diagonal/>
    </border>
    <border>
      <left style="medium">
        <color rgb="FF002060"/>
      </left>
      <right style="thin">
        <color rgb="FF002060"/>
      </right>
      <top style="thin">
        <color theme="1"/>
      </top>
      <bottom style="thin">
        <color theme="1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auto="1"/>
      </top>
      <bottom style="thin">
        <color auto="1"/>
      </bottom>
      <diagonal/>
    </border>
    <border>
      <left style="medium">
        <color rgb="FF002060"/>
      </left>
      <right style="thin">
        <color rgb="FF002060"/>
      </right>
      <top style="thin">
        <color theme="1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0" borderId="0" applyBorder="0" applyProtection="0"/>
    <xf numFmtId="0" fontId="1" fillId="6" borderId="0" applyBorder="0" applyProtection="0"/>
    <xf numFmtId="0" fontId="5" fillId="7" borderId="1" applyProtection="0"/>
    <xf numFmtId="0" fontId="6" fillId="0" borderId="0" applyBorder="0" applyProtection="0"/>
    <xf numFmtId="0" fontId="7" fillId="8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9" borderId="2" applyProtection="0"/>
    <xf numFmtId="0" fontId="13" fillId="0" borderId="0" applyBorder="0" applyProtection="0"/>
    <xf numFmtId="0" fontId="14" fillId="7" borderId="3" applyProtection="0"/>
    <xf numFmtId="0" fontId="4" fillId="0" borderId="0" applyBorder="0" applyProtection="0"/>
    <xf numFmtId="0" fontId="4" fillId="0" borderId="0" applyBorder="0" applyProtection="0"/>
    <xf numFmtId="0" fontId="3" fillId="0" borderId="0" applyBorder="0" applyProtection="0"/>
  </cellStyleXfs>
  <cellXfs count="90">
    <xf numFmtId="0" fontId="0" fillId="0" borderId="0" xfId="0"/>
    <xf numFmtId="0" fontId="17" fillId="10" borderId="4" xfId="6" applyFont="1" applyFill="1" applyBorder="1" applyAlignment="1" applyProtection="1">
      <alignment horizontal="center"/>
    </xf>
    <xf numFmtId="0" fontId="15" fillId="0" borderId="0" xfId="6" applyFont="1" applyBorder="1" applyAlignment="1" applyProtection="1">
      <alignment vertical="center"/>
      <protection locked="0"/>
    </xf>
    <xf numFmtId="0" fontId="16" fillId="0" borderId="0" xfId="6" applyFont="1" applyBorder="1" applyAlignment="1" applyProtection="1">
      <alignment vertical="center"/>
      <protection locked="0"/>
    </xf>
    <xf numFmtId="0" fontId="16" fillId="0" borderId="0" xfId="6" applyFont="1" applyBorder="1" applyAlignment="1" applyProtection="1">
      <alignment horizontal="center" vertical="center"/>
      <protection locked="0"/>
    </xf>
    <xf numFmtId="164" fontId="16" fillId="0" borderId="0" xfId="6" applyNumberFormat="1" applyFont="1" applyBorder="1" applyAlignment="1" applyProtection="1">
      <alignment horizontal="right" vertical="center"/>
      <protection locked="0"/>
    </xf>
    <xf numFmtId="0" fontId="16" fillId="0" borderId="0" xfId="6" applyFont="1" applyBorder="1" applyAlignment="1" applyProtection="1">
      <alignment horizontal="center" vertical="center"/>
    </xf>
    <xf numFmtId="164" fontId="16" fillId="0" borderId="0" xfId="6" applyNumberFormat="1" applyFont="1" applyBorder="1" applyAlignment="1" applyProtection="1">
      <alignment horizontal="left" vertical="center"/>
      <protection locked="0"/>
    </xf>
    <xf numFmtId="164" fontId="16" fillId="0" borderId="0" xfId="6" applyNumberFormat="1" applyFont="1" applyBorder="1" applyAlignment="1" applyProtection="1">
      <alignment vertical="center"/>
      <protection locked="0"/>
    </xf>
    <xf numFmtId="0" fontId="16" fillId="0" borderId="0" xfId="6" applyFont="1" applyBorder="1" applyAlignment="1" applyProtection="1">
      <alignment vertical="center"/>
    </xf>
    <xf numFmtId="164" fontId="4" fillId="0" borderId="0" xfId="6" applyNumberFormat="1" applyBorder="1" applyAlignment="1" applyProtection="1">
      <alignment horizontal="left"/>
    </xf>
    <xf numFmtId="0" fontId="16" fillId="0" borderId="0" xfId="6" applyFont="1" applyBorder="1" applyProtection="1">
      <protection locked="0"/>
    </xf>
    <xf numFmtId="0" fontId="4" fillId="0" borderId="0" xfId="6" applyBorder="1" applyProtection="1"/>
    <xf numFmtId="0" fontId="17" fillId="10" borderId="4" xfId="6" applyFont="1" applyFill="1" applyBorder="1" applyAlignment="1" applyProtection="1">
      <alignment horizontal="center" vertical="center" wrapText="1"/>
    </xf>
    <xf numFmtId="164" fontId="17" fillId="10" borderId="4" xfId="6" applyNumberFormat="1" applyFont="1" applyFill="1" applyBorder="1" applyAlignment="1" applyProtection="1">
      <alignment horizontal="center" vertical="center" wrapText="1"/>
    </xf>
    <xf numFmtId="164" fontId="17" fillId="10" borderId="4" xfId="6" applyNumberFormat="1" applyFont="1" applyFill="1" applyBorder="1" applyAlignment="1" applyProtection="1">
      <alignment horizontal="left" vertical="center" wrapText="1"/>
    </xf>
    <xf numFmtId="0" fontId="18" fillId="0" borderId="0" xfId="6" applyFont="1" applyBorder="1" applyAlignment="1" applyProtection="1">
      <alignment horizontal="center" vertical="center"/>
      <protection locked="0"/>
    </xf>
    <xf numFmtId="0" fontId="18" fillId="0" borderId="0" xfId="6" applyFont="1" applyBorder="1" applyAlignment="1" applyProtection="1">
      <alignment horizontal="left" vertical="center"/>
      <protection locked="0"/>
    </xf>
    <xf numFmtId="14" fontId="18" fillId="0" borderId="0" xfId="6" applyNumberFormat="1" applyFont="1" applyBorder="1" applyAlignment="1" applyProtection="1">
      <alignment horizontal="left" vertical="center"/>
      <protection locked="0"/>
    </xf>
    <xf numFmtId="0" fontId="18" fillId="0" borderId="0" xfId="6" applyFont="1" applyBorder="1" applyAlignment="1" applyProtection="1">
      <alignment horizontal="center" vertical="center"/>
    </xf>
    <xf numFmtId="14" fontId="18" fillId="0" borderId="0" xfId="6" applyNumberFormat="1" applyFont="1" applyBorder="1" applyAlignment="1" applyProtection="1">
      <alignment horizontal="left" vertical="center"/>
    </xf>
    <xf numFmtId="0" fontId="19" fillId="0" borderId="0" xfId="6" applyFont="1" applyBorder="1" applyProtection="1"/>
    <xf numFmtId="0" fontId="19" fillId="0" borderId="0" xfId="6" applyFont="1" applyBorder="1" applyProtection="1">
      <protection locked="0"/>
    </xf>
    <xf numFmtId="0" fontId="18" fillId="0" borderId="0" xfId="6" applyFont="1" applyBorder="1" applyAlignment="1" applyProtection="1">
      <alignment vertical="center"/>
    </xf>
    <xf numFmtId="14" fontId="18" fillId="0" borderId="0" xfId="6" applyNumberFormat="1" applyFont="1" applyBorder="1" applyAlignment="1" applyProtection="1">
      <alignment horizontal="left"/>
    </xf>
    <xf numFmtId="0" fontId="18" fillId="0" borderId="0" xfId="6" applyFont="1" applyBorder="1" applyAlignment="1" applyProtection="1">
      <alignment vertical="center"/>
      <protection locked="0"/>
    </xf>
    <xf numFmtId="164" fontId="18" fillId="0" borderId="0" xfId="6" applyNumberFormat="1" applyFont="1" applyBorder="1" applyAlignment="1" applyProtection="1">
      <alignment horizontal="left"/>
    </xf>
    <xf numFmtId="164" fontId="18" fillId="0" borderId="0" xfId="6" applyNumberFormat="1" applyFont="1" applyBorder="1" applyAlignment="1" applyProtection="1">
      <alignment horizontal="left" vertical="center"/>
      <protection locked="0"/>
    </xf>
    <xf numFmtId="0" fontId="15" fillId="0" borderId="0" xfId="6" applyFont="1" applyBorder="1" applyAlignment="1" applyProtection="1">
      <alignment horizontal="center" vertical="center"/>
      <protection locked="0"/>
    </xf>
    <xf numFmtId="0" fontId="16" fillId="0" borderId="0" xfId="6" applyFont="1" applyBorder="1" applyProtection="1"/>
    <xf numFmtId="0" fontId="16" fillId="0" borderId="5" xfId="6" applyFont="1" applyBorder="1" applyProtection="1"/>
    <xf numFmtId="0" fontId="19" fillId="10" borderId="6" xfId="6" applyFont="1" applyFill="1" applyBorder="1" applyAlignment="1" applyProtection="1">
      <alignment horizontal="center" vertical="center"/>
    </xf>
    <xf numFmtId="0" fontId="19" fillId="0" borderId="0" xfId="6" applyFont="1" applyBorder="1" applyAlignment="1" applyProtection="1">
      <alignment horizontal="center" vertical="center"/>
    </xf>
    <xf numFmtId="0" fontId="21" fillId="0" borderId="0" xfId="6" applyFont="1" applyBorder="1" applyAlignment="1" applyProtection="1">
      <alignment horizontal="right"/>
    </xf>
    <xf numFmtId="1" fontId="19" fillId="11" borderId="6" xfId="6" applyNumberFormat="1" applyFont="1" applyFill="1" applyBorder="1" applyAlignment="1" applyProtection="1">
      <alignment horizontal="center" vertical="center"/>
    </xf>
    <xf numFmtId="0" fontId="23" fillId="0" borderId="0" xfId="6" applyFont="1" applyBorder="1" applyAlignment="1" applyProtection="1">
      <alignment horizontal="center" vertical="center"/>
    </xf>
    <xf numFmtId="165" fontId="19" fillId="0" borderId="0" xfId="6" applyNumberFormat="1" applyFont="1" applyBorder="1" applyAlignment="1" applyProtection="1">
      <alignment horizontal="left"/>
    </xf>
    <xf numFmtId="165" fontId="16" fillId="0" borderId="6" xfId="6" applyNumberFormat="1" applyFont="1" applyBorder="1" applyAlignment="1" applyProtection="1">
      <alignment horizontal="center" vertical="center"/>
    </xf>
    <xf numFmtId="165" fontId="19" fillId="0" borderId="6" xfId="6" applyNumberFormat="1" applyFont="1" applyBorder="1" applyAlignment="1" applyProtection="1">
      <alignment horizontal="center" vertical="center"/>
    </xf>
    <xf numFmtId="0" fontId="19" fillId="0" borderId="7" xfId="6" applyFont="1" applyBorder="1" applyProtection="1"/>
    <xf numFmtId="165" fontId="19" fillId="0" borderId="0" xfId="6" applyNumberFormat="1" applyFont="1" applyBorder="1" applyAlignment="1" applyProtection="1">
      <alignment horizontal="left" vertical="center"/>
    </xf>
    <xf numFmtId="1" fontId="16" fillId="0" borderId="6" xfId="6" applyNumberFormat="1" applyFont="1" applyBorder="1" applyAlignment="1" applyProtection="1">
      <alignment horizontal="center" vertical="center"/>
    </xf>
    <xf numFmtId="1" fontId="24" fillId="0" borderId="6" xfId="6" applyNumberFormat="1" applyFont="1" applyBorder="1" applyAlignment="1" applyProtection="1">
      <alignment horizontal="center" vertical="center"/>
    </xf>
    <xf numFmtId="0" fontId="16" fillId="0" borderId="6" xfId="6" applyFont="1" applyBorder="1" applyAlignment="1" applyProtection="1">
      <alignment horizontal="center" vertical="center"/>
    </xf>
    <xf numFmtId="0" fontId="21" fillId="10" borderId="6" xfId="6" applyFont="1" applyFill="1" applyBorder="1" applyAlignment="1" applyProtection="1">
      <alignment horizontal="center" vertical="center" wrapText="1"/>
    </xf>
    <xf numFmtId="165" fontId="15" fillId="10" borderId="6" xfId="6" applyNumberFormat="1" applyFont="1" applyFill="1" applyBorder="1" applyAlignment="1" applyProtection="1">
      <alignment horizontal="center" vertical="center" wrapText="1"/>
    </xf>
    <xf numFmtId="165" fontId="15" fillId="10" borderId="8" xfId="6" applyNumberFormat="1" applyFont="1" applyFill="1" applyBorder="1" applyAlignment="1" applyProtection="1">
      <alignment horizontal="center" vertical="center"/>
    </xf>
    <xf numFmtId="165" fontId="15" fillId="10" borderId="9" xfId="6" applyNumberFormat="1" applyFont="1" applyFill="1" applyBorder="1" applyAlignment="1" applyProtection="1">
      <alignment horizontal="center" vertical="center"/>
    </xf>
    <xf numFmtId="165" fontId="15" fillId="10" borderId="10" xfId="6" applyNumberFormat="1" applyFont="1" applyFill="1" applyBorder="1" applyAlignment="1" applyProtection="1">
      <alignment horizontal="center" vertical="center"/>
    </xf>
    <xf numFmtId="165" fontId="25" fillId="10" borderId="9" xfId="6" applyNumberFormat="1" applyFont="1" applyFill="1" applyBorder="1" applyAlignment="1" applyProtection="1">
      <alignment vertical="center" wrapText="1"/>
    </xf>
    <xf numFmtId="0" fontId="15" fillId="0" borderId="11" xfId="6" applyFont="1" applyBorder="1" applyAlignment="1" applyProtection="1">
      <alignment horizontal="left" vertical="center"/>
    </xf>
    <xf numFmtId="165" fontId="18" fillId="12" borderId="12" xfId="6" applyNumberFormat="1" applyFont="1" applyFill="1" applyBorder="1" applyAlignment="1" applyProtection="1">
      <alignment horizontal="center" vertical="center"/>
      <protection locked="0"/>
    </xf>
    <xf numFmtId="165" fontId="16" fillId="11" borderId="13" xfId="6" applyNumberFormat="1" applyFont="1" applyFill="1" applyBorder="1" applyAlignment="1" applyProtection="1">
      <alignment horizontal="center" vertical="center"/>
    </xf>
    <xf numFmtId="165" fontId="16" fillId="11" borderId="14" xfId="6" applyNumberFormat="1" applyFont="1" applyFill="1" applyBorder="1" applyAlignment="1" applyProtection="1">
      <alignment horizontal="center" vertical="center"/>
    </xf>
    <xf numFmtId="165" fontId="16" fillId="11" borderId="15" xfId="6" applyNumberFormat="1" applyFont="1" applyFill="1" applyBorder="1" applyAlignment="1" applyProtection="1">
      <alignment horizontal="center" vertical="center"/>
    </xf>
    <xf numFmtId="166" fontId="26" fillId="11" borderId="16" xfId="6" applyNumberFormat="1" applyFont="1" applyFill="1" applyBorder="1" applyAlignment="1" applyProtection="1">
      <alignment horizontal="center" vertical="center"/>
    </xf>
    <xf numFmtId="0" fontId="15" fillId="0" borderId="17" xfId="6" applyFont="1" applyBorder="1" applyAlignment="1" applyProtection="1">
      <alignment horizontal="left" vertical="center"/>
    </xf>
    <xf numFmtId="165" fontId="16" fillId="11" borderId="18" xfId="6" applyNumberFormat="1" applyFont="1" applyFill="1" applyBorder="1" applyAlignment="1" applyProtection="1">
      <alignment horizontal="center" vertical="center"/>
    </xf>
    <xf numFmtId="165" fontId="16" fillId="11" borderId="12" xfId="6" applyNumberFormat="1" applyFont="1" applyFill="1" applyBorder="1" applyAlignment="1" applyProtection="1">
      <alignment horizontal="center" vertical="center"/>
    </xf>
    <xf numFmtId="165" fontId="16" fillId="11" borderId="19" xfId="6" applyNumberFormat="1" applyFont="1" applyFill="1" applyBorder="1" applyAlignment="1" applyProtection="1">
      <alignment horizontal="center" vertical="center"/>
    </xf>
    <xf numFmtId="166" fontId="26" fillId="11" borderId="20" xfId="6" applyNumberFormat="1" applyFont="1" applyFill="1" applyBorder="1" applyAlignment="1" applyProtection="1">
      <alignment horizontal="center" vertical="center"/>
    </xf>
    <xf numFmtId="0" fontId="15" fillId="0" borderId="17" xfId="6" applyFont="1" applyBorder="1" applyAlignment="1" applyProtection="1">
      <alignment horizontal="left" vertical="center"/>
      <protection locked="0"/>
    </xf>
    <xf numFmtId="0" fontId="15" fillId="0" borderId="21" xfId="6" applyFont="1" applyBorder="1" applyAlignment="1" applyProtection="1">
      <alignment horizontal="left" vertical="center"/>
      <protection locked="0"/>
    </xf>
    <xf numFmtId="165" fontId="16" fillId="11" borderId="22" xfId="6" applyNumberFormat="1" applyFont="1" applyFill="1" applyBorder="1" applyAlignment="1" applyProtection="1">
      <alignment horizontal="center" vertical="center"/>
    </xf>
    <xf numFmtId="165" fontId="16" fillId="11" borderId="23" xfId="6" applyNumberFormat="1" applyFont="1" applyFill="1" applyBorder="1" applyAlignment="1" applyProtection="1">
      <alignment horizontal="center" vertical="center"/>
    </xf>
    <xf numFmtId="165" fontId="16" fillId="11" borderId="24" xfId="6" applyNumberFormat="1" applyFont="1" applyFill="1" applyBorder="1" applyAlignment="1" applyProtection="1">
      <alignment horizontal="center" vertical="center"/>
    </xf>
    <xf numFmtId="166" fontId="26" fillId="11" borderId="9" xfId="6" applyNumberFormat="1" applyFont="1" applyFill="1" applyBorder="1" applyAlignment="1" applyProtection="1">
      <alignment horizontal="center" vertical="center"/>
    </xf>
    <xf numFmtId="0" fontId="15" fillId="0" borderId="0" xfId="6" applyFont="1" applyBorder="1" applyProtection="1"/>
    <xf numFmtId="165" fontId="16" fillId="0" borderId="25" xfId="6" applyNumberFormat="1" applyFont="1" applyBorder="1" applyAlignment="1" applyProtection="1">
      <alignment horizontal="center" vertical="center"/>
      <protection locked="0"/>
    </xf>
    <xf numFmtId="0" fontId="4" fillId="0" borderId="26" xfId="6" applyBorder="1" applyProtection="1"/>
    <xf numFmtId="0" fontId="17" fillId="10" borderId="4" xfId="6" applyFont="1" applyFill="1" applyBorder="1" applyAlignment="1" applyProtection="1">
      <alignment horizontal="center" vertical="center"/>
    </xf>
    <xf numFmtId="0" fontId="28" fillId="0" borderId="4" xfId="6" applyFont="1" applyBorder="1" applyAlignment="1" applyProtection="1">
      <alignment horizontal="center"/>
    </xf>
    <xf numFmtId="0" fontId="17" fillId="0" borderId="4" xfId="6" applyFont="1" applyBorder="1" applyAlignment="1" applyProtection="1">
      <alignment horizontal="center"/>
    </xf>
    <xf numFmtId="17" fontId="17" fillId="10" borderId="4" xfId="6" applyNumberFormat="1" applyFont="1" applyFill="1" applyBorder="1" applyAlignment="1" applyProtection="1">
      <alignment horizontal="center"/>
    </xf>
    <xf numFmtId="0" fontId="4" fillId="0" borderId="27" xfId="6" applyBorder="1" applyProtection="1"/>
    <xf numFmtId="0" fontId="4" fillId="0" borderId="28" xfId="6" applyBorder="1" applyProtection="1"/>
    <xf numFmtId="14" fontId="18" fillId="14" borderId="0" xfId="6" applyNumberFormat="1" applyFont="1" applyFill="1" applyBorder="1" applyAlignment="1" applyProtection="1">
      <alignment horizontal="left" vertical="center"/>
      <protection locked="0"/>
    </xf>
    <xf numFmtId="0" fontId="18" fillId="14" borderId="0" xfId="6" applyFont="1" applyFill="1" applyBorder="1" applyAlignment="1" applyProtection="1">
      <alignment horizontal="center" vertical="center"/>
    </xf>
    <xf numFmtId="0" fontId="18" fillId="0" borderId="0" xfId="6" applyFont="1" applyBorder="1" applyAlignment="1" applyProtection="1">
      <alignment horizontal="left" vertical="center" wrapText="1"/>
      <protection locked="0"/>
    </xf>
    <xf numFmtId="0" fontId="29" fillId="15" borderId="4" xfId="6" applyFont="1" applyFill="1" applyBorder="1" applyAlignment="1" applyProtection="1">
      <alignment horizontal="center" vertical="center" wrapText="1"/>
    </xf>
    <xf numFmtId="0" fontId="20" fillId="10" borderId="6" xfId="6" applyFont="1" applyFill="1" applyBorder="1" applyAlignment="1" applyProtection="1">
      <alignment horizontal="center" vertical="center"/>
    </xf>
    <xf numFmtId="2" fontId="22" fillId="0" borderId="0" xfId="6" applyNumberFormat="1" applyFont="1" applyBorder="1" applyAlignment="1" applyProtection="1">
      <alignment horizontal="center" vertical="center" wrapText="1"/>
    </xf>
    <xf numFmtId="1" fontId="22" fillId="0" borderId="0" xfId="6" applyNumberFormat="1" applyFont="1" applyBorder="1" applyAlignment="1" applyProtection="1">
      <alignment horizontal="center" vertical="center"/>
    </xf>
    <xf numFmtId="0" fontId="16" fillId="0" borderId="0" xfId="6" applyFont="1" applyBorder="1" applyAlignment="1" applyProtection="1">
      <alignment horizontal="center" vertical="center"/>
    </xf>
    <xf numFmtId="0" fontId="16" fillId="0" borderId="0" xfId="6" applyFont="1" applyBorder="1" applyProtection="1"/>
    <xf numFmtId="2" fontId="16" fillId="0" borderId="0" xfId="6" applyNumberFormat="1" applyFont="1" applyBorder="1" applyProtection="1"/>
    <xf numFmtId="0" fontId="17" fillId="0" borderId="4" xfId="6" applyFont="1" applyBorder="1" applyAlignment="1" applyProtection="1">
      <alignment horizontal="center"/>
    </xf>
    <xf numFmtId="0" fontId="27" fillId="13" borderId="4" xfId="6" applyFont="1" applyFill="1" applyBorder="1" applyAlignment="1" applyProtection="1">
      <alignment horizontal="center" vertical="center"/>
    </xf>
    <xf numFmtId="0" fontId="17" fillId="10" borderId="4" xfId="6" applyFont="1" applyFill="1" applyBorder="1" applyAlignment="1" applyProtection="1">
      <alignment horizontal="center"/>
    </xf>
    <xf numFmtId="0" fontId="4" fillId="0" borderId="4" xfId="6" applyBorder="1" applyProtection="1"/>
  </cellXfs>
  <cellStyles count="21">
    <cellStyle name="Accent 1 5" xfId="1" xr:uid="{00000000-0005-0000-0000-000006000000}"/>
    <cellStyle name="Accent 2 6" xfId="2" xr:uid="{00000000-0005-0000-0000-000007000000}"/>
    <cellStyle name="Accent 3 7" xfId="3" xr:uid="{00000000-0005-0000-0000-000008000000}"/>
    <cellStyle name="Accent 4" xfId="4" xr:uid="{00000000-0005-0000-0000-000009000000}"/>
    <cellStyle name="Bad 8" xfId="5" xr:uid="{00000000-0005-0000-0000-00000A000000}"/>
    <cellStyle name="Default 9" xfId="6" xr:uid="{00000000-0005-0000-0000-00000B000000}"/>
    <cellStyle name="Error 10" xfId="7" xr:uid="{00000000-0005-0000-0000-00000C000000}"/>
    <cellStyle name="FamiliasFondo" xfId="8" xr:uid="{00000000-0005-0000-0000-00000D000000}"/>
    <cellStyle name="Footnote 11" xfId="9" xr:uid="{00000000-0005-0000-0000-00000E000000}"/>
    <cellStyle name="Good 12" xfId="10" xr:uid="{00000000-0005-0000-0000-00000F000000}"/>
    <cellStyle name="Heading 1 14" xfId="11" xr:uid="{00000000-0005-0000-0000-000010000000}"/>
    <cellStyle name="Heading 13" xfId="12" xr:uid="{00000000-0005-0000-0000-000011000000}"/>
    <cellStyle name="Heading 2 15" xfId="13" xr:uid="{00000000-0005-0000-0000-000012000000}"/>
    <cellStyle name="Hyperlink 16" xfId="14" xr:uid="{00000000-0005-0000-0000-000013000000}"/>
    <cellStyle name="Normal" xfId="0" builtinId="0"/>
    <cellStyle name="Note 17" xfId="15" xr:uid="{00000000-0005-0000-0000-000014000000}"/>
    <cellStyle name="Result 18" xfId="16" xr:uid="{00000000-0005-0000-0000-000015000000}"/>
    <cellStyle name="Sin título1" xfId="17" xr:uid="{00000000-0005-0000-0000-000016000000}"/>
    <cellStyle name="Status 19" xfId="18" xr:uid="{00000000-0005-0000-0000-000017000000}"/>
    <cellStyle name="Text 20" xfId="19" xr:uid="{00000000-0005-0000-0000-000018000000}"/>
    <cellStyle name="Warning 21" xfId="20" xr:uid="{00000000-0005-0000-0000-000019000000}"/>
  </cellStyles>
  <dxfs count="16"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006600"/>
      </font>
      <fill>
        <patternFill>
          <bgColor rgb="FFCCFFCC"/>
        </patternFill>
      </fill>
    </dxf>
    <dxf>
      <font>
        <b/>
        <color rgb="FFFFFFFF"/>
      </font>
      <fill>
        <patternFill>
          <bgColor rgb="FFCC0000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color rgb="FFFFFFFF"/>
      </font>
      <numFmt numFmtId="0" formatCode="General"/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FFE699"/>
          <bgColor rgb="FFFFE699"/>
        </patternFill>
      </fill>
    </dxf>
    <dxf>
      <font>
        <b/>
        <sz val="11"/>
        <color rgb="FF000000"/>
        <name val="Arial"/>
        <family val="2"/>
        <charset val="1"/>
      </font>
      <fill>
        <patternFill>
          <bgColor theme="0" tint="-4.9989318521683403E-2"/>
        </patternFill>
      </fill>
      <border diagonalUp="0" diagonalDown="0">
        <left style="hair">
          <color theme="0" tint="-0.14999847407452621"/>
        </left>
        <right style="hair">
          <color theme="0" tint="-0.14999847407452621"/>
        </right>
        <top style="hair">
          <color theme="0" tint="-0.14999847407452621"/>
        </top>
        <bottom style="hair">
          <color theme="0" tint="-0.1499984740745262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8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DDDDDD"/>
      <rgbColor rgb="FFABCDEB"/>
      <rgbColor rgb="FFFFCC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/><ns0:Relationship Id="rId1" Type="http://schemas.openxmlformats.org/officeDocument/2006/relationships/worksheet" Target="worksheets/sheet1.xml"/><ns0:Relationship Id="rId6" Type="http://schemas.openxmlformats.org/officeDocument/2006/relationships/sharedStrings" Target="sharedStrings.xml"/><ns0:Relationship Id="rId5" Type="http://schemas.openxmlformats.org/officeDocument/2006/relationships/styles" Target="styles.xml"/><ns0:Relationship Id="rId4" Type="http://schemas.openxmlformats.org/officeDocument/2006/relationships/theme" Target="theme/theme1.xml"/></ns0: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" displayName="__Anonymous_Sheet_DB__0" ref="A1:K2999" totalsRowShown="0">
  <autoFilter ref="A1:K2999" xr:uid="{00000000-0009-0000-0100-000001000000}"/>
  <tableColumns count="11">
    <tableColumn id="1" xr3:uid="{00000000-0010-0000-0000-000001000000}" name="N.º de familias"/>
    <tableColumn id="2" xr3:uid="{00000000-0010-0000-0000-000002000000}" name="N.º de beneficiarios/as"/>
    <tableColumn id="3" xr3:uid="{00000000-0010-0000-0000-000003000000}" name="Nombre"/>
    <tableColumn id="4" xr3:uid="{00000000-0010-0000-0000-000004000000}" name="Apellidos"/>
    <tableColumn id="5" xr3:uid="{00000000-0010-0000-0000-000005000000}" name="Documento"/>
    <tableColumn id="6" xr3:uid="{00000000-0010-0000-0000-000006000000}" name="Fecha de nacimiento"/>
    <tableColumn id="7" xr3:uid="{00000000-0010-0000-0000-000007000000}" name="Edad"/>
    <tableColumn id="8" xr3:uid="{00000000-0010-0000-0000-000008000000}" name="Fecha derivación"/>
    <tableColumn id="9" xr3:uid="{00000000-0010-0000-0000-000009000000}" name="Vigencia"/>
    <tableColumn id="10" xr3:uid="{00000000-0010-0000-0000-00000A000000}" name="Alerta"/>
    <tableColumn id="11" xr3:uid="{00000000-0010-0000-0000-00000B000000}" name="N.º de miembros famili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99"/>
  <sheetViews>
    <sheetView tabSelected="1" zoomScaleNormal="100" workbookViewId="0">
      <pane ySplit="1" topLeftCell="A2" activePane="bottomLeft" state="frozen"/>
      <selection pane="bottomLeft" activeCell="M2" sqref="M2"/>
    </sheetView>
  </sheetViews>
  <sheetFormatPr baseColWidth="10" defaultColWidth="10.85546875" defaultRowHeight="14.25"/>
  <cols>
    <col min="1" max="1" width="15.85546875" style="2" customWidth="1"/>
    <col min="2" max="2" width="18.140625" style="2" customWidth="1"/>
    <col min="3" max="3" width="25.5703125" style="3" customWidth="1"/>
    <col min="4" max="4" width="31.140625" style="3" customWidth="1"/>
    <col min="5" max="5" width="16.5703125" style="4" customWidth="1"/>
    <col min="6" max="6" width="19.28515625" style="5" customWidth="1"/>
    <col min="7" max="7" width="8.85546875" style="6" customWidth="1"/>
    <col min="8" max="8" width="21.28515625" style="7" customWidth="1"/>
    <col min="9" max="9" width="15.42578125" style="8" customWidth="1"/>
    <col min="10" max="10" width="12.140625" style="9" customWidth="1"/>
    <col min="11" max="11" width="36.5703125" style="9" customWidth="1"/>
    <col min="12" max="12" width="17.5703125" style="10" customWidth="1"/>
    <col min="13" max="13" width="14" style="17" customWidth="1"/>
    <col min="14" max="14" width="18" style="76" customWidth="1"/>
    <col min="15" max="15" width="65" style="78" customWidth="1"/>
    <col min="16" max="25" width="12" hidden="1"/>
  </cols>
  <sheetData>
    <row r="1" spans="1:24" ht="60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3" t="s">
        <v>46</v>
      </c>
      <c r="N1" s="13" t="s">
        <v>47</v>
      </c>
      <c r="O1" s="79" t="s">
        <v>49</v>
      </c>
      <c r="Q1" s="11"/>
      <c r="R1" s="12"/>
      <c r="S1" s="12"/>
      <c r="T1" s="12"/>
      <c r="U1" s="12"/>
      <c r="V1" s="12"/>
      <c r="W1" s="12"/>
      <c r="X1" s="12"/>
    </row>
    <row r="2" spans="1:24" ht="15">
      <c r="A2" s="16"/>
      <c r="B2" s="16"/>
      <c r="C2" s="17"/>
      <c r="D2" s="17"/>
      <c r="E2" s="17"/>
      <c r="F2" s="18"/>
      <c r="G2" s="19" t="str">
        <f t="shared" ref="G2:G65" ca="1" si="0">IF(F2="", "", DATEDIF(F2, TODAY(), "Y"))</f>
        <v/>
      </c>
      <c r="H2" s="18"/>
      <c r="I2" s="18"/>
      <c r="J2" s="77" t="str">
        <f t="shared" ref="J2:J65" ca="1" si="1">IFERROR(IF(ISNUMBER(INDEX(VigenciasFamilia,ROW())),INDEX(VigenciasFamilia,ROW())-TODAY(),""),"")</f>
        <v/>
      </c>
      <c r="K2" s="19">
        <f>IF(A2="","",COUNTIFS(Resumen!$N$2:$N$2999,ROW(),Resumen!$V$2:$V$2999,1))</f>
        <v/>
      </c>
      <c r="L2" s="20"/>
      <c r="N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P2" s="22"/>
      <c r="Q2" s="22"/>
      <c r="R2" s="12"/>
      <c r="S2" s="12"/>
      <c r="T2" s="12"/>
      <c r="U2" s="12"/>
      <c r="V2" s="12"/>
      <c r="W2" s="12"/>
      <c r="X2" s="12"/>
    </row>
    <row r="3" spans="1:24">
      <c r="A3" s="16"/>
      <c r="B3" s="16"/>
      <c r="C3" s="17"/>
      <c r="D3" s="17"/>
      <c r="E3" s="17"/>
      <c r="F3" s="18"/>
      <c r="G3" s="19" t="str">
        <f t="shared" ca="1" si="0"/>
        <v/>
      </c>
      <c r="H3" s="18"/>
      <c r="I3" s="18"/>
      <c r="J3" s="77" t="str">
        <f t="shared" ca="1" si="1"/>
        <v/>
      </c>
      <c r="K3" s="19">
        <f>IF(A3="","",COUNTIFS(Resumen!$N$2:$N$2999,ROW(),Resumen!$V$2:$V$2999,1))</f>
        <v/>
      </c>
      <c r="L3" s="20"/>
      <c r="N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Q3" s="11"/>
      <c r="R3" s="12"/>
      <c r="S3" s="12"/>
      <c r="T3" s="12"/>
      <c r="U3" s="12"/>
      <c r="V3" s="12"/>
      <c r="W3" s="12"/>
      <c r="X3" s="12"/>
    </row>
    <row r="4" spans="1:24">
      <c r="A4" s="16"/>
      <c r="B4" s="16"/>
      <c r="C4" s="17"/>
      <c r="D4" s="17"/>
      <c r="E4" s="17"/>
      <c r="F4" s="18"/>
      <c r="G4" s="19" t="str">
        <f t="shared" ca="1" si="0"/>
        <v/>
      </c>
      <c r="H4" s="18"/>
      <c r="I4" s="18"/>
      <c r="J4" s="77" t="str">
        <f t="shared" ca="1" si="1"/>
        <v/>
      </c>
      <c r="K4" s="19">
        <f>IF(A4="","",COUNTIFS(Resumen!$N$2:$N$2999,ROW(),Resumen!$V$2:$V$2999,1))</f>
        <v/>
      </c>
      <c r="L4" s="20"/>
      <c r="N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Q4" s="11"/>
      <c r="R4" s="12"/>
      <c r="S4" s="12"/>
      <c r="T4" s="12"/>
      <c r="U4" s="12"/>
      <c r="V4" s="12"/>
      <c r="W4" s="12"/>
      <c r="X4" s="12"/>
    </row>
    <row r="5" spans="1:24" ht="15">
      <c r="A5" s="16"/>
      <c r="B5" s="16"/>
      <c r="C5" s="17"/>
      <c r="D5" s="17"/>
      <c r="E5" s="17"/>
      <c r="F5" s="18"/>
      <c r="G5" s="19" t="str">
        <f t="shared" ca="1" si="0"/>
        <v/>
      </c>
      <c r="H5" s="18"/>
      <c r="I5" s="18"/>
      <c r="J5" s="77" t="str">
        <f t="shared" ca="1" si="1"/>
        <v/>
      </c>
      <c r="K5" s="19">
        <f>IF(A5="","",COUNTIFS(Resumen!$N$2:$N$2999,ROW(),Resumen!$V$2:$V$2999,1))</f>
        <v/>
      </c>
      <c r="L5" s="20"/>
      <c r="N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Q5" s="22"/>
      <c r="R5" s="12"/>
      <c r="S5" s="12"/>
      <c r="T5" s="12"/>
      <c r="U5" s="12"/>
      <c r="V5" s="12"/>
      <c r="W5" s="12"/>
      <c r="X5" s="12"/>
    </row>
    <row r="6" spans="1:24" ht="15">
      <c r="A6" s="16"/>
      <c r="B6" s="16"/>
      <c r="C6" s="17"/>
      <c r="D6" s="17"/>
      <c r="E6" s="17"/>
      <c r="F6" s="18"/>
      <c r="G6" s="19" t="str">
        <f t="shared" ca="1" si="0"/>
        <v/>
      </c>
      <c r="H6" s="18"/>
      <c r="I6" s="18"/>
      <c r="J6" s="77" t="str">
        <f t="shared" ca="1" si="1"/>
        <v/>
      </c>
      <c r="K6" s="19">
        <f>IF(A6="","",COUNTIFS(Resumen!$N$2:$N$2999,ROW(),Resumen!$V$2:$V$2999,1))</f>
        <v/>
      </c>
      <c r="L6" s="20"/>
      <c r="N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P6" s="22"/>
      <c r="Q6" s="22"/>
      <c r="R6" s="12"/>
      <c r="S6" s="12"/>
      <c r="T6" s="12"/>
      <c r="U6" s="12"/>
      <c r="V6" s="12"/>
      <c r="W6" s="12"/>
      <c r="X6" s="12"/>
    </row>
    <row r="7" spans="1:24">
      <c r="A7" s="16"/>
      <c r="B7" s="16"/>
      <c r="C7" s="17"/>
      <c r="D7" s="17"/>
      <c r="E7" s="17"/>
      <c r="F7" s="18"/>
      <c r="G7" s="19" t="str">
        <f t="shared" ca="1" si="0"/>
        <v/>
      </c>
      <c r="H7" s="18"/>
      <c r="I7" s="18"/>
      <c r="J7" s="77" t="str">
        <f t="shared" ca="1" si="1"/>
        <v/>
      </c>
      <c r="K7" s="19">
        <f>IF(A7="","",COUNTIFS(Resumen!$N$2:$N$2999,ROW(),Resumen!$V$2:$V$2999,1))</f>
        <v/>
      </c>
      <c r="L7" s="20"/>
      <c r="N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R7" s="11"/>
      <c r="S7" s="11"/>
      <c r="T7" s="11"/>
      <c r="U7" s="11"/>
      <c r="V7" s="11"/>
      <c r="W7" s="11"/>
      <c r="X7" s="11"/>
    </row>
    <row r="8" spans="1:24">
      <c r="A8" s="16"/>
      <c r="B8" s="16"/>
      <c r="C8" s="17"/>
      <c r="D8" s="17"/>
      <c r="E8" s="17"/>
      <c r="F8" s="18"/>
      <c r="G8" s="19" t="str">
        <f t="shared" ca="1" si="0"/>
        <v/>
      </c>
      <c r="H8" s="18"/>
      <c r="I8" s="18"/>
      <c r="J8" s="77" t="str">
        <f t="shared" ca="1" si="1"/>
        <v/>
      </c>
      <c r="K8" s="19">
        <f>IF(A8="","",COUNTIFS(Resumen!$N$2:$N$2999,ROW(),Resumen!$V$2:$V$2999,1))</f>
        <v/>
      </c>
      <c r="L8" s="20"/>
      <c r="N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Q8" s="11"/>
    </row>
    <row r="9" spans="1:24">
      <c r="A9" s="16"/>
      <c r="B9" s="16"/>
      <c r="C9" s="17"/>
      <c r="D9" s="17"/>
      <c r="E9" s="17"/>
      <c r="F9" s="18"/>
      <c r="G9" s="19" t="str">
        <f t="shared" ca="1" si="0"/>
        <v/>
      </c>
      <c r="H9" s="18"/>
      <c r="I9" s="18"/>
      <c r="J9" s="77" t="str">
        <f t="shared" ca="1" si="1"/>
        <v/>
      </c>
      <c r="K9" s="19">
        <f>IF(A9="","",COUNTIFS(Resumen!$N$2:$N$2999,ROW(),Resumen!$V$2:$V$2999,1))</f>
        <v/>
      </c>
      <c r="L9" s="20"/>
      <c r="N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  <c r="Q9" s="11"/>
    </row>
    <row r="10" spans="1:24">
      <c r="A10" s="16"/>
      <c r="B10" s="16"/>
      <c r="C10" s="17"/>
      <c r="D10" s="17"/>
      <c r="E10" s="17"/>
      <c r="F10" s="18"/>
      <c r="G10" s="19" t="str">
        <f t="shared" ca="1" si="0"/>
        <v/>
      </c>
      <c r="H10" s="18"/>
      <c r="I10" s="18"/>
      <c r="J10" s="77" t="str">
        <f t="shared" ca="1" si="1"/>
        <v/>
      </c>
      <c r="K10" s="19">
        <f>IF(A10="","",COUNTIFS(Resumen!$N$2:$N$2999,ROW(),Resumen!$V$2:$V$2999,1))</f>
        <v/>
      </c>
      <c r="L10" s="20"/>
      <c r="N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" spans="1:24">
      <c r="A11" s="16"/>
      <c r="B11" s="16"/>
      <c r="C11" s="17"/>
      <c r="D11" s="17"/>
      <c r="E11" s="17"/>
      <c r="F11" s="18"/>
      <c r="G11" s="19" t="str">
        <f t="shared" ca="1" si="0"/>
        <v/>
      </c>
      <c r="H11" s="18"/>
      <c r="I11" s="18"/>
      <c r="J11" s="77" t="str">
        <f t="shared" ca="1" si="1"/>
        <v/>
      </c>
      <c r="K11" s="19">
        <f>IF(A11="","",COUNTIFS(Resumen!$N$2:$N$2999,ROW(),Resumen!$V$2:$V$2999,1))</f>
        <v/>
      </c>
      <c r="L11" s="20"/>
      <c r="N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" spans="1:24">
      <c r="A12" s="16"/>
      <c r="B12" s="16"/>
      <c r="C12" s="17"/>
      <c r="D12" s="17"/>
      <c r="E12" s="17"/>
      <c r="F12" s="18"/>
      <c r="G12" s="19" t="str">
        <f t="shared" ca="1" si="0"/>
        <v/>
      </c>
      <c r="H12" s="18"/>
      <c r="I12" s="18"/>
      <c r="J12" s="77" t="str">
        <f t="shared" ca="1" si="1"/>
        <v/>
      </c>
      <c r="K12" s="19">
        <f>IF(A12="","",COUNTIFS(Resumen!$N$2:$N$2999,ROW(),Resumen!$V$2:$V$2999,1))</f>
        <v/>
      </c>
      <c r="L12" s="20"/>
      <c r="N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" spans="1:24">
      <c r="A13" s="16"/>
      <c r="B13" s="16"/>
      <c r="C13" s="17"/>
      <c r="D13" s="17"/>
      <c r="E13" s="17"/>
      <c r="F13" s="18"/>
      <c r="G13" s="19" t="str">
        <f t="shared" ca="1" si="0"/>
        <v/>
      </c>
      <c r="H13" s="18"/>
      <c r="I13" s="18"/>
      <c r="J13" s="77" t="str">
        <f t="shared" ca="1" si="1"/>
        <v/>
      </c>
      <c r="K13" s="19">
        <f>IF(A13="","",COUNTIFS(Resumen!$N$2:$N$2999,ROW(),Resumen!$V$2:$V$2999,1))</f>
        <v/>
      </c>
      <c r="L13" s="20"/>
      <c r="N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" spans="1:24">
      <c r="A14" s="16"/>
      <c r="B14" s="16"/>
      <c r="C14" s="17"/>
      <c r="D14" s="17"/>
      <c r="E14" s="17"/>
      <c r="F14" s="18"/>
      <c r="G14" s="19" t="str">
        <f t="shared" ca="1" si="0"/>
        <v/>
      </c>
      <c r="H14" s="18"/>
      <c r="I14" s="18"/>
      <c r="J14" s="77" t="str">
        <f t="shared" ca="1" si="1"/>
        <v/>
      </c>
      <c r="K14" s="19">
        <f>IF(A14="","",COUNTIFS(Resumen!$N$2:$N$2999,ROW(),Resumen!$V$2:$V$2999,1))</f>
        <v/>
      </c>
      <c r="L14" s="20"/>
      <c r="N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" spans="1:24">
      <c r="A15" s="16"/>
      <c r="B15" s="16"/>
      <c r="C15" s="17"/>
      <c r="D15" s="17"/>
      <c r="E15" s="17"/>
      <c r="F15" s="18"/>
      <c r="G15" s="19" t="str">
        <f t="shared" ca="1" si="0"/>
        <v/>
      </c>
      <c r="H15" s="18"/>
      <c r="I15" s="18"/>
      <c r="J15" s="77" t="str">
        <f t="shared" ca="1" si="1"/>
        <v/>
      </c>
      <c r="K15" s="19">
        <f>IF(A15="","",COUNTIFS(Resumen!$N$2:$N$2999,ROW(),Resumen!$V$2:$V$2999,1))</f>
        <v/>
      </c>
      <c r="L15" s="20"/>
      <c r="N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" spans="1:24">
      <c r="A16" s="16"/>
      <c r="B16" s="16"/>
      <c r="C16" s="17"/>
      <c r="D16" s="17"/>
      <c r="E16" s="17"/>
      <c r="F16" s="18"/>
      <c r="G16" s="19" t="str">
        <f t="shared" ca="1" si="0"/>
        <v/>
      </c>
      <c r="H16" s="18"/>
      <c r="I16" s="18"/>
      <c r="J16" s="77" t="str">
        <f t="shared" ca="1" si="1"/>
        <v/>
      </c>
      <c r="K16" s="19">
        <f>IF(A16="","",COUNTIFS(Resumen!$N$2:$N$2999,ROW(),Resumen!$V$2:$V$2999,1))</f>
        <v/>
      </c>
      <c r="L16" s="20"/>
      <c r="N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" spans="1:14">
      <c r="A17" s="16"/>
      <c r="B17" s="16"/>
      <c r="C17" s="17"/>
      <c r="D17" s="17"/>
      <c r="E17" s="17"/>
      <c r="F17" s="18"/>
      <c r="G17" s="19" t="str">
        <f t="shared" ca="1" si="0"/>
        <v/>
      </c>
      <c r="H17" s="18"/>
      <c r="I17" s="18"/>
      <c r="J17" s="77" t="str">
        <f t="shared" ca="1" si="1"/>
        <v/>
      </c>
      <c r="K17" s="19">
        <f>IF(A17="","",COUNTIFS(Resumen!$N$2:$N$2999,ROW(),Resumen!$V$2:$V$2999,1))</f>
        <v/>
      </c>
      <c r="L17" s="20"/>
      <c r="N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" spans="1:14">
      <c r="A18" s="16"/>
      <c r="B18" s="16"/>
      <c r="C18" s="17"/>
      <c r="D18" s="17"/>
      <c r="E18" s="17"/>
      <c r="F18" s="18"/>
      <c r="G18" s="19" t="str">
        <f t="shared" ca="1" si="0"/>
        <v/>
      </c>
      <c r="H18" s="18"/>
      <c r="I18" s="18"/>
      <c r="J18" s="77" t="str">
        <f t="shared" ca="1" si="1"/>
        <v/>
      </c>
      <c r="K18" s="19">
        <f>IF(A18="","",COUNTIFS(Resumen!$N$2:$N$2999,ROW(),Resumen!$V$2:$V$2999,1))</f>
        <v/>
      </c>
      <c r="L18" s="20"/>
      <c r="N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" spans="1:14">
      <c r="A19" s="16"/>
      <c r="B19" s="16"/>
      <c r="C19" s="17"/>
      <c r="D19" s="17"/>
      <c r="E19" s="17"/>
      <c r="F19" s="18"/>
      <c r="G19" s="19" t="str">
        <f t="shared" ca="1" si="0"/>
        <v/>
      </c>
      <c r="H19" s="18"/>
      <c r="I19" s="18"/>
      <c r="J19" s="77" t="str">
        <f t="shared" ca="1" si="1"/>
        <v/>
      </c>
      <c r="K19" s="19">
        <f>IF(A19="","",COUNTIFS(Resumen!$N$2:$N$2999,ROW(),Resumen!$V$2:$V$2999,1))</f>
        <v/>
      </c>
      <c r="L19" s="20"/>
      <c r="N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" spans="1:14">
      <c r="A20" s="16"/>
      <c r="B20" s="16"/>
      <c r="C20" s="17"/>
      <c r="D20" s="17"/>
      <c r="E20" s="17"/>
      <c r="F20" s="18"/>
      <c r="G20" s="19" t="str">
        <f t="shared" ca="1" si="0"/>
        <v/>
      </c>
      <c r="H20" s="18"/>
      <c r="I20" s="18"/>
      <c r="J20" s="77" t="str">
        <f t="shared" ca="1" si="1"/>
        <v/>
      </c>
      <c r="K20" s="19">
        <f>IF(A20="","",COUNTIFS(Resumen!$N$2:$N$2999,ROW(),Resumen!$V$2:$V$2999,1))</f>
        <v/>
      </c>
      <c r="L20" s="20"/>
      <c r="N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" spans="1:14">
      <c r="A21" s="16"/>
      <c r="B21" s="16"/>
      <c r="C21" s="17"/>
      <c r="D21" s="17"/>
      <c r="E21" s="17"/>
      <c r="F21" s="18"/>
      <c r="G21" s="19" t="str">
        <f t="shared" ca="1" si="0"/>
        <v/>
      </c>
      <c r="H21" s="18"/>
      <c r="I21" s="18"/>
      <c r="J21" s="77" t="str">
        <f t="shared" ca="1" si="1"/>
        <v/>
      </c>
      <c r="K21" s="19">
        <f>IF(A21="","",COUNTIFS(Resumen!$N$2:$N$2999,ROW(),Resumen!$V$2:$V$2999,1))</f>
        <v/>
      </c>
      <c r="L21" s="20"/>
      <c r="N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" spans="1:14">
      <c r="A22" s="16"/>
      <c r="B22" s="16"/>
      <c r="C22" s="17"/>
      <c r="D22" s="17"/>
      <c r="E22" s="17"/>
      <c r="F22" s="18"/>
      <c r="G22" s="19" t="str">
        <f t="shared" ca="1" si="0"/>
        <v/>
      </c>
      <c r="H22" s="18"/>
      <c r="I22" s="18"/>
      <c r="J22" s="77" t="str">
        <f t="shared" ca="1" si="1"/>
        <v/>
      </c>
      <c r="K22" s="19">
        <f>IF(A22="","",COUNTIFS(Resumen!$N$2:$N$2999,ROW(),Resumen!$V$2:$V$2999,1))</f>
        <v/>
      </c>
      <c r="L22" s="20"/>
      <c r="N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" spans="1:14">
      <c r="A23" s="16"/>
      <c r="B23" s="16"/>
      <c r="C23" s="17"/>
      <c r="D23" s="17"/>
      <c r="E23" s="17"/>
      <c r="F23" s="18"/>
      <c r="G23" s="19" t="str">
        <f t="shared" ca="1" si="0"/>
        <v/>
      </c>
      <c r="H23" s="18"/>
      <c r="I23" s="18"/>
      <c r="J23" s="77" t="str">
        <f t="shared" ca="1" si="1"/>
        <v/>
      </c>
      <c r="K23" s="19">
        <f>IF(A23="","",COUNTIFS(Resumen!$N$2:$N$2999,ROW(),Resumen!$V$2:$V$2999,1))</f>
        <v/>
      </c>
      <c r="L23" s="20"/>
      <c r="N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" spans="1:14">
      <c r="A24" s="16"/>
      <c r="B24" s="16"/>
      <c r="C24" s="17"/>
      <c r="D24" s="17"/>
      <c r="E24" s="17"/>
      <c r="F24" s="18"/>
      <c r="G24" s="19" t="str">
        <f t="shared" ca="1" si="0"/>
        <v/>
      </c>
      <c r="H24" s="18"/>
      <c r="I24" s="18"/>
      <c r="J24" s="77" t="str">
        <f t="shared" ca="1" si="1"/>
        <v/>
      </c>
      <c r="K24" s="19">
        <f>IF(A24="","",COUNTIFS(Resumen!$N$2:$N$2999,ROW(),Resumen!$V$2:$V$2999,1))</f>
        <v/>
      </c>
      <c r="L24" s="20"/>
      <c r="N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" spans="1:14">
      <c r="A25" s="16"/>
      <c r="B25" s="16"/>
      <c r="C25" s="17"/>
      <c r="D25" s="17"/>
      <c r="E25" s="17"/>
      <c r="F25" s="18"/>
      <c r="G25" s="19" t="str">
        <f t="shared" ca="1" si="0"/>
        <v/>
      </c>
      <c r="H25" s="18"/>
      <c r="I25" s="18"/>
      <c r="J25" s="77" t="str">
        <f t="shared" ca="1" si="1"/>
        <v/>
      </c>
      <c r="K25" s="19">
        <f>IF(A25="","",COUNTIFS(Resumen!$N$2:$N$2999,ROW(),Resumen!$V$2:$V$2999,1))</f>
        <v/>
      </c>
      <c r="L25" s="20"/>
      <c r="N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" spans="1:14">
      <c r="A26" s="16"/>
      <c r="B26" s="16"/>
      <c r="C26" s="17"/>
      <c r="D26" s="17"/>
      <c r="E26" s="17"/>
      <c r="F26" s="18"/>
      <c r="G26" s="19" t="str">
        <f t="shared" ca="1" si="0"/>
        <v/>
      </c>
      <c r="H26" s="18"/>
      <c r="I26" s="18"/>
      <c r="J26" s="77" t="str">
        <f t="shared" ca="1" si="1"/>
        <v/>
      </c>
      <c r="K26" s="19">
        <f>IF(A26="","",COUNTIFS(Resumen!$N$2:$N$2999,ROW(),Resumen!$V$2:$V$2999,1))</f>
        <v/>
      </c>
      <c r="L26" s="20"/>
      <c r="N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" spans="1:14">
      <c r="A27" s="16"/>
      <c r="B27" s="16"/>
      <c r="C27" s="17"/>
      <c r="D27" s="17"/>
      <c r="E27" s="17"/>
      <c r="F27" s="18"/>
      <c r="G27" s="19" t="str">
        <f t="shared" ca="1" si="0"/>
        <v/>
      </c>
      <c r="H27" s="18"/>
      <c r="I27" s="18"/>
      <c r="J27" s="77" t="str">
        <f t="shared" ca="1" si="1"/>
        <v/>
      </c>
      <c r="K27" s="19">
        <f>IF(A27="","",COUNTIFS(Resumen!$N$2:$N$2999,ROW(),Resumen!$V$2:$V$2999,1))</f>
        <v/>
      </c>
      <c r="L27" s="20"/>
      <c r="N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" spans="1:14">
      <c r="A28" s="16"/>
      <c r="B28" s="16"/>
      <c r="C28" s="17"/>
      <c r="D28" s="17"/>
      <c r="E28" s="17"/>
      <c r="F28" s="18"/>
      <c r="G28" s="19" t="str">
        <f t="shared" ca="1" si="0"/>
        <v/>
      </c>
      <c r="H28" s="18"/>
      <c r="I28" s="18"/>
      <c r="J28" s="77" t="str">
        <f t="shared" ca="1" si="1"/>
        <v/>
      </c>
      <c r="K28" s="19">
        <f>IF(A28="","",COUNTIFS(Resumen!$N$2:$N$2999,ROW(),Resumen!$V$2:$V$2999,1))</f>
        <v/>
      </c>
      <c r="L28" s="20"/>
      <c r="N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" spans="1:14">
      <c r="A29" s="16"/>
      <c r="B29" s="16"/>
      <c r="C29" s="17"/>
      <c r="D29" s="17"/>
      <c r="E29" s="17"/>
      <c r="F29" s="18"/>
      <c r="G29" s="19" t="str">
        <f t="shared" ca="1" si="0"/>
        <v/>
      </c>
      <c r="H29" s="18"/>
      <c r="I29" s="18"/>
      <c r="J29" s="77" t="str">
        <f t="shared" ca="1" si="1"/>
        <v/>
      </c>
      <c r="K29" s="19">
        <f>IF(A29="","",COUNTIFS(Resumen!$N$2:$N$2999,ROW(),Resumen!$V$2:$V$2999,1))</f>
        <v/>
      </c>
      <c r="L29" s="20"/>
      <c r="N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" spans="1:14">
      <c r="A30" s="16"/>
      <c r="B30" s="16"/>
      <c r="C30" s="17"/>
      <c r="D30" s="17"/>
      <c r="E30" s="17"/>
      <c r="F30" s="18"/>
      <c r="G30" s="19" t="str">
        <f t="shared" ca="1" si="0"/>
        <v/>
      </c>
      <c r="H30" s="18"/>
      <c r="I30" s="18"/>
      <c r="J30" s="77" t="str">
        <f t="shared" ca="1" si="1"/>
        <v/>
      </c>
      <c r="K30" s="19">
        <f>IF(A30="","",COUNTIFS(Resumen!$N$2:$N$2999,ROW(),Resumen!$V$2:$V$2999,1))</f>
        <v/>
      </c>
      <c r="L30" s="20"/>
      <c r="N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" spans="1:14">
      <c r="A31" s="16"/>
      <c r="B31" s="16"/>
      <c r="C31" s="17"/>
      <c r="D31" s="17"/>
      <c r="E31" s="17"/>
      <c r="F31" s="18"/>
      <c r="G31" s="19" t="str">
        <f t="shared" ca="1" si="0"/>
        <v/>
      </c>
      <c r="H31" s="18"/>
      <c r="I31" s="18"/>
      <c r="J31" s="77" t="str">
        <f t="shared" ca="1" si="1"/>
        <v/>
      </c>
      <c r="K31" s="19">
        <f>IF(A31="","",COUNTIFS(Resumen!$N$2:$N$2999,ROW(),Resumen!$V$2:$V$2999,1))</f>
        <v/>
      </c>
      <c r="L31" s="20"/>
      <c r="N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" spans="1:14">
      <c r="A32" s="16"/>
      <c r="B32" s="16"/>
      <c r="C32" s="17"/>
      <c r="D32" s="17"/>
      <c r="E32" s="17"/>
      <c r="F32" s="18"/>
      <c r="G32" s="19" t="str">
        <f t="shared" ca="1" si="0"/>
        <v/>
      </c>
      <c r="H32" s="18"/>
      <c r="I32" s="18"/>
      <c r="J32" s="77" t="str">
        <f t="shared" ca="1" si="1"/>
        <v/>
      </c>
      <c r="K32" s="19">
        <f>IF(A32="","",COUNTIFS(Resumen!$N$2:$N$2999,ROW(),Resumen!$V$2:$V$2999,1))</f>
        <v/>
      </c>
      <c r="L32" s="20"/>
      <c r="N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" spans="1:14">
      <c r="A33" s="16"/>
      <c r="B33" s="16"/>
      <c r="C33" s="17"/>
      <c r="D33" s="17"/>
      <c r="E33" s="17"/>
      <c r="F33" s="18"/>
      <c r="G33" s="19" t="str">
        <f t="shared" ca="1" si="0"/>
        <v/>
      </c>
      <c r="H33" s="18"/>
      <c r="I33" s="18"/>
      <c r="J33" s="77" t="str">
        <f t="shared" ca="1" si="1"/>
        <v/>
      </c>
      <c r="K33" s="19">
        <f>IF(A33="","",COUNTIFS(Resumen!$N$2:$N$2999,ROW(),Resumen!$V$2:$V$2999,1))</f>
        <v/>
      </c>
      <c r="L33" s="20"/>
      <c r="N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" spans="1:14">
      <c r="A34" s="16"/>
      <c r="B34" s="16"/>
      <c r="C34" s="17"/>
      <c r="D34" s="17"/>
      <c r="E34" s="17"/>
      <c r="F34" s="18"/>
      <c r="G34" s="19" t="str">
        <f t="shared" ca="1" si="0"/>
        <v/>
      </c>
      <c r="H34" s="18"/>
      <c r="I34" s="18"/>
      <c r="J34" s="77" t="str">
        <f t="shared" ca="1" si="1"/>
        <v/>
      </c>
      <c r="K34" s="19">
        <f>IF(A34="","",COUNTIFS(Resumen!$N$2:$N$2999,ROW(),Resumen!$V$2:$V$2999,1))</f>
        <v/>
      </c>
      <c r="L34" s="20"/>
      <c r="N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" spans="1:14">
      <c r="A35" s="16"/>
      <c r="B35" s="16"/>
      <c r="C35" s="17"/>
      <c r="D35" s="17"/>
      <c r="E35" s="17"/>
      <c r="F35" s="18"/>
      <c r="G35" s="19" t="str">
        <f t="shared" ca="1" si="0"/>
        <v/>
      </c>
      <c r="H35" s="18"/>
      <c r="I35" s="18"/>
      <c r="J35" s="77" t="str">
        <f t="shared" ca="1" si="1"/>
        <v/>
      </c>
      <c r="K35" s="19">
        <f>IF(A35="","",COUNTIFS(Resumen!$N$2:$N$2999,ROW(),Resumen!$V$2:$V$2999,1))</f>
        <v/>
      </c>
      <c r="L35" s="20"/>
      <c r="N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" spans="1:14">
      <c r="A36" s="16"/>
      <c r="B36" s="16"/>
      <c r="C36" s="17"/>
      <c r="D36" s="17"/>
      <c r="E36" s="17"/>
      <c r="F36" s="18"/>
      <c r="G36" s="19" t="str">
        <f t="shared" ca="1" si="0"/>
        <v/>
      </c>
      <c r="H36" s="18"/>
      <c r="I36" s="18"/>
      <c r="J36" s="77" t="str">
        <f t="shared" ca="1" si="1"/>
        <v/>
      </c>
      <c r="K36" s="19">
        <f>IF(A36="","",COUNTIFS(Resumen!$N$2:$N$2999,ROW(),Resumen!$V$2:$V$2999,1))</f>
        <v/>
      </c>
      <c r="L36" s="20"/>
      <c r="N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" spans="1:14">
      <c r="A37" s="16"/>
      <c r="B37" s="16"/>
      <c r="C37" s="17"/>
      <c r="D37" s="17"/>
      <c r="E37" s="17"/>
      <c r="F37" s="18"/>
      <c r="G37" s="19" t="str">
        <f t="shared" ca="1" si="0"/>
        <v/>
      </c>
      <c r="H37" s="18"/>
      <c r="I37" s="18"/>
      <c r="J37" s="77" t="str">
        <f t="shared" ca="1" si="1"/>
        <v/>
      </c>
      <c r="K37" s="19">
        <f>IF(A37="","",COUNTIFS(Resumen!$N$2:$N$2999,ROW(),Resumen!$V$2:$V$2999,1))</f>
        <v/>
      </c>
      <c r="L37" s="20"/>
      <c r="N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" spans="1:14">
      <c r="A38" s="16"/>
      <c r="B38" s="16"/>
      <c r="C38" s="17"/>
      <c r="D38" s="17"/>
      <c r="E38" s="17"/>
      <c r="F38" s="18"/>
      <c r="G38" s="19" t="str">
        <f t="shared" ca="1" si="0"/>
        <v/>
      </c>
      <c r="H38" s="18"/>
      <c r="I38" s="18"/>
      <c r="J38" s="77" t="str">
        <f t="shared" ca="1" si="1"/>
        <v/>
      </c>
      <c r="K38" s="19">
        <f>IF(A38="","",COUNTIFS(Resumen!$N$2:$N$2999,ROW(),Resumen!$V$2:$V$2999,1))</f>
        <v/>
      </c>
      <c r="L38" s="20"/>
      <c r="N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" spans="1:14">
      <c r="A39" s="16"/>
      <c r="B39" s="16"/>
      <c r="C39" s="17"/>
      <c r="D39" s="17"/>
      <c r="E39" s="17"/>
      <c r="F39" s="18"/>
      <c r="G39" s="19" t="str">
        <f t="shared" ca="1" si="0"/>
        <v/>
      </c>
      <c r="H39" s="18"/>
      <c r="I39" s="18"/>
      <c r="J39" s="77" t="str">
        <f t="shared" ca="1" si="1"/>
        <v/>
      </c>
      <c r="K39" s="19">
        <f>IF(A39="","",COUNTIFS(Resumen!$N$2:$N$2999,ROW(),Resumen!$V$2:$V$2999,1))</f>
        <v/>
      </c>
      <c r="L39" s="20"/>
      <c r="N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" spans="1:14">
      <c r="A40" s="16"/>
      <c r="B40" s="16"/>
      <c r="C40" s="17"/>
      <c r="D40" s="17"/>
      <c r="E40" s="17"/>
      <c r="F40" s="18"/>
      <c r="G40" s="19" t="str">
        <f t="shared" ca="1" si="0"/>
        <v/>
      </c>
      <c r="H40" s="18"/>
      <c r="I40" s="18"/>
      <c r="J40" s="77" t="str">
        <f t="shared" ca="1" si="1"/>
        <v/>
      </c>
      <c r="K40" s="19">
        <f>IF(A40="","",COUNTIFS(Resumen!$N$2:$N$2999,ROW(),Resumen!$V$2:$V$2999,1))</f>
        <v/>
      </c>
      <c r="L40" s="20"/>
      <c r="N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" spans="1:14">
      <c r="A41" s="16"/>
      <c r="B41" s="16"/>
      <c r="C41" s="17"/>
      <c r="D41" s="17"/>
      <c r="E41" s="17"/>
      <c r="F41" s="18"/>
      <c r="G41" s="19" t="str">
        <f t="shared" ca="1" si="0"/>
        <v/>
      </c>
      <c r="H41" s="18"/>
      <c r="I41" s="18"/>
      <c r="J41" s="77" t="str">
        <f t="shared" ca="1" si="1"/>
        <v/>
      </c>
      <c r="K41" s="19">
        <f>IF(A41="","",COUNTIFS(Resumen!$N$2:$N$2999,ROW(),Resumen!$V$2:$V$2999,1))</f>
        <v/>
      </c>
      <c r="L41" s="20"/>
      <c r="N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" spans="1:14">
      <c r="A42" s="16"/>
      <c r="B42" s="16"/>
      <c r="C42" s="17"/>
      <c r="D42" s="17"/>
      <c r="E42" s="17"/>
      <c r="F42" s="18"/>
      <c r="G42" s="19" t="str">
        <f t="shared" ca="1" si="0"/>
        <v/>
      </c>
      <c r="H42" s="18"/>
      <c r="I42" s="18"/>
      <c r="J42" s="77" t="str">
        <f t="shared" ca="1" si="1"/>
        <v/>
      </c>
      <c r="K42" s="19">
        <f>IF(A42="","",COUNTIFS(Resumen!$N$2:$N$2999,ROW(),Resumen!$V$2:$V$2999,1))</f>
        <v/>
      </c>
      <c r="L42" s="20"/>
      <c r="N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" spans="1:14">
      <c r="A43" s="16"/>
      <c r="B43" s="16"/>
      <c r="C43" s="17"/>
      <c r="D43" s="17"/>
      <c r="E43" s="17"/>
      <c r="F43" s="18"/>
      <c r="G43" s="19" t="str">
        <f t="shared" ca="1" si="0"/>
        <v/>
      </c>
      <c r="H43" s="18"/>
      <c r="I43" s="18"/>
      <c r="J43" s="77" t="str">
        <f t="shared" ca="1" si="1"/>
        <v/>
      </c>
      <c r="K43" s="19">
        <f>IF(A43="","",COUNTIFS(Resumen!$N$2:$N$2999,ROW(),Resumen!$V$2:$V$2999,1))</f>
        <v/>
      </c>
      <c r="L43" s="20"/>
      <c r="N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" spans="1:14">
      <c r="A44" s="16"/>
      <c r="B44" s="16"/>
      <c r="C44" s="17"/>
      <c r="D44" s="17"/>
      <c r="E44" s="17"/>
      <c r="F44" s="18"/>
      <c r="G44" s="19" t="str">
        <f t="shared" ca="1" si="0"/>
        <v/>
      </c>
      <c r="H44" s="18"/>
      <c r="I44" s="18"/>
      <c r="J44" s="77" t="str">
        <f t="shared" ca="1" si="1"/>
        <v/>
      </c>
      <c r="K44" s="19">
        <f>IF(A44="","",COUNTIFS(Resumen!$N$2:$N$2999,ROW(),Resumen!$V$2:$V$2999,1))</f>
        <v/>
      </c>
      <c r="L44" s="20"/>
      <c r="N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" spans="1:14">
      <c r="A45" s="16"/>
      <c r="B45" s="16"/>
      <c r="C45" s="17"/>
      <c r="D45" s="17"/>
      <c r="E45" s="17"/>
      <c r="F45" s="18"/>
      <c r="G45" s="19" t="str">
        <f t="shared" ca="1" si="0"/>
        <v/>
      </c>
      <c r="H45" s="18"/>
      <c r="I45" s="18"/>
      <c r="J45" s="77" t="str">
        <f t="shared" ca="1" si="1"/>
        <v/>
      </c>
      <c r="K45" s="19">
        <f>IF(A45="","",COUNTIFS(Resumen!$N$2:$N$2999,ROW(),Resumen!$V$2:$V$2999,1))</f>
        <v/>
      </c>
      <c r="L45" s="20"/>
      <c r="N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" spans="1:14">
      <c r="A46" s="16"/>
      <c r="B46" s="16"/>
      <c r="C46" s="17"/>
      <c r="D46" s="17"/>
      <c r="E46" s="17"/>
      <c r="F46" s="18"/>
      <c r="G46" s="19" t="str">
        <f t="shared" ca="1" si="0"/>
        <v/>
      </c>
      <c r="H46" s="18"/>
      <c r="I46" s="18"/>
      <c r="J46" s="77" t="str">
        <f t="shared" ca="1" si="1"/>
        <v/>
      </c>
      <c r="K46" s="19">
        <f>IF(A46="","",COUNTIFS(Resumen!$N$2:$N$2999,ROW(),Resumen!$V$2:$V$2999,1))</f>
        <v/>
      </c>
      <c r="L46" s="20"/>
      <c r="N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" spans="1:14">
      <c r="A47" s="16"/>
      <c r="B47" s="16"/>
      <c r="C47" s="17"/>
      <c r="D47" s="17"/>
      <c r="E47" s="17"/>
      <c r="F47" s="18"/>
      <c r="G47" s="19" t="str">
        <f t="shared" ca="1" si="0"/>
        <v/>
      </c>
      <c r="H47" s="18"/>
      <c r="I47" s="18"/>
      <c r="J47" s="77" t="str">
        <f t="shared" ca="1" si="1"/>
        <v/>
      </c>
      <c r="K47" s="19">
        <f>IF(A47="","",COUNTIFS(Resumen!$N$2:$N$2999,ROW(),Resumen!$V$2:$V$2999,1))</f>
        <v/>
      </c>
      <c r="L47" s="20"/>
      <c r="N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" spans="1:14">
      <c r="A48" s="16"/>
      <c r="B48" s="16"/>
      <c r="C48" s="17"/>
      <c r="D48" s="17"/>
      <c r="E48" s="17"/>
      <c r="F48" s="18"/>
      <c r="G48" s="19" t="str">
        <f t="shared" ca="1" si="0"/>
        <v/>
      </c>
      <c r="H48" s="18"/>
      <c r="I48" s="18"/>
      <c r="J48" s="77" t="str">
        <f t="shared" ca="1" si="1"/>
        <v/>
      </c>
      <c r="K48" s="19">
        <f>IF(A48="","",COUNTIFS(Resumen!$N$2:$N$2999,ROW(),Resumen!$V$2:$V$2999,1))</f>
        <v/>
      </c>
      <c r="L48" s="20"/>
      <c r="N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" spans="1:14">
      <c r="A49" s="16"/>
      <c r="B49" s="16"/>
      <c r="C49" s="17"/>
      <c r="D49" s="17"/>
      <c r="E49" s="17"/>
      <c r="F49" s="18"/>
      <c r="G49" s="19" t="str">
        <f t="shared" ca="1" si="0"/>
        <v/>
      </c>
      <c r="H49" s="18"/>
      <c r="I49" s="18"/>
      <c r="J49" s="77" t="str">
        <f t="shared" ca="1" si="1"/>
        <v/>
      </c>
      <c r="K49" s="19">
        <f>IF(A49="","",COUNTIFS(Resumen!$N$2:$N$2999,ROW(),Resumen!$V$2:$V$2999,1))</f>
        <v/>
      </c>
      <c r="L49" s="20"/>
      <c r="N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" spans="1:14">
      <c r="A50" s="16"/>
      <c r="B50" s="16"/>
      <c r="C50" s="17"/>
      <c r="D50" s="17"/>
      <c r="E50" s="17"/>
      <c r="F50" s="18"/>
      <c r="G50" s="19" t="str">
        <f t="shared" ca="1" si="0"/>
        <v/>
      </c>
      <c r="H50" s="18"/>
      <c r="I50" s="18"/>
      <c r="J50" s="77" t="str">
        <f t="shared" ca="1" si="1"/>
        <v/>
      </c>
      <c r="K50" s="19">
        <f>IF(A50="","",COUNTIFS(Resumen!$N$2:$N$2999,ROW(),Resumen!$V$2:$V$2999,1))</f>
        <v/>
      </c>
      <c r="L50" s="20"/>
      <c r="N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" spans="1:14">
      <c r="A51" s="16"/>
      <c r="B51" s="16"/>
      <c r="C51" s="17"/>
      <c r="D51" s="17"/>
      <c r="E51" s="17"/>
      <c r="F51" s="18"/>
      <c r="G51" s="19" t="str">
        <f t="shared" ca="1" si="0"/>
        <v/>
      </c>
      <c r="H51" s="18"/>
      <c r="I51" s="18"/>
      <c r="J51" s="77" t="str">
        <f t="shared" ca="1" si="1"/>
        <v/>
      </c>
      <c r="K51" s="19">
        <f>IF(A51="","",COUNTIFS(Resumen!$N$2:$N$2999,ROW(),Resumen!$V$2:$V$2999,1))</f>
        <v/>
      </c>
      <c r="L51" s="20"/>
      <c r="N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" spans="1:14">
      <c r="A52" s="16"/>
      <c r="B52" s="16"/>
      <c r="C52" s="17"/>
      <c r="D52" s="17"/>
      <c r="E52" s="17"/>
      <c r="F52" s="18"/>
      <c r="G52" s="19" t="str">
        <f t="shared" ca="1" si="0"/>
        <v/>
      </c>
      <c r="H52" s="18"/>
      <c r="I52" s="18"/>
      <c r="J52" s="77" t="str">
        <f t="shared" ca="1" si="1"/>
        <v/>
      </c>
      <c r="K52" s="19">
        <f>IF(A52="","",COUNTIFS(Resumen!$N$2:$N$2999,ROW(),Resumen!$V$2:$V$2999,1))</f>
        <v/>
      </c>
      <c r="L52" s="20"/>
      <c r="N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" spans="1:14">
      <c r="A53" s="16"/>
      <c r="B53" s="16"/>
      <c r="C53" s="17"/>
      <c r="D53" s="17"/>
      <c r="E53" s="17"/>
      <c r="F53" s="18"/>
      <c r="G53" s="19" t="str">
        <f t="shared" ca="1" si="0"/>
        <v/>
      </c>
      <c r="H53" s="18"/>
      <c r="I53" s="18"/>
      <c r="J53" s="77" t="str">
        <f t="shared" ca="1" si="1"/>
        <v/>
      </c>
      <c r="K53" s="19">
        <f>IF(A53="","",COUNTIFS(Resumen!$N$2:$N$2999,ROW(),Resumen!$V$2:$V$2999,1))</f>
        <v/>
      </c>
      <c r="L53" s="20"/>
      <c r="N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" spans="1:14">
      <c r="A54" s="16"/>
      <c r="B54" s="16"/>
      <c r="C54" s="17"/>
      <c r="D54" s="17"/>
      <c r="E54" s="17"/>
      <c r="F54" s="18"/>
      <c r="G54" s="19" t="str">
        <f t="shared" ca="1" si="0"/>
        <v/>
      </c>
      <c r="H54" s="18"/>
      <c r="I54" s="18"/>
      <c r="J54" s="77" t="str">
        <f t="shared" ca="1" si="1"/>
        <v/>
      </c>
      <c r="K54" s="19">
        <f>IF(A54="","",COUNTIFS(Resumen!$N$2:$N$2999,ROW(),Resumen!$V$2:$V$2999,1))</f>
        <v/>
      </c>
      <c r="L54" s="20"/>
      <c r="N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" spans="1:14">
      <c r="A55" s="16"/>
      <c r="B55" s="16"/>
      <c r="C55" s="17"/>
      <c r="D55" s="17"/>
      <c r="E55" s="17"/>
      <c r="F55" s="18"/>
      <c r="G55" s="19" t="str">
        <f t="shared" ca="1" si="0"/>
        <v/>
      </c>
      <c r="H55" s="18"/>
      <c r="I55" s="18"/>
      <c r="J55" s="77" t="str">
        <f t="shared" ca="1" si="1"/>
        <v/>
      </c>
      <c r="K55" s="19">
        <f>IF(A55="","",COUNTIFS(Resumen!$N$2:$N$2999,ROW(),Resumen!$V$2:$V$2999,1))</f>
        <v/>
      </c>
      <c r="L55" s="20"/>
      <c r="N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" spans="1:14">
      <c r="A56" s="16"/>
      <c r="B56" s="16"/>
      <c r="C56" s="17"/>
      <c r="D56" s="17"/>
      <c r="E56" s="17"/>
      <c r="F56" s="18"/>
      <c r="G56" s="19" t="str">
        <f t="shared" ca="1" si="0"/>
        <v/>
      </c>
      <c r="H56" s="18"/>
      <c r="I56" s="18"/>
      <c r="J56" s="77" t="str">
        <f t="shared" ca="1" si="1"/>
        <v/>
      </c>
      <c r="K56" s="19">
        <f>IF(A56="","",COUNTIFS(Resumen!$N$2:$N$2999,ROW(),Resumen!$V$2:$V$2999,1))</f>
        <v/>
      </c>
      <c r="L56" s="20"/>
      <c r="N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" spans="1:14">
      <c r="A57" s="16"/>
      <c r="B57" s="16"/>
      <c r="C57" s="17"/>
      <c r="D57" s="17"/>
      <c r="E57" s="17"/>
      <c r="F57" s="18"/>
      <c r="G57" s="19" t="str">
        <f t="shared" ca="1" si="0"/>
        <v/>
      </c>
      <c r="H57" s="18"/>
      <c r="I57" s="18"/>
      <c r="J57" s="77" t="str">
        <f t="shared" ca="1" si="1"/>
        <v/>
      </c>
      <c r="K57" s="19">
        <f>IF(A57="","",COUNTIFS(Resumen!$N$2:$N$2999,ROW(),Resumen!$V$2:$V$2999,1))</f>
        <v/>
      </c>
      <c r="L57" s="20"/>
      <c r="N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" spans="1:14">
      <c r="A58" s="16"/>
      <c r="B58" s="16"/>
      <c r="C58" s="17"/>
      <c r="D58" s="17"/>
      <c r="E58" s="17"/>
      <c r="F58" s="18"/>
      <c r="G58" s="19" t="str">
        <f t="shared" ca="1" si="0"/>
        <v/>
      </c>
      <c r="H58" s="18"/>
      <c r="I58" s="18"/>
      <c r="J58" s="77" t="str">
        <f t="shared" ca="1" si="1"/>
        <v/>
      </c>
      <c r="K58" s="19">
        <f>IF(A58="","",COUNTIFS(Resumen!$N$2:$N$2999,ROW(),Resumen!$V$2:$V$2999,1))</f>
        <v/>
      </c>
      <c r="L58" s="20"/>
      <c r="N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" spans="1:14">
      <c r="A59" s="16"/>
      <c r="B59" s="16"/>
      <c r="C59" s="17"/>
      <c r="D59" s="17"/>
      <c r="E59" s="17"/>
      <c r="F59" s="18"/>
      <c r="G59" s="19" t="str">
        <f t="shared" ca="1" si="0"/>
        <v/>
      </c>
      <c r="H59" s="18"/>
      <c r="I59" s="18"/>
      <c r="J59" s="77" t="str">
        <f t="shared" ca="1" si="1"/>
        <v/>
      </c>
      <c r="K59" s="19">
        <f>IF(A59="","",COUNTIFS(Resumen!$N$2:$N$2999,ROW(),Resumen!$V$2:$V$2999,1))</f>
        <v/>
      </c>
      <c r="L59" s="20"/>
      <c r="N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" spans="1:14">
      <c r="A60" s="16"/>
      <c r="B60" s="16"/>
      <c r="C60" s="17"/>
      <c r="D60" s="17"/>
      <c r="E60" s="17"/>
      <c r="F60" s="18"/>
      <c r="G60" s="19" t="str">
        <f t="shared" ca="1" si="0"/>
        <v/>
      </c>
      <c r="H60" s="18"/>
      <c r="I60" s="18"/>
      <c r="J60" s="77" t="str">
        <f t="shared" ca="1" si="1"/>
        <v/>
      </c>
      <c r="K60" s="19">
        <f>IF(A60="","",COUNTIFS(Resumen!$N$2:$N$2999,ROW(),Resumen!$V$2:$V$2999,1))</f>
        <v/>
      </c>
      <c r="L60" s="20"/>
      <c r="N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" spans="1:14">
      <c r="A61" s="16"/>
      <c r="B61" s="16"/>
      <c r="C61" s="17"/>
      <c r="D61" s="17"/>
      <c r="E61" s="17"/>
      <c r="F61" s="18"/>
      <c r="G61" s="19" t="str">
        <f t="shared" ca="1" si="0"/>
        <v/>
      </c>
      <c r="H61" s="18"/>
      <c r="I61" s="18"/>
      <c r="J61" s="77" t="str">
        <f t="shared" ca="1" si="1"/>
        <v/>
      </c>
      <c r="K61" s="19">
        <f>IF(A61="","",COUNTIFS(Resumen!$N$2:$N$2999,ROW(),Resumen!$V$2:$V$2999,1))</f>
        <v/>
      </c>
      <c r="L61" s="20"/>
      <c r="N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" spans="1:14">
      <c r="A62" s="16"/>
      <c r="B62" s="16"/>
      <c r="C62" s="17"/>
      <c r="D62" s="17"/>
      <c r="E62" s="17"/>
      <c r="F62" s="18"/>
      <c r="G62" s="19" t="str">
        <f t="shared" ca="1" si="0"/>
        <v/>
      </c>
      <c r="H62" s="18"/>
      <c r="I62" s="18"/>
      <c r="J62" s="77" t="str">
        <f t="shared" ca="1" si="1"/>
        <v/>
      </c>
      <c r="K62" s="19">
        <f>IF(A62="","",COUNTIFS(Resumen!$N$2:$N$2999,ROW(),Resumen!$V$2:$V$2999,1))</f>
        <v/>
      </c>
      <c r="L62" s="20"/>
      <c r="N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" spans="1:14">
      <c r="A63" s="16"/>
      <c r="B63" s="16"/>
      <c r="C63" s="17"/>
      <c r="D63" s="17"/>
      <c r="E63" s="17"/>
      <c r="F63" s="18"/>
      <c r="G63" s="19" t="str">
        <f t="shared" ca="1" si="0"/>
        <v/>
      </c>
      <c r="H63" s="18"/>
      <c r="I63" s="18"/>
      <c r="J63" s="77" t="str">
        <f t="shared" ca="1" si="1"/>
        <v/>
      </c>
      <c r="K63" s="19">
        <f>IF(A63="","",COUNTIFS(Resumen!$N$2:$N$2999,ROW(),Resumen!$V$2:$V$2999,1))</f>
        <v/>
      </c>
      <c r="L63" s="20"/>
      <c r="N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" spans="1:14">
      <c r="A64" s="16"/>
      <c r="B64" s="16"/>
      <c r="C64" s="17"/>
      <c r="D64" s="17"/>
      <c r="E64" s="17"/>
      <c r="F64" s="18"/>
      <c r="G64" s="19" t="str">
        <f t="shared" ca="1" si="0"/>
        <v/>
      </c>
      <c r="H64" s="18"/>
      <c r="I64" s="18"/>
      <c r="J64" s="77" t="str">
        <f t="shared" ca="1" si="1"/>
        <v/>
      </c>
      <c r="K64" s="19">
        <f>IF(A64="","",COUNTIFS(Resumen!$N$2:$N$2999,ROW(),Resumen!$V$2:$V$2999,1))</f>
        <v/>
      </c>
      <c r="L64" s="20"/>
      <c r="N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" spans="1:14">
      <c r="A65" s="16"/>
      <c r="B65" s="16"/>
      <c r="C65" s="17"/>
      <c r="D65" s="17"/>
      <c r="E65" s="17"/>
      <c r="F65" s="18"/>
      <c r="G65" s="19" t="str">
        <f t="shared" ca="1" si="0"/>
        <v/>
      </c>
      <c r="H65" s="18"/>
      <c r="I65" s="18"/>
      <c r="J65" s="77" t="str">
        <f t="shared" ca="1" si="1"/>
        <v/>
      </c>
      <c r="K65" s="19">
        <f>IF(A65="","",COUNTIFS(Resumen!$N$2:$N$2999,ROW(),Resumen!$V$2:$V$2999,1))</f>
        <v/>
      </c>
      <c r="L65" s="20"/>
      <c r="N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" spans="1:14">
      <c r="A66" s="16"/>
      <c r="B66" s="16"/>
      <c r="C66" s="17"/>
      <c r="D66" s="17"/>
      <c r="E66" s="17"/>
      <c r="F66" s="18"/>
      <c r="G66" s="19" t="str">
        <f t="shared" ref="G66:G129" ca="1" si="2">IF(F66="", "", DATEDIF(F66, TODAY(), "Y"))</f>
        <v/>
      </c>
      <c r="H66" s="18"/>
      <c r="I66" s="18"/>
      <c r="J66" s="77" t="str">
        <f t="shared" ref="J66:J129" ca="1" si="3">IFERROR(IF(ISNUMBER(INDEX(VigenciasFamilia,ROW())),INDEX(VigenciasFamilia,ROW())-TODAY(),""),"")</f>
        <v/>
      </c>
      <c r="K66" s="19">
        <f>IF(A66="","",COUNTIFS(Resumen!$N$2:$N$2999,ROW(),Resumen!$V$2:$V$2999,1))</f>
        <v/>
      </c>
      <c r="L66" s="20"/>
      <c r="N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" spans="1:14">
      <c r="A67" s="16"/>
      <c r="B67" s="16"/>
      <c r="C67" s="17"/>
      <c r="D67" s="17"/>
      <c r="E67" s="17"/>
      <c r="F67" s="18"/>
      <c r="G67" s="19" t="str">
        <f t="shared" ca="1" si="2"/>
        <v/>
      </c>
      <c r="H67" s="18"/>
      <c r="I67" s="18"/>
      <c r="J67" s="77" t="str">
        <f t="shared" ca="1" si="3"/>
        <v/>
      </c>
      <c r="K67" s="19">
        <f>IF(A67="","",COUNTIFS(Resumen!$N$2:$N$2999,ROW(),Resumen!$V$2:$V$2999,1))</f>
        <v/>
      </c>
      <c r="L67" s="20"/>
      <c r="N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" spans="1:14">
      <c r="A68" s="16"/>
      <c r="B68" s="16"/>
      <c r="C68" s="17"/>
      <c r="D68" s="17"/>
      <c r="E68" s="17"/>
      <c r="F68" s="18"/>
      <c r="G68" s="19" t="str">
        <f t="shared" ca="1" si="2"/>
        <v/>
      </c>
      <c r="H68" s="18"/>
      <c r="I68" s="18"/>
      <c r="J68" s="77" t="str">
        <f t="shared" ca="1" si="3"/>
        <v/>
      </c>
      <c r="K68" s="19">
        <f>IF(A68="","",COUNTIFS(Resumen!$N$2:$N$2999,ROW(),Resumen!$V$2:$V$2999,1))</f>
        <v/>
      </c>
      <c r="L68" s="20"/>
      <c r="N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" spans="1:14">
      <c r="A69" s="16"/>
      <c r="B69" s="16"/>
      <c r="C69" s="17"/>
      <c r="D69" s="17"/>
      <c r="E69" s="17"/>
      <c r="F69" s="18"/>
      <c r="G69" s="19" t="str">
        <f t="shared" ca="1" si="2"/>
        <v/>
      </c>
      <c r="H69" s="18"/>
      <c r="I69" s="18"/>
      <c r="J69" s="77" t="str">
        <f t="shared" ca="1" si="3"/>
        <v/>
      </c>
      <c r="K69" s="19">
        <f>IF(A69="","",COUNTIFS(Resumen!$N$2:$N$2999,ROW(),Resumen!$V$2:$V$2999,1))</f>
        <v/>
      </c>
      <c r="L69" s="20"/>
      <c r="N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" spans="1:14">
      <c r="A70" s="16"/>
      <c r="B70" s="16"/>
      <c r="C70" s="17"/>
      <c r="D70" s="17"/>
      <c r="E70" s="17"/>
      <c r="F70" s="18"/>
      <c r="G70" s="19" t="str">
        <f t="shared" ca="1" si="2"/>
        <v/>
      </c>
      <c r="H70" s="18"/>
      <c r="I70" s="18"/>
      <c r="J70" s="77" t="str">
        <f t="shared" ca="1" si="3"/>
        <v/>
      </c>
      <c r="K70" s="19">
        <f>IF(A70="","",COUNTIFS(Resumen!$N$2:$N$2999,ROW(),Resumen!$V$2:$V$2999,1))</f>
        <v/>
      </c>
      <c r="L70" s="20"/>
      <c r="N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" spans="1:14">
      <c r="A71" s="16"/>
      <c r="B71" s="16"/>
      <c r="C71" s="17"/>
      <c r="D71" s="17"/>
      <c r="E71" s="17"/>
      <c r="F71" s="18"/>
      <c r="G71" s="19" t="str">
        <f t="shared" ca="1" si="2"/>
        <v/>
      </c>
      <c r="H71" s="18"/>
      <c r="I71" s="18"/>
      <c r="J71" s="77" t="str">
        <f t="shared" ca="1" si="3"/>
        <v/>
      </c>
      <c r="K71" s="19">
        <f>IF(A71="","",COUNTIFS(Resumen!$N$2:$N$2999,ROW(),Resumen!$V$2:$V$2999,1))</f>
        <v/>
      </c>
      <c r="L71" s="20"/>
      <c r="N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" spans="1:14">
      <c r="A72" s="16"/>
      <c r="B72" s="16"/>
      <c r="C72" s="17"/>
      <c r="D72" s="17"/>
      <c r="E72" s="17"/>
      <c r="F72" s="18"/>
      <c r="G72" s="19" t="str">
        <f t="shared" ca="1" si="2"/>
        <v/>
      </c>
      <c r="H72" s="18"/>
      <c r="I72" s="18"/>
      <c r="J72" s="77" t="str">
        <f t="shared" ca="1" si="3"/>
        <v/>
      </c>
      <c r="K72" s="19">
        <f>IF(A72="","",COUNTIFS(Resumen!$N$2:$N$2999,ROW(),Resumen!$V$2:$V$2999,1))</f>
        <v/>
      </c>
      <c r="L72" s="20"/>
      <c r="N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" spans="1:14">
      <c r="A73" s="16"/>
      <c r="B73" s="16"/>
      <c r="C73" s="17"/>
      <c r="D73" s="17"/>
      <c r="E73" s="17"/>
      <c r="F73" s="18"/>
      <c r="G73" s="19" t="str">
        <f t="shared" ca="1" si="2"/>
        <v/>
      </c>
      <c r="H73" s="18"/>
      <c r="I73" s="18"/>
      <c r="J73" s="77" t="str">
        <f t="shared" ca="1" si="3"/>
        <v/>
      </c>
      <c r="K73" s="19">
        <f>IF(A73="","",COUNTIFS(Resumen!$N$2:$N$2999,ROW(),Resumen!$V$2:$V$2999,1))</f>
        <v/>
      </c>
      <c r="L73" s="20"/>
      <c r="N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" spans="1:14">
      <c r="A74" s="16"/>
      <c r="B74" s="16"/>
      <c r="C74" s="17"/>
      <c r="D74" s="17"/>
      <c r="E74" s="17"/>
      <c r="F74" s="18"/>
      <c r="G74" s="19" t="str">
        <f t="shared" ca="1" si="2"/>
        <v/>
      </c>
      <c r="H74" s="18"/>
      <c r="I74" s="18"/>
      <c r="J74" s="77" t="str">
        <f t="shared" ca="1" si="3"/>
        <v/>
      </c>
      <c r="K74" s="19">
        <f>IF(A74="","",COUNTIFS(Resumen!$N$2:$N$2999,ROW(),Resumen!$V$2:$V$2999,1))</f>
        <v/>
      </c>
      <c r="L74" s="20"/>
      <c r="N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" spans="1:14">
      <c r="A75" s="16"/>
      <c r="B75" s="16"/>
      <c r="C75" s="17"/>
      <c r="D75" s="17"/>
      <c r="E75" s="17"/>
      <c r="F75" s="18"/>
      <c r="G75" s="19" t="str">
        <f t="shared" ca="1" si="2"/>
        <v/>
      </c>
      <c r="H75" s="18"/>
      <c r="I75" s="18"/>
      <c r="J75" s="77" t="str">
        <f t="shared" ca="1" si="3"/>
        <v/>
      </c>
      <c r="K75" s="19">
        <f>IF(A75="","",COUNTIFS(Resumen!$N$2:$N$2999,ROW(),Resumen!$V$2:$V$2999,1))</f>
        <v/>
      </c>
      <c r="L75" s="20"/>
      <c r="N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" spans="1:14">
      <c r="A76" s="16"/>
      <c r="B76" s="16"/>
      <c r="C76" s="17"/>
      <c r="D76" s="17"/>
      <c r="E76" s="17"/>
      <c r="F76" s="18"/>
      <c r="G76" s="19" t="str">
        <f t="shared" ca="1" si="2"/>
        <v/>
      </c>
      <c r="H76" s="18"/>
      <c r="I76" s="18"/>
      <c r="J76" s="77" t="str">
        <f t="shared" ca="1" si="3"/>
        <v/>
      </c>
      <c r="K76" s="19">
        <f>IF(A76="","",COUNTIFS(Resumen!$N$2:$N$2999,ROW(),Resumen!$V$2:$V$2999,1))</f>
        <v/>
      </c>
      <c r="L76" s="20"/>
      <c r="N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" spans="1:14">
      <c r="A77" s="16"/>
      <c r="B77" s="16"/>
      <c r="C77" s="17"/>
      <c r="D77" s="17"/>
      <c r="E77" s="17"/>
      <c r="F77" s="18"/>
      <c r="G77" s="19" t="str">
        <f t="shared" ca="1" si="2"/>
        <v/>
      </c>
      <c r="H77" s="18"/>
      <c r="I77" s="18"/>
      <c r="J77" s="77" t="str">
        <f t="shared" ca="1" si="3"/>
        <v/>
      </c>
      <c r="K77" s="19">
        <f>IF(A77="","",COUNTIFS(Resumen!$N$2:$N$2999,ROW(),Resumen!$V$2:$V$2999,1))</f>
        <v/>
      </c>
      <c r="L77" s="20"/>
      <c r="N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" spans="1:14">
      <c r="A78" s="16"/>
      <c r="B78" s="16"/>
      <c r="C78" s="17"/>
      <c r="D78" s="17"/>
      <c r="E78" s="17"/>
      <c r="F78" s="18"/>
      <c r="G78" s="19" t="str">
        <f t="shared" ca="1" si="2"/>
        <v/>
      </c>
      <c r="H78" s="18"/>
      <c r="I78" s="18"/>
      <c r="J78" s="77" t="str">
        <f t="shared" ca="1" si="3"/>
        <v/>
      </c>
      <c r="K78" s="19">
        <f>IF(A78="","",COUNTIFS(Resumen!$N$2:$N$2999,ROW(),Resumen!$V$2:$V$2999,1))</f>
        <v/>
      </c>
      <c r="L78" s="20"/>
      <c r="N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" spans="1:14">
      <c r="A79" s="16"/>
      <c r="B79" s="16"/>
      <c r="C79" s="17"/>
      <c r="D79" s="17"/>
      <c r="E79" s="17"/>
      <c r="F79" s="18"/>
      <c r="G79" s="19" t="str">
        <f t="shared" ca="1" si="2"/>
        <v/>
      </c>
      <c r="H79" s="18"/>
      <c r="I79" s="18"/>
      <c r="J79" s="77" t="str">
        <f t="shared" ca="1" si="3"/>
        <v/>
      </c>
      <c r="K79" s="19">
        <f>IF(A79="","",COUNTIFS(Resumen!$N$2:$N$2999,ROW(),Resumen!$V$2:$V$2999,1))</f>
        <v/>
      </c>
      <c r="L79" s="20"/>
      <c r="N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" spans="1:14">
      <c r="A80" s="16"/>
      <c r="B80" s="16"/>
      <c r="C80" s="17"/>
      <c r="D80" s="17"/>
      <c r="E80" s="17"/>
      <c r="F80" s="18"/>
      <c r="G80" s="19" t="str">
        <f t="shared" ca="1" si="2"/>
        <v/>
      </c>
      <c r="H80" s="18"/>
      <c r="I80" s="18"/>
      <c r="J80" s="77" t="str">
        <f t="shared" ca="1" si="3"/>
        <v/>
      </c>
      <c r="K80" s="19">
        <f>IF(A80="","",COUNTIFS(Resumen!$N$2:$N$2999,ROW(),Resumen!$V$2:$V$2999,1))</f>
        <v/>
      </c>
      <c r="L80" s="20"/>
      <c r="N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" spans="1:14">
      <c r="A81" s="16"/>
      <c r="B81" s="16"/>
      <c r="C81" s="17"/>
      <c r="D81" s="17"/>
      <c r="E81" s="17"/>
      <c r="F81" s="18"/>
      <c r="G81" s="19" t="str">
        <f t="shared" ca="1" si="2"/>
        <v/>
      </c>
      <c r="H81" s="18"/>
      <c r="I81" s="18"/>
      <c r="J81" s="77" t="str">
        <f t="shared" ca="1" si="3"/>
        <v/>
      </c>
      <c r="K81" s="19">
        <f>IF(A81="","",COUNTIFS(Resumen!$N$2:$N$2999,ROW(),Resumen!$V$2:$V$2999,1))</f>
        <v/>
      </c>
      <c r="L81" s="20"/>
      <c r="N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" spans="1:14">
      <c r="A82" s="16"/>
      <c r="B82" s="16"/>
      <c r="C82" s="17"/>
      <c r="D82" s="17"/>
      <c r="E82" s="17"/>
      <c r="F82" s="18"/>
      <c r="G82" s="19" t="str">
        <f t="shared" ca="1" si="2"/>
        <v/>
      </c>
      <c r="H82" s="18"/>
      <c r="I82" s="18"/>
      <c r="J82" s="77" t="str">
        <f t="shared" ca="1" si="3"/>
        <v/>
      </c>
      <c r="K82" s="19">
        <f>IF(A82="","",COUNTIFS(Resumen!$N$2:$N$2999,ROW(),Resumen!$V$2:$V$2999,1))</f>
        <v/>
      </c>
      <c r="L82" s="20"/>
      <c r="N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" spans="1:14">
      <c r="A83" s="16"/>
      <c r="B83" s="16"/>
      <c r="C83" s="17"/>
      <c r="D83" s="17"/>
      <c r="E83" s="17"/>
      <c r="F83" s="18"/>
      <c r="G83" s="19" t="str">
        <f t="shared" ca="1" si="2"/>
        <v/>
      </c>
      <c r="H83" s="18"/>
      <c r="I83" s="18"/>
      <c r="J83" s="77" t="str">
        <f t="shared" ca="1" si="3"/>
        <v/>
      </c>
      <c r="K83" s="19">
        <f>IF(A83="","",COUNTIFS(Resumen!$N$2:$N$2999,ROW(),Resumen!$V$2:$V$2999,1))</f>
        <v/>
      </c>
      <c r="L83" s="20"/>
      <c r="N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" spans="1:14">
      <c r="A84" s="16"/>
      <c r="B84" s="16"/>
      <c r="C84" s="17"/>
      <c r="D84" s="17"/>
      <c r="E84" s="17"/>
      <c r="F84" s="18"/>
      <c r="G84" s="19" t="str">
        <f t="shared" ca="1" si="2"/>
        <v/>
      </c>
      <c r="H84" s="18"/>
      <c r="I84" s="18"/>
      <c r="J84" s="77" t="str">
        <f t="shared" ca="1" si="3"/>
        <v/>
      </c>
      <c r="K84" s="19">
        <f>IF(A84="","",COUNTIFS(Resumen!$N$2:$N$2999,ROW(),Resumen!$V$2:$V$2999,1))</f>
        <v/>
      </c>
      <c r="L84" s="20"/>
      <c r="N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" spans="1:14">
      <c r="A85" s="16"/>
      <c r="B85" s="16"/>
      <c r="C85" s="17"/>
      <c r="D85" s="17"/>
      <c r="E85" s="17"/>
      <c r="F85" s="18"/>
      <c r="G85" s="19" t="str">
        <f t="shared" ca="1" si="2"/>
        <v/>
      </c>
      <c r="H85" s="18"/>
      <c r="I85" s="18"/>
      <c r="J85" s="77" t="str">
        <f t="shared" ca="1" si="3"/>
        <v/>
      </c>
      <c r="K85" s="19">
        <f>IF(A85="","",COUNTIFS(Resumen!$N$2:$N$2999,ROW(),Resumen!$V$2:$V$2999,1))</f>
        <v/>
      </c>
      <c r="L85" s="20"/>
      <c r="N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" spans="1:14">
      <c r="A86" s="16"/>
      <c r="B86" s="16"/>
      <c r="C86" s="17"/>
      <c r="D86" s="17"/>
      <c r="E86" s="17"/>
      <c r="F86" s="18"/>
      <c r="G86" s="19" t="str">
        <f t="shared" ca="1" si="2"/>
        <v/>
      </c>
      <c r="H86" s="18"/>
      <c r="I86" s="18"/>
      <c r="J86" s="77" t="str">
        <f t="shared" ca="1" si="3"/>
        <v/>
      </c>
      <c r="K86" s="19">
        <f>IF(A86="","",COUNTIFS(Resumen!$N$2:$N$2999,ROW(),Resumen!$V$2:$V$2999,1))</f>
        <v/>
      </c>
      <c r="L86" s="20"/>
      <c r="N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" spans="1:14">
      <c r="A87" s="16"/>
      <c r="B87" s="16"/>
      <c r="C87" s="17"/>
      <c r="D87" s="17"/>
      <c r="E87" s="17"/>
      <c r="F87" s="18"/>
      <c r="G87" s="19" t="str">
        <f t="shared" ca="1" si="2"/>
        <v/>
      </c>
      <c r="H87" s="18"/>
      <c r="I87" s="18"/>
      <c r="J87" s="77" t="str">
        <f t="shared" ca="1" si="3"/>
        <v/>
      </c>
      <c r="K87" s="19">
        <f>IF(A87="","",COUNTIFS(Resumen!$N$2:$N$2999,ROW(),Resumen!$V$2:$V$2999,1))</f>
        <v/>
      </c>
      <c r="L87" s="20"/>
      <c r="N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" spans="1:14">
      <c r="A88" s="16"/>
      <c r="B88" s="16"/>
      <c r="C88" s="17"/>
      <c r="D88" s="17"/>
      <c r="E88" s="17"/>
      <c r="F88" s="18"/>
      <c r="G88" s="19" t="str">
        <f t="shared" ca="1" si="2"/>
        <v/>
      </c>
      <c r="H88" s="18"/>
      <c r="I88" s="18"/>
      <c r="J88" s="77" t="str">
        <f t="shared" ca="1" si="3"/>
        <v/>
      </c>
      <c r="K88" s="19">
        <f>IF(A88="","",COUNTIFS(Resumen!$N$2:$N$2999,ROW(),Resumen!$V$2:$V$2999,1))</f>
        <v/>
      </c>
      <c r="L88" s="20"/>
      <c r="N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" spans="1:14">
      <c r="A89" s="16"/>
      <c r="B89" s="16"/>
      <c r="C89" s="17"/>
      <c r="D89" s="17"/>
      <c r="E89" s="17"/>
      <c r="F89" s="18"/>
      <c r="G89" s="19" t="str">
        <f t="shared" ca="1" si="2"/>
        <v/>
      </c>
      <c r="H89" s="18"/>
      <c r="I89" s="18"/>
      <c r="J89" s="77" t="str">
        <f t="shared" ca="1" si="3"/>
        <v/>
      </c>
      <c r="K89" s="19">
        <f>IF(A89="","",COUNTIFS(Resumen!$N$2:$N$2999,ROW(),Resumen!$V$2:$V$2999,1))</f>
        <v/>
      </c>
      <c r="L89" s="20"/>
      <c r="N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" spans="1:14">
      <c r="A90" s="16"/>
      <c r="B90" s="16"/>
      <c r="C90" s="17"/>
      <c r="D90" s="17"/>
      <c r="E90" s="17"/>
      <c r="F90" s="18"/>
      <c r="G90" s="19" t="str">
        <f t="shared" ca="1" si="2"/>
        <v/>
      </c>
      <c r="H90" s="18"/>
      <c r="I90" s="18"/>
      <c r="J90" s="77" t="str">
        <f t="shared" ca="1" si="3"/>
        <v/>
      </c>
      <c r="K90" s="19">
        <f>IF(A90="","",COUNTIFS(Resumen!$N$2:$N$2999,ROW(),Resumen!$V$2:$V$2999,1))</f>
        <v/>
      </c>
      <c r="L90" s="20"/>
      <c r="N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" spans="1:14">
      <c r="A91" s="16"/>
      <c r="B91" s="16"/>
      <c r="C91" s="17"/>
      <c r="D91" s="17"/>
      <c r="E91" s="17"/>
      <c r="F91" s="18"/>
      <c r="G91" s="19" t="str">
        <f t="shared" ca="1" si="2"/>
        <v/>
      </c>
      <c r="H91" s="18"/>
      <c r="I91" s="18"/>
      <c r="J91" s="77" t="str">
        <f t="shared" ca="1" si="3"/>
        <v/>
      </c>
      <c r="K91" s="19">
        <f>IF(A91="","",COUNTIFS(Resumen!$N$2:$N$2999,ROW(),Resumen!$V$2:$V$2999,1))</f>
        <v/>
      </c>
      <c r="L91" s="20"/>
      <c r="N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" spans="1:14">
      <c r="A92" s="16"/>
      <c r="B92" s="16"/>
      <c r="C92" s="17"/>
      <c r="D92" s="17"/>
      <c r="E92" s="17"/>
      <c r="F92" s="18"/>
      <c r="G92" s="19" t="str">
        <f t="shared" ca="1" si="2"/>
        <v/>
      </c>
      <c r="H92" s="18"/>
      <c r="I92" s="18"/>
      <c r="J92" s="77" t="str">
        <f t="shared" ca="1" si="3"/>
        <v/>
      </c>
      <c r="K92" s="19">
        <f>IF(A92="","",COUNTIFS(Resumen!$N$2:$N$2999,ROW(),Resumen!$V$2:$V$2999,1))</f>
        <v/>
      </c>
      <c r="L92" s="20"/>
      <c r="N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" spans="1:14">
      <c r="A93" s="16"/>
      <c r="B93" s="16"/>
      <c r="C93" s="17"/>
      <c r="D93" s="17"/>
      <c r="E93" s="17"/>
      <c r="F93" s="18"/>
      <c r="G93" s="19" t="str">
        <f t="shared" ca="1" si="2"/>
        <v/>
      </c>
      <c r="H93" s="18"/>
      <c r="I93" s="18"/>
      <c r="J93" s="77" t="str">
        <f t="shared" ca="1" si="3"/>
        <v/>
      </c>
      <c r="K93" s="19">
        <f>IF(A93="","",COUNTIFS(Resumen!$N$2:$N$2999,ROW(),Resumen!$V$2:$V$2999,1))</f>
        <v/>
      </c>
      <c r="L93" s="20"/>
      <c r="N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" spans="1:14">
      <c r="A94" s="16"/>
      <c r="B94" s="16"/>
      <c r="C94" s="17"/>
      <c r="D94" s="17"/>
      <c r="E94" s="17"/>
      <c r="F94" s="18"/>
      <c r="G94" s="19" t="str">
        <f t="shared" ca="1" si="2"/>
        <v/>
      </c>
      <c r="H94" s="18"/>
      <c r="I94" s="18"/>
      <c r="J94" s="77" t="str">
        <f t="shared" ca="1" si="3"/>
        <v/>
      </c>
      <c r="K94" s="19">
        <f>IF(A94="","",COUNTIFS(Resumen!$N$2:$N$2999,ROW(),Resumen!$V$2:$V$2999,1))</f>
        <v/>
      </c>
      <c r="L94" s="20"/>
      <c r="N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" spans="1:14">
      <c r="A95" s="16"/>
      <c r="B95" s="16"/>
      <c r="C95" s="17"/>
      <c r="D95" s="17"/>
      <c r="E95" s="17"/>
      <c r="F95" s="18"/>
      <c r="G95" s="19" t="str">
        <f t="shared" ca="1" si="2"/>
        <v/>
      </c>
      <c r="H95" s="18"/>
      <c r="I95" s="18"/>
      <c r="J95" s="77" t="str">
        <f t="shared" ca="1" si="3"/>
        <v/>
      </c>
      <c r="K95" s="19">
        <f>IF(A95="","",COUNTIFS(Resumen!$N$2:$N$2999,ROW(),Resumen!$V$2:$V$2999,1))</f>
        <v/>
      </c>
      <c r="L95" s="20"/>
      <c r="N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" spans="1:14">
      <c r="A96" s="16"/>
      <c r="B96" s="16"/>
      <c r="C96" s="17"/>
      <c r="D96" s="17"/>
      <c r="E96" s="17"/>
      <c r="F96" s="18"/>
      <c r="G96" s="19" t="str">
        <f t="shared" ca="1" si="2"/>
        <v/>
      </c>
      <c r="H96" s="18"/>
      <c r="I96" s="18"/>
      <c r="J96" s="77" t="str">
        <f t="shared" ca="1" si="3"/>
        <v/>
      </c>
      <c r="K96" s="19">
        <f>IF(A96="","",COUNTIFS(Resumen!$N$2:$N$2999,ROW(),Resumen!$V$2:$V$2999,1))</f>
        <v/>
      </c>
      <c r="L96" s="20"/>
      <c r="N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" spans="1:14">
      <c r="A97" s="16"/>
      <c r="B97" s="16"/>
      <c r="C97" s="17"/>
      <c r="D97" s="17"/>
      <c r="E97" s="17"/>
      <c r="F97" s="18"/>
      <c r="G97" s="19" t="str">
        <f t="shared" ca="1" si="2"/>
        <v/>
      </c>
      <c r="H97" s="18"/>
      <c r="I97" s="18"/>
      <c r="J97" s="77" t="str">
        <f t="shared" ca="1" si="3"/>
        <v/>
      </c>
      <c r="K97" s="19">
        <f>IF(A97="","",COUNTIFS(Resumen!$N$2:$N$2999,ROW(),Resumen!$V$2:$V$2999,1))</f>
        <v/>
      </c>
      <c r="L97" s="20"/>
      <c r="N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" spans="1:14">
      <c r="A98" s="16"/>
      <c r="B98" s="16"/>
      <c r="C98" s="17"/>
      <c r="D98" s="17"/>
      <c r="E98" s="17"/>
      <c r="F98" s="18"/>
      <c r="G98" s="19" t="str">
        <f t="shared" ca="1" si="2"/>
        <v/>
      </c>
      <c r="H98" s="18"/>
      <c r="I98" s="18"/>
      <c r="J98" s="77" t="str">
        <f t="shared" ca="1" si="3"/>
        <v/>
      </c>
      <c r="K98" s="19">
        <f>IF(A98="","",COUNTIFS(Resumen!$N$2:$N$2999,ROW(),Resumen!$V$2:$V$2999,1))</f>
        <v/>
      </c>
      <c r="L98" s="20"/>
      <c r="N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" spans="1:14">
      <c r="A99" s="16"/>
      <c r="B99" s="16"/>
      <c r="C99" s="17"/>
      <c r="D99" s="17"/>
      <c r="E99" s="17"/>
      <c r="F99" s="18"/>
      <c r="G99" s="19" t="str">
        <f t="shared" ca="1" si="2"/>
        <v/>
      </c>
      <c r="H99" s="18"/>
      <c r="I99" s="18"/>
      <c r="J99" s="77" t="str">
        <f t="shared" ca="1" si="3"/>
        <v/>
      </c>
      <c r="K99" s="19">
        <f>IF(A99="","",COUNTIFS(Resumen!$N$2:$N$2999,ROW(),Resumen!$V$2:$V$2999,1))</f>
        <v/>
      </c>
      <c r="L99" s="20"/>
      <c r="N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" spans="1:14">
      <c r="A100" s="16"/>
      <c r="B100" s="16"/>
      <c r="C100" s="17"/>
      <c r="D100" s="17"/>
      <c r="E100" s="17"/>
      <c r="F100" s="18"/>
      <c r="G100" s="19" t="str">
        <f t="shared" ca="1" si="2"/>
        <v/>
      </c>
      <c r="H100" s="18"/>
      <c r="I100" s="18"/>
      <c r="J100" s="77" t="str">
        <f t="shared" ca="1" si="3"/>
        <v/>
      </c>
      <c r="K100" s="19">
        <f>IF(A100="","",COUNTIFS(Resumen!$N$2:$N$2999,ROW(),Resumen!$V$2:$V$2999,1))</f>
        <v/>
      </c>
      <c r="L100" s="20"/>
      <c r="N1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" spans="1:14">
      <c r="A101" s="16"/>
      <c r="B101" s="16"/>
      <c r="C101" s="17"/>
      <c r="D101" s="17"/>
      <c r="E101" s="17"/>
      <c r="F101" s="18"/>
      <c r="G101" s="19" t="str">
        <f t="shared" ca="1" si="2"/>
        <v/>
      </c>
      <c r="H101" s="18"/>
      <c r="I101" s="18"/>
      <c r="J101" s="77" t="str">
        <f t="shared" ca="1" si="3"/>
        <v/>
      </c>
      <c r="K101" s="19">
        <f>IF(A101="","",COUNTIFS(Resumen!$N$2:$N$2999,ROW(),Resumen!$V$2:$V$2999,1))</f>
        <v/>
      </c>
      <c r="L101" s="20"/>
      <c r="N1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" spans="1:14">
      <c r="A102" s="16"/>
      <c r="B102" s="16"/>
      <c r="C102" s="17"/>
      <c r="D102" s="17"/>
      <c r="E102" s="17"/>
      <c r="F102" s="18"/>
      <c r="G102" s="19" t="str">
        <f t="shared" ca="1" si="2"/>
        <v/>
      </c>
      <c r="H102" s="18"/>
      <c r="I102" s="18"/>
      <c r="J102" s="77" t="str">
        <f t="shared" ca="1" si="3"/>
        <v/>
      </c>
      <c r="K102" s="19">
        <f>IF(A102="","",COUNTIFS(Resumen!$N$2:$N$2999,ROW(),Resumen!$V$2:$V$2999,1))</f>
        <v/>
      </c>
      <c r="L102" s="20"/>
      <c r="N1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" spans="1:14">
      <c r="A103" s="16"/>
      <c r="B103" s="16"/>
      <c r="C103" s="17"/>
      <c r="D103" s="17"/>
      <c r="E103" s="17"/>
      <c r="F103" s="18"/>
      <c r="G103" s="19" t="str">
        <f t="shared" ca="1" si="2"/>
        <v/>
      </c>
      <c r="H103" s="18"/>
      <c r="I103" s="18"/>
      <c r="J103" s="77" t="str">
        <f t="shared" ca="1" si="3"/>
        <v/>
      </c>
      <c r="K103" s="19">
        <f>IF(A103="","",COUNTIFS(Resumen!$N$2:$N$2999,ROW(),Resumen!$V$2:$V$2999,1))</f>
        <v/>
      </c>
      <c r="L103" s="20"/>
      <c r="N1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" spans="1:14">
      <c r="A104" s="16"/>
      <c r="B104" s="16"/>
      <c r="C104" s="17"/>
      <c r="D104" s="17"/>
      <c r="E104" s="17"/>
      <c r="F104" s="18"/>
      <c r="G104" s="19" t="str">
        <f t="shared" ca="1" si="2"/>
        <v/>
      </c>
      <c r="H104" s="18"/>
      <c r="I104" s="18"/>
      <c r="J104" s="77" t="str">
        <f t="shared" ca="1" si="3"/>
        <v/>
      </c>
      <c r="K104" s="19">
        <f>IF(A104="","",COUNTIFS(Resumen!$N$2:$N$2999,ROW(),Resumen!$V$2:$V$2999,1))</f>
        <v/>
      </c>
      <c r="L104" s="20"/>
      <c r="N1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" spans="1:14">
      <c r="A105" s="16"/>
      <c r="B105" s="16"/>
      <c r="C105" s="17"/>
      <c r="D105" s="17"/>
      <c r="E105" s="17"/>
      <c r="F105" s="18"/>
      <c r="G105" s="19" t="str">
        <f t="shared" ca="1" si="2"/>
        <v/>
      </c>
      <c r="H105" s="18"/>
      <c r="I105" s="18"/>
      <c r="J105" s="77" t="str">
        <f t="shared" ca="1" si="3"/>
        <v/>
      </c>
      <c r="K105" s="19">
        <f>IF(A105="","",COUNTIFS(Resumen!$N$2:$N$2999,ROW(),Resumen!$V$2:$V$2999,1))</f>
        <v/>
      </c>
      <c r="L105" s="20"/>
      <c r="N1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" spans="1:14">
      <c r="A106" s="16"/>
      <c r="B106" s="16"/>
      <c r="C106" s="17"/>
      <c r="D106" s="17"/>
      <c r="E106" s="17"/>
      <c r="F106" s="18"/>
      <c r="G106" s="19" t="str">
        <f t="shared" ca="1" si="2"/>
        <v/>
      </c>
      <c r="H106" s="18"/>
      <c r="I106" s="18"/>
      <c r="J106" s="77" t="str">
        <f t="shared" ca="1" si="3"/>
        <v/>
      </c>
      <c r="K106" s="19">
        <f>IF(A106="","",COUNTIFS(Resumen!$N$2:$N$2999,ROW(),Resumen!$V$2:$V$2999,1))</f>
        <v/>
      </c>
      <c r="L106" s="20"/>
      <c r="N1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" spans="1:14">
      <c r="A107" s="16"/>
      <c r="B107" s="16"/>
      <c r="C107" s="17"/>
      <c r="D107" s="17"/>
      <c r="E107" s="17"/>
      <c r="F107" s="18"/>
      <c r="G107" s="19" t="str">
        <f t="shared" ca="1" si="2"/>
        <v/>
      </c>
      <c r="H107" s="18"/>
      <c r="I107" s="18"/>
      <c r="J107" s="77" t="str">
        <f t="shared" ca="1" si="3"/>
        <v/>
      </c>
      <c r="K107" s="19">
        <f>IF(A107="","",COUNTIFS(Resumen!$N$2:$N$2999,ROW(),Resumen!$V$2:$V$2999,1))</f>
        <v/>
      </c>
      <c r="L107" s="20"/>
      <c r="N1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" spans="1:14">
      <c r="A108" s="16"/>
      <c r="B108" s="16"/>
      <c r="C108" s="17"/>
      <c r="D108" s="17"/>
      <c r="E108" s="17"/>
      <c r="F108" s="18"/>
      <c r="G108" s="19" t="str">
        <f t="shared" ca="1" si="2"/>
        <v/>
      </c>
      <c r="H108" s="18"/>
      <c r="I108" s="18"/>
      <c r="J108" s="77" t="str">
        <f t="shared" ca="1" si="3"/>
        <v/>
      </c>
      <c r="K108" s="19">
        <f>IF(A108="","",COUNTIFS(Resumen!$N$2:$N$2999,ROW(),Resumen!$V$2:$V$2999,1))</f>
        <v/>
      </c>
      <c r="L108" s="20"/>
      <c r="N1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" spans="1:14">
      <c r="A109" s="16"/>
      <c r="B109" s="16"/>
      <c r="C109" s="17"/>
      <c r="D109" s="17"/>
      <c r="E109" s="17"/>
      <c r="F109" s="18"/>
      <c r="G109" s="19" t="str">
        <f t="shared" ca="1" si="2"/>
        <v/>
      </c>
      <c r="H109" s="18"/>
      <c r="I109" s="18"/>
      <c r="J109" s="77" t="str">
        <f t="shared" ca="1" si="3"/>
        <v/>
      </c>
      <c r="K109" s="19">
        <f>IF(A109="","",COUNTIFS(Resumen!$N$2:$N$2999,ROW(),Resumen!$V$2:$V$2999,1))</f>
        <v/>
      </c>
      <c r="L109" s="20"/>
      <c r="N1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" spans="1:14">
      <c r="A110" s="16"/>
      <c r="B110" s="16"/>
      <c r="C110" s="17"/>
      <c r="D110" s="17"/>
      <c r="E110" s="17"/>
      <c r="F110" s="18"/>
      <c r="G110" s="19" t="str">
        <f t="shared" ca="1" si="2"/>
        <v/>
      </c>
      <c r="H110" s="18"/>
      <c r="I110" s="18"/>
      <c r="J110" s="77" t="str">
        <f t="shared" ca="1" si="3"/>
        <v/>
      </c>
      <c r="K110" s="19">
        <f>IF(A110="","",COUNTIFS(Resumen!$N$2:$N$2999,ROW(),Resumen!$V$2:$V$2999,1))</f>
        <v/>
      </c>
      <c r="L110" s="20"/>
      <c r="N1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" spans="1:14">
      <c r="A111" s="16"/>
      <c r="B111" s="16"/>
      <c r="C111" s="17"/>
      <c r="D111" s="17"/>
      <c r="E111" s="17"/>
      <c r="F111" s="18"/>
      <c r="G111" s="19" t="str">
        <f t="shared" ca="1" si="2"/>
        <v/>
      </c>
      <c r="H111" s="18"/>
      <c r="I111" s="18"/>
      <c r="J111" s="77" t="str">
        <f t="shared" ca="1" si="3"/>
        <v/>
      </c>
      <c r="K111" s="19">
        <f>IF(A111="","",COUNTIFS(Resumen!$N$2:$N$2999,ROW(),Resumen!$V$2:$V$2999,1))</f>
        <v/>
      </c>
      <c r="L111" s="20"/>
      <c r="N1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" spans="1:14">
      <c r="A112" s="16"/>
      <c r="B112" s="16"/>
      <c r="C112" s="17"/>
      <c r="D112" s="17"/>
      <c r="E112" s="17"/>
      <c r="F112" s="18"/>
      <c r="G112" s="19" t="str">
        <f t="shared" ca="1" si="2"/>
        <v/>
      </c>
      <c r="H112" s="18"/>
      <c r="I112" s="18"/>
      <c r="J112" s="77" t="str">
        <f t="shared" ca="1" si="3"/>
        <v/>
      </c>
      <c r="K112" s="19">
        <f>IF(A112="","",COUNTIFS(Resumen!$N$2:$N$2999,ROW(),Resumen!$V$2:$V$2999,1))</f>
        <v/>
      </c>
      <c r="L112" s="20"/>
      <c r="N1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" spans="1:14">
      <c r="A113" s="16"/>
      <c r="B113" s="16"/>
      <c r="C113" s="17"/>
      <c r="D113" s="17"/>
      <c r="E113" s="17"/>
      <c r="F113" s="18"/>
      <c r="G113" s="19" t="str">
        <f t="shared" ca="1" si="2"/>
        <v/>
      </c>
      <c r="H113" s="18"/>
      <c r="I113" s="18"/>
      <c r="J113" s="77" t="str">
        <f t="shared" ca="1" si="3"/>
        <v/>
      </c>
      <c r="K113" s="19">
        <f>IF(A113="","",COUNTIFS(Resumen!$N$2:$N$2999,ROW(),Resumen!$V$2:$V$2999,1))</f>
        <v/>
      </c>
      <c r="L113" s="20"/>
      <c r="N1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" spans="1:14">
      <c r="A114" s="16"/>
      <c r="B114" s="16"/>
      <c r="C114" s="17"/>
      <c r="D114" s="17"/>
      <c r="E114" s="17"/>
      <c r="F114" s="18"/>
      <c r="G114" s="19" t="str">
        <f t="shared" ca="1" si="2"/>
        <v/>
      </c>
      <c r="H114" s="18"/>
      <c r="I114" s="18"/>
      <c r="J114" s="77" t="str">
        <f t="shared" ca="1" si="3"/>
        <v/>
      </c>
      <c r="K114" s="19">
        <f>IF(A114="","",COUNTIFS(Resumen!$N$2:$N$2999,ROW(),Resumen!$V$2:$V$2999,1))</f>
        <v/>
      </c>
      <c r="L114" s="20"/>
      <c r="N1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" spans="1:14">
      <c r="A115" s="16"/>
      <c r="B115" s="16"/>
      <c r="C115" s="17"/>
      <c r="D115" s="17"/>
      <c r="E115" s="17"/>
      <c r="F115" s="18"/>
      <c r="G115" s="19" t="str">
        <f t="shared" ca="1" si="2"/>
        <v/>
      </c>
      <c r="H115" s="18"/>
      <c r="I115" s="18"/>
      <c r="J115" s="77" t="str">
        <f t="shared" ca="1" si="3"/>
        <v/>
      </c>
      <c r="K115" s="19">
        <f>IF(A115="","",COUNTIFS(Resumen!$N$2:$N$2999,ROW(),Resumen!$V$2:$V$2999,1))</f>
        <v/>
      </c>
      <c r="L115" s="20"/>
      <c r="N1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" spans="1:14">
      <c r="A116" s="16"/>
      <c r="B116" s="16"/>
      <c r="C116" s="17"/>
      <c r="D116" s="17"/>
      <c r="E116" s="17"/>
      <c r="F116" s="18"/>
      <c r="G116" s="19" t="str">
        <f t="shared" ca="1" si="2"/>
        <v/>
      </c>
      <c r="H116" s="18"/>
      <c r="I116" s="18"/>
      <c r="J116" s="77" t="str">
        <f t="shared" ca="1" si="3"/>
        <v/>
      </c>
      <c r="K116" s="19">
        <f>IF(A116="","",COUNTIFS(Resumen!$N$2:$N$2999,ROW(),Resumen!$V$2:$V$2999,1))</f>
        <v/>
      </c>
      <c r="L116" s="20"/>
      <c r="N1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" spans="1:14">
      <c r="A117" s="16"/>
      <c r="B117" s="16"/>
      <c r="C117" s="17"/>
      <c r="D117" s="17"/>
      <c r="E117" s="17"/>
      <c r="F117" s="18"/>
      <c r="G117" s="19" t="str">
        <f t="shared" ca="1" si="2"/>
        <v/>
      </c>
      <c r="H117" s="18"/>
      <c r="I117" s="18"/>
      <c r="J117" s="77" t="str">
        <f t="shared" ca="1" si="3"/>
        <v/>
      </c>
      <c r="K117" s="19">
        <f>IF(A117="","",COUNTIFS(Resumen!$N$2:$N$2999,ROW(),Resumen!$V$2:$V$2999,1))</f>
        <v/>
      </c>
      <c r="L117" s="20"/>
      <c r="N1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" spans="1:14">
      <c r="A118" s="16"/>
      <c r="B118" s="16"/>
      <c r="C118" s="17"/>
      <c r="D118" s="17"/>
      <c r="E118" s="17"/>
      <c r="F118" s="18"/>
      <c r="G118" s="19" t="str">
        <f t="shared" ca="1" si="2"/>
        <v/>
      </c>
      <c r="H118" s="18"/>
      <c r="I118" s="18"/>
      <c r="J118" s="77" t="str">
        <f t="shared" ca="1" si="3"/>
        <v/>
      </c>
      <c r="K118" s="19">
        <f>IF(A118="","",COUNTIFS(Resumen!$N$2:$N$2999,ROW(),Resumen!$V$2:$V$2999,1))</f>
        <v/>
      </c>
      <c r="L118" s="20"/>
      <c r="N1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" spans="1:14">
      <c r="A119" s="16"/>
      <c r="B119" s="16"/>
      <c r="C119" s="17"/>
      <c r="D119" s="17"/>
      <c r="E119" s="17"/>
      <c r="F119" s="18"/>
      <c r="G119" s="19" t="str">
        <f t="shared" ca="1" si="2"/>
        <v/>
      </c>
      <c r="H119" s="18"/>
      <c r="I119" s="18"/>
      <c r="J119" s="77" t="str">
        <f t="shared" ca="1" si="3"/>
        <v/>
      </c>
      <c r="K119" s="19">
        <f>IF(A119="","",COUNTIFS(Resumen!$N$2:$N$2999,ROW(),Resumen!$V$2:$V$2999,1))</f>
        <v/>
      </c>
      <c r="L119" s="20"/>
      <c r="N1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" spans="1:14">
      <c r="A120" s="16"/>
      <c r="B120" s="16"/>
      <c r="C120" s="17"/>
      <c r="D120" s="17"/>
      <c r="E120" s="17"/>
      <c r="F120" s="18"/>
      <c r="G120" s="19" t="str">
        <f t="shared" ca="1" si="2"/>
        <v/>
      </c>
      <c r="H120" s="18"/>
      <c r="I120" s="18"/>
      <c r="J120" s="77" t="str">
        <f t="shared" ca="1" si="3"/>
        <v/>
      </c>
      <c r="K120" s="19">
        <f>IF(A120="","",COUNTIFS(Resumen!$N$2:$N$2999,ROW(),Resumen!$V$2:$V$2999,1))</f>
        <v/>
      </c>
      <c r="L120" s="20"/>
      <c r="N1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" spans="1:14">
      <c r="A121" s="16"/>
      <c r="B121" s="16"/>
      <c r="C121" s="17"/>
      <c r="D121" s="17"/>
      <c r="E121" s="17"/>
      <c r="F121" s="18"/>
      <c r="G121" s="19" t="str">
        <f t="shared" ca="1" si="2"/>
        <v/>
      </c>
      <c r="H121" s="18"/>
      <c r="I121" s="18"/>
      <c r="J121" s="77" t="str">
        <f t="shared" ca="1" si="3"/>
        <v/>
      </c>
      <c r="K121" s="19">
        <f>IF(A121="","",COUNTIFS(Resumen!$N$2:$N$2999,ROW(),Resumen!$V$2:$V$2999,1))</f>
        <v/>
      </c>
      <c r="L121" s="20"/>
      <c r="N1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" spans="1:14">
      <c r="A122" s="16"/>
      <c r="B122" s="16"/>
      <c r="C122" s="17"/>
      <c r="D122" s="17"/>
      <c r="E122" s="17"/>
      <c r="F122" s="18"/>
      <c r="G122" s="19" t="str">
        <f t="shared" ca="1" si="2"/>
        <v/>
      </c>
      <c r="H122" s="18"/>
      <c r="I122" s="18"/>
      <c r="J122" s="77" t="str">
        <f t="shared" ca="1" si="3"/>
        <v/>
      </c>
      <c r="K122" s="19">
        <f>IF(A122="","",COUNTIFS(Resumen!$N$2:$N$2999,ROW(),Resumen!$V$2:$V$2999,1))</f>
        <v/>
      </c>
      <c r="L122" s="20"/>
      <c r="N1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" spans="1:14">
      <c r="A123" s="16"/>
      <c r="B123" s="16"/>
      <c r="C123" s="17"/>
      <c r="D123" s="17"/>
      <c r="E123" s="17"/>
      <c r="F123" s="18"/>
      <c r="G123" s="19" t="str">
        <f t="shared" ca="1" si="2"/>
        <v/>
      </c>
      <c r="H123" s="18"/>
      <c r="I123" s="18"/>
      <c r="J123" s="77" t="str">
        <f t="shared" ca="1" si="3"/>
        <v/>
      </c>
      <c r="K123" s="19">
        <f>IF(A123="","",COUNTIFS(Resumen!$N$2:$N$2999,ROW(),Resumen!$V$2:$V$2999,1))</f>
        <v/>
      </c>
      <c r="L123" s="20"/>
      <c r="N1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" spans="1:14">
      <c r="A124" s="16"/>
      <c r="B124" s="16"/>
      <c r="C124" s="17"/>
      <c r="D124" s="17"/>
      <c r="E124" s="17"/>
      <c r="F124" s="18"/>
      <c r="G124" s="19" t="str">
        <f t="shared" ca="1" si="2"/>
        <v/>
      </c>
      <c r="H124" s="18"/>
      <c r="I124" s="18"/>
      <c r="J124" s="77" t="str">
        <f t="shared" ca="1" si="3"/>
        <v/>
      </c>
      <c r="K124" s="19">
        <f>IF(A124="","",COUNTIFS(Resumen!$N$2:$N$2999,ROW(),Resumen!$V$2:$V$2999,1))</f>
        <v/>
      </c>
      <c r="L124" s="20"/>
      <c r="N1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" spans="1:14">
      <c r="A125" s="16"/>
      <c r="B125" s="16"/>
      <c r="C125" s="17"/>
      <c r="D125" s="17"/>
      <c r="E125" s="17"/>
      <c r="F125" s="18"/>
      <c r="G125" s="19" t="str">
        <f t="shared" ca="1" si="2"/>
        <v/>
      </c>
      <c r="H125" s="18"/>
      <c r="I125" s="18"/>
      <c r="J125" s="77" t="str">
        <f t="shared" ca="1" si="3"/>
        <v/>
      </c>
      <c r="K125" s="19">
        <f>IF(A125="","",COUNTIFS(Resumen!$N$2:$N$2999,ROW(),Resumen!$V$2:$V$2999,1))</f>
        <v/>
      </c>
      <c r="L125" s="20"/>
      <c r="N1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" spans="1:14">
      <c r="A126" s="16"/>
      <c r="B126" s="16"/>
      <c r="C126" s="17"/>
      <c r="D126" s="17"/>
      <c r="E126" s="17"/>
      <c r="F126" s="18"/>
      <c r="G126" s="19" t="str">
        <f t="shared" ca="1" si="2"/>
        <v/>
      </c>
      <c r="H126" s="18"/>
      <c r="I126" s="18"/>
      <c r="J126" s="77" t="str">
        <f t="shared" ca="1" si="3"/>
        <v/>
      </c>
      <c r="K126" s="19">
        <f>IF(A126="","",COUNTIFS(Resumen!$N$2:$N$2999,ROW(),Resumen!$V$2:$V$2999,1))</f>
        <v/>
      </c>
      <c r="L126" s="20"/>
      <c r="N1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" spans="1:14">
      <c r="A127" s="16"/>
      <c r="B127" s="16"/>
      <c r="C127" s="17"/>
      <c r="D127" s="17"/>
      <c r="E127" s="17"/>
      <c r="F127" s="18"/>
      <c r="G127" s="19" t="str">
        <f t="shared" ca="1" si="2"/>
        <v/>
      </c>
      <c r="H127" s="18"/>
      <c r="I127" s="18"/>
      <c r="J127" s="77" t="str">
        <f t="shared" ca="1" si="3"/>
        <v/>
      </c>
      <c r="K127" s="19">
        <f>IF(A127="","",COUNTIFS(Resumen!$N$2:$N$2999,ROW(),Resumen!$V$2:$V$2999,1))</f>
        <v/>
      </c>
      <c r="L127" s="20"/>
      <c r="N1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" spans="1:14">
      <c r="A128" s="16"/>
      <c r="B128" s="16"/>
      <c r="C128" s="17"/>
      <c r="D128" s="17"/>
      <c r="E128" s="17"/>
      <c r="F128" s="18"/>
      <c r="G128" s="19" t="str">
        <f t="shared" ca="1" si="2"/>
        <v/>
      </c>
      <c r="H128" s="18"/>
      <c r="I128" s="18"/>
      <c r="J128" s="77" t="str">
        <f t="shared" ca="1" si="3"/>
        <v/>
      </c>
      <c r="K128" s="19">
        <f>IF(A128="","",COUNTIFS(Resumen!$N$2:$N$2999,ROW(),Resumen!$V$2:$V$2999,1))</f>
        <v/>
      </c>
      <c r="L128" s="20"/>
      <c r="N1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" spans="1:14">
      <c r="A129" s="16"/>
      <c r="B129" s="16"/>
      <c r="C129" s="17"/>
      <c r="D129" s="17"/>
      <c r="E129" s="17"/>
      <c r="F129" s="18"/>
      <c r="G129" s="19" t="str">
        <f t="shared" ca="1" si="2"/>
        <v/>
      </c>
      <c r="H129" s="18"/>
      <c r="I129" s="18"/>
      <c r="J129" s="77" t="str">
        <f t="shared" ca="1" si="3"/>
        <v/>
      </c>
      <c r="K129" s="19">
        <f>IF(A129="","",COUNTIFS(Resumen!$N$2:$N$2999,ROW(),Resumen!$V$2:$V$2999,1))</f>
        <v/>
      </c>
      <c r="L129" s="20"/>
      <c r="N1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" spans="1:14">
      <c r="A130" s="16"/>
      <c r="B130" s="16"/>
      <c r="C130" s="17"/>
      <c r="D130" s="17"/>
      <c r="E130" s="17"/>
      <c r="F130" s="18"/>
      <c r="G130" s="19" t="str">
        <f t="shared" ref="G130:G193" ca="1" si="4">IF(F130="", "", DATEDIF(F130, TODAY(), "Y"))</f>
        <v/>
      </c>
      <c r="H130" s="18"/>
      <c r="I130" s="18"/>
      <c r="J130" s="77" t="str">
        <f t="shared" ref="J130:J193" ca="1" si="5">IFERROR(IF(ISNUMBER(INDEX(VigenciasFamilia,ROW())),INDEX(VigenciasFamilia,ROW())-TODAY(),""),"")</f>
        <v/>
      </c>
      <c r="K130" s="19">
        <f>IF(A130="","",COUNTIFS(Resumen!$N$2:$N$2999,ROW(),Resumen!$V$2:$V$2999,1))</f>
        <v/>
      </c>
      <c r="L130" s="20"/>
      <c r="N1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" spans="1:14">
      <c r="A131" s="16"/>
      <c r="B131" s="16"/>
      <c r="C131" s="17"/>
      <c r="D131" s="17"/>
      <c r="E131" s="17"/>
      <c r="F131" s="18"/>
      <c r="G131" s="19" t="str">
        <f t="shared" ca="1" si="4"/>
        <v/>
      </c>
      <c r="H131" s="18"/>
      <c r="I131" s="18"/>
      <c r="J131" s="77" t="str">
        <f t="shared" ca="1" si="5"/>
        <v/>
      </c>
      <c r="K131" s="19">
        <f>IF(A131="","",COUNTIFS(Resumen!$N$2:$N$2999,ROW(),Resumen!$V$2:$V$2999,1))</f>
        <v/>
      </c>
      <c r="L131" s="20"/>
      <c r="N1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" spans="1:14">
      <c r="A132" s="16"/>
      <c r="B132" s="16"/>
      <c r="C132" s="17"/>
      <c r="D132" s="17"/>
      <c r="E132" s="17"/>
      <c r="F132" s="18"/>
      <c r="G132" s="19" t="str">
        <f t="shared" ca="1" si="4"/>
        <v/>
      </c>
      <c r="H132" s="18"/>
      <c r="I132" s="18"/>
      <c r="J132" s="77" t="str">
        <f t="shared" ca="1" si="5"/>
        <v/>
      </c>
      <c r="K132" s="19">
        <f>IF(A132="","",COUNTIFS(Resumen!$N$2:$N$2999,ROW(),Resumen!$V$2:$V$2999,1))</f>
        <v/>
      </c>
      <c r="L132" s="20"/>
      <c r="N1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" spans="1:14">
      <c r="A133" s="16"/>
      <c r="B133" s="16"/>
      <c r="C133" s="17"/>
      <c r="D133" s="17"/>
      <c r="E133" s="17"/>
      <c r="F133" s="18"/>
      <c r="G133" s="19" t="str">
        <f t="shared" ca="1" si="4"/>
        <v/>
      </c>
      <c r="H133" s="18"/>
      <c r="I133" s="18"/>
      <c r="J133" s="77" t="str">
        <f t="shared" ca="1" si="5"/>
        <v/>
      </c>
      <c r="K133" s="19">
        <f>IF(A133="","",COUNTIFS(Resumen!$N$2:$N$2999,ROW(),Resumen!$V$2:$V$2999,1))</f>
        <v/>
      </c>
      <c r="L133" s="20"/>
      <c r="N1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" spans="1:14">
      <c r="A134" s="16"/>
      <c r="B134" s="16"/>
      <c r="C134" s="17"/>
      <c r="D134" s="17"/>
      <c r="E134" s="17"/>
      <c r="F134" s="18"/>
      <c r="G134" s="19" t="str">
        <f t="shared" ca="1" si="4"/>
        <v/>
      </c>
      <c r="H134" s="18"/>
      <c r="I134" s="18"/>
      <c r="J134" s="77" t="str">
        <f t="shared" ca="1" si="5"/>
        <v/>
      </c>
      <c r="K134" s="19">
        <f>IF(A134="","",COUNTIFS(Resumen!$N$2:$N$2999,ROW(),Resumen!$V$2:$V$2999,1))</f>
        <v/>
      </c>
      <c r="L134" s="20"/>
      <c r="N1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" spans="1:14">
      <c r="A135" s="16"/>
      <c r="B135" s="16"/>
      <c r="C135" s="17"/>
      <c r="D135" s="17"/>
      <c r="E135" s="17"/>
      <c r="F135" s="18"/>
      <c r="G135" s="19" t="str">
        <f t="shared" ca="1" si="4"/>
        <v/>
      </c>
      <c r="H135" s="18"/>
      <c r="I135" s="18"/>
      <c r="J135" s="77" t="str">
        <f t="shared" ca="1" si="5"/>
        <v/>
      </c>
      <c r="K135" s="19">
        <f>IF(A135="","",COUNTIFS(Resumen!$N$2:$N$2999,ROW(),Resumen!$V$2:$V$2999,1))</f>
        <v/>
      </c>
      <c r="L135" s="20"/>
      <c r="N1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" spans="1:14">
      <c r="A136" s="16"/>
      <c r="B136" s="16"/>
      <c r="C136" s="17"/>
      <c r="D136" s="17"/>
      <c r="E136" s="17"/>
      <c r="F136" s="18"/>
      <c r="G136" s="19" t="str">
        <f t="shared" ca="1" si="4"/>
        <v/>
      </c>
      <c r="H136" s="18"/>
      <c r="I136" s="18"/>
      <c r="J136" s="77" t="str">
        <f t="shared" ca="1" si="5"/>
        <v/>
      </c>
      <c r="K136" s="19">
        <f>IF(A136="","",COUNTIFS(Resumen!$N$2:$N$2999,ROW(),Resumen!$V$2:$V$2999,1))</f>
        <v/>
      </c>
      <c r="L136" s="20"/>
      <c r="N1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" spans="1:14">
      <c r="A137" s="16"/>
      <c r="B137" s="16"/>
      <c r="C137" s="17"/>
      <c r="D137" s="17"/>
      <c r="E137" s="17"/>
      <c r="F137" s="18"/>
      <c r="G137" s="19" t="str">
        <f t="shared" ca="1" si="4"/>
        <v/>
      </c>
      <c r="H137" s="18"/>
      <c r="I137" s="18"/>
      <c r="J137" s="77" t="str">
        <f t="shared" ca="1" si="5"/>
        <v/>
      </c>
      <c r="K137" s="19">
        <f>IF(A137="","",COUNTIFS(Resumen!$N$2:$N$2999,ROW(),Resumen!$V$2:$V$2999,1))</f>
        <v/>
      </c>
      <c r="L137" s="20"/>
      <c r="N1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" spans="1:14">
      <c r="A138" s="16"/>
      <c r="B138" s="16"/>
      <c r="C138" s="17"/>
      <c r="D138" s="17"/>
      <c r="E138" s="17"/>
      <c r="F138" s="18"/>
      <c r="G138" s="19" t="str">
        <f t="shared" ca="1" si="4"/>
        <v/>
      </c>
      <c r="H138" s="18"/>
      <c r="I138" s="18"/>
      <c r="J138" s="77" t="str">
        <f t="shared" ca="1" si="5"/>
        <v/>
      </c>
      <c r="K138" s="19">
        <f>IF(A138="","",COUNTIFS(Resumen!$N$2:$N$2999,ROW(),Resumen!$V$2:$V$2999,1))</f>
        <v/>
      </c>
      <c r="L138" s="20"/>
      <c r="N1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" spans="1:14">
      <c r="A139" s="16"/>
      <c r="B139" s="16"/>
      <c r="C139" s="17"/>
      <c r="D139" s="17"/>
      <c r="E139" s="17"/>
      <c r="F139" s="18"/>
      <c r="G139" s="19" t="str">
        <f t="shared" ca="1" si="4"/>
        <v/>
      </c>
      <c r="H139" s="18"/>
      <c r="I139" s="18"/>
      <c r="J139" s="77" t="str">
        <f t="shared" ca="1" si="5"/>
        <v/>
      </c>
      <c r="K139" s="19">
        <f>IF(A139="","",COUNTIFS(Resumen!$N$2:$N$2999,ROW(),Resumen!$V$2:$V$2999,1))</f>
        <v/>
      </c>
      <c r="L139" s="20"/>
      <c r="N1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" spans="1:14">
      <c r="A140" s="16"/>
      <c r="B140" s="16"/>
      <c r="C140" s="17"/>
      <c r="D140" s="17"/>
      <c r="E140" s="17"/>
      <c r="F140" s="18"/>
      <c r="G140" s="19" t="str">
        <f t="shared" ca="1" si="4"/>
        <v/>
      </c>
      <c r="H140" s="18"/>
      <c r="I140" s="18"/>
      <c r="J140" s="77" t="str">
        <f t="shared" ca="1" si="5"/>
        <v/>
      </c>
      <c r="K140" s="19">
        <f>IF(A140="","",COUNTIFS(Resumen!$N$2:$N$2999,ROW(),Resumen!$V$2:$V$2999,1))</f>
        <v/>
      </c>
      <c r="L140" s="20"/>
      <c r="N1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" spans="1:14">
      <c r="A141" s="16"/>
      <c r="B141" s="16"/>
      <c r="C141" s="17"/>
      <c r="D141" s="17"/>
      <c r="E141" s="17"/>
      <c r="F141" s="18"/>
      <c r="G141" s="19" t="str">
        <f t="shared" ca="1" si="4"/>
        <v/>
      </c>
      <c r="H141" s="18"/>
      <c r="I141" s="18"/>
      <c r="J141" s="77" t="str">
        <f t="shared" ca="1" si="5"/>
        <v/>
      </c>
      <c r="K141" s="19">
        <f>IF(A141="","",COUNTIFS(Resumen!$N$2:$N$2999,ROW(),Resumen!$V$2:$V$2999,1))</f>
        <v/>
      </c>
      <c r="L141" s="20"/>
      <c r="N1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" spans="1:14">
      <c r="A142" s="16"/>
      <c r="B142" s="16"/>
      <c r="C142" s="17"/>
      <c r="D142" s="17"/>
      <c r="E142" s="17"/>
      <c r="F142" s="18"/>
      <c r="G142" s="19" t="str">
        <f t="shared" ca="1" si="4"/>
        <v/>
      </c>
      <c r="H142" s="18"/>
      <c r="I142" s="18"/>
      <c r="J142" s="77" t="str">
        <f t="shared" ca="1" si="5"/>
        <v/>
      </c>
      <c r="K142" s="19">
        <f>IF(A142="","",COUNTIFS(Resumen!$N$2:$N$2999,ROW(),Resumen!$V$2:$V$2999,1))</f>
        <v/>
      </c>
      <c r="L142" s="20"/>
      <c r="N1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" spans="1:14">
      <c r="A143" s="16"/>
      <c r="B143" s="16"/>
      <c r="C143" s="17"/>
      <c r="D143" s="17"/>
      <c r="E143" s="17"/>
      <c r="F143" s="18"/>
      <c r="G143" s="19" t="str">
        <f t="shared" ca="1" si="4"/>
        <v/>
      </c>
      <c r="H143" s="18"/>
      <c r="I143" s="18"/>
      <c r="J143" s="77" t="str">
        <f t="shared" ca="1" si="5"/>
        <v/>
      </c>
      <c r="K143" s="19">
        <f>IF(A143="","",COUNTIFS(Resumen!$N$2:$N$2999,ROW(),Resumen!$V$2:$V$2999,1))</f>
        <v/>
      </c>
      <c r="L143" s="20"/>
      <c r="N1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" spans="1:14">
      <c r="A144" s="16"/>
      <c r="B144" s="16"/>
      <c r="C144" s="17"/>
      <c r="D144" s="17"/>
      <c r="E144" s="17"/>
      <c r="F144" s="18"/>
      <c r="G144" s="19" t="str">
        <f t="shared" ca="1" si="4"/>
        <v/>
      </c>
      <c r="H144" s="18"/>
      <c r="I144" s="18"/>
      <c r="J144" s="77" t="str">
        <f t="shared" ca="1" si="5"/>
        <v/>
      </c>
      <c r="K144" s="19">
        <f>IF(A144="","",COUNTIFS(Resumen!$N$2:$N$2999,ROW(),Resumen!$V$2:$V$2999,1))</f>
        <v/>
      </c>
      <c r="L144" s="20"/>
      <c r="N1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" spans="1:14">
      <c r="A145" s="16"/>
      <c r="B145" s="16"/>
      <c r="C145" s="17"/>
      <c r="D145" s="17"/>
      <c r="E145" s="17"/>
      <c r="F145" s="18"/>
      <c r="G145" s="19" t="str">
        <f t="shared" ca="1" si="4"/>
        <v/>
      </c>
      <c r="H145" s="18"/>
      <c r="I145" s="18"/>
      <c r="J145" s="77" t="str">
        <f t="shared" ca="1" si="5"/>
        <v/>
      </c>
      <c r="K145" s="19">
        <f>IF(A145="","",COUNTIFS(Resumen!$N$2:$N$2999,ROW(),Resumen!$V$2:$V$2999,1))</f>
        <v/>
      </c>
      <c r="L145" s="20"/>
      <c r="N1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" spans="1:14">
      <c r="A146" s="16"/>
      <c r="B146" s="16"/>
      <c r="C146" s="17"/>
      <c r="D146" s="17"/>
      <c r="E146" s="17"/>
      <c r="F146" s="18"/>
      <c r="G146" s="19" t="str">
        <f t="shared" ca="1" si="4"/>
        <v/>
      </c>
      <c r="H146" s="18"/>
      <c r="I146" s="18"/>
      <c r="J146" s="77" t="str">
        <f t="shared" ca="1" si="5"/>
        <v/>
      </c>
      <c r="K146" s="19">
        <f>IF(A146="","",COUNTIFS(Resumen!$N$2:$N$2999,ROW(),Resumen!$V$2:$V$2999,1))</f>
        <v/>
      </c>
      <c r="L146" s="20"/>
      <c r="N1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" spans="1:14">
      <c r="A147" s="16"/>
      <c r="B147" s="16"/>
      <c r="C147" s="17"/>
      <c r="D147" s="17"/>
      <c r="E147" s="17"/>
      <c r="F147" s="18"/>
      <c r="G147" s="19" t="str">
        <f t="shared" ca="1" si="4"/>
        <v/>
      </c>
      <c r="H147" s="18"/>
      <c r="I147" s="18"/>
      <c r="J147" s="77" t="str">
        <f t="shared" ca="1" si="5"/>
        <v/>
      </c>
      <c r="K147" s="19">
        <f>IF(A147="","",COUNTIFS(Resumen!$N$2:$N$2999,ROW(),Resumen!$V$2:$V$2999,1))</f>
        <v/>
      </c>
      <c r="L147" s="20"/>
      <c r="N1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" spans="1:14">
      <c r="A148" s="16"/>
      <c r="B148" s="16"/>
      <c r="C148" s="17"/>
      <c r="D148" s="17"/>
      <c r="E148" s="17"/>
      <c r="F148" s="18"/>
      <c r="G148" s="19" t="str">
        <f t="shared" ca="1" si="4"/>
        <v/>
      </c>
      <c r="H148" s="18"/>
      <c r="I148" s="18"/>
      <c r="J148" s="77" t="str">
        <f t="shared" ca="1" si="5"/>
        <v/>
      </c>
      <c r="K148" s="19">
        <f>IF(A148="","",COUNTIFS(Resumen!$N$2:$N$2999,ROW(),Resumen!$V$2:$V$2999,1))</f>
        <v/>
      </c>
      <c r="L148" s="20"/>
      <c r="N1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" spans="1:14">
      <c r="A149" s="16"/>
      <c r="B149" s="16"/>
      <c r="C149" s="17"/>
      <c r="D149" s="17"/>
      <c r="E149" s="17"/>
      <c r="F149" s="18"/>
      <c r="G149" s="19" t="str">
        <f t="shared" ca="1" si="4"/>
        <v/>
      </c>
      <c r="H149" s="18"/>
      <c r="I149" s="18"/>
      <c r="J149" s="77" t="str">
        <f t="shared" ca="1" si="5"/>
        <v/>
      </c>
      <c r="K149" s="19">
        <f>IF(A149="","",COUNTIFS(Resumen!$N$2:$N$2999,ROW(),Resumen!$V$2:$V$2999,1))</f>
        <v/>
      </c>
      <c r="L149" s="20"/>
      <c r="N1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" spans="1:14">
      <c r="A150" s="16"/>
      <c r="B150" s="16"/>
      <c r="C150" s="17"/>
      <c r="D150" s="17"/>
      <c r="E150" s="17"/>
      <c r="F150" s="18"/>
      <c r="G150" s="19" t="str">
        <f t="shared" ca="1" si="4"/>
        <v/>
      </c>
      <c r="H150" s="18"/>
      <c r="I150" s="18"/>
      <c r="J150" s="77" t="str">
        <f t="shared" ca="1" si="5"/>
        <v/>
      </c>
      <c r="K150" s="19">
        <f>IF(A150="","",COUNTIFS(Resumen!$N$2:$N$2999,ROW(),Resumen!$V$2:$V$2999,1))</f>
        <v/>
      </c>
      <c r="L150" s="20"/>
      <c r="N1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" spans="1:14">
      <c r="A151" s="16"/>
      <c r="B151" s="16"/>
      <c r="C151" s="17"/>
      <c r="D151" s="17"/>
      <c r="E151" s="17"/>
      <c r="F151" s="18"/>
      <c r="G151" s="19" t="str">
        <f t="shared" ca="1" si="4"/>
        <v/>
      </c>
      <c r="H151" s="18"/>
      <c r="I151" s="18"/>
      <c r="J151" s="77" t="str">
        <f t="shared" ca="1" si="5"/>
        <v/>
      </c>
      <c r="K151" s="19">
        <f>IF(A151="","",COUNTIFS(Resumen!$N$2:$N$2999,ROW(),Resumen!$V$2:$V$2999,1))</f>
        <v/>
      </c>
      <c r="L151" s="20"/>
      <c r="N1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" spans="1:14">
      <c r="A152" s="16"/>
      <c r="B152" s="16"/>
      <c r="C152" s="17"/>
      <c r="D152" s="17"/>
      <c r="E152" s="17"/>
      <c r="F152" s="18"/>
      <c r="G152" s="19" t="str">
        <f t="shared" ca="1" si="4"/>
        <v/>
      </c>
      <c r="H152" s="18"/>
      <c r="I152" s="18"/>
      <c r="J152" s="77" t="str">
        <f t="shared" ca="1" si="5"/>
        <v/>
      </c>
      <c r="K152" s="19">
        <f>IF(A152="","",COUNTIFS(Resumen!$N$2:$N$2999,ROW(),Resumen!$V$2:$V$2999,1))</f>
        <v/>
      </c>
      <c r="L152" s="20"/>
      <c r="N1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" spans="1:14">
      <c r="A153" s="16"/>
      <c r="B153" s="16"/>
      <c r="C153" s="17"/>
      <c r="D153" s="17"/>
      <c r="E153" s="17"/>
      <c r="F153" s="18"/>
      <c r="G153" s="19" t="str">
        <f t="shared" ca="1" si="4"/>
        <v/>
      </c>
      <c r="H153" s="18"/>
      <c r="I153" s="18"/>
      <c r="J153" s="77" t="str">
        <f t="shared" ca="1" si="5"/>
        <v/>
      </c>
      <c r="K153" s="19">
        <f>IF(A153="","",COUNTIFS(Resumen!$N$2:$N$2999,ROW(),Resumen!$V$2:$V$2999,1))</f>
        <v/>
      </c>
      <c r="L153" s="20"/>
      <c r="N1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" spans="1:14">
      <c r="A154" s="16"/>
      <c r="B154" s="16"/>
      <c r="C154" s="17"/>
      <c r="D154" s="17"/>
      <c r="E154" s="17"/>
      <c r="F154" s="18"/>
      <c r="G154" s="19" t="str">
        <f t="shared" ca="1" si="4"/>
        <v/>
      </c>
      <c r="H154" s="18"/>
      <c r="I154" s="18"/>
      <c r="J154" s="77" t="str">
        <f t="shared" ca="1" si="5"/>
        <v/>
      </c>
      <c r="K154" s="19">
        <f>IF(A154="","",COUNTIFS(Resumen!$N$2:$N$2999,ROW(),Resumen!$V$2:$V$2999,1))</f>
        <v/>
      </c>
      <c r="L154" s="20"/>
      <c r="N1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" spans="1:14">
      <c r="A155" s="16"/>
      <c r="B155" s="16"/>
      <c r="C155" s="17"/>
      <c r="D155" s="17"/>
      <c r="E155" s="17"/>
      <c r="F155" s="18"/>
      <c r="G155" s="19" t="str">
        <f t="shared" ca="1" si="4"/>
        <v/>
      </c>
      <c r="H155" s="18"/>
      <c r="I155" s="18"/>
      <c r="J155" s="77" t="str">
        <f t="shared" ca="1" si="5"/>
        <v/>
      </c>
      <c r="K155" s="19">
        <f>IF(A155="","",COUNTIFS(Resumen!$N$2:$N$2999,ROW(),Resumen!$V$2:$V$2999,1))</f>
        <v/>
      </c>
      <c r="L155" s="20"/>
      <c r="N1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" spans="1:14">
      <c r="A156" s="16"/>
      <c r="B156" s="16"/>
      <c r="C156" s="17"/>
      <c r="D156" s="17"/>
      <c r="E156" s="17"/>
      <c r="F156" s="18"/>
      <c r="G156" s="19" t="str">
        <f t="shared" ca="1" si="4"/>
        <v/>
      </c>
      <c r="H156" s="18"/>
      <c r="I156" s="18"/>
      <c r="J156" s="77" t="str">
        <f t="shared" ca="1" si="5"/>
        <v/>
      </c>
      <c r="K156" s="19">
        <f>IF(A156="","",COUNTIFS(Resumen!$N$2:$N$2999,ROW(),Resumen!$V$2:$V$2999,1))</f>
        <v/>
      </c>
      <c r="L156" s="20"/>
      <c r="N1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" spans="1:14">
      <c r="A157" s="16"/>
      <c r="B157" s="16"/>
      <c r="C157" s="17"/>
      <c r="D157" s="17"/>
      <c r="E157" s="17"/>
      <c r="F157" s="18"/>
      <c r="G157" s="19" t="str">
        <f t="shared" ca="1" si="4"/>
        <v/>
      </c>
      <c r="H157" s="18"/>
      <c r="I157" s="18"/>
      <c r="J157" s="77" t="str">
        <f t="shared" ca="1" si="5"/>
        <v/>
      </c>
      <c r="K157" s="19">
        <f>IF(A157="","",COUNTIFS(Resumen!$N$2:$N$2999,ROW(),Resumen!$V$2:$V$2999,1))</f>
        <v/>
      </c>
      <c r="L157" s="20"/>
      <c r="N1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" spans="1:14">
      <c r="A158" s="16"/>
      <c r="B158" s="16"/>
      <c r="C158" s="17"/>
      <c r="D158" s="17"/>
      <c r="E158" s="17"/>
      <c r="F158" s="18"/>
      <c r="G158" s="19" t="str">
        <f t="shared" ca="1" si="4"/>
        <v/>
      </c>
      <c r="H158" s="18"/>
      <c r="I158" s="18"/>
      <c r="J158" s="77" t="str">
        <f t="shared" ca="1" si="5"/>
        <v/>
      </c>
      <c r="K158" s="19">
        <f>IF(A158="","",COUNTIFS(Resumen!$N$2:$N$2999,ROW(),Resumen!$V$2:$V$2999,1))</f>
        <v/>
      </c>
      <c r="L158" s="20"/>
      <c r="N1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" spans="1:14">
      <c r="A159" s="16"/>
      <c r="B159" s="16"/>
      <c r="C159" s="17"/>
      <c r="D159" s="17"/>
      <c r="E159" s="17"/>
      <c r="F159" s="18"/>
      <c r="G159" s="19" t="str">
        <f t="shared" ca="1" si="4"/>
        <v/>
      </c>
      <c r="H159" s="18"/>
      <c r="I159" s="18"/>
      <c r="J159" s="77" t="str">
        <f t="shared" ca="1" si="5"/>
        <v/>
      </c>
      <c r="K159" s="19">
        <f>IF(A159="","",COUNTIFS(Resumen!$N$2:$N$2999,ROW(),Resumen!$V$2:$V$2999,1))</f>
        <v/>
      </c>
      <c r="L159" s="20"/>
      <c r="N1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" spans="1:14">
      <c r="A160" s="16"/>
      <c r="B160" s="16"/>
      <c r="C160" s="17"/>
      <c r="D160" s="17"/>
      <c r="E160" s="17"/>
      <c r="F160" s="18"/>
      <c r="G160" s="19" t="str">
        <f t="shared" ca="1" si="4"/>
        <v/>
      </c>
      <c r="H160" s="18"/>
      <c r="I160" s="18"/>
      <c r="J160" s="77" t="str">
        <f t="shared" ca="1" si="5"/>
        <v/>
      </c>
      <c r="K160" s="19">
        <f>IF(A160="","",COUNTIFS(Resumen!$N$2:$N$2999,ROW(),Resumen!$V$2:$V$2999,1))</f>
        <v/>
      </c>
      <c r="L160" s="20"/>
      <c r="N1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" spans="1:14">
      <c r="A161" s="16"/>
      <c r="B161" s="16"/>
      <c r="C161" s="17"/>
      <c r="D161" s="17"/>
      <c r="E161" s="17"/>
      <c r="F161" s="18"/>
      <c r="G161" s="19" t="str">
        <f t="shared" ca="1" si="4"/>
        <v/>
      </c>
      <c r="H161" s="18"/>
      <c r="I161" s="18"/>
      <c r="J161" s="77" t="str">
        <f t="shared" ca="1" si="5"/>
        <v/>
      </c>
      <c r="K161" s="19">
        <f>IF(A161="","",COUNTIFS(Resumen!$N$2:$N$2999,ROW(),Resumen!$V$2:$V$2999,1))</f>
        <v/>
      </c>
      <c r="L161" s="20"/>
      <c r="N1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" spans="1:14">
      <c r="A162" s="16"/>
      <c r="B162" s="16"/>
      <c r="C162" s="17"/>
      <c r="D162" s="17"/>
      <c r="E162" s="17"/>
      <c r="F162" s="18"/>
      <c r="G162" s="19" t="str">
        <f t="shared" ca="1" si="4"/>
        <v/>
      </c>
      <c r="H162" s="18"/>
      <c r="I162" s="18"/>
      <c r="J162" s="77" t="str">
        <f t="shared" ca="1" si="5"/>
        <v/>
      </c>
      <c r="K162" s="19">
        <f>IF(A162="","",COUNTIFS(Resumen!$N$2:$N$2999,ROW(),Resumen!$V$2:$V$2999,1))</f>
        <v/>
      </c>
      <c r="L162" s="20"/>
      <c r="N1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" spans="1:14">
      <c r="A163" s="16"/>
      <c r="B163" s="16"/>
      <c r="C163" s="17"/>
      <c r="D163" s="17"/>
      <c r="E163" s="17"/>
      <c r="F163" s="18"/>
      <c r="G163" s="19" t="str">
        <f t="shared" ca="1" si="4"/>
        <v/>
      </c>
      <c r="H163" s="18"/>
      <c r="I163" s="18"/>
      <c r="J163" s="77" t="str">
        <f t="shared" ca="1" si="5"/>
        <v/>
      </c>
      <c r="K163" s="19">
        <f>IF(A163="","",COUNTIFS(Resumen!$N$2:$N$2999,ROW(),Resumen!$V$2:$V$2999,1))</f>
        <v/>
      </c>
      <c r="L163" s="20"/>
      <c r="N1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" spans="1:14">
      <c r="A164" s="16"/>
      <c r="B164" s="16"/>
      <c r="C164" s="17"/>
      <c r="D164" s="17"/>
      <c r="E164" s="17"/>
      <c r="F164" s="18"/>
      <c r="G164" s="19" t="str">
        <f t="shared" ca="1" si="4"/>
        <v/>
      </c>
      <c r="H164" s="18"/>
      <c r="I164" s="18"/>
      <c r="J164" s="77" t="str">
        <f t="shared" ca="1" si="5"/>
        <v/>
      </c>
      <c r="K164" s="19">
        <f>IF(A164="","",COUNTIFS(Resumen!$N$2:$N$2999,ROW(),Resumen!$V$2:$V$2999,1))</f>
        <v/>
      </c>
      <c r="L164" s="20"/>
      <c r="N1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" spans="1:14">
      <c r="A165" s="16"/>
      <c r="B165" s="16"/>
      <c r="C165" s="17"/>
      <c r="D165" s="17"/>
      <c r="E165" s="17"/>
      <c r="F165" s="18"/>
      <c r="G165" s="19" t="str">
        <f t="shared" ca="1" si="4"/>
        <v/>
      </c>
      <c r="H165" s="18"/>
      <c r="I165" s="18"/>
      <c r="J165" s="77" t="str">
        <f t="shared" ca="1" si="5"/>
        <v/>
      </c>
      <c r="K165" s="19">
        <f>IF(A165="","",COUNTIFS(Resumen!$N$2:$N$2999,ROW(),Resumen!$V$2:$V$2999,1))</f>
        <v/>
      </c>
      <c r="L165" s="20"/>
      <c r="N1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" spans="1:14">
      <c r="A166" s="16"/>
      <c r="B166" s="16"/>
      <c r="C166" s="17"/>
      <c r="D166" s="17"/>
      <c r="E166" s="17"/>
      <c r="F166" s="18"/>
      <c r="G166" s="19" t="str">
        <f t="shared" ca="1" si="4"/>
        <v/>
      </c>
      <c r="H166" s="18"/>
      <c r="I166" s="18"/>
      <c r="J166" s="77" t="str">
        <f t="shared" ca="1" si="5"/>
        <v/>
      </c>
      <c r="K166" s="19">
        <f>IF(A166="","",COUNTIFS(Resumen!$N$2:$N$2999,ROW(),Resumen!$V$2:$V$2999,1))</f>
        <v/>
      </c>
      <c r="L166" s="20"/>
      <c r="N1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" spans="1:14">
      <c r="A167" s="16"/>
      <c r="B167" s="16"/>
      <c r="C167" s="17"/>
      <c r="D167" s="17"/>
      <c r="E167" s="17"/>
      <c r="F167" s="18"/>
      <c r="G167" s="19" t="str">
        <f t="shared" ca="1" si="4"/>
        <v/>
      </c>
      <c r="H167" s="18"/>
      <c r="I167" s="18"/>
      <c r="J167" s="77" t="str">
        <f t="shared" ca="1" si="5"/>
        <v/>
      </c>
      <c r="K167" s="19">
        <f>IF(A167="","",COUNTIFS(Resumen!$N$2:$N$2999,ROW(),Resumen!$V$2:$V$2999,1))</f>
        <v/>
      </c>
      <c r="L167" s="20"/>
      <c r="N1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" spans="1:14">
      <c r="A168" s="16"/>
      <c r="B168" s="16"/>
      <c r="C168" s="17"/>
      <c r="D168" s="17"/>
      <c r="E168" s="17"/>
      <c r="F168" s="18"/>
      <c r="G168" s="19" t="str">
        <f t="shared" ca="1" si="4"/>
        <v/>
      </c>
      <c r="H168" s="18"/>
      <c r="I168" s="18"/>
      <c r="J168" s="77" t="str">
        <f t="shared" ca="1" si="5"/>
        <v/>
      </c>
      <c r="K168" s="19">
        <f>IF(A168="","",COUNTIFS(Resumen!$N$2:$N$2999,ROW(),Resumen!$V$2:$V$2999,1))</f>
        <v/>
      </c>
      <c r="L168" s="20"/>
      <c r="N1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" spans="1:14">
      <c r="A169" s="16"/>
      <c r="B169" s="16"/>
      <c r="C169" s="17"/>
      <c r="D169" s="17"/>
      <c r="E169" s="17"/>
      <c r="F169" s="18"/>
      <c r="G169" s="19" t="str">
        <f t="shared" ca="1" si="4"/>
        <v/>
      </c>
      <c r="H169" s="18"/>
      <c r="I169" s="18"/>
      <c r="J169" s="77" t="str">
        <f t="shared" ca="1" si="5"/>
        <v/>
      </c>
      <c r="K169" s="19">
        <f>IF(A169="","",COUNTIFS(Resumen!$N$2:$N$2999,ROW(),Resumen!$V$2:$V$2999,1))</f>
        <v/>
      </c>
      <c r="L169" s="20"/>
      <c r="N1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" spans="1:14">
      <c r="A170" s="16"/>
      <c r="B170" s="16"/>
      <c r="C170" s="17"/>
      <c r="D170" s="17"/>
      <c r="E170" s="17"/>
      <c r="F170" s="18"/>
      <c r="G170" s="19" t="str">
        <f t="shared" ca="1" si="4"/>
        <v/>
      </c>
      <c r="H170" s="18"/>
      <c r="I170" s="18"/>
      <c r="J170" s="77" t="str">
        <f t="shared" ca="1" si="5"/>
        <v/>
      </c>
      <c r="K170" s="19">
        <f>IF(A170="","",COUNTIFS(Resumen!$N$2:$N$2999,ROW(),Resumen!$V$2:$V$2999,1))</f>
        <v/>
      </c>
      <c r="L170" s="20"/>
      <c r="N1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" spans="1:14">
      <c r="A171" s="16"/>
      <c r="B171" s="16"/>
      <c r="C171" s="17"/>
      <c r="D171" s="17"/>
      <c r="E171" s="17"/>
      <c r="F171" s="18"/>
      <c r="G171" s="19" t="str">
        <f t="shared" ca="1" si="4"/>
        <v/>
      </c>
      <c r="H171" s="18"/>
      <c r="I171" s="18"/>
      <c r="J171" s="77" t="str">
        <f t="shared" ca="1" si="5"/>
        <v/>
      </c>
      <c r="K171" s="19">
        <f>IF(A171="","",COUNTIFS(Resumen!$N$2:$N$2999,ROW(),Resumen!$V$2:$V$2999,1))</f>
        <v/>
      </c>
      <c r="L171" s="20"/>
      <c r="N1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" spans="1:14">
      <c r="A172" s="16"/>
      <c r="B172" s="16"/>
      <c r="C172" s="17"/>
      <c r="D172" s="17"/>
      <c r="E172" s="17"/>
      <c r="F172" s="18"/>
      <c r="G172" s="19" t="str">
        <f t="shared" ca="1" si="4"/>
        <v/>
      </c>
      <c r="H172" s="18"/>
      <c r="I172" s="18"/>
      <c r="J172" s="77" t="str">
        <f t="shared" ca="1" si="5"/>
        <v/>
      </c>
      <c r="K172" s="19">
        <f>IF(A172="","",COUNTIFS(Resumen!$N$2:$N$2999,ROW(),Resumen!$V$2:$V$2999,1))</f>
        <v/>
      </c>
      <c r="L172" s="20"/>
      <c r="N1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" spans="1:14">
      <c r="A173" s="16"/>
      <c r="B173" s="16"/>
      <c r="C173" s="17"/>
      <c r="D173" s="17"/>
      <c r="E173" s="17"/>
      <c r="F173" s="18"/>
      <c r="G173" s="19" t="str">
        <f t="shared" ca="1" si="4"/>
        <v/>
      </c>
      <c r="H173" s="18"/>
      <c r="I173" s="18"/>
      <c r="J173" s="77" t="str">
        <f t="shared" ca="1" si="5"/>
        <v/>
      </c>
      <c r="K173" s="19">
        <f>IF(A173="","",COUNTIFS(Resumen!$N$2:$N$2999,ROW(),Resumen!$V$2:$V$2999,1))</f>
        <v/>
      </c>
      <c r="L173" s="20"/>
      <c r="N1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" spans="1:14">
      <c r="A174" s="16"/>
      <c r="B174" s="16"/>
      <c r="C174" s="17"/>
      <c r="D174" s="17"/>
      <c r="E174" s="17"/>
      <c r="F174" s="18"/>
      <c r="G174" s="19" t="str">
        <f t="shared" ca="1" si="4"/>
        <v/>
      </c>
      <c r="H174" s="18"/>
      <c r="I174" s="18"/>
      <c r="J174" s="77" t="str">
        <f t="shared" ca="1" si="5"/>
        <v/>
      </c>
      <c r="K174" s="19">
        <f>IF(A174="","",COUNTIFS(Resumen!$N$2:$N$2999,ROW(),Resumen!$V$2:$V$2999,1))</f>
        <v/>
      </c>
      <c r="L174" s="20"/>
      <c r="N1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" spans="1:14">
      <c r="A175" s="16"/>
      <c r="B175" s="16"/>
      <c r="C175" s="17"/>
      <c r="D175" s="17"/>
      <c r="E175" s="17"/>
      <c r="F175" s="18"/>
      <c r="G175" s="19" t="str">
        <f t="shared" ca="1" si="4"/>
        <v/>
      </c>
      <c r="H175" s="18"/>
      <c r="I175" s="18"/>
      <c r="J175" s="77" t="str">
        <f t="shared" ca="1" si="5"/>
        <v/>
      </c>
      <c r="K175" s="19">
        <f>IF(A175="","",COUNTIFS(Resumen!$N$2:$N$2999,ROW(),Resumen!$V$2:$V$2999,1))</f>
        <v/>
      </c>
      <c r="L175" s="20"/>
      <c r="N1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" spans="1:14">
      <c r="A176" s="16"/>
      <c r="B176" s="16"/>
      <c r="C176" s="17"/>
      <c r="D176" s="17"/>
      <c r="E176" s="17"/>
      <c r="F176" s="18"/>
      <c r="G176" s="19" t="str">
        <f t="shared" ca="1" si="4"/>
        <v/>
      </c>
      <c r="H176" s="18"/>
      <c r="I176" s="18"/>
      <c r="J176" s="77" t="str">
        <f t="shared" ca="1" si="5"/>
        <v/>
      </c>
      <c r="K176" s="19">
        <f>IF(A176="","",COUNTIFS(Resumen!$N$2:$N$2999,ROW(),Resumen!$V$2:$V$2999,1))</f>
        <v/>
      </c>
      <c r="L176" s="20"/>
      <c r="N1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" spans="1:14">
      <c r="A177" s="16"/>
      <c r="B177" s="16"/>
      <c r="C177" s="17"/>
      <c r="D177" s="17"/>
      <c r="E177" s="17"/>
      <c r="F177" s="18"/>
      <c r="G177" s="19" t="str">
        <f t="shared" ca="1" si="4"/>
        <v/>
      </c>
      <c r="H177" s="18"/>
      <c r="I177" s="18"/>
      <c r="J177" s="77" t="str">
        <f t="shared" ca="1" si="5"/>
        <v/>
      </c>
      <c r="K177" s="19">
        <f>IF(A177="","",COUNTIFS(Resumen!$N$2:$N$2999,ROW(),Resumen!$V$2:$V$2999,1))</f>
        <v/>
      </c>
      <c r="L177" s="20"/>
      <c r="N1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" spans="1:14">
      <c r="A178" s="16"/>
      <c r="B178" s="16"/>
      <c r="C178" s="17"/>
      <c r="D178" s="17"/>
      <c r="E178" s="17"/>
      <c r="F178" s="18"/>
      <c r="G178" s="19" t="str">
        <f t="shared" ca="1" si="4"/>
        <v/>
      </c>
      <c r="H178" s="18"/>
      <c r="I178" s="18"/>
      <c r="J178" s="77" t="str">
        <f t="shared" ca="1" si="5"/>
        <v/>
      </c>
      <c r="K178" s="19">
        <f>IF(A178="","",COUNTIFS(Resumen!$N$2:$N$2999,ROW(),Resumen!$V$2:$V$2999,1))</f>
        <v/>
      </c>
      <c r="L178" s="20"/>
      <c r="N1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" spans="1:14">
      <c r="A179" s="16"/>
      <c r="B179" s="16"/>
      <c r="C179" s="17"/>
      <c r="D179" s="17"/>
      <c r="E179" s="17"/>
      <c r="F179" s="18"/>
      <c r="G179" s="19" t="str">
        <f t="shared" ca="1" si="4"/>
        <v/>
      </c>
      <c r="H179" s="18"/>
      <c r="I179" s="18"/>
      <c r="J179" s="77" t="str">
        <f t="shared" ca="1" si="5"/>
        <v/>
      </c>
      <c r="K179" s="19">
        <f>IF(A179="","",COUNTIFS(Resumen!$N$2:$N$2999,ROW(),Resumen!$V$2:$V$2999,1))</f>
        <v/>
      </c>
      <c r="L179" s="20"/>
      <c r="N1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" spans="1:14">
      <c r="A180" s="16"/>
      <c r="B180" s="16"/>
      <c r="C180" s="17"/>
      <c r="D180" s="17"/>
      <c r="E180" s="17"/>
      <c r="F180" s="18"/>
      <c r="G180" s="19" t="str">
        <f t="shared" ca="1" si="4"/>
        <v/>
      </c>
      <c r="H180" s="18"/>
      <c r="I180" s="18"/>
      <c r="J180" s="77" t="str">
        <f t="shared" ca="1" si="5"/>
        <v/>
      </c>
      <c r="K180" s="19">
        <f>IF(A180="","",COUNTIFS(Resumen!$N$2:$N$2999,ROW(),Resumen!$V$2:$V$2999,1))</f>
        <v/>
      </c>
      <c r="L180" s="20"/>
      <c r="N1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" spans="1:14">
      <c r="A181" s="16"/>
      <c r="B181" s="16"/>
      <c r="C181" s="17"/>
      <c r="D181" s="17"/>
      <c r="E181" s="17"/>
      <c r="F181" s="18"/>
      <c r="G181" s="19" t="str">
        <f t="shared" ca="1" si="4"/>
        <v/>
      </c>
      <c r="H181" s="18"/>
      <c r="I181" s="18"/>
      <c r="J181" s="77" t="str">
        <f t="shared" ca="1" si="5"/>
        <v/>
      </c>
      <c r="K181" s="19">
        <f>IF(A181="","",COUNTIFS(Resumen!$N$2:$N$2999,ROW(),Resumen!$V$2:$V$2999,1))</f>
        <v/>
      </c>
      <c r="L181" s="20"/>
      <c r="N1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" spans="1:14">
      <c r="A182" s="16"/>
      <c r="B182" s="16"/>
      <c r="C182" s="17"/>
      <c r="D182" s="17"/>
      <c r="E182" s="17"/>
      <c r="F182" s="18"/>
      <c r="G182" s="19" t="str">
        <f t="shared" ca="1" si="4"/>
        <v/>
      </c>
      <c r="H182" s="18"/>
      <c r="I182" s="18"/>
      <c r="J182" s="77" t="str">
        <f t="shared" ca="1" si="5"/>
        <v/>
      </c>
      <c r="K182" s="19">
        <f>IF(A182="","",COUNTIFS(Resumen!$N$2:$N$2999,ROW(),Resumen!$V$2:$V$2999,1))</f>
        <v/>
      </c>
      <c r="L182" s="20"/>
      <c r="N1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" spans="1:14">
      <c r="A183" s="16"/>
      <c r="B183" s="16"/>
      <c r="C183" s="17"/>
      <c r="D183" s="17"/>
      <c r="E183" s="17"/>
      <c r="F183" s="18"/>
      <c r="G183" s="19" t="str">
        <f t="shared" ca="1" si="4"/>
        <v/>
      </c>
      <c r="H183" s="18"/>
      <c r="I183" s="18"/>
      <c r="J183" s="77" t="str">
        <f t="shared" ca="1" si="5"/>
        <v/>
      </c>
      <c r="K183" s="19">
        <f>IF(A183="","",COUNTIFS(Resumen!$N$2:$N$2999,ROW(),Resumen!$V$2:$V$2999,1))</f>
        <v/>
      </c>
      <c r="L183" s="20"/>
      <c r="N1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" spans="1:14">
      <c r="A184" s="16"/>
      <c r="B184" s="16"/>
      <c r="C184" s="17"/>
      <c r="D184" s="17"/>
      <c r="E184" s="17"/>
      <c r="F184" s="18"/>
      <c r="G184" s="19" t="str">
        <f t="shared" ca="1" si="4"/>
        <v/>
      </c>
      <c r="H184" s="18"/>
      <c r="I184" s="18"/>
      <c r="J184" s="77" t="str">
        <f t="shared" ca="1" si="5"/>
        <v/>
      </c>
      <c r="K184" s="19">
        <f>IF(A184="","",COUNTIFS(Resumen!$N$2:$N$2999,ROW(),Resumen!$V$2:$V$2999,1))</f>
        <v/>
      </c>
      <c r="L184" s="20"/>
      <c r="N1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" spans="1:14">
      <c r="A185" s="16"/>
      <c r="B185" s="16"/>
      <c r="C185" s="17"/>
      <c r="D185" s="17"/>
      <c r="E185" s="17"/>
      <c r="F185" s="18"/>
      <c r="G185" s="19" t="str">
        <f t="shared" ca="1" si="4"/>
        <v/>
      </c>
      <c r="H185" s="18"/>
      <c r="I185" s="18"/>
      <c r="J185" s="77" t="str">
        <f t="shared" ca="1" si="5"/>
        <v/>
      </c>
      <c r="K185" s="19">
        <f>IF(A185="","",COUNTIFS(Resumen!$N$2:$N$2999,ROW(),Resumen!$V$2:$V$2999,1))</f>
        <v/>
      </c>
      <c r="L185" s="20"/>
      <c r="N1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" spans="1:14">
      <c r="A186" s="16"/>
      <c r="B186" s="16"/>
      <c r="C186" s="17"/>
      <c r="D186" s="17"/>
      <c r="E186" s="17"/>
      <c r="F186" s="18"/>
      <c r="G186" s="19" t="str">
        <f t="shared" ca="1" si="4"/>
        <v/>
      </c>
      <c r="H186" s="18"/>
      <c r="I186" s="18"/>
      <c r="J186" s="77" t="str">
        <f t="shared" ca="1" si="5"/>
        <v/>
      </c>
      <c r="K186" s="19">
        <f>IF(A186="","",COUNTIFS(Resumen!$N$2:$N$2999,ROW(),Resumen!$V$2:$V$2999,1))</f>
        <v/>
      </c>
      <c r="L186" s="20"/>
      <c r="N1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" spans="1:14">
      <c r="A187" s="16"/>
      <c r="B187" s="16"/>
      <c r="C187" s="17"/>
      <c r="D187" s="17"/>
      <c r="E187" s="17"/>
      <c r="F187" s="18"/>
      <c r="G187" s="19" t="str">
        <f t="shared" ca="1" si="4"/>
        <v/>
      </c>
      <c r="H187" s="18"/>
      <c r="I187" s="18"/>
      <c r="J187" s="77" t="str">
        <f t="shared" ca="1" si="5"/>
        <v/>
      </c>
      <c r="K187" s="19">
        <f>IF(A187="","",COUNTIFS(Resumen!$N$2:$N$2999,ROW(),Resumen!$V$2:$V$2999,1))</f>
        <v/>
      </c>
      <c r="L187" s="20"/>
      <c r="N1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" spans="1:14">
      <c r="A188" s="16"/>
      <c r="B188" s="16"/>
      <c r="C188" s="17"/>
      <c r="D188" s="17"/>
      <c r="E188" s="17"/>
      <c r="F188" s="18"/>
      <c r="G188" s="19" t="str">
        <f t="shared" ca="1" si="4"/>
        <v/>
      </c>
      <c r="H188" s="18"/>
      <c r="I188" s="18"/>
      <c r="J188" s="77" t="str">
        <f t="shared" ca="1" si="5"/>
        <v/>
      </c>
      <c r="K188" s="19">
        <f>IF(A188="","",COUNTIFS(Resumen!$N$2:$N$2999,ROW(),Resumen!$V$2:$V$2999,1))</f>
        <v/>
      </c>
      <c r="L188" s="20"/>
      <c r="N1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" spans="1:14">
      <c r="A189" s="16"/>
      <c r="B189" s="16"/>
      <c r="C189" s="17"/>
      <c r="D189" s="17"/>
      <c r="E189" s="17"/>
      <c r="F189" s="18"/>
      <c r="G189" s="19" t="str">
        <f t="shared" ca="1" si="4"/>
        <v/>
      </c>
      <c r="H189" s="18"/>
      <c r="I189" s="18"/>
      <c r="J189" s="77" t="str">
        <f t="shared" ca="1" si="5"/>
        <v/>
      </c>
      <c r="K189" s="19">
        <f>IF(A189="","",COUNTIFS(Resumen!$N$2:$N$2999,ROW(),Resumen!$V$2:$V$2999,1))</f>
        <v/>
      </c>
      <c r="L189" s="20"/>
      <c r="N1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" spans="1:14">
      <c r="A190" s="16"/>
      <c r="B190" s="16"/>
      <c r="C190" s="17"/>
      <c r="D190" s="17"/>
      <c r="E190" s="17"/>
      <c r="F190" s="18"/>
      <c r="G190" s="19" t="str">
        <f t="shared" ca="1" si="4"/>
        <v/>
      </c>
      <c r="H190" s="18"/>
      <c r="I190" s="18"/>
      <c r="J190" s="77" t="str">
        <f t="shared" ca="1" si="5"/>
        <v/>
      </c>
      <c r="K190" s="19">
        <f>IF(A190="","",COUNTIFS(Resumen!$N$2:$N$2999,ROW(),Resumen!$V$2:$V$2999,1))</f>
        <v/>
      </c>
      <c r="L190" s="20"/>
      <c r="N1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" spans="1:14">
      <c r="A191" s="16"/>
      <c r="B191" s="16"/>
      <c r="C191" s="17"/>
      <c r="D191" s="17"/>
      <c r="E191" s="17"/>
      <c r="F191" s="18"/>
      <c r="G191" s="19" t="str">
        <f t="shared" ca="1" si="4"/>
        <v/>
      </c>
      <c r="H191" s="18"/>
      <c r="I191" s="18"/>
      <c r="J191" s="77" t="str">
        <f t="shared" ca="1" si="5"/>
        <v/>
      </c>
      <c r="K191" s="19">
        <f>IF(A191="","",COUNTIFS(Resumen!$N$2:$N$2999,ROW(),Resumen!$V$2:$V$2999,1))</f>
        <v/>
      </c>
      <c r="L191" s="20"/>
      <c r="N1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" spans="1:14">
      <c r="A192" s="16"/>
      <c r="B192" s="16"/>
      <c r="C192" s="17"/>
      <c r="D192" s="17"/>
      <c r="E192" s="17"/>
      <c r="F192" s="18"/>
      <c r="G192" s="19" t="str">
        <f t="shared" ca="1" si="4"/>
        <v/>
      </c>
      <c r="H192" s="18"/>
      <c r="I192" s="18"/>
      <c r="J192" s="77" t="str">
        <f t="shared" ca="1" si="5"/>
        <v/>
      </c>
      <c r="K192" s="19">
        <f>IF(A192="","",COUNTIFS(Resumen!$N$2:$N$2999,ROW(),Resumen!$V$2:$V$2999,1))</f>
        <v/>
      </c>
      <c r="L192" s="20"/>
      <c r="N1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" spans="1:14">
      <c r="A193" s="16"/>
      <c r="B193" s="16"/>
      <c r="C193" s="17"/>
      <c r="D193" s="17"/>
      <c r="E193" s="17"/>
      <c r="F193" s="18"/>
      <c r="G193" s="19" t="str">
        <f t="shared" ca="1" si="4"/>
        <v/>
      </c>
      <c r="H193" s="18"/>
      <c r="I193" s="18"/>
      <c r="J193" s="77" t="str">
        <f t="shared" ca="1" si="5"/>
        <v/>
      </c>
      <c r="K193" s="19">
        <f>IF(A193="","",COUNTIFS(Resumen!$N$2:$N$2999,ROW(),Resumen!$V$2:$V$2999,1))</f>
        <v/>
      </c>
      <c r="L193" s="20"/>
      <c r="N1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" spans="1:14">
      <c r="A194" s="16"/>
      <c r="B194" s="16"/>
      <c r="C194" s="17"/>
      <c r="D194" s="17"/>
      <c r="E194" s="17"/>
      <c r="F194" s="18"/>
      <c r="G194" s="19" t="str">
        <f t="shared" ref="G194:G257" ca="1" si="6">IF(F194="", "", DATEDIF(F194, TODAY(), "Y"))</f>
        <v/>
      </c>
      <c r="H194" s="18"/>
      <c r="I194" s="18"/>
      <c r="J194" s="77" t="str">
        <f t="shared" ref="J194:J257" ca="1" si="7">IFERROR(IF(ISNUMBER(INDEX(VigenciasFamilia,ROW())),INDEX(VigenciasFamilia,ROW())-TODAY(),""),"")</f>
        <v/>
      </c>
      <c r="K194" s="19">
        <f>IF(A194="","",COUNTIFS(Resumen!$N$2:$N$2999,ROW(),Resumen!$V$2:$V$2999,1))</f>
        <v/>
      </c>
      <c r="L194" s="20"/>
      <c r="N1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" spans="1:14">
      <c r="A195" s="16"/>
      <c r="B195" s="16"/>
      <c r="C195" s="17"/>
      <c r="D195" s="17"/>
      <c r="E195" s="17"/>
      <c r="F195" s="18"/>
      <c r="G195" s="19" t="str">
        <f t="shared" ca="1" si="6"/>
        <v/>
      </c>
      <c r="H195" s="18"/>
      <c r="I195" s="18"/>
      <c r="J195" s="77" t="str">
        <f t="shared" ca="1" si="7"/>
        <v/>
      </c>
      <c r="K195" s="19">
        <f>IF(A195="","",COUNTIFS(Resumen!$N$2:$N$2999,ROW(),Resumen!$V$2:$V$2999,1))</f>
        <v/>
      </c>
      <c r="L195" s="20"/>
      <c r="N1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" spans="1:14">
      <c r="A196" s="16"/>
      <c r="B196" s="16"/>
      <c r="C196" s="17"/>
      <c r="D196" s="17"/>
      <c r="E196" s="17"/>
      <c r="F196" s="18"/>
      <c r="G196" s="19" t="str">
        <f t="shared" ca="1" si="6"/>
        <v/>
      </c>
      <c r="H196" s="18"/>
      <c r="I196" s="18"/>
      <c r="J196" s="77" t="str">
        <f t="shared" ca="1" si="7"/>
        <v/>
      </c>
      <c r="K196" s="19">
        <f>IF(A196="","",COUNTIFS(Resumen!$N$2:$N$2999,ROW(),Resumen!$V$2:$V$2999,1))</f>
        <v/>
      </c>
      <c r="L196" s="20"/>
      <c r="N1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" spans="1:14">
      <c r="A197" s="16"/>
      <c r="B197" s="16"/>
      <c r="C197" s="17"/>
      <c r="D197" s="17"/>
      <c r="E197" s="17"/>
      <c r="F197" s="18"/>
      <c r="G197" s="19" t="str">
        <f t="shared" ca="1" si="6"/>
        <v/>
      </c>
      <c r="H197" s="18"/>
      <c r="I197" s="18"/>
      <c r="J197" s="77" t="str">
        <f t="shared" ca="1" si="7"/>
        <v/>
      </c>
      <c r="K197" s="19">
        <f>IF(A197="","",COUNTIFS(Resumen!$N$2:$N$2999,ROW(),Resumen!$V$2:$V$2999,1))</f>
        <v/>
      </c>
      <c r="L197" s="20"/>
      <c r="N1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" spans="1:14">
      <c r="A198" s="16"/>
      <c r="B198" s="16"/>
      <c r="C198" s="17"/>
      <c r="D198" s="17"/>
      <c r="E198" s="17"/>
      <c r="F198" s="18"/>
      <c r="G198" s="19" t="str">
        <f t="shared" ca="1" si="6"/>
        <v/>
      </c>
      <c r="H198" s="18"/>
      <c r="I198" s="18"/>
      <c r="J198" s="77" t="str">
        <f t="shared" ca="1" si="7"/>
        <v/>
      </c>
      <c r="K198" s="19">
        <f>IF(A198="","",COUNTIFS(Resumen!$N$2:$N$2999,ROW(),Resumen!$V$2:$V$2999,1))</f>
        <v/>
      </c>
      <c r="L198" s="20"/>
      <c r="N1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" spans="1:14">
      <c r="A199" s="16"/>
      <c r="B199" s="16"/>
      <c r="C199" s="17"/>
      <c r="D199" s="17"/>
      <c r="E199" s="17"/>
      <c r="F199" s="18"/>
      <c r="G199" s="19" t="str">
        <f t="shared" ca="1" si="6"/>
        <v/>
      </c>
      <c r="H199" s="18"/>
      <c r="I199" s="18"/>
      <c r="J199" s="77" t="str">
        <f t="shared" ca="1" si="7"/>
        <v/>
      </c>
      <c r="K199" s="19">
        <f>IF(A199="","",COUNTIFS(Resumen!$N$2:$N$2999,ROW(),Resumen!$V$2:$V$2999,1))</f>
        <v/>
      </c>
      <c r="L199" s="20"/>
      <c r="N1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" spans="1:14">
      <c r="A200" s="16"/>
      <c r="B200" s="16"/>
      <c r="C200" s="17"/>
      <c r="D200" s="17"/>
      <c r="E200" s="17"/>
      <c r="F200" s="18"/>
      <c r="G200" s="19" t="str">
        <f t="shared" ca="1" si="6"/>
        <v/>
      </c>
      <c r="H200" s="18"/>
      <c r="I200" s="18"/>
      <c r="J200" s="77" t="str">
        <f t="shared" ca="1" si="7"/>
        <v/>
      </c>
      <c r="K200" s="19">
        <f>IF(A200="","",COUNTIFS(Resumen!$N$2:$N$2999,ROW(),Resumen!$V$2:$V$2999,1))</f>
        <v/>
      </c>
      <c r="L200" s="20"/>
      <c r="N2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" spans="1:14">
      <c r="A201" s="16"/>
      <c r="B201" s="16"/>
      <c r="C201" s="17"/>
      <c r="D201" s="17"/>
      <c r="E201" s="17"/>
      <c r="F201" s="18"/>
      <c r="G201" s="19" t="str">
        <f t="shared" ca="1" si="6"/>
        <v/>
      </c>
      <c r="H201" s="18"/>
      <c r="I201" s="18"/>
      <c r="J201" s="77" t="str">
        <f t="shared" ca="1" si="7"/>
        <v/>
      </c>
      <c r="K201" s="19">
        <f>IF(A201="","",COUNTIFS(Resumen!$N$2:$N$2999,ROW(),Resumen!$V$2:$V$2999,1))</f>
        <v/>
      </c>
      <c r="L201" s="20"/>
      <c r="N2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" spans="1:14">
      <c r="A202" s="16"/>
      <c r="B202" s="16"/>
      <c r="C202" s="17"/>
      <c r="D202" s="17"/>
      <c r="E202" s="17"/>
      <c r="F202" s="18"/>
      <c r="G202" s="19" t="str">
        <f t="shared" ca="1" si="6"/>
        <v/>
      </c>
      <c r="H202" s="18"/>
      <c r="I202" s="18"/>
      <c r="J202" s="77" t="str">
        <f t="shared" ca="1" si="7"/>
        <v/>
      </c>
      <c r="K202" s="19">
        <f>IF(A202="","",COUNTIFS(Resumen!$N$2:$N$2999,ROW(),Resumen!$V$2:$V$2999,1))</f>
        <v/>
      </c>
      <c r="L202" s="20"/>
      <c r="N2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" spans="1:14">
      <c r="A203" s="16"/>
      <c r="B203" s="16"/>
      <c r="C203" s="17"/>
      <c r="D203" s="17"/>
      <c r="E203" s="17"/>
      <c r="F203" s="18"/>
      <c r="G203" s="19" t="str">
        <f t="shared" ca="1" si="6"/>
        <v/>
      </c>
      <c r="H203" s="18"/>
      <c r="I203" s="18"/>
      <c r="J203" s="77" t="str">
        <f t="shared" ca="1" si="7"/>
        <v/>
      </c>
      <c r="K203" s="19">
        <f>IF(A203="","",COUNTIFS(Resumen!$N$2:$N$2999,ROW(),Resumen!$V$2:$V$2999,1))</f>
        <v/>
      </c>
      <c r="L203" s="20"/>
      <c r="N2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" spans="1:14">
      <c r="A204" s="16"/>
      <c r="B204" s="16"/>
      <c r="C204" s="17"/>
      <c r="D204" s="17"/>
      <c r="E204" s="17"/>
      <c r="F204" s="18"/>
      <c r="G204" s="19" t="str">
        <f t="shared" ca="1" si="6"/>
        <v/>
      </c>
      <c r="H204" s="18"/>
      <c r="I204" s="18"/>
      <c r="J204" s="77" t="str">
        <f t="shared" ca="1" si="7"/>
        <v/>
      </c>
      <c r="K204" s="19">
        <f>IF(A204="","",COUNTIFS(Resumen!$N$2:$N$2999,ROW(),Resumen!$V$2:$V$2999,1))</f>
        <v/>
      </c>
      <c r="L204" s="20"/>
      <c r="N2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" spans="1:14">
      <c r="A205" s="16"/>
      <c r="B205" s="16"/>
      <c r="C205" s="17"/>
      <c r="D205" s="17"/>
      <c r="E205" s="17"/>
      <c r="F205" s="18"/>
      <c r="G205" s="19" t="str">
        <f t="shared" ca="1" si="6"/>
        <v/>
      </c>
      <c r="H205" s="18"/>
      <c r="I205" s="18"/>
      <c r="J205" s="77" t="str">
        <f t="shared" ca="1" si="7"/>
        <v/>
      </c>
      <c r="K205" s="19">
        <f>IF(A205="","",COUNTIFS(Resumen!$N$2:$N$2999,ROW(),Resumen!$V$2:$V$2999,1))</f>
        <v/>
      </c>
      <c r="L205" s="20"/>
      <c r="N2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" spans="1:14">
      <c r="A206" s="16"/>
      <c r="B206" s="16"/>
      <c r="C206" s="17"/>
      <c r="D206" s="17"/>
      <c r="E206" s="17"/>
      <c r="F206" s="18"/>
      <c r="G206" s="19" t="str">
        <f t="shared" ca="1" si="6"/>
        <v/>
      </c>
      <c r="H206" s="18"/>
      <c r="I206" s="18"/>
      <c r="J206" s="77" t="str">
        <f t="shared" ca="1" si="7"/>
        <v/>
      </c>
      <c r="K206" s="19">
        <f>IF(A206="","",COUNTIFS(Resumen!$N$2:$N$2999,ROW(),Resumen!$V$2:$V$2999,1))</f>
        <v/>
      </c>
      <c r="L206" s="20"/>
      <c r="N2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" spans="1:14">
      <c r="A207" s="16"/>
      <c r="B207" s="16"/>
      <c r="C207" s="17"/>
      <c r="D207" s="17"/>
      <c r="E207" s="17"/>
      <c r="F207" s="18"/>
      <c r="G207" s="19" t="str">
        <f t="shared" ca="1" si="6"/>
        <v/>
      </c>
      <c r="H207" s="18"/>
      <c r="I207" s="18"/>
      <c r="J207" s="77" t="str">
        <f t="shared" ca="1" si="7"/>
        <v/>
      </c>
      <c r="K207" s="19">
        <f>IF(A207="","",COUNTIFS(Resumen!$N$2:$N$2999,ROW(),Resumen!$V$2:$V$2999,1))</f>
        <v/>
      </c>
      <c r="L207" s="20"/>
      <c r="N2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" spans="1:14">
      <c r="A208" s="16"/>
      <c r="B208" s="16"/>
      <c r="C208" s="17"/>
      <c r="D208" s="17"/>
      <c r="E208" s="17"/>
      <c r="F208" s="18"/>
      <c r="G208" s="19" t="str">
        <f t="shared" ca="1" si="6"/>
        <v/>
      </c>
      <c r="H208" s="18"/>
      <c r="I208" s="18"/>
      <c r="J208" s="77" t="str">
        <f t="shared" ca="1" si="7"/>
        <v/>
      </c>
      <c r="K208" s="19">
        <f>IF(A208="","",COUNTIFS(Resumen!$N$2:$N$2999,ROW(),Resumen!$V$2:$V$2999,1))</f>
        <v/>
      </c>
      <c r="L208" s="20"/>
      <c r="N2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" spans="1:14">
      <c r="A209" s="16"/>
      <c r="B209" s="16"/>
      <c r="C209" s="17"/>
      <c r="D209" s="17"/>
      <c r="E209" s="17"/>
      <c r="F209" s="18"/>
      <c r="G209" s="19" t="str">
        <f t="shared" ca="1" si="6"/>
        <v/>
      </c>
      <c r="H209" s="18"/>
      <c r="I209" s="18"/>
      <c r="J209" s="77" t="str">
        <f t="shared" ca="1" si="7"/>
        <v/>
      </c>
      <c r="K209" s="19">
        <f>IF(A209="","",COUNTIFS(Resumen!$N$2:$N$2999,ROW(),Resumen!$V$2:$V$2999,1))</f>
        <v/>
      </c>
      <c r="L209" s="20"/>
      <c r="N2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" spans="1:14">
      <c r="A210" s="16"/>
      <c r="B210" s="16"/>
      <c r="C210" s="17"/>
      <c r="D210" s="17"/>
      <c r="E210" s="17"/>
      <c r="F210" s="18"/>
      <c r="G210" s="19" t="str">
        <f t="shared" ca="1" si="6"/>
        <v/>
      </c>
      <c r="H210" s="18"/>
      <c r="I210" s="18"/>
      <c r="J210" s="77" t="str">
        <f t="shared" ca="1" si="7"/>
        <v/>
      </c>
      <c r="K210" s="19">
        <f>IF(A210="","",COUNTIFS(Resumen!$N$2:$N$2999,ROW(),Resumen!$V$2:$V$2999,1))</f>
        <v/>
      </c>
      <c r="L210" s="20"/>
      <c r="N2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" spans="1:14">
      <c r="A211" s="16"/>
      <c r="B211" s="16"/>
      <c r="C211" s="17"/>
      <c r="D211" s="17"/>
      <c r="E211" s="17"/>
      <c r="F211" s="18"/>
      <c r="G211" s="19" t="str">
        <f t="shared" ca="1" si="6"/>
        <v/>
      </c>
      <c r="H211" s="18"/>
      <c r="I211" s="18"/>
      <c r="J211" s="77" t="str">
        <f t="shared" ca="1" si="7"/>
        <v/>
      </c>
      <c r="K211" s="19">
        <f>IF(A211="","",COUNTIFS(Resumen!$N$2:$N$2999,ROW(),Resumen!$V$2:$V$2999,1))</f>
        <v/>
      </c>
      <c r="L211" s="20"/>
      <c r="N2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" spans="1:14">
      <c r="A212" s="16"/>
      <c r="B212" s="16"/>
      <c r="C212" s="17"/>
      <c r="D212" s="17"/>
      <c r="E212" s="17"/>
      <c r="F212" s="18"/>
      <c r="G212" s="19" t="str">
        <f t="shared" ca="1" si="6"/>
        <v/>
      </c>
      <c r="H212" s="18"/>
      <c r="I212" s="18"/>
      <c r="J212" s="77" t="str">
        <f t="shared" ca="1" si="7"/>
        <v/>
      </c>
      <c r="K212" s="19">
        <f>IF(A212="","",COUNTIFS(Resumen!$N$2:$N$2999,ROW(),Resumen!$V$2:$V$2999,1))</f>
        <v/>
      </c>
      <c r="L212" s="20"/>
      <c r="N2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" spans="1:14">
      <c r="A213" s="16"/>
      <c r="B213" s="16"/>
      <c r="C213" s="17"/>
      <c r="D213" s="17"/>
      <c r="E213" s="17"/>
      <c r="F213" s="18"/>
      <c r="G213" s="19" t="str">
        <f t="shared" ca="1" si="6"/>
        <v/>
      </c>
      <c r="H213" s="18"/>
      <c r="I213" s="18"/>
      <c r="J213" s="77" t="str">
        <f t="shared" ca="1" si="7"/>
        <v/>
      </c>
      <c r="K213" s="19">
        <f>IF(A213="","",COUNTIFS(Resumen!$N$2:$N$2999,ROW(),Resumen!$V$2:$V$2999,1))</f>
        <v/>
      </c>
      <c r="L213" s="20"/>
      <c r="N2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" spans="1:14">
      <c r="A214" s="16"/>
      <c r="B214" s="16"/>
      <c r="C214" s="17"/>
      <c r="D214" s="17"/>
      <c r="E214" s="17"/>
      <c r="F214" s="18"/>
      <c r="G214" s="19" t="str">
        <f t="shared" ca="1" si="6"/>
        <v/>
      </c>
      <c r="H214" s="18"/>
      <c r="I214" s="18"/>
      <c r="J214" s="77" t="str">
        <f t="shared" ca="1" si="7"/>
        <v/>
      </c>
      <c r="K214" s="19">
        <f>IF(A214="","",COUNTIFS(Resumen!$N$2:$N$2999,ROW(),Resumen!$V$2:$V$2999,1))</f>
        <v/>
      </c>
      <c r="L214" s="20"/>
      <c r="N2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" spans="1:14">
      <c r="A215" s="16"/>
      <c r="B215" s="16"/>
      <c r="C215" s="17"/>
      <c r="D215" s="17"/>
      <c r="E215" s="17"/>
      <c r="F215" s="18"/>
      <c r="G215" s="19" t="str">
        <f t="shared" ca="1" si="6"/>
        <v/>
      </c>
      <c r="H215" s="18"/>
      <c r="I215" s="18"/>
      <c r="J215" s="77" t="str">
        <f t="shared" ca="1" si="7"/>
        <v/>
      </c>
      <c r="K215" s="19">
        <f>IF(A215="","",COUNTIFS(Resumen!$N$2:$N$2999,ROW(),Resumen!$V$2:$V$2999,1))</f>
        <v/>
      </c>
      <c r="L215" s="20"/>
      <c r="N2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" spans="1:14">
      <c r="A216" s="16"/>
      <c r="B216" s="16"/>
      <c r="C216" s="17"/>
      <c r="D216" s="17"/>
      <c r="E216" s="17"/>
      <c r="F216" s="18"/>
      <c r="G216" s="19" t="str">
        <f t="shared" ca="1" si="6"/>
        <v/>
      </c>
      <c r="H216" s="18"/>
      <c r="I216" s="18"/>
      <c r="J216" s="77" t="str">
        <f t="shared" ca="1" si="7"/>
        <v/>
      </c>
      <c r="K216" s="19">
        <f>IF(A216="","",COUNTIFS(Resumen!$N$2:$N$2999,ROW(),Resumen!$V$2:$V$2999,1))</f>
        <v/>
      </c>
      <c r="L216" s="20"/>
      <c r="N2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" spans="1:14">
      <c r="A217" s="16"/>
      <c r="B217" s="16"/>
      <c r="C217" s="17"/>
      <c r="D217" s="17"/>
      <c r="E217" s="17"/>
      <c r="F217" s="18"/>
      <c r="G217" s="19" t="str">
        <f t="shared" ca="1" si="6"/>
        <v/>
      </c>
      <c r="H217" s="18"/>
      <c r="I217" s="18"/>
      <c r="J217" s="77" t="str">
        <f t="shared" ca="1" si="7"/>
        <v/>
      </c>
      <c r="K217" s="19">
        <f>IF(A217="","",COUNTIFS(Resumen!$N$2:$N$2999,ROW(),Resumen!$V$2:$V$2999,1))</f>
        <v/>
      </c>
      <c r="L217" s="20"/>
      <c r="N2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" spans="1:14">
      <c r="A218" s="16"/>
      <c r="B218" s="16"/>
      <c r="C218" s="17"/>
      <c r="D218" s="17"/>
      <c r="E218" s="17"/>
      <c r="F218" s="18"/>
      <c r="G218" s="19" t="str">
        <f t="shared" ca="1" si="6"/>
        <v/>
      </c>
      <c r="H218" s="18"/>
      <c r="I218" s="18"/>
      <c r="J218" s="77" t="str">
        <f t="shared" ca="1" si="7"/>
        <v/>
      </c>
      <c r="K218" s="19">
        <f>IF(A218="","",COUNTIFS(Resumen!$N$2:$N$2999,ROW(),Resumen!$V$2:$V$2999,1))</f>
        <v/>
      </c>
      <c r="L218" s="20"/>
      <c r="N2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" spans="1:14">
      <c r="A219" s="16"/>
      <c r="B219" s="16"/>
      <c r="C219" s="17"/>
      <c r="D219" s="17"/>
      <c r="E219" s="17"/>
      <c r="F219" s="18"/>
      <c r="G219" s="19" t="str">
        <f t="shared" ca="1" si="6"/>
        <v/>
      </c>
      <c r="H219" s="18"/>
      <c r="I219" s="18"/>
      <c r="J219" s="77" t="str">
        <f t="shared" ca="1" si="7"/>
        <v/>
      </c>
      <c r="K219" s="19">
        <f>IF(A219="","",COUNTIFS(Resumen!$N$2:$N$2999,ROW(),Resumen!$V$2:$V$2999,1))</f>
        <v/>
      </c>
      <c r="L219" s="20"/>
      <c r="N2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" spans="1:14">
      <c r="A220" s="16"/>
      <c r="B220" s="16"/>
      <c r="C220" s="17"/>
      <c r="D220" s="17"/>
      <c r="E220" s="17"/>
      <c r="F220" s="18"/>
      <c r="G220" s="19" t="str">
        <f t="shared" ca="1" si="6"/>
        <v/>
      </c>
      <c r="H220" s="18"/>
      <c r="I220" s="18"/>
      <c r="J220" s="77" t="str">
        <f t="shared" ca="1" si="7"/>
        <v/>
      </c>
      <c r="K220" s="19">
        <f>IF(A220="","",COUNTIFS(Resumen!$N$2:$N$2999,ROW(),Resumen!$V$2:$V$2999,1))</f>
        <v/>
      </c>
      <c r="L220" s="20"/>
      <c r="N2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" spans="1:14">
      <c r="A221" s="16"/>
      <c r="B221" s="16"/>
      <c r="C221" s="17"/>
      <c r="D221" s="17"/>
      <c r="E221" s="17"/>
      <c r="F221" s="18"/>
      <c r="G221" s="19" t="str">
        <f t="shared" ca="1" si="6"/>
        <v/>
      </c>
      <c r="H221" s="18"/>
      <c r="I221" s="18"/>
      <c r="J221" s="77" t="str">
        <f t="shared" ca="1" si="7"/>
        <v/>
      </c>
      <c r="K221" s="19">
        <f>IF(A221="","",COUNTIFS(Resumen!$N$2:$N$2999,ROW(),Resumen!$V$2:$V$2999,1))</f>
        <v/>
      </c>
      <c r="L221" s="20"/>
      <c r="N2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" spans="1:14">
      <c r="A222" s="16"/>
      <c r="B222" s="16"/>
      <c r="C222" s="17"/>
      <c r="D222" s="17"/>
      <c r="E222" s="17"/>
      <c r="F222" s="18"/>
      <c r="G222" s="19" t="str">
        <f t="shared" ca="1" si="6"/>
        <v/>
      </c>
      <c r="H222" s="18"/>
      <c r="I222" s="18"/>
      <c r="J222" s="77" t="str">
        <f t="shared" ca="1" si="7"/>
        <v/>
      </c>
      <c r="K222" s="19">
        <f>IF(A222="","",COUNTIFS(Resumen!$N$2:$N$2999,ROW(),Resumen!$V$2:$V$2999,1))</f>
        <v/>
      </c>
      <c r="L222" s="20"/>
      <c r="N2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" spans="1:14">
      <c r="A223" s="16"/>
      <c r="B223" s="16"/>
      <c r="C223" s="17"/>
      <c r="D223" s="17"/>
      <c r="E223" s="17"/>
      <c r="F223" s="18"/>
      <c r="G223" s="19" t="str">
        <f t="shared" ca="1" si="6"/>
        <v/>
      </c>
      <c r="H223" s="18"/>
      <c r="I223" s="18"/>
      <c r="J223" s="77" t="str">
        <f t="shared" ca="1" si="7"/>
        <v/>
      </c>
      <c r="K223" s="19">
        <f>IF(A223="","",COUNTIFS(Resumen!$N$2:$N$2999,ROW(),Resumen!$V$2:$V$2999,1))</f>
        <v/>
      </c>
      <c r="L223" s="20"/>
      <c r="N2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" spans="1:14">
      <c r="A224" s="16"/>
      <c r="B224" s="16"/>
      <c r="C224" s="17"/>
      <c r="D224" s="17"/>
      <c r="E224" s="17"/>
      <c r="F224" s="18"/>
      <c r="G224" s="19" t="str">
        <f t="shared" ca="1" si="6"/>
        <v/>
      </c>
      <c r="H224" s="18"/>
      <c r="I224" s="18"/>
      <c r="J224" s="77" t="str">
        <f t="shared" ca="1" si="7"/>
        <v/>
      </c>
      <c r="K224" s="19">
        <f>IF(A224="","",COUNTIFS(Resumen!$N$2:$N$2999,ROW(),Resumen!$V$2:$V$2999,1))</f>
        <v/>
      </c>
      <c r="L224" s="20"/>
      <c r="N2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" spans="1:14">
      <c r="A225" s="16"/>
      <c r="B225" s="16"/>
      <c r="C225" s="17"/>
      <c r="D225" s="17"/>
      <c r="E225" s="17"/>
      <c r="F225" s="18"/>
      <c r="G225" s="19" t="str">
        <f t="shared" ca="1" si="6"/>
        <v/>
      </c>
      <c r="H225" s="18"/>
      <c r="I225" s="18"/>
      <c r="J225" s="77" t="str">
        <f t="shared" ca="1" si="7"/>
        <v/>
      </c>
      <c r="K225" s="19">
        <f>IF(A225="","",COUNTIFS(Resumen!$N$2:$N$2999,ROW(),Resumen!$V$2:$V$2999,1))</f>
        <v/>
      </c>
      <c r="L225" s="20"/>
      <c r="N2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" spans="1:14">
      <c r="A226" s="16"/>
      <c r="B226" s="16"/>
      <c r="C226" s="17"/>
      <c r="D226" s="17"/>
      <c r="E226" s="17"/>
      <c r="F226" s="18"/>
      <c r="G226" s="19" t="str">
        <f t="shared" ca="1" si="6"/>
        <v/>
      </c>
      <c r="H226" s="18"/>
      <c r="I226" s="18"/>
      <c r="J226" s="77" t="str">
        <f t="shared" ca="1" si="7"/>
        <v/>
      </c>
      <c r="K226" s="19">
        <f>IF(A226="","",COUNTIFS(Resumen!$N$2:$N$2999,ROW(),Resumen!$V$2:$V$2999,1))</f>
        <v/>
      </c>
      <c r="L226" s="20"/>
      <c r="N2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" spans="1:14">
      <c r="A227" s="16"/>
      <c r="B227" s="16"/>
      <c r="C227" s="17"/>
      <c r="D227" s="17"/>
      <c r="E227" s="17"/>
      <c r="F227" s="18"/>
      <c r="G227" s="19" t="str">
        <f t="shared" ca="1" si="6"/>
        <v/>
      </c>
      <c r="H227" s="18"/>
      <c r="I227" s="18"/>
      <c r="J227" s="77" t="str">
        <f t="shared" ca="1" si="7"/>
        <v/>
      </c>
      <c r="K227" s="19">
        <f>IF(A227="","",COUNTIFS(Resumen!$N$2:$N$2999,ROW(),Resumen!$V$2:$V$2999,1))</f>
        <v/>
      </c>
      <c r="L227" s="20"/>
      <c r="N2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" spans="1:14">
      <c r="A228" s="16"/>
      <c r="B228" s="16"/>
      <c r="C228" s="17"/>
      <c r="D228" s="17"/>
      <c r="E228" s="17"/>
      <c r="F228" s="18"/>
      <c r="G228" s="19" t="str">
        <f t="shared" ca="1" si="6"/>
        <v/>
      </c>
      <c r="H228" s="18"/>
      <c r="I228" s="18"/>
      <c r="J228" s="77" t="str">
        <f t="shared" ca="1" si="7"/>
        <v/>
      </c>
      <c r="K228" s="19">
        <f>IF(A228="","",COUNTIFS(Resumen!$N$2:$N$2999,ROW(),Resumen!$V$2:$V$2999,1))</f>
        <v/>
      </c>
      <c r="L228" s="20"/>
      <c r="N2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" spans="1:14">
      <c r="A229" s="16"/>
      <c r="B229" s="16"/>
      <c r="C229" s="17"/>
      <c r="D229" s="17"/>
      <c r="E229" s="17"/>
      <c r="F229" s="18"/>
      <c r="G229" s="19" t="str">
        <f t="shared" ca="1" si="6"/>
        <v/>
      </c>
      <c r="H229" s="18"/>
      <c r="I229" s="18"/>
      <c r="J229" s="77" t="str">
        <f t="shared" ca="1" si="7"/>
        <v/>
      </c>
      <c r="K229" s="19">
        <f>IF(A229="","",COUNTIFS(Resumen!$N$2:$N$2999,ROW(),Resumen!$V$2:$V$2999,1))</f>
        <v/>
      </c>
      <c r="L229" s="20"/>
      <c r="N2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" spans="1:14">
      <c r="A230" s="16"/>
      <c r="B230" s="16"/>
      <c r="C230" s="17"/>
      <c r="D230" s="17"/>
      <c r="E230" s="17"/>
      <c r="F230" s="18"/>
      <c r="G230" s="19" t="str">
        <f t="shared" ca="1" si="6"/>
        <v/>
      </c>
      <c r="H230" s="18"/>
      <c r="I230" s="18"/>
      <c r="J230" s="77" t="str">
        <f t="shared" ca="1" si="7"/>
        <v/>
      </c>
      <c r="K230" s="19">
        <f>IF(A230="","",COUNTIFS(Resumen!$N$2:$N$2999,ROW(),Resumen!$V$2:$V$2999,1))</f>
        <v/>
      </c>
      <c r="L230" s="20"/>
      <c r="N2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" spans="1:14">
      <c r="A231" s="16"/>
      <c r="B231" s="16"/>
      <c r="C231" s="17"/>
      <c r="D231" s="17"/>
      <c r="E231" s="17"/>
      <c r="F231" s="18"/>
      <c r="G231" s="19" t="str">
        <f t="shared" ca="1" si="6"/>
        <v/>
      </c>
      <c r="H231" s="18"/>
      <c r="I231" s="18"/>
      <c r="J231" s="77" t="str">
        <f t="shared" ca="1" si="7"/>
        <v/>
      </c>
      <c r="K231" s="19">
        <f>IF(A231="","",COUNTIFS(Resumen!$N$2:$N$2999,ROW(),Resumen!$V$2:$V$2999,1))</f>
        <v/>
      </c>
      <c r="L231" s="20"/>
      <c r="N2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" spans="1:14">
      <c r="A232" s="16"/>
      <c r="B232" s="16"/>
      <c r="C232" s="17"/>
      <c r="D232" s="17"/>
      <c r="E232" s="17"/>
      <c r="F232" s="18"/>
      <c r="G232" s="19" t="str">
        <f t="shared" ca="1" si="6"/>
        <v/>
      </c>
      <c r="H232" s="18"/>
      <c r="I232" s="18"/>
      <c r="J232" s="77" t="str">
        <f t="shared" ca="1" si="7"/>
        <v/>
      </c>
      <c r="K232" s="19">
        <f>IF(A232="","",COUNTIFS(Resumen!$N$2:$N$2999,ROW(),Resumen!$V$2:$V$2999,1))</f>
        <v/>
      </c>
      <c r="L232" s="20"/>
      <c r="N2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" spans="1:14">
      <c r="A233" s="16"/>
      <c r="B233" s="16"/>
      <c r="C233" s="17"/>
      <c r="D233" s="17"/>
      <c r="E233" s="17"/>
      <c r="F233" s="18"/>
      <c r="G233" s="19" t="str">
        <f t="shared" ca="1" si="6"/>
        <v/>
      </c>
      <c r="H233" s="18"/>
      <c r="I233" s="18"/>
      <c r="J233" s="77" t="str">
        <f t="shared" ca="1" si="7"/>
        <v/>
      </c>
      <c r="K233" s="19">
        <f>IF(A233="","",COUNTIFS(Resumen!$N$2:$N$2999,ROW(),Resumen!$V$2:$V$2999,1))</f>
        <v/>
      </c>
      <c r="L233" s="20"/>
      <c r="N2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" spans="1:14">
      <c r="A234" s="16"/>
      <c r="B234" s="16"/>
      <c r="C234" s="17"/>
      <c r="D234" s="17"/>
      <c r="E234" s="17"/>
      <c r="F234" s="18"/>
      <c r="G234" s="19" t="str">
        <f t="shared" ca="1" si="6"/>
        <v/>
      </c>
      <c r="H234" s="18"/>
      <c r="I234" s="18"/>
      <c r="J234" s="77" t="str">
        <f t="shared" ca="1" si="7"/>
        <v/>
      </c>
      <c r="K234" s="19">
        <f>IF(A234="","",COUNTIFS(Resumen!$N$2:$N$2999,ROW(),Resumen!$V$2:$V$2999,1))</f>
        <v/>
      </c>
      <c r="L234" s="20"/>
      <c r="N2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" spans="1:14">
      <c r="A235" s="16"/>
      <c r="B235" s="16"/>
      <c r="C235" s="17"/>
      <c r="D235" s="17"/>
      <c r="E235" s="17"/>
      <c r="F235" s="18"/>
      <c r="G235" s="19" t="str">
        <f t="shared" ca="1" si="6"/>
        <v/>
      </c>
      <c r="H235" s="18"/>
      <c r="I235" s="18"/>
      <c r="J235" s="77" t="str">
        <f t="shared" ca="1" si="7"/>
        <v/>
      </c>
      <c r="K235" s="19">
        <f>IF(A235="","",COUNTIFS(Resumen!$N$2:$N$2999,ROW(),Resumen!$V$2:$V$2999,1))</f>
        <v/>
      </c>
      <c r="L235" s="20"/>
      <c r="N2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" spans="1:14">
      <c r="A236" s="16"/>
      <c r="B236" s="16"/>
      <c r="C236" s="17"/>
      <c r="D236" s="17"/>
      <c r="E236" s="17"/>
      <c r="F236" s="18"/>
      <c r="G236" s="19" t="str">
        <f t="shared" ca="1" si="6"/>
        <v/>
      </c>
      <c r="H236" s="18"/>
      <c r="I236" s="18"/>
      <c r="J236" s="77" t="str">
        <f t="shared" ca="1" si="7"/>
        <v/>
      </c>
      <c r="K236" s="19">
        <f>IF(A236="","",COUNTIFS(Resumen!$N$2:$N$2999,ROW(),Resumen!$V$2:$V$2999,1))</f>
        <v/>
      </c>
      <c r="L236" s="20"/>
      <c r="N2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" spans="1:14">
      <c r="A237" s="16"/>
      <c r="B237" s="16"/>
      <c r="C237" s="17"/>
      <c r="D237" s="17"/>
      <c r="E237" s="17"/>
      <c r="F237" s="18"/>
      <c r="G237" s="19" t="str">
        <f t="shared" ca="1" si="6"/>
        <v/>
      </c>
      <c r="H237" s="18"/>
      <c r="I237" s="18"/>
      <c r="J237" s="77" t="str">
        <f t="shared" ca="1" si="7"/>
        <v/>
      </c>
      <c r="K237" s="19">
        <f>IF(A237="","",COUNTIFS(Resumen!$N$2:$N$2999,ROW(),Resumen!$V$2:$V$2999,1))</f>
        <v/>
      </c>
      <c r="L237" s="20"/>
      <c r="N2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" spans="1:14">
      <c r="A238" s="16"/>
      <c r="B238" s="16"/>
      <c r="C238" s="17"/>
      <c r="D238" s="17"/>
      <c r="E238" s="17"/>
      <c r="F238" s="18"/>
      <c r="G238" s="19" t="str">
        <f t="shared" ca="1" si="6"/>
        <v/>
      </c>
      <c r="H238" s="18"/>
      <c r="I238" s="18"/>
      <c r="J238" s="77" t="str">
        <f t="shared" ca="1" si="7"/>
        <v/>
      </c>
      <c r="K238" s="19">
        <f>IF(A238="","",COUNTIFS(Resumen!$N$2:$N$2999,ROW(),Resumen!$V$2:$V$2999,1))</f>
        <v/>
      </c>
      <c r="L238" s="20"/>
      <c r="N2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" spans="1:14">
      <c r="A239" s="16"/>
      <c r="B239" s="16"/>
      <c r="C239" s="17"/>
      <c r="D239" s="17"/>
      <c r="E239" s="17"/>
      <c r="F239" s="18"/>
      <c r="G239" s="19" t="str">
        <f t="shared" ca="1" si="6"/>
        <v/>
      </c>
      <c r="H239" s="18"/>
      <c r="I239" s="18"/>
      <c r="J239" s="77" t="str">
        <f t="shared" ca="1" si="7"/>
        <v/>
      </c>
      <c r="K239" s="19">
        <f>IF(A239="","",COUNTIFS(Resumen!$N$2:$N$2999,ROW(),Resumen!$V$2:$V$2999,1))</f>
        <v/>
      </c>
      <c r="L239" s="20"/>
      <c r="N2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" spans="1:14">
      <c r="A240" s="16"/>
      <c r="B240" s="16"/>
      <c r="C240" s="17"/>
      <c r="D240" s="17"/>
      <c r="E240" s="17"/>
      <c r="F240" s="18"/>
      <c r="G240" s="19" t="str">
        <f t="shared" ca="1" si="6"/>
        <v/>
      </c>
      <c r="H240" s="18"/>
      <c r="I240" s="18"/>
      <c r="J240" s="77" t="str">
        <f t="shared" ca="1" si="7"/>
        <v/>
      </c>
      <c r="K240" s="19">
        <f>IF(A240="","",COUNTIFS(Resumen!$N$2:$N$2999,ROW(),Resumen!$V$2:$V$2999,1))</f>
        <v/>
      </c>
      <c r="L240" s="20"/>
      <c r="N2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" spans="1:14">
      <c r="A241" s="16"/>
      <c r="B241" s="16"/>
      <c r="C241" s="17"/>
      <c r="D241" s="17"/>
      <c r="E241" s="17"/>
      <c r="F241" s="18"/>
      <c r="G241" s="19" t="str">
        <f t="shared" ca="1" si="6"/>
        <v/>
      </c>
      <c r="H241" s="18"/>
      <c r="I241" s="18"/>
      <c r="J241" s="77" t="str">
        <f t="shared" ca="1" si="7"/>
        <v/>
      </c>
      <c r="K241" s="19">
        <f>IF(A241="","",COUNTIFS(Resumen!$N$2:$N$2999,ROW(),Resumen!$V$2:$V$2999,1))</f>
        <v/>
      </c>
      <c r="L241" s="20"/>
      <c r="N2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" spans="1:14">
      <c r="A242" s="16"/>
      <c r="B242" s="16"/>
      <c r="C242" s="17"/>
      <c r="D242" s="17"/>
      <c r="E242" s="17"/>
      <c r="F242" s="18"/>
      <c r="G242" s="19" t="str">
        <f t="shared" ca="1" si="6"/>
        <v/>
      </c>
      <c r="H242" s="18"/>
      <c r="I242" s="18"/>
      <c r="J242" s="77" t="str">
        <f t="shared" ca="1" si="7"/>
        <v/>
      </c>
      <c r="K242" s="19">
        <f>IF(A242="","",COUNTIFS(Resumen!$N$2:$N$2999,ROW(),Resumen!$V$2:$V$2999,1))</f>
        <v/>
      </c>
      <c r="L242" s="20"/>
      <c r="N2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" spans="1:14">
      <c r="A243" s="16"/>
      <c r="B243" s="16"/>
      <c r="C243" s="17"/>
      <c r="D243" s="17"/>
      <c r="E243" s="17"/>
      <c r="F243" s="18"/>
      <c r="G243" s="19" t="str">
        <f t="shared" ca="1" si="6"/>
        <v/>
      </c>
      <c r="H243" s="18"/>
      <c r="I243" s="18"/>
      <c r="J243" s="77" t="str">
        <f t="shared" ca="1" si="7"/>
        <v/>
      </c>
      <c r="K243" s="19">
        <f>IF(A243="","",COUNTIFS(Resumen!$N$2:$N$2999,ROW(),Resumen!$V$2:$V$2999,1))</f>
        <v/>
      </c>
      <c r="L243" s="20"/>
      <c r="N2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" spans="1:14">
      <c r="A244" s="16"/>
      <c r="B244" s="16"/>
      <c r="C244" s="17"/>
      <c r="D244" s="17"/>
      <c r="E244" s="17"/>
      <c r="F244" s="18"/>
      <c r="G244" s="19" t="str">
        <f t="shared" ca="1" si="6"/>
        <v/>
      </c>
      <c r="H244" s="18"/>
      <c r="I244" s="18"/>
      <c r="J244" s="77" t="str">
        <f t="shared" ca="1" si="7"/>
        <v/>
      </c>
      <c r="K244" s="19">
        <f>IF(A244="","",COUNTIFS(Resumen!$N$2:$N$2999,ROW(),Resumen!$V$2:$V$2999,1))</f>
        <v/>
      </c>
      <c r="L244" s="20"/>
      <c r="N2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" spans="1:14">
      <c r="A245" s="16"/>
      <c r="B245" s="16"/>
      <c r="C245" s="17"/>
      <c r="D245" s="17"/>
      <c r="E245" s="17"/>
      <c r="F245" s="18"/>
      <c r="G245" s="19" t="str">
        <f t="shared" ca="1" si="6"/>
        <v/>
      </c>
      <c r="H245" s="18"/>
      <c r="I245" s="18"/>
      <c r="J245" s="77" t="str">
        <f t="shared" ca="1" si="7"/>
        <v/>
      </c>
      <c r="K245" s="19">
        <f>IF(A245="","",COUNTIFS(Resumen!$N$2:$N$2999,ROW(),Resumen!$V$2:$V$2999,1))</f>
        <v/>
      </c>
      <c r="L245" s="20"/>
      <c r="N2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" spans="1:14">
      <c r="A246" s="16"/>
      <c r="B246" s="16"/>
      <c r="C246" s="17"/>
      <c r="D246" s="17"/>
      <c r="E246" s="17"/>
      <c r="F246" s="18"/>
      <c r="G246" s="19" t="str">
        <f t="shared" ca="1" si="6"/>
        <v/>
      </c>
      <c r="H246" s="18"/>
      <c r="I246" s="18"/>
      <c r="J246" s="77" t="str">
        <f t="shared" ca="1" si="7"/>
        <v/>
      </c>
      <c r="K246" s="19">
        <f>IF(A246="","",COUNTIFS(Resumen!$N$2:$N$2999,ROW(),Resumen!$V$2:$V$2999,1))</f>
        <v/>
      </c>
      <c r="L246" s="20"/>
      <c r="N2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" spans="1:14">
      <c r="A247" s="16"/>
      <c r="B247" s="16"/>
      <c r="C247" s="17"/>
      <c r="D247" s="17"/>
      <c r="E247" s="17"/>
      <c r="F247" s="18"/>
      <c r="G247" s="19" t="str">
        <f t="shared" ca="1" si="6"/>
        <v/>
      </c>
      <c r="H247" s="18"/>
      <c r="I247" s="18"/>
      <c r="J247" s="77" t="str">
        <f t="shared" ca="1" si="7"/>
        <v/>
      </c>
      <c r="K247" s="19">
        <f>IF(A247="","",COUNTIFS(Resumen!$N$2:$N$2999,ROW(),Resumen!$V$2:$V$2999,1))</f>
        <v/>
      </c>
      <c r="L247" s="20"/>
      <c r="N2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" spans="1:14">
      <c r="A248" s="16"/>
      <c r="B248" s="16"/>
      <c r="C248" s="17"/>
      <c r="D248" s="17"/>
      <c r="E248" s="17"/>
      <c r="F248" s="18"/>
      <c r="G248" s="19" t="str">
        <f t="shared" ca="1" si="6"/>
        <v/>
      </c>
      <c r="H248" s="18"/>
      <c r="I248" s="18"/>
      <c r="J248" s="77" t="str">
        <f t="shared" ca="1" si="7"/>
        <v/>
      </c>
      <c r="K248" s="19">
        <f>IF(A248="","",COUNTIFS(Resumen!$N$2:$N$2999,ROW(),Resumen!$V$2:$V$2999,1))</f>
        <v/>
      </c>
      <c r="L248" s="20"/>
      <c r="N2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" spans="1:14">
      <c r="A249" s="16"/>
      <c r="B249" s="16"/>
      <c r="C249" s="17"/>
      <c r="D249" s="17"/>
      <c r="E249" s="17"/>
      <c r="F249" s="18"/>
      <c r="G249" s="19" t="str">
        <f t="shared" ca="1" si="6"/>
        <v/>
      </c>
      <c r="H249" s="18"/>
      <c r="I249" s="18"/>
      <c r="J249" s="77" t="str">
        <f t="shared" ca="1" si="7"/>
        <v/>
      </c>
      <c r="K249" s="19">
        <f>IF(A249="","",COUNTIFS(Resumen!$N$2:$N$2999,ROW(),Resumen!$V$2:$V$2999,1))</f>
        <v/>
      </c>
      <c r="L249" s="20"/>
      <c r="N2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" spans="1:14">
      <c r="A250" s="16"/>
      <c r="B250" s="16"/>
      <c r="C250" s="17"/>
      <c r="D250" s="17"/>
      <c r="E250" s="17"/>
      <c r="F250" s="18"/>
      <c r="G250" s="19" t="str">
        <f t="shared" ca="1" si="6"/>
        <v/>
      </c>
      <c r="H250" s="18"/>
      <c r="I250" s="18"/>
      <c r="J250" s="77" t="str">
        <f t="shared" ca="1" si="7"/>
        <v/>
      </c>
      <c r="K250" s="19">
        <f>IF(A250="","",COUNTIFS(Resumen!$N$2:$N$2999,ROW(),Resumen!$V$2:$V$2999,1))</f>
        <v/>
      </c>
      <c r="L250" s="20"/>
      <c r="N2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" spans="1:14">
      <c r="A251" s="16"/>
      <c r="B251" s="16"/>
      <c r="C251" s="17"/>
      <c r="D251" s="17"/>
      <c r="E251" s="17"/>
      <c r="F251" s="18"/>
      <c r="G251" s="19" t="str">
        <f t="shared" ca="1" si="6"/>
        <v/>
      </c>
      <c r="H251" s="18"/>
      <c r="I251" s="18"/>
      <c r="J251" s="77" t="str">
        <f t="shared" ca="1" si="7"/>
        <v/>
      </c>
      <c r="K251" s="19">
        <f>IF(A251="","",COUNTIFS(Resumen!$N$2:$N$2999,ROW(),Resumen!$V$2:$V$2999,1))</f>
        <v/>
      </c>
      <c r="L251" s="20"/>
      <c r="N2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" spans="1:14">
      <c r="A252" s="16"/>
      <c r="B252" s="16"/>
      <c r="C252" s="17"/>
      <c r="D252" s="17"/>
      <c r="E252" s="17"/>
      <c r="F252" s="18"/>
      <c r="G252" s="19" t="str">
        <f t="shared" ca="1" si="6"/>
        <v/>
      </c>
      <c r="H252" s="18"/>
      <c r="I252" s="18"/>
      <c r="J252" s="77" t="str">
        <f t="shared" ca="1" si="7"/>
        <v/>
      </c>
      <c r="K252" s="19">
        <f>IF(A252="","",COUNTIFS(Resumen!$N$2:$N$2999,ROW(),Resumen!$V$2:$V$2999,1))</f>
        <v/>
      </c>
      <c r="L252" s="20"/>
      <c r="N2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" spans="1:14">
      <c r="A253" s="16"/>
      <c r="B253" s="16"/>
      <c r="C253" s="17"/>
      <c r="D253" s="17"/>
      <c r="E253" s="17"/>
      <c r="F253" s="18"/>
      <c r="G253" s="19" t="str">
        <f t="shared" ca="1" si="6"/>
        <v/>
      </c>
      <c r="H253" s="18"/>
      <c r="I253" s="18"/>
      <c r="J253" s="77" t="str">
        <f t="shared" ca="1" si="7"/>
        <v/>
      </c>
      <c r="K253" s="19">
        <f>IF(A253="","",COUNTIFS(Resumen!$N$2:$N$2999,ROW(),Resumen!$V$2:$V$2999,1))</f>
        <v/>
      </c>
      <c r="L253" s="20"/>
      <c r="N2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" spans="1:14">
      <c r="A254" s="16"/>
      <c r="B254" s="16"/>
      <c r="C254" s="17"/>
      <c r="D254" s="17"/>
      <c r="E254" s="17"/>
      <c r="F254" s="18"/>
      <c r="G254" s="19" t="str">
        <f t="shared" ca="1" si="6"/>
        <v/>
      </c>
      <c r="H254" s="18"/>
      <c r="I254" s="18"/>
      <c r="J254" s="77" t="str">
        <f t="shared" ca="1" si="7"/>
        <v/>
      </c>
      <c r="K254" s="19">
        <f>IF(A254="","",COUNTIFS(Resumen!$N$2:$N$2999,ROW(),Resumen!$V$2:$V$2999,1))</f>
        <v/>
      </c>
      <c r="L254" s="20"/>
      <c r="N2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" spans="1:14">
      <c r="A255" s="16"/>
      <c r="B255" s="16"/>
      <c r="C255" s="17"/>
      <c r="D255" s="17"/>
      <c r="E255" s="17"/>
      <c r="F255" s="18"/>
      <c r="G255" s="19" t="str">
        <f t="shared" ca="1" si="6"/>
        <v/>
      </c>
      <c r="H255" s="18"/>
      <c r="I255" s="18"/>
      <c r="J255" s="77" t="str">
        <f t="shared" ca="1" si="7"/>
        <v/>
      </c>
      <c r="K255" s="19">
        <f>IF(A255="","",COUNTIFS(Resumen!$N$2:$N$2999,ROW(),Resumen!$V$2:$V$2999,1))</f>
        <v/>
      </c>
      <c r="L255" s="20"/>
      <c r="N2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" spans="1:14">
      <c r="A256" s="16"/>
      <c r="B256" s="16"/>
      <c r="C256" s="17"/>
      <c r="D256" s="17"/>
      <c r="E256" s="17"/>
      <c r="F256" s="18"/>
      <c r="G256" s="19" t="str">
        <f t="shared" ca="1" si="6"/>
        <v/>
      </c>
      <c r="H256" s="18"/>
      <c r="I256" s="18"/>
      <c r="J256" s="77" t="str">
        <f t="shared" ca="1" si="7"/>
        <v/>
      </c>
      <c r="K256" s="19">
        <f>IF(A256="","",COUNTIFS(Resumen!$N$2:$N$2999,ROW(),Resumen!$V$2:$V$2999,1))</f>
        <v/>
      </c>
      <c r="L256" s="20"/>
      <c r="N2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" spans="1:14">
      <c r="A257" s="16"/>
      <c r="B257" s="16"/>
      <c r="C257" s="17"/>
      <c r="D257" s="17"/>
      <c r="E257" s="17"/>
      <c r="F257" s="18"/>
      <c r="G257" s="19" t="str">
        <f t="shared" ca="1" si="6"/>
        <v/>
      </c>
      <c r="H257" s="18"/>
      <c r="I257" s="18"/>
      <c r="J257" s="77" t="str">
        <f t="shared" ca="1" si="7"/>
        <v/>
      </c>
      <c r="K257" s="19">
        <f>IF(A257="","",COUNTIFS(Resumen!$N$2:$N$2999,ROW(),Resumen!$V$2:$V$2999,1))</f>
        <v/>
      </c>
      <c r="L257" s="20"/>
      <c r="N2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" spans="1:14">
      <c r="A258" s="16"/>
      <c r="B258" s="16"/>
      <c r="C258" s="17"/>
      <c r="D258" s="17"/>
      <c r="E258" s="17"/>
      <c r="F258" s="18"/>
      <c r="G258" s="19" t="str">
        <f t="shared" ref="G258:G321" ca="1" si="8">IF(F258="", "", DATEDIF(F258, TODAY(), "Y"))</f>
        <v/>
      </c>
      <c r="H258" s="18"/>
      <c r="I258" s="18"/>
      <c r="J258" s="77" t="str">
        <f t="shared" ref="J258:J321" ca="1" si="9">IFERROR(IF(ISNUMBER(INDEX(VigenciasFamilia,ROW())),INDEX(VigenciasFamilia,ROW())-TODAY(),""),"")</f>
        <v/>
      </c>
      <c r="K258" s="19">
        <f>IF(A258="","",COUNTIFS(Resumen!$N$2:$N$2999,ROW(),Resumen!$V$2:$V$2999,1))</f>
        <v/>
      </c>
      <c r="L258" s="20"/>
      <c r="N2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" spans="1:14">
      <c r="A259" s="16"/>
      <c r="B259" s="16"/>
      <c r="C259" s="17"/>
      <c r="D259" s="17"/>
      <c r="E259" s="17"/>
      <c r="F259" s="18"/>
      <c r="G259" s="19" t="str">
        <f t="shared" ca="1" si="8"/>
        <v/>
      </c>
      <c r="H259" s="18"/>
      <c r="I259" s="18"/>
      <c r="J259" s="77" t="str">
        <f t="shared" ca="1" si="9"/>
        <v/>
      </c>
      <c r="K259" s="19">
        <f>IF(A259="","",COUNTIFS(Resumen!$N$2:$N$2999,ROW(),Resumen!$V$2:$V$2999,1))</f>
        <v/>
      </c>
      <c r="L259" s="20"/>
      <c r="N2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" spans="1:14">
      <c r="A260" s="16"/>
      <c r="B260" s="16"/>
      <c r="C260" s="17"/>
      <c r="D260" s="17"/>
      <c r="E260" s="17"/>
      <c r="F260" s="18"/>
      <c r="G260" s="19" t="str">
        <f t="shared" ca="1" si="8"/>
        <v/>
      </c>
      <c r="H260" s="18"/>
      <c r="I260" s="18"/>
      <c r="J260" s="77" t="str">
        <f t="shared" ca="1" si="9"/>
        <v/>
      </c>
      <c r="K260" s="19">
        <f>IF(A260="","",COUNTIFS(Resumen!$N$2:$N$2999,ROW(),Resumen!$V$2:$V$2999,1))</f>
        <v/>
      </c>
      <c r="L260" s="20"/>
      <c r="N2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" spans="1:14">
      <c r="A261" s="16"/>
      <c r="B261" s="16"/>
      <c r="C261" s="17"/>
      <c r="D261" s="17"/>
      <c r="E261" s="17"/>
      <c r="F261" s="18"/>
      <c r="G261" s="19" t="str">
        <f t="shared" ca="1" si="8"/>
        <v/>
      </c>
      <c r="H261" s="18"/>
      <c r="I261" s="18"/>
      <c r="J261" s="77" t="str">
        <f t="shared" ca="1" si="9"/>
        <v/>
      </c>
      <c r="K261" s="19">
        <f>IF(A261="","",COUNTIFS(Resumen!$N$2:$N$2999,ROW(),Resumen!$V$2:$V$2999,1))</f>
        <v/>
      </c>
      <c r="L261" s="20"/>
      <c r="N2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" spans="1:14">
      <c r="A262" s="16"/>
      <c r="B262" s="16"/>
      <c r="C262" s="17"/>
      <c r="D262" s="17"/>
      <c r="E262" s="17"/>
      <c r="F262" s="18"/>
      <c r="G262" s="19" t="str">
        <f t="shared" ca="1" si="8"/>
        <v/>
      </c>
      <c r="H262" s="18"/>
      <c r="I262" s="18"/>
      <c r="J262" s="77" t="str">
        <f t="shared" ca="1" si="9"/>
        <v/>
      </c>
      <c r="K262" s="19">
        <f>IF(A262="","",COUNTIFS(Resumen!$N$2:$N$2999,ROW(),Resumen!$V$2:$V$2999,1))</f>
        <v/>
      </c>
      <c r="L262" s="20"/>
      <c r="N2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" spans="1:14">
      <c r="A263" s="16"/>
      <c r="B263" s="16"/>
      <c r="C263" s="17"/>
      <c r="D263" s="17"/>
      <c r="E263" s="17"/>
      <c r="F263" s="18"/>
      <c r="G263" s="19" t="str">
        <f t="shared" ca="1" si="8"/>
        <v/>
      </c>
      <c r="H263" s="18"/>
      <c r="I263" s="18"/>
      <c r="J263" s="77" t="str">
        <f t="shared" ca="1" si="9"/>
        <v/>
      </c>
      <c r="K263" s="19">
        <f>IF(A263="","",COUNTIFS(Resumen!$N$2:$N$2999,ROW(),Resumen!$V$2:$V$2999,1))</f>
        <v/>
      </c>
      <c r="L263" s="20"/>
      <c r="N2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" spans="1:14">
      <c r="A264" s="16"/>
      <c r="B264" s="16"/>
      <c r="C264" s="17"/>
      <c r="D264" s="17"/>
      <c r="E264" s="17"/>
      <c r="F264" s="18"/>
      <c r="G264" s="19" t="str">
        <f t="shared" ca="1" si="8"/>
        <v/>
      </c>
      <c r="H264" s="18"/>
      <c r="I264" s="18"/>
      <c r="J264" s="77" t="str">
        <f t="shared" ca="1" si="9"/>
        <v/>
      </c>
      <c r="K264" s="19">
        <f>IF(A264="","",COUNTIFS(Resumen!$N$2:$N$2999,ROW(),Resumen!$V$2:$V$2999,1))</f>
        <v/>
      </c>
      <c r="L264" s="20"/>
      <c r="N2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" spans="1:14">
      <c r="A265" s="16"/>
      <c r="B265" s="16"/>
      <c r="C265" s="17"/>
      <c r="D265" s="17"/>
      <c r="E265" s="17"/>
      <c r="F265" s="18"/>
      <c r="G265" s="19" t="str">
        <f t="shared" ca="1" si="8"/>
        <v/>
      </c>
      <c r="H265" s="18"/>
      <c r="I265" s="18"/>
      <c r="J265" s="77" t="str">
        <f t="shared" ca="1" si="9"/>
        <v/>
      </c>
      <c r="K265" s="19">
        <f>IF(A265="","",COUNTIFS(Resumen!$N$2:$N$2999,ROW(),Resumen!$V$2:$V$2999,1))</f>
        <v/>
      </c>
      <c r="L265" s="20"/>
      <c r="N2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" spans="1:14">
      <c r="A266" s="16"/>
      <c r="B266" s="16"/>
      <c r="C266" s="17"/>
      <c r="D266" s="17"/>
      <c r="E266" s="17"/>
      <c r="F266" s="18"/>
      <c r="G266" s="19" t="str">
        <f t="shared" ca="1" si="8"/>
        <v/>
      </c>
      <c r="H266" s="18"/>
      <c r="I266" s="18"/>
      <c r="J266" s="77" t="str">
        <f t="shared" ca="1" si="9"/>
        <v/>
      </c>
      <c r="K266" s="19">
        <f>IF(A266="","",COUNTIFS(Resumen!$N$2:$N$2999,ROW(),Resumen!$V$2:$V$2999,1))</f>
        <v/>
      </c>
      <c r="L266" s="20"/>
      <c r="N2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" spans="1:14">
      <c r="A267" s="16"/>
      <c r="B267" s="16"/>
      <c r="C267" s="17"/>
      <c r="D267" s="17"/>
      <c r="E267" s="17"/>
      <c r="F267" s="18"/>
      <c r="G267" s="19" t="str">
        <f t="shared" ca="1" si="8"/>
        <v/>
      </c>
      <c r="H267" s="18"/>
      <c r="I267" s="18"/>
      <c r="J267" s="77" t="str">
        <f t="shared" ca="1" si="9"/>
        <v/>
      </c>
      <c r="K267" s="19">
        <f>IF(A267="","",COUNTIFS(Resumen!$N$2:$N$2999,ROW(),Resumen!$V$2:$V$2999,1))</f>
        <v/>
      </c>
      <c r="L267" s="20"/>
      <c r="N2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" spans="1:14">
      <c r="A268" s="16"/>
      <c r="B268" s="16"/>
      <c r="C268" s="17"/>
      <c r="D268" s="17"/>
      <c r="E268" s="17"/>
      <c r="F268" s="18"/>
      <c r="G268" s="19" t="str">
        <f t="shared" ca="1" si="8"/>
        <v/>
      </c>
      <c r="H268" s="18"/>
      <c r="I268" s="18"/>
      <c r="J268" s="77" t="str">
        <f t="shared" ca="1" si="9"/>
        <v/>
      </c>
      <c r="K268" s="19">
        <f>IF(A268="","",COUNTIFS(Resumen!$N$2:$N$2999,ROW(),Resumen!$V$2:$V$2999,1))</f>
        <v/>
      </c>
      <c r="L268" s="20"/>
      <c r="N2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" spans="1:14">
      <c r="A269" s="16"/>
      <c r="B269" s="16"/>
      <c r="C269" s="17"/>
      <c r="D269" s="17"/>
      <c r="E269" s="17"/>
      <c r="F269" s="18"/>
      <c r="G269" s="19" t="str">
        <f t="shared" ca="1" si="8"/>
        <v/>
      </c>
      <c r="H269" s="18"/>
      <c r="I269" s="18"/>
      <c r="J269" s="77" t="str">
        <f t="shared" ca="1" si="9"/>
        <v/>
      </c>
      <c r="K269" s="19">
        <f>IF(A269="","",COUNTIFS(Resumen!$N$2:$N$2999,ROW(),Resumen!$V$2:$V$2999,1))</f>
        <v/>
      </c>
      <c r="L269" s="20"/>
      <c r="N2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" spans="1:14">
      <c r="A270" s="16"/>
      <c r="B270" s="16"/>
      <c r="C270" s="17"/>
      <c r="D270" s="17"/>
      <c r="E270" s="17"/>
      <c r="F270" s="18"/>
      <c r="G270" s="19" t="str">
        <f t="shared" ca="1" si="8"/>
        <v/>
      </c>
      <c r="H270" s="18"/>
      <c r="I270" s="18"/>
      <c r="J270" s="77" t="str">
        <f t="shared" ca="1" si="9"/>
        <v/>
      </c>
      <c r="K270" s="19">
        <f>IF(A270="","",COUNTIFS(Resumen!$N$2:$N$2999,ROW(),Resumen!$V$2:$V$2999,1))</f>
        <v/>
      </c>
      <c r="L270" s="20"/>
      <c r="N2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" spans="1:14">
      <c r="A271" s="16"/>
      <c r="B271" s="16"/>
      <c r="C271" s="17"/>
      <c r="D271" s="17"/>
      <c r="E271" s="17"/>
      <c r="F271" s="18"/>
      <c r="G271" s="19" t="str">
        <f t="shared" ca="1" si="8"/>
        <v/>
      </c>
      <c r="H271" s="18"/>
      <c r="I271" s="18"/>
      <c r="J271" s="77" t="str">
        <f t="shared" ca="1" si="9"/>
        <v/>
      </c>
      <c r="K271" s="19">
        <f>IF(A271="","",COUNTIFS(Resumen!$N$2:$N$2999,ROW(),Resumen!$V$2:$V$2999,1))</f>
        <v/>
      </c>
      <c r="L271" s="20"/>
      <c r="N2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" spans="1:14">
      <c r="A272" s="16"/>
      <c r="B272" s="16"/>
      <c r="C272" s="17"/>
      <c r="D272" s="17"/>
      <c r="E272" s="17"/>
      <c r="F272" s="18"/>
      <c r="G272" s="19" t="str">
        <f t="shared" ca="1" si="8"/>
        <v/>
      </c>
      <c r="H272" s="18"/>
      <c r="I272" s="18"/>
      <c r="J272" s="77" t="str">
        <f t="shared" ca="1" si="9"/>
        <v/>
      </c>
      <c r="K272" s="19">
        <f>IF(A272="","",COUNTIFS(Resumen!$N$2:$N$2999,ROW(),Resumen!$V$2:$V$2999,1))</f>
        <v/>
      </c>
      <c r="L272" s="20"/>
      <c r="N2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" spans="1:14">
      <c r="A273" s="16"/>
      <c r="B273" s="16"/>
      <c r="C273" s="17"/>
      <c r="D273" s="17"/>
      <c r="E273" s="17"/>
      <c r="F273" s="18"/>
      <c r="G273" s="19" t="str">
        <f t="shared" ca="1" si="8"/>
        <v/>
      </c>
      <c r="H273" s="18"/>
      <c r="I273" s="18"/>
      <c r="J273" s="77" t="str">
        <f t="shared" ca="1" si="9"/>
        <v/>
      </c>
      <c r="K273" s="19">
        <f>IF(A273="","",COUNTIFS(Resumen!$N$2:$N$2999,ROW(),Resumen!$V$2:$V$2999,1))</f>
        <v/>
      </c>
      <c r="L273" s="20"/>
      <c r="N2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" spans="1:14">
      <c r="A274" s="16"/>
      <c r="B274" s="16"/>
      <c r="C274" s="17"/>
      <c r="D274" s="17"/>
      <c r="E274" s="17"/>
      <c r="F274" s="18"/>
      <c r="G274" s="19" t="str">
        <f t="shared" ca="1" si="8"/>
        <v/>
      </c>
      <c r="H274" s="18"/>
      <c r="I274" s="18"/>
      <c r="J274" s="77" t="str">
        <f t="shared" ca="1" si="9"/>
        <v/>
      </c>
      <c r="K274" s="19">
        <f>IF(A274="","",COUNTIFS(Resumen!$N$2:$N$2999,ROW(),Resumen!$V$2:$V$2999,1))</f>
        <v/>
      </c>
      <c r="L274" s="20"/>
      <c r="N2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" spans="1:14">
      <c r="A275" s="16"/>
      <c r="B275" s="16"/>
      <c r="C275" s="17"/>
      <c r="D275" s="17"/>
      <c r="E275" s="17"/>
      <c r="F275" s="18"/>
      <c r="G275" s="19" t="str">
        <f t="shared" ca="1" si="8"/>
        <v/>
      </c>
      <c r="H275" s="18"/>
      <c r="I275" s="18"/>
      <c r="J275" s="77" t="str">
        <f t="shared" ca="1" si="9"/>
        <v/>
      </c>
      <c r="K275" s="19">
        <f>IF(A275="","",COUNTIFS(Resumen!$N$2:$N$2999,ROW(),Resumen!$V$2:$V$2999,1))</f>
        <v/>
      </c>
      <c r="L275" s="20"/>
      <c r="N2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" spans="1:14">
      <c r="A276" s="16"/>
      <c r="B276" s="16"/>
      <c r="C276" s="17"/>
      <c r="D276" s="17"/>
      <c r="E276" s="17"/>
      <c r="F276" s="18"/>
      <c r="G276" s="19" t="str">
        <f t="shared" ca="1" si="8"/>
        <v/>
      </c>
      <c r="H276" s="18"/>
      <c r="I276" s="18"/>
      <c r="J276" s="77" t="str">
        <f t="shared" ca="1" si="9"/>
        <v/>
      </c>
      <c r="K276" s="19">
        <f>IF(A276="","",COUNTIFS(Resumen!$N$2:$N$2999,ROW(),Resumen!$V$2:$V$2999,1))</f>
        <v/>
      </c>
      <c r="L276" s="20"/>
      <c r="N2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" spans="1:14">
      <c r="A277" s="16"/>
      <c r="B277" s="16"/>
      <c r="C277" s="17"/>
      <c r="D277" s="17"/>
      <c r="E277" s="17"/>
      <c r="F277" s="18"/>
      <c r="G277" s="19" t="str">
        <f t="shared" ca="1" si="8"/>
        <v/>
      </c>
      <c r="H277" s="18"/>
      <c r="I277" s="18"/>
      <c r="J277" s="77" t="str">
        <f t="shared" ca="1" si="9"/>
        <v/>
      </c>
      <c r="K277" s="19">
        <f>IF(A277="","",COUNTIFS(Resumen!$N$2:$N$2999,ROW(),Resumen!$V$2:$V$2999,1))</f>
        <v/>
      </c>
      <c r="L277" s="20"/>
      <c r="N2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" spans="1:14">
      <c r="A278" s="16"/>
      <c r="B278" s="16"/>
      <c r="C278" s="17"/>
      <c r="D278" s="17"/>
      <c r="E278" s="17"/>
      <c r="F278" s="18"/>
      <c r="G278" s="19" t="str">
        <f t="shared" ca="1" si="8"/>
        <v/>
      </c>
      <c r="H278" s="18"/>
      <c r="I278" s="18"/>
      <c r="J278" s="77" t="str">
        <f t="shared" ca="1" si="9"/>
        <v/>
      </c>
      <c r="K278" s="19">
        <f>IF(A278="","",COUNTIFS(Resumen!$N$2:$N$2999,ROW(),Resumen!$V$2:$V$2999,1))</f>
        <v/>
      </c>
      <c r="L278" s="20"/>
      <c r="N2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" spans="1:14">
      <c r="A279" s="16"/>
      <c r="B279" s="16"/>
      <c r="C279" s="17"/>
      <c r="D279" s="17"/>
      <c r="E279" s="17"/>
      <c r="F279" s="18"/>
      <c r="G279" s="19" t="str">
        <f t="shared" ca="1" si="8"/>
        <v/>
      </c>
      <c r="H279" s="18"/>
      <c r="I279" s="18"/>
      <c r="J279" s="77" t="str">
        <f t="shared" ca="1" si="9"/>
        <v/>
      </c>
      <c r="K279" s="19">
        <f>IF(A279="","",COUNTIFS(Resumen!$N$2:$N$2999,ROW(),Resumen!$V$2:$V$2999,1))</f>
        <v/>
      </c>
      <c r="L279" s="20"/>
      <c r="N2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" spans="1:14">
      <c r="A280" s="16"/>
      <c r="B280" s="16"/>
      <c r="C280" s="17"/>
      <c r="D280" s="17"/>
      <c r="E280" s="17"/>
      <c r="F280" s="18"/>
      <c r="G280" s="19" t="str">
        <f t="shared" ca="1" si="8"/>
        <v/>
      </c>
      <c r="H280" s="18"/>
      <c r="I280" s="18"/>
      <c r="J280" s="77" t="str">
        <f t="shared" ca="1" si="9"/>
        <v/>
      </c>
      <c r="K280" s="19">
        <f>IF(A280="","",COUNTIFS(Resumen!$N$2:$N$2999,ROW(),Resumen!$V$2:$V$2999,1))</f>
        <v/>
      </c>
      <c r="L280" s="20"/>
      <c r="N2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" spans="1:14">
      <c r="A281" s="16"/>
      <c r="B281" s="16"/>
      <c r="C281" s="17"/>
      <c r="D281" s="17"/>
      <c r="E281" s="17"/>
      <c r="F281" s="18"/>
      <c r="G281" s="19" t="str">
        <f t="shared" ca="1" si="8"/>
        <v/>
      </c>
      <c r="H281" s="18"/>
      <c r="I281" s="18"/>
      <c r="J281" s="77" t="str">
        <f t="shared" ca="1" si="9"/>
        <v/>
      </c>
      <c r="K281" s="19">
        <f>IF(A281="","",COUNTIFS(Resumen!$N$2:$N$2999,ROW(),Resumen!$V$2:$V$2999,1))</f>
        <v/>
      </c>
      <c r="L281" s="20"/>
      <c r="N2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" spans="1:14">
      <c r="A282" s="16"/>
      <c r="B282" s="16"/>
      <c r="C282" s="17"/>
      <c r="D282" s="17"/>
      <c r="E282" s="17"/>
      <c r="F282" s="18"/>
      <c r="G282" s="19" t="str">
        <f t="shared" ca="1" si="8"/>
        <v/>
      </c>
      <c r="H282" s="18"/>
      <c r="I282" s="18"/>
      <c r="J282" s="77" t="str">
        <f t="shared" ca="1" si="9"/>
        <v/>
      </c>
      <c r="K282" s="19">
        <f>IF(A282="","",COUNTIFS(Resumen!$N$2:$N$2999,ROW(),Resumen!$V$2:$V$2999,1))</f>
        <v/>
      </c>
      <c r="L282" s="20"/>
      <c r="N2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" spans="1:14">
      <c r="A283" s="16"/>
      <c r="B283" s="16"/>
      <c r="C283" s="17"/>
      <c r="D283" s="17"/>
      <c r="E283" s="17"/>
      <c r="F283" s="18"/>
      <c r="G283" s="19" t="str">
        <f t="shared" ca="1" si="8"/>
        <v/>
      </c>
      <c r="H283" s="18"/>
      <c r="I283" s="18"/>
      <c r="J283" s="77" t="str">
        <f t="shared" ca="1" si="9"/>
        <v/>
      </c>
      <c r="K283" s="19">
        <f>IF(A283="","",COUNTIFS(Resumen!$N$2:$N$2999,ROW(),Resumen!$V$2:$V$2999,1))</f>
        <v/>
      </c>
      <c r="L283" s="20"/>
      <c r="N2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" spans="1:14">
      <c r="A284" s="16"/>
      <c r="B284" s="16"/>
      <c r="C284" s="17"/>
      <c r="D284" s="17"/>
      <c r="E284" s="17"/>
      <c r="F284" s="18"/>
      <c r="G284" s="19" t="str">
        <f t="shared" ca="1" si="8"/>
        <v/>
      </c>
      <c r="H284" s="18"/>
      <c r="I284" s="18"/>
      <c r="J284" s="77" t="str">
        <f t="shared" ca="1" si="9"/>
        <v/>
      </c>
      <c r="K284" s="19">
        <f>IF(A284="","",COUNTIFS(Resumen!$N$2:$N$2999,ROW(),Resumen!$V$2:$V$2999,1))</f>
        <v/>
      </c>
      <c r="L284" s="20"/>
      <c r="N2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" spans="1:14">
      <c r="A285" s="16"/>
      <c r="B285" s="16"/>
      <c r="C285" s="17"/>
      <c r="D285" s="17"/>
      <c r="E285" s="17"/>
      <c r="F285" s="18"/>
      <c r="G285" s="19" t="str">
        <f t="shared" ca="1" si="8"/>
        <v/>
      </c>
      <c r="H285" s="18"/>
      <c r="I285" s="18"/>
      <c r="J285" s="77" t="str">
        <f t="shared" ca="1" si="9"/>
        <v/>
      </c>
      <c r="K285" s="19">
        <f>IF(A285="","",COUNTIFS(Resumen!$N$2:$N$2999,ROW(),Resumen!$V$2:$V$2999,1))</f>
        <v/>
      </c>
      <c r="L285" s="20"/>
      <c r="N2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" spans="1:14">
      <c r="A286" s="16"/>
      <c r="B286" s="16"/>
      <c r="C286" s="17"/>
      <c r="D286" s="17"/>
      <c r="E286" s="17"/>
      <c r="F286" s="18"/>
      <c r="G286" s="19" t="str">
        <f t="shared" ca="1" si="8"/>
        <v/>
      </c>
      <c r="H286" s="18"/>
      <c r="I286" s="18"/>
      <c r="J286" s="77" t="str">
        <f t="shared" ca="1" si="9"/>
        <v/>
      </c>
      <c r="K286" s="19">
        <f>IF(A286="","",COUNTIFS(Resumen!$N$2:$N$2999,ROW(),Resumen!$V$2:$V$2999,1))</f>
        <v/>
      </c>
      <c r="L286" s="20"/>
      <c r="N2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" spans="1:14">
      <c r="A287" s="16"/>
      <c r="B287" s="16"/>
      <c r="C287" s="17"/>
      <c r="D287" s="17"/>
      <c r="E287" s="17"/>
      <c r="F287" s="18"/>
      <c r="G287" s="19" t="str">
        <f t="shared" ca="1" si="8"/>
        <v/>
      </c>
      <c r="H287" s="18"/>
      <c r="I287" s="18"/>
      <c r="J287" s="77" t="str">
        <f t="shared" ca="1" si="9"/>
        <v/>
      </c>
      <c r="K287" s="19">
        <f>IF(A287="","",COUNTIFS(Resumen!$N$2:$N$2999,ROW(),Resumen!$V$2:$V$2999,1))</f>
        <v/>
      </c>
      <c r="L287" s="20"/>
      <c r="N2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" spans="1:14">
      <c r="A288" s="16"/>
      <c r="B288" s="16"/>
      <c r="C288" s="17"/>
      <c r="D288" s="17"/>
      <c r="E288" s="17"/>
      <c r="F288" s="18"/>
      <c r="G288" s="19" t="str">
        <f t="shared" ca="1" si="8"/>
        <v/>
      </c>
      <c r="H288" s="18"/>
      <c r="I288" s="18"/>
      <c r="J288" s="77" t="str">
        <f t="shared" ca="1" si="9"/>
        <v/>
      </c>
      <c r="K288" s="19">
        <f>IF(A288="","",COUNTIFS(Resumen!$N$2:$N$2999,ROW(),Resumen!$V$2:$V$2999,1))</f>
        <v/>
      </c>
      <c r="L288" s="20"/>
      <c r="N2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" spans="1:14">
      <c r="A289" s="16"/>
      <c r="B289" s="16"/>
      <c r="C289" s="17"/>
      <c r="D289" s="17"/>
      <c r="E289" s="17"/>
      <c r="F289" s="18"/>
      <c r="G289" s="19" t="str">
        <f t="shared" ca="1" si="8"/>
        <v/>
      </c>
      <c r="H289" s="18"/>
      <c r="I289" s="18"/>
      <c r="J289" s="77" t="str">
        <f t="shared" ca="1" si="9"/>
        <v/>
      </c>
      <c r="K289" s="19">
        <f>IF(A289="","",COUNTIFS(Resumen!$N$2:$N$2999,ROW(),Resumen!$V$2:$V$2999,1))</f>
        <v/>
      </c>
      <c r="L289" s="20"/>
      <c r="N2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" spans="1:14">
      <c r="A290" s="16"/>
      <c r="B290" s="16"/>
      <c r="C290" s="17"/>
      <c r="D290" s="17"/>
      <c r="E290" s="17"/>
      <c r="F290" s="18"/>
      <c r="G290" s="19" t="str">
        <f t="shared" ca="1" si="8"/>
        <v/>
      </c>
      <c r="H290" s="18"/>
      <c r="I290" s="18"/>
      <c r="J290" s="77" t="str">
        <f t="shared" ca="1" si="9"/>
        <v/>
      </c>
      <c r="K290" s="19">
        <f>IF(A290="","",COUNTIFS(Resumen!$N$2:$N$2999,ROW(),Resumen!$V$2:$V$2999,1))</f>
        <v/>
      </c>
      <c r="L290" s="20"/>
      <c r="N2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" spans="1:14">
      <c r="A291" s="16"/>
      <c r="B291" s="16"/>
      <c r="C291" s="17"/>
      <c r="D291" s="17"/>
      <c r="E291" s="17"/>
      <c r="F291" s="18"/>
      <c r="G291" s="19" t="str">
        <f t="shared" ca="1" si="8"/>
        <v/>
      </c>
      <c r="H291" s="18"/>
      <c r="I291" s="18"/>
      <c r="J291" s="77" t="str">
        <f t="shared" ca="1" si="9"/>
        <v/>
      </c>
      <c r="K291" s="19">
        <f>IF(A291="","",COUNTIFS(Resumen!$N$2:$N$2999,ROW(),Resumen!$V$2:$V$2999,1))</f>
        <v/>
      </c>
      <c r="L291" s="20"/>
      <c r="N2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" spans="1:14">
      <c r="A292" s="16"/>
      <c r="B292" s="16"/>
      <c r="C292" s="17"/>
      <c r="D292" s="17"/>
      <c r="E292" s="17"/>
      <c r="F292" s="18"/>
      <c r="G292" s="19" t="str">
        <f t="shared" ca="1" si="8"/>
        <v/>
      </c>
      <c r="H292" s="18"/>
      <c r="I292" s="18"/>
      <c r="J292" s="77" t="str">
        <f t="shared" ca="1" si="9"/>
        <v/>
      </c>
      <c r="K292" s="19">
        <f>IF(A292="","",COUNTIFS(Resumen!$N$2:$N$2999,ROW(),Resumen!$V$2:$V$2999,1))</f>
        <v/>
      </c>
      <c r="L292" s="20"/>
      <c r="N2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" spans="1:14">
      <c r="A293" s="16"/>
      <c r="B293" s="16"/>
      <c r="C293" s="17"/>
      <c r="D293" s="17"/>
      <c r="E293" s="17"/>
      <c r="F293" s="18"/>
      <c r="G293" s="19" t="str">
        <f t="shared" ca="1" si="8"/>
        <v/>
      </c>
      <c r="H293" s="18"/>
      <c r="I293" s="18"/>
      <c r="J293" s="77" t="str">
        <f t="shared" ca="1" si="9"/>
        <v/>
      </c>
      <c r="K293" s="19">
        <f>IF(A293="","",COUNTIFS(Resumen!$N$2:$N$2999,ROW(),Resumen!$V$2:$V$2999,1))</f>
        <v/>
      </c>
      <c r="L293" s="20"/>
      <c r="N2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" spans="1:14">
      <c r="A294" s="16"/>
      <c r="B294" s="16"/>
      <c r="C294" s="17"/>
      <c r="D294" s="17"/>
      <c r="E294" s="17"/>
      <c r="F294" s="18"/>
      <c r="G294" s="19" t="str">
        <f t="shared" ca="1" si="8"/>
        <v/>
      </c>
      <c r="H294" s="18"/>
      <c r="I294" s="18"/>
      <c r="J294" s="77" t="str">
        <f t="shared" ca="1" si="9"/>
        <v/>
      </c>
      <c r="K294" s="19">
        <f>IF(A294="","",COUNTIFS(Resumen!$N$2:$N$2999,ROW(),Resumen!$V$2:$V$2999,1))</f>
        <v/>
      </c>
      <c r="L294" s="20"/>
      <c r="N2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" spans="1:14">
      <c r="A295" s="16"/>
      <c r="B295" s="16"/>
      <c r="C295" s="17"/>
      <c r="D295" s="17"/>
      <c r="E295" s="17"/>
      <c r="F295" s="18"/>
      <c r="G295" s="19" t="str">
        <f t="shared" ca="1" si="8"/>
        <v/>
      </c>
      <c r="H295" s="18"/>
      <c r="I295" s="18"/>
      <c r="J295" s="77" t="str">
        <f t="shared" ca="1" si="9"/>
        <v/>
      </c>
      <c r="K295" s="19">
        <f>IF(A295="","",COUNTIFS(Resumen!$N$2:$N$2999,ROW(),Resumen!$V$2:$V$2999,1))</f>
        <v/>
      </c>
      <c r="L295" s="20"/>
      <c r="N2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" spans="1:14">
      <c r="A296" s="16"/>
      <c r="B296" s="16"/>
      <c r="C296" s="17"/>
      <c r="D296" s="17"/>
      <c r="E296" s="17"/>
      <c r="F296" s="18"/>
      <c r="G296" s="19" t="str">
        <f t="shared" ca="1" si="8"/>
        <v/>
      </c>
      <c r="H296" s="18"/>
      <c r="I296" s="18"/>
      <c r="J296" s="77" t="str">
        <f t="shared" ca="1" si="9"/>
        <v/>
      </c>
      <c r="K296" s="19">
        <f>IF(A296="","",COUNTIFS(Resumen!$N$2:$N$2999,ROW(),Resumen!$V$2:$V$2999,1))</f>
        <v/>
      </c>
      <c r="L296" s="20"/>
      <c r="N2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" spans="1:14">
      <c r="A297" s="16"/>
      <c r="B297" s="16"/>
      <c r="C297" s="17"/>
      <c r="D297" s="17"/>
      <c r="E297" s="17"/>
      <c r="F297" s="18"/>
      <c r="G297" s="19" t="str">
        <f t="shared" ca="1" si="8"/>
        <v/>
      </c>
      <c r="H297" s="18"/>
      <c r="I297" s="18"/>
      <c r="J297" s="77" t="str">
        <f t="shared" ca="1" si="9"/>
        <v/>
      </c>
      <c r="K297" s="19">
        <f>IF(A297="","",COUNTIFS(Resumen!$N$2:$N$2999,ROW(),Resumen!$V$2:$V$2999,1))</f>
        <v/>
      </c>
      <c r="L297" s="20"/>
      <c r="N2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" spans="1:14">
      <c r="A298" s="16"/>
      <c r="B298" s="16"/>
      <c r="C298" s="17"/>
      <c r="D298" s="17"/>
      <c r="E298" s="17"/>
      <c r="F298" s="18"/>
      <c r="G298" s="19" t="str">
        <f t="shared" ca="1" si="8"/>
        <v/>
      </c>
      <c r="H298" s="18"/>
      <c r="I298" s="18"/>
      <c r="J298" s="77" t="str">
        <f t="shared" ca="1" si="9"/>
        <v/>
      </c>
      <c r="K298" s="19">
        <f>IF(A298="","",COUNTIFS(Resumen!$N$2:$N$2999,ROW(),Resumen!$V$2:$V$2999,1))</f>
        <v/>
      </c>
      <c r="L298" s="20"/>
      <c r="N2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" spans="1:14">
      <c r="A299" s="16"/>
      <c r="B299" s="16"/>
      <c r="C299" s="17"/>
      <c r="D299" s="17"/>
      <c r="E299" s="17"/>
      <c r="F299" s="18"/>
      <c r="G299" s="19" t="str">
        <f t="shared" ca="1" si="8"/>
        <v/>
      </c>
      <c r="H299" s="18"/>
      <c r="I299" s="18"/>
      <c r="J299" s="77" t="str">
        <f t="shared" ca="1" si="9"/>
        <v/>
      </c>
      <c r="K299" s="19">
        <f>IF(A299="","",COUNTIFS(Resumen!$N$2:$N$2999,ROW(),Resumen!$V$2:$V$2999,1))</f>
        <v/>
      </c>
      <c r="L299" s="20"/>
      <c r="N2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0" spans="1:14">
      <c r="A300" s="16"/>
      <c r="B300" s="16"/>
      <c r="C300" s="17"/>
      <c r="D300" s="17"/>
      <c r="E300" s="17"/>
      <c r="F300" s="18"/>
      <c r="G300" s="19" t="str">
        <f t="shared" ca="1" si="8"/>
        <v/>
      </c>
      <c r="H300" s="18"/>
      <c r="I300" s="18"/>
      <c r="J300" s="77" t="str">
        <f t="shared" ca="1" si="9"/>
        <v/>
      </c>
      <c r="K300" s="19">
        <f>IF(A300="","",COUNTIFS(Resumen!$N$2:$N$2999,ROW(),Resumen!$V$2:$V$2999,1))</f>
        <v/>
      </c>
      <c r="L300" s="20"/>
      <c r="N3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1" spans="1:14">
      <c r="A301" s="16"/>
      <c r="B301" s="16"/>
      <c r="C301" s="17"/>
      <c r="D301" s="17"/>
      <c r="E301" s="17"/>
      <c r="F301" s="18"/>
      <c r="G301" s="19" t="str">
        <f t="shared" ca="1" si="8"/>
        <v/>
      </c>
      <c r="H301" s="18"/>
      <c r="I301" s="18"/>
      <c r="J301" s="77" t="str">
        <f t="shared" ca="1" si="9"/>
        <v/>
      </c>
      <c r="K301" s="19">
        <f>IF(A301="","",COUNTIFS(Resumen!$N$2:$N$2999,ROW(),Resumen!$V$2:$V$2999,1))</f>
        <v/>
      </c>
      <c r="L301" s="20"/>
      <c r="N3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2" spans="1:14">
      <c r="A302" s="16"/>
      <c r="B302" s="16"/>
      <c r="C302" s="17"/>
      <c r="D302" s="17"/>
      <c r="E302" s="17"/>
      <c r="F302" s="18"/>
      <c r="G302" s="19" t="str">
        <f t="shared" ca="1" si="8"/>
        <v/>
      </c>
      <c r="H302" s="18"/>
      <c r="I302" s="18"/>
      <c r="J302" s="77" t="str">
        <f t="shared" ca="1" si="9"/>
        <v/>
      </c>
      <c r="K302" s="19">
        <f>IF(A302="","",COUNTIFS(Resumen!$N$2:$N$2999,ROW(),Resumen!$V$2:$V$2999,1))</f>
        <v/>
      </c>
      <c r="L302" s="20"/>
      <c r="N3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3" spans="1:14">
      <c r="A303" s="16"/>
      <c r="B303" s="16"/>
      <c r="C303" s="17"/>
      <c r="D303" s="17"/>
      <c r="E303" s="17"/>
      <c r="F303" s="18"/>
      <c r="G303" s="19" t="str">
        <f t="shared" ca="1" si="8"/>
        <v/>
      </c>
      <c r="H303" s="18"/>
      <c r="I303" s="18"/>
      <c r="J303" s="77" t="str">
        <f t="shared" ca="1" si="9"/>
        <v/>
      </c>
      <c r="K303" s="19">
        <f>IF(A303="","",COUNTIFS(Resumen!$N$2:$N$2999,ROW(),Resumen!$V$2:$V$2999,1))</f>
        <v/>
      </c>
      <c r="L303" s="20"/>
      <c r="N3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4" spans="1:14">
      <c r="A304" s="16"/>
      <c r="B304" s="16"/>
      <c r="C304" s="17"/>
      <c r="D304" s="17"/>
      <c r="E304" s="17"/>
      <c r="F304" s="18"/>
      <c r="G304" s="19" t="str">
        <f t="shared" ca="1" si="8"/>
        <v/>
      </c>
      <c r="H304" s="18"/>
      <c r="I304" s="18"/>
      <c r="J304" s="77" t="str">
        <f t="shared" ca="1" si="9"/>
        <v/>
      </c>
      <c r="K304" s="19">
        <f>IF(A304="","",COUNTIFS(Resumen!$N$2:$N$2999,ROW(),Resumen!$V$2:$V$2999,1))</f>
        <v/>
      </c>
      <c r="L304" s="20"/>
      <c r="N3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5" spans="1:14">
      <c r="A305" s="16"/>
      <c r="B305" s="16"/>
      <c r="C305" s="17"/>
      <c r="D305" s="17"/>
      <c r="E305" s="17"/>
      <c r="F305" s="18"/>
      <c r="G305" s="19" t="str">
        <f t="shared" ca="1" si="8"/>
        <v/>
      </c>
      <c r="H305" s="18"/>
      <c r="I305" s="18"/>
      <c r="J305" s="77" t="str">
        <f t="shared" ca="1" si="9"/>
        <v/>
      </c>
      <c r="K305" s="19">
        <f>IF(A305="","",COUNTIFS(Resumen!$N$2:$N$2999,ROW(),Resumen!$V$2:$V$2999,1))</f>
        <v/>
      </c>
      <c r="L305" s="20"/>
      <c r="N3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6" spans="1:14">
      <c r="A306" s="16"/>
      <c r="B306" s="16"/>
      <c r="C306" s="17"/>
      <c r="D306" s="17"/>
      <c r="E306" s="17"/>
      <c r="F306" s="18"/>
      <c r="G306" s="19" t="str">
        <f t="shared" ca="1" si="8"/>
        <v/>
      </c>
      <c r="H306" s="18"/>
      <c r="I306" s="18"/>
      <c r="J306" s="77" t="str">
        <f t="shared" ca="1" si="9"/>
        <v/>
      </c>
      <c r="K306" s="19">
        <f>IF(A306="","",COUNTIFS(Resumen!$N$2:$N$2999,ROW(),Resumen!$V$2:$V$2999,1))</f>
        <v/>
      </c>
      <c r="L306" s="20"/>
      <c r="N3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7" spans="1:14">
      <c r="A307" s="16"/>
      <c r="B307" s="16"/>
      <c r="C307" s="17"/>
      <c r="D307" s="17"/>
      <c r="E307" s="17"/>
      <c r="F307" s="18"/>
      <c r="G307" s="19" t="str">
        <f t="shared" ca="1" si="8"/>
        <v/>
      </c>
      <c r="H307" s="18"/>
      <c r="I307" s="18"/>
      <c r="J307" s="77" t="str">
        <f t="shared" ca="1" si="9"/>
        <v/>
      </c>
      <c r="K307" s="19">
        <f>IF(A307="","",COUNTIFS(Resumen!$N$2:$N$2999,ROW(),Resumen!$V$2:$V$2999,1))</f>
        <v/>
      </c>
      <c r="L307" s="20"/>
      <c r="N3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8" spans="1:14">
      <c r="A308" s="16"/>
      <c r="B308" s="16"/>
      <c r="C308" s="17"/>
      <c r="D308" s="17"/>
      <c r="E308" s="17"/>
      <c r="F308" s="18"/>
      <c r="G308" s="19" t="str">
        <f t="shared" ca="1" si="8"/>
        <v/>
      </c>
      <c r="H308" s="18"/>
      <c r="I308" s="18"/>
      <c r="J308" s="77" t="str">
        <f t="shared" ca="1" si="9"/>
        <v/>
      </c>
      <c r="K308" s="19">
        <f>IF(A308="","",COUNTIFS(Resumen!$N$2:$N$2999,ROW(),Resumen!$V$2:$V$2999,1))</f>
        <v/>
      </c>
      <c r="L308" s="20"/>
      <c r="N3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9" spans="1:14">
      <c r="A309" s="16"/>
      <c r="B309" s="16"/>
      <c r="C309" s="17"/>
      <c r="D309" s="17"/>
      <c r="E309" s="17"/>
      <c r="F309" s="18"/>
      <c r="G309" s="19" t="str">
        <f t="shared" ca="1" si="8"/>
        <v/>
      </c>
      <c r="H309" s="18"/>
      <c r="I309" s="18"/>
      <c r="J309" s="77" t="str">
        <f t="shared" ca="1" si="9"/>
        <v/>
      </c>
      <c r="K309" s="19">
        <f>IF(A309="","",COUNTIFS(Resumen!$N$2:$N$2999,ROW(),Resumen!$V$2:$V$2999,1))</f>
        <v/>
      </c>
      <c r="L309" s="20"/>
      <c r="N3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0" spans="1:14">
      <c r="A310" s="16"/>
      <c r="B310" s="16"/>
      <c r="C310" s="17"/>
      <c r="D310" s="17"/>
      <c r="E310" s="17"/>
      <c r="F310" s="18"/>
      <c r="G310" s="19" t="str">
        <f t="shared" ca="1" si="8"/>
        <v/>
      </c>
      <c r="H310" s="18"/>
      <c r="I310" s="18"/>
      <c r="J310" s="77" t="str">
        <f t="shared" ca="1" si="9"/>
        <v/>
      </c>
      <c r="K310" s="19">
        <f>IF(A310="","",COUNTIFS(Resumen!$N$2:$N$2999,ROW(),Resumen!$V$2:$V$2999,1))</f>
        <v/>
      </c>
      <c r="L310" s="20"/>
      <c r="N3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1" spans="1:14">
      <c r="A311" s="16"/>
      <c r="B311" s="16"/>
      <c r="C311" s="17"/>
      <c r="D311" s="17"/>
      <c r="E311" s="17"/>
      <c r="F311" s="18"/>
      <c r="G311" s="19" t="str">
        <f t="shared" ca="1" si="8"/>
        <v/>
      </c>
      <c r="H311" s="18"/>
      <c r="I311" s="18"/>
      <c r="J311" s="77" t="str">
        <f t="shared" ca="1" si="9"/>
        <v/>
      </c>
      <c r="K311" s="19">
        <f>IF(A311="","",COUNTIFS(Resumen!$N$2:$N$2999,ROW(),Resumen!$V$2:$V$2999,1))</f>
        <v/>
      </c>
      <c r="L311" s="20"/>
      <c r="N3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2" spans="1:14">
      <c r="A312" s="16"/>
      <c r="B312" s="16"/>
      <c r="C312" s="17"/>
      <c r="D312" s="17"/>
      <c r="E312" s="17"/>
      <c r="F312" s="18"/>
      <c r="G312" s="19" t="str">
        <f t="shared" ca="1" si="8"/>
        <v/>
      </c>
      <c r="H312" s="18"/>
      <c r="I312" s="18"/>
      <c r="J312" s="77" t="str">
        <f t="shared" ca="1" si="9"/>
        <v/>
      </c>
      <c r="K312" s="19">
        <f>IF(A312="","",COUNTIFS(Resumen!$N$2:$N$2999,ROW(),Resumen!$V$2:$V$2999,1))</f>
        <v/>
      </c>
      <c r="L312" s="20"/>
      <c r="N3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3" spans="1:14">
      <c r="A313" s="16"/>
      <c r="B313" s="16"/>
      <c r="C313" s="17"/>
      <c r="D313" s="17"/>
      <c r="E313" s="17"/>
      <c r="F313" s="18"/>
      <c r="G313" s="19" t="str">
        <f t="shared" ca="1" si="8"/>
        <v/>
      </c>
      <c r="H313" s="18"/>
      <c r="I313" s="18"/>
      <c r="J313" s="77" t="str">
        <f t="shared" ca="1" si="9"/>
        <v/>
      </c>
      <c r="K313" s="19">
        <f>IF(A313="","",COUNTIFS(Resumen!$N$2:$N$2999,ROW(),Resumen!$V$2:$V$2999,1))</f>
        <v/>
      </c>
      <c r="L313" s="20"/>
      <c r="N3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4" spans="1:14">
      <c r="A314" s="16"/>
      <c r="B314" s="16"/>
      <c r="C314" s="17"/>
      <c r="D314" s="17"/>
      <c r="E314" s="17"/>
      <c r="F314" s="18"/>
      <c r="G314" s="19" t="str">
        <f t="shared" ca="1" si="8"/>
        <v/>
      </c>
      <c r="H314" s="18"/>
      <c r="I314" s="18"/>
      <c r="J314" s="77" t="str">
        <f t="shared" ca="1" si="9"/>
        <v/>
      </c>
      <c r="K314" s="19">
        <f>IF(A314="","",COUNTIFS(Resumen!$N$2:$N$2999,ROW(),Resumen!$V$2:$V$2999,1))</f>
        <v/>
      </c>
      <c r="L314" s="20"/>
      <c r="N3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5" spans="1:14">
      <c r="A315" s="16"/>
      <c r="B315" s="16"/>
      <c r="C315" s="17"/>
      <c r="D315" s="17"/>
      <c r="E315" s="17"/>
      <c r="F315" s="18"/>
      <c r="G315" s="19" t="str">
        <f t="shared" ca="1" si="8"/>
        <v/>
      </c>
      <c r="H315" s="18"/>
      <c r="I315" s="18"/>
      <c r="J315" s="77" t="str">
        <f t="shared" ca="1" si="9"/>
        <v/>
      </c>
      <c r="K315" s="19">
        <f>IF(A315="","",COUNTIFS(Resumen!$N$2:$N$2999,ROW(),Resumen!$V$2:$V$2999,1))</f>
        <v/>
      </c>
      <c r="L315" s="20"/>
      <c r="N3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6" spans="1:14">
      <c r="A316" s="16"/>
      <c r="B316" s="16"/>
      <c r="C316" s="17"/>
      <c r="D316" s="17"/>
      <c r="E316" s="17"/>
      <c r="F316" s="18"/>
      <c r="G316" s="19" t="str">
        <f t="shared" ca="1" si="8"/>
        <v/>
      </c>
      <c r="H316" s="18"/>
      <c r="I316" s="18"/>
      <c r="J316" s="77" t="str">
        <f t="shared" ca="1" si="9"/>
        <v/>
      </c>
      <c r="K316" s="19">
        <f>IF(A316="","",COUNTIFS(Resumen!$N$2:$N$2999,ROW(),Resumen!$V$2:$V$2999,1))</f>
        <v/>
      </c>
      <c r="L316" s="20"/>
      <c r="N3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7" spans="1:14">
      <c r="A317" s="16"/>
      <c r="B317" s="16"/>
      <c r="C317" s="17"/>
      <c r="D317" s="17"/>
      <c r="E317" s="17"/>
      <c r="F317" s="18"/>
      <c r="G317" s="19" t="str">
        <f t="shared" ca="1" si="8"/>
        <v/>
      </c>
      <c r="H317" s="18"/>
      <c r="I317" s="18"/>
      <c r="J317" s="77" t="str">
        <f t="shared" ca="1" si="9"/>
        <v/>
      </c>
      <c r="K317" s="19">
        <f>IF(A317="","",COUNTIFS(Resumen!$N$2:$N$2999,ROW(),Resumen!$V$2:$V$2999,1))</f>
        <v/>
      </c>
      <c r="L317" s="20"/>
      <c r="N3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8" spans="1:14">
      <c r="A318" s="16"/>
      <c r="B318" s="16"/>
      <c r="C318" s="17"/>
      <c r="D318" s="17"/>
      <c r="E318" s="17"/>
      <c r="F318" s="18"/>
      <c r="G318" s="19" t="str">
        <f t="shared" ca="1" si="8"/>
        <v/>
      </c>
      <c r="H318" s="18"/>
      <c r="I318" s="18"/>
      <c r="J318" s="77" t="str">
        <f t="shared" ca="1" si="9"/>
        <v/>
      </c>
      <c r="K318" s="19">
        <f>IF(A318="","",COUNTIFS(Resumen!$N$2:$N$2999,ROW(),Resumen!$V$2:$V$2999,1))</f>
        <v/>
      </c>
      <c r="L318" s="20"/>
      <c r="N3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19" spans="1:14">
      <c r="A319" s="16"/>
      <c r="B319" s="16"/>
      <c r="C319" s="17"/>
      <c r="D319" s="17"/>
      <c r="E319" s="17"/>
      <c r="F319" s="18"/>
      <c r="G319" s="19" t="str">
        <f t="shared" ca="1" si="8"/>
        <v/>
      </c>
      <c r="H319" s="18"/>
      <c r="I319" s="18"/>
      <c r="J319" s="77" t="str">
        <f t="shared" ca="1" si="9"/>
        <v/>
      </c>
      <c r="K319" s="19">
        <f>IF(A319="","",COUNTIFS(Resumen!$N$2:$N$2999,ROW(),Resumen!$V$2:$V$2999,1))</f>
        <v/>
      </c>
      <c r="L319" s="20"/>
      <c r="N3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0" spans="1:14">
      <c r="A320" s="16"/>
      <c r="B320" s="16"/>
      <c r="C320" s="17"/>
      <c r="D320" s="17"/>
      <c r="E320" s="17"/>
      <c r="F320" s="18"/>
      <c r="G320" s="19" t="str">
        <f t="shared" ca="1" si="8"/>
        <v/>
      </c>
      <c r="H320" s="18"/>
      <c r="I320" s="18"/>
      <c r="J320" s="77" t="str">
        <f t="shared" ca="1" si="9"/>
        <v/>
      </c>
      <c r="K320" s="19">
        <f>IF(A320="","",COUNTIFS(Resumen!$N$2:$N$2999,ROW(),Resumen!$V$2:$V$2999,1))</f>
        <v/>
      </c>
      <c r="L320" s="20"/>
      <c r="N3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1" spans="1:14">
      <c r="A321" s="16"/>
      <c r="B321" s="16"/>
      <c r="C321" s="17"/>
      <c r="D321" s="17"/>
      <c r="E321" s="17"/>
      <c r="F321" s="18"/>
      <c r="G321" s="19" t="str">
        <f t="shared" ca="1" si="8"/>
        <v/>
      </c>
      <c r="H321" s="18"/>
      <c r="I321" s="18"/>
      <c r="J321" s="77" t="str">
        <f t="shared" ca="1" si="9"/>
        <v/>
      </c>
      <c r="K321" s="19">
        <f>IF(A321="","",COUNTIFS(Resumen!$N$2:$N$2999,ROW(),Resumen!$V$2:$V$2999,1))</f>
        <v/>
      </c>
      <c r="L321" s="20"/>
      <c r="N3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2" spans="1:14">
      <c r="A322" s="16"/>
      <c r="B322" s="16"/>
      <c r="C322" s="17"/>
      <c r="D322" s="17"/>
      <c r="E322" s="17"/>
      <c r="F322" s="18"/>
      <c r="G322" s="19" t="str">
        <f t="shared" ref="G322:G385" ca="1" si="10">IF(F322="", "", DATEDIF(F322, TODAY(), "Y"))</f>
        <v/>
      </c>
      <c r="H322" s="18"/>
      <c r="I322" s="18"/>
      <c r="J322" s="77" t="str">
        <f t="shared" ref="J322:J385" ca="1" si="11">IFERROR(IF(ISNUMBER(INDEX(VigenciasFamilia,ROW())),INDEX(VigenciasFamilia,ROW())-TODAY(),""),"")</f>
        <v/>
      </c>
      <c r="K322" s="19">
        <f>IF(A322="","",COUNTIFS(Resumen!$N$2:$N$2999,ROW(),Resumen!$V$2:$V$2999,1))</f>
        <v/>
      </c>
      <c r="L322" s="20"/>
      <c r="N3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3" spans="1:14">
      <c r="A323" s="16"/>
      <c r="B323" s="16"/>
      <c r="C323" s="17"/>
      <c r="D323" s="17"/>
      <c r="E323" s="17"/>
      <c r="F323" s="18"/>
      <c r="G323" s="19" t="str">
        <f t="shared" ca="1" si="10"/>
        <v/>
      </c>
      <c r="H323" s="18"/>
      <c r="I323" s="18"/>
      <c r="J323" s="77" t="str">
        <f t="shared" ca="1" si="11"/>
        <v/>
      </c>
      <c r="K323" s="19">
        <f>IF(A323="","",COUNTIFS(Resumen!$N$2:$N$2999,ROW(),Resumen!$V$2:$V$2999,1))</f>
        <v/>
      </c>
      <c r="L323" s="20"/>
      <c r="N3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4" spans="1:14">
      <c r="A324" s="16"/>
      <c r="B324" s="16"/>
      <c r="C324" s="17"/>
      <c r="D324" s="17"/>
      <c r="E324" s="17"/>
      <c r="F324" s="18"/>
      <c r="G324" s="19" t="str">
        <f t="shared" ca="1" si="10"/>
        <v/>
      </c>
      <c r="H324" s="18"/>
      <c r="I324" s="18"/>
      <c r="J324" s="77" t="str">
        <f t="shared" ca="1" si="11"/>
        <v/>
      </c>
      <c r="K324" s="19">
        <f>IF(A324="","",COUNTIFS(Resumen!$N$2:$N$2999,ROW(),Resumen!$V$2:$V$2999,1))</f>
        <v/>
      </c>
      <c r="L324" s="20"/>
      <c r="N3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5" spans="1:14">
      <c r="A325" s="16"/>
      <c r="B325" s="16"/>
      <c r="C325" s="17"/>
      <c r="D325" s="17"/>
      <c r="E325" s="17"/>
      <c r="F325" s="18"/>
      <c r="G325" s="19" t="str">
        <f t="shared" ca="1" si="10"/>
        <v/>
      </c>
      <c r="H325" s="18"/>
      <c r="I325" s="18"/>
      <c r="J325" s="77" t="str">
        <f t="shared" ca="1" si="11"/>
        <v/>
      </c>
      <c r="K325" s="19">
        <f>IF(A325="","",COUNTIFS(Resumen!$N$2:$N$2999,ROW(),Resumen!$V$2:$V$2999,1))</f>
        <v/>
      </c>
      <c r="L325" s="20"/>
      <c r="N3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6" spans="1:14">
      <c r="A326" s="16"/>
      <c r="B326" s="16"/>
      <c r="C326" s="17"/>
      <c r="D326" s="17"/>
      <c r="E326" s="17"/>
      <c r="F326" s="18"/>
      <c r="G326" s="19" t="str">
        <f t="shared" ca="1" si="10"/>
        <v/>
      </c>
      <c r="H326" s="18"/>
      <c r="I326" s="18"/>
      <c r="J326" s="77" t="str">
        <f t="shared" ca="1" si="11"/>
        <v/>
      </c>
      <c r="K326" s="19">
        <f>IF(A326="","",COUNTIFS(Resumen!$N$2:$N$2999,ROW(),Resumen!$V$2:$V$2999,1))</f>
        <v/>
      </c>
      <c r="L326" s="20"/>
      <c r="N3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7" spans="1:14">
      <c r="A327" s="16"/>
      <c r="B327" s="16"/>
      <c r="C327" s="17"/>
      <c r="D327" s="17"/>
      <c r="E327" s="17"/>
      <c r="F327" s="18"/>
      <c r="G327" s="19" t="str">
        <f t="shared" ca="1" si="10"/>
        <v/>
      </c>
      <c r="H327" s="18"/>
      <c r="I327" s="18"/>
      <c r="J327" s="77" t="str">
        <f t="shared" ca="1" si="11"/>
        <v/>
      </c>
      <c r="K327" s="19">
        <f>IF(A327="","",COUNTIFS(Resumen!$N$2:$N$2999,ROW(),Resumen!$V$2:$V$2999,1))</f>
        <v/>
      </c>
      <c r="L327" s="20"/>
      <c r="N3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8" spans="1:14">
      <c r="A328" s="16"/>
      <c r="B328" s="16"/>
      <c r="C328" s="17"/>
      <c r="D328" s="17"/>
      <c r="E328" s="17"/>
      <c r="F328" s="18"/>
      <c r="G328" s="19" t="str">
        <f t="shared" ca="1" si="10"/>
        <v/>
      </c>
      <c r="H328" s="18"/>
      <c r="I328" s="18"/>
      <c r="J328" s="77" t="str">
        <f t="shared" ca="1" si="11"/>
        <v/>
      </c>
      <c r="K328" s="19">
        <f>IF(A328="","",COUNTIFS(Resumen!$N$2:$N$2999,ROW(),Resumen!$V$2:$V$2999,1))</f>
        <v/>
      </c>
      <c r="L328" s="20"/>
      <c r="N3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29" spans="1:14">
      <c r="A329" s="16"/>
      <c r="B329" s="16"/>
      <c r="C329" s="17"/>
      <c r="D329" s="17"/>
      <c r="E329" s="17"/>
      <c r="F329" s="18"/>
      <c r="G329" s="19" t="str">
        <f t="shared" ca="1" si="10"/>
        <v/>
      </c>
      <c r="H329" s="18"/>
      <c r="I329" s="18"/>
      <c r="J329" s="77" t="str">
        <f t="shared" ca="1" si="11"/>
        <v/>
      </c>
      <c r="K329" s="19">
        <f>IF(A329="","",COUNTIFS(Resumen!$N$2:$N$2999,ROW(),Resumen!$V$2:$V$2999,1))</f>
        <v/>
      </c>
      <c r="L329" s="20"/>
      <c r="N3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0" spans="1:14">
      <c r="A330" s="16"/>
      <c r="B330" s="16"/>
      <c r="C330" s="17"/>
      <c r="D330" s="17"/>
      <c r="E330" s="17"/>
      <c r="F330" s="18"/>
      <c r="G330" s="19" t="str">
        <f t="shared" ca="1" si="10"/>
        <v/>
      </c>
      <c r="H330" s="18"/>
      <c r="I330" s="18"/>
      <c r="J330" s="77" t="str">
        <f t="shared" ca="1" si="11"/>
        <v/>
      </c>
      <c r="K330" s="19">
        <f>IF(A330="","",COUNTIFS(Resumen!$N$2:$N$2999,ROW(),Resumen!$V$2:$V$2999,1))</f>
        <v/>
      </c>
      <c r="L330" s="20"/>
      <c r="N3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1" spans="1:14">
      <c r="A331" s="16"/>
      <c r="B331" s="16"/>
      <c r="C331" s="17"/>
      <c r="D331" s="17"/>
      <c r="E331" s="17"/>
      <c r="F331" s="18"/>
      <c r="G331" s="19" t="str">
        <f t="shared" ca="1" si="10"/>
        <v/>
      </c>
      <c r="H331" s="18"/>
      <c r="I331" s="18"/>
      <c r="J331" s="77" t="str">
        <f t="shared" ca="1" si="11"/>
        <v/>
      </c>
      <c r="K331" s="19">
        <f>IF(A331="","",COUNTIFS(Resumen!$N$2:$N$2999,ROW(),Resumen!$V$2:$V$2999,1))</f>
        <v/>
      </c>
      <c r="L331" s="20"/>
      <c r="N3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2" spans="1:14">
      <c r="A332" s="16"/>
      <c r="B332" s="16"/>
      <c r="C332" s="17"/>
      <c r="D332" s="17"/>
      <c r="E332" s="17"/>
      <c r="F332" s="18"/>
      <c r="G332" s="19" t="str">
        <f t="shared" ca="1" si="10"/>
        <v/>
      </c>
      <c r="H332" s="18"/>
      <c r="I332" s="18"/>
      <c r="J332" s="77" t="str">
        <f t="shared" ca="1" si="11"/>
        <v/>
      </c>
      <c r="K332" s="19">
        <f>IF(A332="","",COUNTIFS(Resumen!$N$2:$N$2999,ROW(),Resumen!$V$2:$V$2999,1))</f>
        <v/>
      </c>
      <c r="L332" s="20"/>
      <c r="N3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3" spans="1:14">
      <c r="A333" s="16"/>
      <c r="B333" s="16"/>
      <c r="C333" s="17"/>
      <c r="D333" s="17"/>
      <c r="E333" s="17"/>
      <c r="F333" s="18"/>
      <c r="G333" s="19" t="str">
        <f t="shared" ca="1" si="10"/>
        <v/>
      </c>
      <c r="H333" s="18"/>
      <c r="I333" s="18"/>
      <c r="J333" s="77" t="str">
        <f t="shared" ca="1" si="11"/>
        <v/>
      </c>
      <c r="K333" s="19">
        <f>IF(A333="","",COUNTIFS(Resumen!$N$2:$N$2999,ROW(),Resumen!$V$2:$V$2999,1))</f>
        <v/>
      </c>
      <c r="L333" s="20"/>
      <c r="N3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4" spans="1:14">
      <c r="A334" s="16"/>
      <c r="B334" s="16"/>
      <c r="C334" s="17"/>
      <c r="D334" s="17"/>
      <c r="E334" s="17"/>
      <c r="F334" s="18"/>
      <c r="G334" s="19" t="str">
        <f t="shared" ca="1" si="10"/>
        <v/>
      </c>
      <c r="H334" s="18"/>
      <c r="I334" s="18"/>
      <c r="J334" s="77" t="str">
        <f t="shared" ca="1" si="11"/>
        <v/>
      </c>
      <c r="K334" s="19">
        <f>IF(A334="","",COUNTIFS(Resumen!$N$2:$N$2999,ROW(),Resumen!$V$2:$V$2999,1))</f>
        <v/>
      </c>
      <c r="L334" s="20"/>
      <c r="N3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5" spans="1:14">
      <c r="A335" s="16"/>
      <c r="B335" s="16"/>
      <c r="C335" s="17"/>
      <c r="D335" s="17"/>
      <c r="E335" s="17"/>
      <c r="F335" s="18"/>
      <c r="G335" s="19" t="str">
        <f t="shared" ca="1" si="10"/>
        <v/>
      </c>
      <c r="H335" s="18"/>
      <c r="I335" s="18"/>
      <c r="J335" s="77" t="str">
        <f t="shared" ca="1" si="11"/>
        <v/>
      </c>
      <c r="K335" s="19">
        <f>IF(A335="","",COUNTIFS(Resumen!$N$2:$N$2999,ROW(),Resumen!$V$2:$V$2999,1))</f>
        <v/>
      </c>
      <c r="L335" s="20"/>
      <c r="N3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6" spans="1:14">
      <c r="A336" s="16"/>
      <c r="B336" s="16"/>
      <c r="C336" s="17"/>
      <c r="D336" s="17"/>
      <c r="E336" s="17"/>
      <c r="F336" s="18"/>
      <c r="G336" s="19" t="str">
        <f t="shared" ca="1" si="10"/>
        <v/>
      </c>
      <c r="H336" s="18"/>
      <c r="I336" s="18"/>
      <c r="J336" s="77" t="str">
        <f t="shared" ca="1" si="11"/>
        <v/>
      </c>
      <c r="K336" s="19">
        <f>IF(A336="","",COUNTIFS(Resumen!$N$2:$N$2999,ROW(),Resumen!$V$2:$V$2999,1))</f>
        <v/>
      </c>
      <c r="L336" s="20"/>
      <c r="N3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7" spans="1:14">
      <c r="A337" s="16"/>
      <c r="B337" s="16"/>
      <c r="C337" s="17"/>
      <c r="D337" s="17"/>
      <c r="E337" s="17"/>
      <c r="F337" s="18"/>
      <c r="G337" s="19" t="str">
        <f t="shared" ca="1" si="10"/>
        <v/>
      </c>
      <c r="H337" s="18"/>
      <c r="I337" s="18"/>
      <c r="J337" s="77" t="str">
        <f t="shared" ca="1" si="11"/>
        <v/>
      </c>
      <c r="K337" s="19">
        <f>IF(A337="","",COUNTIFS(Resumen!$N$2:$N$2999,ROW(),Resumen!$V$2:$V$2999,1))</f>
        <v/>
      </c>
      <c r="L337" s="20"/>
      <c r="N3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8" spans="1:14">
      <c r="A338" s="16"/>
      <c r="B338" s="16"/>
      <c r="C338" s="17"/>
      <c r="D338" s="17"/>
      <c r="E338" s="17"/>
      <c r="F338" s="18"/>
      <c r="G338" s="19" t="str">
        <f t="shared" ca="1" si="10"/>
        <v/>
      </c>
      <c r="H338" s="18"/>
      <c r="I338" s="18"/>
      <c r="J338" s="77" t="str">
        <f t="shared" ca="1" si="11"/>
        <v/>
      </c>
      <c r="K338" s="19">
        <f>IF(A338="","",COUNTIFS(Resumen!$N$2:$N$2999,ROW(),Resumen!$V$2:$V$2999,1))</f>
        <v/>
      </c>
      <c r="L338" s="20"/>
      <c r="N3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39" spans="1:14">
      <c r="A339" s="16"/>
      <c r="B339" s="16"/>
      <c r="C339" s="17"/>
      <c r="D339" s="17"/>
      <c r="E339" s="17"/>
      <c r="F339" s="18"/>
      <c r="G339" s="19" t="str">
        <f t="shared" ca="1" si="10"/>
        <v/>
      </c>
      <c r="H339" s="18"/>
      <c r="I339" s="18"/>
      <c r="J339" s="77" t="str">
        <f t="shared" ca="1" si="11"/>
        <v/>
      </c>
      <c r="K339" s="19">
        <f>IF(A339="","",COUNTIFS(Resumen!$N$2:$N$2999,ROW(),Resumen!$V$2:$V$2999,1))</f>
        <v/>
      </c>
      <c r="L339" s="20"/>
      <c r="N3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0" spans="1:14">
      <c r="A340" s="16"/>
      <c r="B340" s="16"/>
      <c r="C340" s="17"/>
      <c r="D340" s="17"/>
      <c r="E340" s="17"/>
      <c r="F340" s="18"/>
      <c r="G340" s="19" t="str">
        <f t="shared" ca="1" si="10"/>
        <v/>
      </c>
      <c r="H340" s="18"/>
      <c r="I340" s="18"/>
      <c r="J340" s="77" t="str">
        <f t="shared" ca="1" si="11"/>
        <v/>
      </c>
      <c r="K340" s="19">
        <f>IF(A340="","",COUNTIFS(Resumen!$N$2:$N$2999,ROW(),Resumen!$V$2:$V$2999,1))</f>
        <v/>
      </c>
      <c r="L340" s="20"/>
      <c r="N3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1" spans="1:14">
      <c r="A341" s="16"/>
      <c r="B341" s="16"/>
      <c r="C341" s="17"/>
      <c r="D341" s="17"/>
      <c r="E341" s="17"/>
      <c r="F341" s="18"/>
      <c r="G341" s="19" t="str">
        <f t="shared" ca="1" si="10"/>
        <v/>
      </c>
      <c r="H341" s="18"/>
      <c r="I341" s="18"/>
      <c r="J341" s="77" t="str">
        <f t="shared" ca="1" si="11"/>
        <v/>
      </c>
      <c r="K341" s="19">
        <f>IF(A341="","",COUNTIFS(Resumen!$N$2:$N$2999,ROW(),Resumen!$V$2:$V$2999,1))</f>
        <v/>
      </c>
      <c r="L341" s="20"/>
      <c r="N3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2" spans="1:14">
      <c r="A342" s="16"/>
      <c r="B342" s="16"/>
      <c r="C342" s="17"/>
      <c r="D342" s="17"/>
      <c r="E342" s="17"/>
      <c r="F342" s="18"/>
      <c r="G342" s="19" t="str">
        <f t="shared" ca="1" si="10"/>
        <v/>
      </c>
      <c r="H342" s="18"/>
      <c r="I342" s="18"/>
      <c r="J342" s="77" t="str">
        <f t="shared" ca="1" si="11"/>
        <v/>
      </c>
      <c r="K342" s="19">
        <f>IF(A342="","",COUNTIFS(Resumen!$N$2:$N$2999,ROW(),Resumen!$V$2:$V$2999,1))</f>
        <v/>
      </c>
      <c r="L342" s="20"/>
      <c r="N3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3" spans="1:14">
      <c r="A343" s="16"/>
      <c r="B343" s="16"/>
      <c r="C343" s="17"/>
      <c r="D343" s="17"/>
      <c r="E343" s="17"/>
      <c r="F343" s="18"/>
      <c r="G343" s="19" t="str">
        <f t="shared" ca="1" si="10"/>
        <v/>
      </c>
      <c r="H343" s="18"/>
      <c r="I343" s="18"/>
      <c r="J343" s="77" t="str">
        <f t="shared" ca="1" si="11"/>
        <v/>
      </c>
      <c r="K343" s="19">
        <f>IF(A343="","",COUNTIFS(Resumen!$N$2:$N$2999,ROW(),Resumen!$V$2:$V$2999,1))</f>
        <v/>
      </c>
      <c r="L343" s="20"/>
      <c r="N3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4" spans="1:14">
      <c r="A344" s="16"/>
      <c r="B344" s="16"/>
      <c r="C344" s="17"/>
      <c r="D344" s="17"/>
      <c r="E344" s="17"/>
      <c r="F344" s="18"/>
      <c r="G344" s="19" t="str">
        <f t="shared" ca="1" si="10"/>
        <v/>
      </c>
      <c r="H344" s="18"/>
      <c r="I344" s="18"/>
      <c r="J344" s="77" t="str">
        <f t="shared" ca="1" si="11"/>
        <v/>
      </c>
      <c r="K344" s="19">
        <f>IF(A344="","",COUNTIFS(Resumen!$N$2:$N$2999,ROW(),Resumen!$V$2:$V$2999,1))</f>
        <v/>
      </c>
      <c r="L344" s="20"/>
      <c r="N3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5" spans="1:14">
      <c r="A345" s="16"/>
      <c r="B345" s="16"/>
      <c r="C345" s="17"/>
      <c r="D345" s="17"/>
      <c r="E345" s="17"/>
      <c r="F345" s="18"/>
      <c r="G345" s="19" t="str">
        <f t="shared" ca="1" si="10"/>
        <v/>
      </c>
      <c r="H345" s="18"/>
      <c r="I345" s="18"/>
      <c r="J345" s="77" t="str">
        <f t="shared" ca="1" si="11"/>
        <v/>
      </c>
      <c r="K345" s="19">
        <f>IF(A345="","",COUNTIFS(Resumen!$N$2:$N$2999,ROW(),Resumen!$V$2:$V$2999,1))</f>
        <v/>
      </c>
      <c r="L345" s="20"/>
      <c r="N3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6" spans="1:14">
      <c r="A346" s="16"/>
      <c r="B346" s="16"/>
      <c r="C346" s="17"/>
      <c r="D346" s="17"/>
      <c r="E346" s="17"/>
      <c r="F346" s="18"/>
      <c r="G346" s="19" t="str">
        <f t="shared" ca="1" si="10"/>
        <v/>
      </c>
      <c r="H346" s="18"/>
      <c r="I346" s="18"/>
      <c r="J346" s="77" t="str">
        <f t="shared" ca="1" si="11"/>
        <v/>
      </c>
      <c r="K346" s="19">
        <f>IF(A346="","",COUNTIFS(Resumen!$N$2:$N$2999,ROW(),Resumen!$V$2:$V$2999,1))</f>
        <v/>
      </c>
      <c r="L346" s="20"/>
      <c r="N3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7" spans="1:14">
      <c r="A347" s="16"/>
      <c r="B347" s="16"/>
      <c r="C347" s="17"/>
      <c r="D347" s="17"/>
      <c r="E347" s="17"/>
      <c r="F347" s="18"/>
      <c r="G347" s="19" t="str">
        <f t="shared" ca="1" si="10"/>
        <v/>
      </c>
      <c r="H347" s="18"/>
      <c r="I347" s="18"/>
      <c r="J347" s="77" t="str">
        <f t="shared" ca="1" si="11"/>
        <v/>
      </c>
      <c r="K347" s="19">
        <f>IF(A347="","",COUNTIFS(Resumen!$N$2:$N$2999,ROW(),Resumen!$V$2:$V$2999,1))</f>
        <v/>
      </c>
      <c r="L347" s="20"/>
      <c r="N3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8" spans="1:14">
      <c r="A348" s="16"/>
      <c r="B348" s="16"/>
      <c r="C348" s="17"/>
      <c r="D348" s="17"/>
      <c r="E348" s="17"/>
      <c r="F348" s="18"/>
      <c r="G348" s="19" t="str">
        <f t="shared" ca="1" si="10"/>
        <v/>
      </c>
      <c r="H348" s="18"/>
      <c r="I348" s="18"/>
      <c r="J348" s="77" t="str">
        <f t="shared" ca="1" si="11"/>
        <v/>
      </c>
      <c r="K348" s="19">
        <f>IF(A348="","",COUNTIFS(Resumen!$N$2:$N$2999,ROW(),Resumen!$V$2:$V$2999,1))</f>
        <v/>
      </c>
      <c r="L348" s="20"/>
      <c r="N3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49" spans="1:14">
      <c r="A349" s="16"/>
      <c r="B349" s="16"/>
      <c r="C349" s="17"/>
      <c r="D349" s="17"/>
      <c r="E349" s="17"/>
      <c r="F349" s="18"/>
      <c r="G349" s="19" t="str">
        <f t="shared" ca="1" si="10"/>
        <v/>
      </c>
      <c r="H349" s="18"/>
      <c r="I349" s="18"/>
      <c r="J349" s="77" t="str">
        <f t="shared" ca="1" si="11"/>
        <v/>
      </c>
      <c r="K349" s="19">
        <f>IF(A349="","",COUNTIFS(Resumen!$N$2:$N$2999,ROW(),Resumen!$V$2:$V$2999,1))</f>
        <v/>
      </c>
      <c r="L349" s="20"/>
      <c r="N3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0" spans="1:14">
      <c r="A350" s="16"/>
      <c r="B350" s="16"/>
      <c r="C350" s="17"/>
      <c r="D350" s="17"/>
      <c r="E350" s="17"/>
      <c r="F350" s="18"/>
      <c r="G350" s="19" t="str">
        <f t="shared" ca="1" si="10"/>
        <v/>
      </c>
      <c r="H350" s="18"/>
      <c r="I350" s="18"/>
      <c r="J350" s="77" t="str">
        <f t="shared" ca="1" si="11"/>
        <v/>
      </c>
      <c r="K350" s="19">
        <f>IF(A350="","",COUNTIFS(Resumen!$N$2:$N$2999,ROW(),Resumen!$V$2:$V$2999,1))</f>
        <v/>
      </c>
      <c r="L350" s="20"/>
      <c r="N3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1" spans="1:14">
      <c r="A351" s="16"/>
      <c r="B351" s="16"/>
      <c r="C351" s="17"/>
      <c r="D351" s="17"/>
      <c r="E351" s="17"/>
      <c r="F351" s="18"/>
      <c r="G351" s="19" t="str">
        <f t="shared" ca="1" si="10"/>
        <v/>
      </c>
      <c r="H351" s="18"/>
      <c r="I351" s="18"/>
      <c r="J351" s="77" t="str">
        <f t="shared" ca="1" si="11"/>
        <v/>
      </c>
      <c r="K351" s="19">
        <f>IF(A351="","",COUNTIFS(Resumen!$N$2:$N$2999,ROW(),Resumen!$V$2:$V$2999,1))</f>
        <v/>
      </c>
      <c r="L351" s="20"/>
      <c r="N3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2" spans="1:14">
      <c r="A352" s="16"/>
      <c r="B352" s="16"/>
      <c r="C352" s="17"/>
      <c r="D352" s="17"/>
      <c r="E352" s="17"/>
      <c r="F352" s="18"/>
      <c r="G352" s="19" t="str">
        <f t="shared" ca="1" si="10"/>
        <v/>
      </c>
      <c r="H352" s="18"/>
      <c r="I352" s="18"/>
      <c r="J352" s="77" t="str">
        <f t="shared" ca="1" si="11"/>
        <v/>
      </c>
      <c r="K352" s="19">
        <f>IF(A352="","",COUNTIFS(Resumen!$N$2:$N$2999,ROW(),Resumen!$V$2:$V$2999,1))</f>
        <v/>
      </c>
      <c r="L352" s="20"/>
      <c r="N3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3" spans="1:14">
      <c r="A353" s="16"/>
      <c r="B353" s="16"/>
      <c r="C353" s="17"/>
      <c r="D353" s="17"/>
      <c r="E353" s="17"/>
      <c r="F353" s="18"/>
      <c r="G353" s="19" t="str">
        <f t="shared" ca="1" si="10"/>
        <v/>
      </c>
      <c r="H353" s="18"/>
      <c r="I353" s="18"/>
      <c r="J353" s="77" t="str">
        <f t="shared" ca="1" si="11"/>
        <v/>
      </c>
      <c r="K353" s="19">
        <f>IF(A353="","",COUNTIFS(Resumen!$N$2:$N$2999,ROW(),Resumen!$V$2:$V$2999,1))</f>
        <v/>
      </c>
      <c r="L353" s="20"/>
      <c r="N3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4" spans="1:14">
      <c r="A354" s="16"/>
      <c r="B354" s="16"/>
      <c r="C354" s="17"/>
      <c r="D354" s="17"/>
      <c r="E354" s="17"/>
      <c r="F354" s="18"/>
      <c r="G354" s="19" t="str">
        <f t="shared" ca="1" si="10"/>
        <v/>
      </c>
      <c r="H354" s="18"/>
      <c r="I354" s="18"/>
      <c r="J354" s="77" t="str">
        <f t="shared" ca="1" si="11"/>
        <v/>
      </c>
      <c r="K354" s="19">
        <f>IF(A354="","",COUNTIFS(Resumen!$N$2:$N$2999,ROW(),Resumen!$V$2:$V$2999,1))</f>
        <v/>
      </c>
      <c r="L354" s="20"/>
      <c r="N3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5" spans="1:14">
      <c r="A355" s="16"/>
      <c r="B355" s="16"/>
      <c r="C355" s="17"/>
      <c r="D355" s="17"/>
      <c r="E355" s="17"/>
      <c r="F355" s="18"/>
      <c r="G355" s="19" t="str">
        <f t="shared" ca="1" si="10"/>
        <v/>
      </c>
      <c r="H355" s="18"/>
      <c r="I355" s="18"/>
      <c r="J355" s="77" t="str">
        <f t="shared" ca="1" si="11"/>
        <v/>
      </c>
      <c r="K355" s="19">
        <f>IF(A355="","",COUNTIFS(Resumen!$N$2:$N$2999,ROW(),Resumen!$V$2:$V$2999,1))</f>
        <v/>
      </c>
      <c r="L355" s="20"/>
      <c r="N3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6" spans="1:14">
      <c r="A356" s="16"/>
      <c r="B356" s="16"/>
      <c r="C356" s="17"/>
      <c r="D356" s="17"/>
      <c r="E356" s="17"/>
      <c r="F356" s="18"/>
      <c r="G356" s="19" t="str">
        <f t="shared" ca="1" si="10"/>
        <v/>
      </c>
      <c r="H356" s="18"/>
      <c r="I356" s="18"/>
      <c r="J356" s="77" t="str">
        <f t="shared" ca="1" si="11"/>
        <v/>
      </c>
      <c r="K356" s="19">
        <f>IF(A356="","",COUNTIFS(Resumen!$N$2:$N$2999,ROW(),Resumen!$V$2:$V$2999,1))</f>
        <v/>
      </c>
      <c r="L356" s="20"/>
      <c r="N3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7" spans="1:14">
      <c r="A357" s="16"/>
      <c r="B357" s="16"/>
      <c r="C357" s="17"/>
      <c r="D357" s="17"/>
      <c r="E357" s="17"/>
      <c r="F357" s="18"/>
      <c r="G357" s="19" t="str">
        <f t="shared" ca="1" si="10"/>
        <v/>
      </c>
      <c r="H357" s="18"/>
      <c r="I357" s="18"/>
      <c r="J357" s="77" t="str">
        <f t="shared" ca="1" si="11"/>
        <v/>
      </c>
      <c r="K357" s="19">
        <f>IF(A357="","",COUNTIFS(Resumen!$N$2:$N$2999,ROW(),Resumen!$V$2:$V$2999,1))</f>
        <v/>
      </c>
      <c r="L357" s="20"/>
      <c r="N3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8" spans="1:14">
      <c r="A358" s="16"/>
      <c r="B358" s="16"/>
      <c r="C358" s="17"/>
      <c r="D358" s="17"/>
      <c r="E358" s="17"/>
      <c r="F358" s="18"/>
      <c r="G358" s="19" t="str">
        <f t="shared" ca="1" si="10"/>
        <v/>
      </c>
      <c r="H358" s="18"/>
      <c r="I358" s="18"/>
      <c r="J358" s="77" t="str">
        <f t="shared" ca="1" si="11"/>
        <v/>
      </c>
      <c r="K358" s="19">
        <f>IF(A358="","",COUNTIFS(Resumen!$N$2:$N$2999,ROW(),Resumen!$V$2:$V$2999,1))</f>
        <v/>
      </c>
      <c r="L358" s="20"/>
      <c r="N3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59" spans="1:14">
      <c r="A359" s="16"/>
      <c r="B359" s="16"/>
      <c r="C359" s="17"/>
      <c r="D359" s="17"/>
      <c r="E359" s="17"/>
      <c r="F359" s="18"/>
      <c r="G359" s="19" t="str">
        <f t="shared" ca="1" si="10"/>
        <v/>
      </c>
      <c r="H359" s="18"/>
      <c r="I359" s="18"/>
      <c r="J359" s="77" t="str">
        <f t="shared" ca="1" si="11"/>
        <v/>
      </c>
      <c r="K359" s="19">
        <f>IF(A359="","",COUNTIFS(Resumen!$N$2:$N$2999,ROW(),Resumen!$V$2:$V$2999,1))</f>
        <v/>
      </c>
      <c r="L359" s="20"/>
      <c r="N3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0" spans="1:14">
      <c r="A360" s="16"/>
      <c r="B360" s="16"/>
      <c r="C360" s="17"/>
      <c r="D360" s="17"/>
      <c r="E360" s="17"/>
      <c r="F360" s="18"/>
      <c r="G360" s="19" t="str">
        <f t="shared" ca="1" si="10"/>
        <v/>
      </c>
      <c r="H360" s="18"/>
      <c r="I360" s="18"/>
      <c r="J360" s="77" t="str">
        <f t="shared" ca="1" si="11"/>
        <v/>
      </c>
      <c r="K360" s="19">
        <f>IF(A360="","",COUNTIFS(Resumen!$N$2:$N$2999,ROW(),Resumen!$V$2:$V$2999,1))</f>
        <v/>
      </c>
      <c r="L360" s="20"/>
      <c r="N3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1" spans="1:14">
      <c r="A361" s="16"/>
      <c r="B361" s="16"/>
      <c r="C361" s="17"/>
      <c r="D361" s="17"/>
      <c r="E361" s="17"/>
      <c r="F361" s="18"/>
      <c r="G361" s="19" t="str">
        <f t="shared" ca="1" si="10"/>
        <v/>
      </c>
      <c r="H361" s="18"/>
      <c r="I361" s="18"/>
      <c r="J361" s="77" t="str">
        <f t="shared" ca="1" si="11"/>
        <v/>
      </c>
      <c r="K361" s="19">
        <f>IF(A361="","",COUNTIFS(Resumen!$N$2:$N$2999,ROW(),Resumen!$V$2:$V$2999,1))</f>
        <v/>
      </c>
      <c r="L361" s="20"/>
      <c r="N3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2" spans="1:14">
      <c r="A362" s="16"/>
      <c r="B362" s="16"/>
      <c r="C362" s="17"/>
      <c r="D362" s="17"/>
      <c r="E362" s="17"/>
      <c r="F362" s="18"/>
      <c r="G362" s="19" t="str">
        <f t="shared" ca="1" si="10"/>
        <v/>
      </c>
      <c r="H362" s="18"/>
      <c r="I362" s="18"/>
      <c r="J362" s="77" t="str">
        <f t="shared" ca="1" si="11"/>
        <v/>
      </c>
      <c r="K362" s="19">
        <f>IF(A362="","",COUNTIFS(Resumen!$N$2:$N$2999,ROW(),Resumen!$V$2:$V$2999,1))</f>
        <v/>
      </c>
      <c r="L362" s="20"/>
      <c r="N3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3" spans="1:14">
      <c r="A363" s="16"/>
      <c r="B363" s="16"/>
      <c r="C363" s="17"/>
      <c r="D363" s="17"/>
      <c r="E363" s="17"/>
      <c r="F363" s="18"/>
      <c r="G363" s="19" t="str">
        <f t="shared" ca="1" si="10"/>
        <v/>
      </c>
      <c r="H363" s="18"/>
      <c r="I363" s="18"/>
      <c r="J363" s="77" t="str">
        <f t="shared" ca="1" si="11"/>
        <v/>
      </c>
      <c r="K363" s="19">
        <f>IF(A363="","",COUNTIFS(Resumen!$N$2:$N$2999,ROW(),Resumen!$V$2:$V$2999,1))</f>
        <v/>
      </c>
      <c r="L363" s="20"/>
      <c r="N3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4" spans="1:14">
      <c r="A364" s="16"/>
      <c r="B364" s="16"/>
      <c r="C364" s="17"/>
      <c r="D364" s="17"/>
      <c r="E364" s="17"/>
      <c r="F364" s="18"/>
      <c r="G364" s="19" t="str">
        <f t="shared" ca="1" si="10"/>
        <v/>
      </c>
      <c r="H364" s="18"/>
      <c r="I364" s="18"/>
      <c r="J364" s="77" t="str">
        <f t="shared" ca="1" si="11"/>
        <v/>
      </c>
      <c r="K364" s="19">
        <f>IF(A364="","",COUNTIFS(Resumen!$N$2:$N$2999,ROW(),Resumen!$V$2:$V$2999,1))</f>
        <v/>
      </c>
      <c r="L364" s="20"/>
      <c r="N3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5" spans="1:14">
      <c r="A365" s="16"/>
      <c r="B365" s="16"/>
      <c r="C365" s="17"/>
      <c r="D365" s="17"/>
      <c r="E365" s="17"/>
      <c r="F365" s="18"/>
      <c r="G365" s="19" t="str">
        <f t="shared" ca="1" si="10"/>
        <v/>
      </c>
      <c r="H365" s="18"/>
      <c r="I365" s="18"/>
      <c r="J365" s="77" t="str">
        <f t="shared" ca="1" si="11"/>
        <v/>
      </c>
      <c r="K365" s="19">
        <f>IF(A365="","",COUNTIFS(Resumen!$N$2:$N$2999,ROW(),Resumen!$V$2:$V$2999,1))</f>
        <v/>
      </c>
      <c r="L365" s="20"/>
      <c r="N3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6" spans="1:14">
      <c r="A366" s="16"/>
      <c r="B366" s="16"/>
      <c r="C366" s="17"/>
      <c r="D366" s="17"/>
      <c r="E366" s="17"/>
      <c r="F366" s="18"/>
      <c r="G366" s="19" t="str">
        <f t="shared" ca="1" si="10"/>
        <v/>
      </c>
      <c r="H366" s="18"/>
      <c r="I366" s="18"/>
      <c r="J366" s="77" t="str">
        <f t="shared" ca="1" si="11"/>
        <v/>
      </c>
      <c r="K366" s="19">
        <f>IF(A366="","",COUNTIFS(Resumen!$N$2:$N$2999,ROW(),Resumen!$V$2:$V$2999,1))</f>
        <v/>
      </c>
      <c r="L366" s="20"/>
      <c r="N3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7" spans="1:14">
      <c r="A367" s="16"/>
      <c r="B367" s="16"/>
      <c r="C367" s="17"/>
      <c r="D367" s="17"/>
      <c r="E367" s="17"/>
      <c r="F367" s="18"/>
      <c r="G367" s="19" t="str">
        <f t="shared" ca="1" si="10"/>
        <v/>
      </c>
      <c r="H367" s="18"/>
      <c r="I367" s="18"/>
      <c r="J367" s="77" t="str">
        <f t="shared" ca="1" si="11"/>
        <v/>
      </c>
      <c r="K367" s="19">
        <f>IF(A367="","",COUNTIFS(Resumen!$N$2:$N$2999,ROW(),Resumen!$V$2:$V$2999,1))</f>
        <v/>
      </c>
      <c r="L367" s="20"/>
      <c r="N3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8" spans="1:14">
      <c r="A368" s="16"/>
      <c r="B368" s="16"/>
      <c r="C368" s="17"/>
      <c r="D368" s="17"/>
      <c r="E368" s="17"/>
      <c r="F368" s="18"/>
      <c r="G368" s="19" t="str">
        <f t="shared" ca="1" si="10"/>
        <v/>
      </c>
      <c r="H368" s="18"/>
      <c r="I368" s="18"/>
      <c r="J368" s="77" t="str">
        <f t="shared" ca="1" si="11"/>
        <v/>
      </c>
      <c r="K368" s="19">
        <f>IF(A368="","",COUNTIFS(Resumen!$N$2:$N$2999,ROW(),Resumen!$V$2:$V$2999,1))</f>
        <v/>
      </c>
      <c r="L368" s="20"/>
      <c r="N3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69" spans="1:14">
      <c r="A369" s="16"/>
      <c r="B369" s="16"/>
      <c r="C369" s="17"/>
      <c r="D369" s="17"/>
      <c r="E369" s="17"/>
      <c r="F369" s="18"/>
      <c r="G369" s="19" t="str">
        <f t="shared" ca="1" si="10"/>
        <v/>
      </c>
      <c r="H369" s="18"/>
      <c r="I369" s="18"/>
      <c r="J369" s="77" t="str">
        <f t="shared" ca="1" si="11"/>
        <v/>
      </c>
      <c r="K369" s="19">
        <f>IF(A369="","",COUNTIFS(Resumen!$N$2:$N$2999,ROW(),Resumen!$V$2:$V$2999,1))</f>
        <v/>
      </c>
      <c r="L369" s="20"/>
      <c r="N3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0" spans="1:14">
      <c r="A370" s="16"/>
      <c r="B370" s="16"/>
      <c r="C370" s="17"/>
      <c r="D370" s="17"/>
      <c r="E370" s="17"/>
      <c r="F370" s="18"/>
      <c r="G370" s="19" t="str">
        <f t="shared" ca="1" si="10"/>
        <v/>
      </c>
      <c r="H370" s="18"/>
      <c r="I370" s="18"/>
      <c r="J370" s="77" t="str">
        <f t="shared" ca="1" si="11"/>
        <v/>
      </c>
      <c r="K370" s="19">
        <f>IF(A370="","",COUNTIFS(Resumen!$N$2:$N$2999,ROW(),Resumen!$V$2:$V$2999,1))</f>
        <v/>
      </c>
      <c r="L370" s="20"/>
      <c r="N3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1" spans="1:14">
      <c r="A371" s="16"/>
      <c r="B371" s="16"/>
      <c r="C371" s="17"/>
      <c r="D371" s="17"/>
      <c r="E371" s="17"/>
      <c r="F371" s="18"/>
      <c r="G371" s="19" t="str">
        <f t="shared" ca="1" si="10"/>
        <v/>
      </c>
      <c r="H371" s="18"/>
      <c r="I371" s="18"/>
      <c r="J371" s="77" t="str">
        <f t="shared" ca="1" si="11"/>
        <v/>
      </c>
      <c r="K371" s="19">
        <f>IF(A371="","",COUNTIFS(Resumen!$N$2:$N$2999,ROW(),Resumen!$V$2:$V$2999,1))</f>
        <v/>
      </c>
      <c r="L371" s="20"/>
      <c r="N3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2" spans="1:14">
      <c r="A372" s="16"/>
      <c r="B372" s="16"/>
      <c r="C372" s="17"/>
      <c r="D372" s="17"/>
      <c r="E372" s="17"/>
      <c r="F372" s="18"/>
      <c r="G372" s="19" t="str">
        <f t="shared" ca="1" si="10"/>
        <v/>
      </c>
      <c r="H372" s="18"/>
      <c r="I372" s="18"/>
      <c r="J372" s="77" t="str">
        <f t="shared" ca="1" si="11"/>
        <v/>
      </c>
      <c r="K372" s="19">
        <f>IF(A372="","",COUNTIFS(Resumen!$N$2:$N$2999,ROW(),Resumen!$V$2:$V$2999,1))</f>
        <v/>
      </c>
      <c r="L372" s="20"/>
      <c r="N3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3" spans="1:14">
      <c r="A373" s="16"/>
      <c r="B373" s="16"/>
      <c r="C373" s="17"/>
      <c r="D373" s="17"/>
      <c r="E373" s="17"/>
      <c r="F373" s="18"/>
      <c r="G373" s="19" t="str">
        <f t="shared" ca="1" si="10"/>
        <v/>
      </c>
      <c r="H373" s="18"/>
      <c r="I373" s="18"/>
      <c r="J373" s="77" t="str">
        <f t="shared" ca="1" si="11"/>
        <v/>
      </c>
      <c r="K373" s="19">
        <f>IF(A373="","",COUNTIFS(Resumen!$N$2:$N$2999,ROW(),Resumen!$V$2:$V$2999,1))</f>
        <v/>
      </c>
      <c r="L373" s="20"/>
      <c r="N3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4" spans="1:14">
      <c r="A374" s="16"/>
      <c r="B374" s="16"/>
      <c r="C374" s="17"/>
      <c r="D374" s="17"/>
      <c r="E374" s="17"/>
      <c r="F374" s="18"/>
      <c r="G374" s="19" t="str">
        <f t="shared" ca="1" si="10"/>
        <v/>
      </c>
      <c r="H374" s="18"/>
      <c r="I374" s="18"/>
      <c r="J374" s="77" t="str">
        <f t="shared" ca="1" si="11"/>
        <v/>
      </c>
      <c r="K374" s="19">
        <f>IF(A374="","",COUNTIFS(Resumen!$N$2:$N$2999,ROW(),Resumen!$V$2:$V$2999,1))</f>
        <v/>
      </c>
      <c r="L374" s="20"/>
      <c r="N3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5" spans="1:14">
      <c r="A375" s="16"/>
      <c r="B375" s="16"/>
      <c r="C375" s="17"/>
      <c r="D375" s="17"/>
      <c r="E375" s="17"/>
      <c r="F375" s="18"/>
      <c r="G375" s="19" t="str">
        <f t="shared" ca="1" si="10"/>
        <v/>
      </c>
      <c r="H375" s="18"/>
      <c r="I375" s="18"/>
      <c r="J375" s="77" t="str">
        <f t="shared" ca="1" si="11"/>
        <v/>
      </c>
      <c r="K375" s="19">
        <f>IF(A375="","",COUNTIFS(Resumen!$N$2:$N$2999,ROW(),Resumen!$V$2:$V$2999,1))</f>
        <v/>
      </c>
      <c r="L375" s="20"/>
      <c r="N3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6" spans="1:14">
      <c r="A376" s="16"/>
      <c r="B376" s="16"/>
      <c r="C376" s="17"/>
      <c r="D376" s="17"/>
      <c r="E376" s="17"/>
      <c r="F376" s="18"/>
      <c r="G376" s="19" t="str">
        <f t="shared" ca="1" si="10"/>
        <v/>
      </c>
      <c r="H376" s="18"/>
      <c r="I376" s="18"/>
      <c r="J376" s="77" t="str">
        <f t="shared" ca="1" si="11"/>
        <v/>
      </c>
      <c r="K376" s="19">
        <f>IF(A376="","",COUNTIFS(Resumen!$N$2:$N$2999,ROW(),Resumen!$V$2:$V$2999,1))</f>
        <v/>
      </c>
      <c r="L376" s="20"/>
      <c r="N3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7" spans="1:14">
      <c r="A377" s="16"/>
      <c r="B377" s="16"/>
      <c r="C377" s="17"/>
      <c r="D377" s="17"/>
      <c r="E377" s="17"/>
      <c r="F377" s="18"/>
      <c r="G377" s="19" t="str">
        <f t="shared" ca="1" si="10"/>
        <v/>
      </c>
      <c r="H377" s="18"/>
      <c r="I377" s="18"/>
      <c r="J377" s="77" t="str">
        <f t="shared" ca="1" si="11"/>
        <v/>
      </c>
      <c r="K377" s="19">
        <f>IF(A377="","",COUNTIFS(Resumen!$N$2:$N$2999,ROW(),Resumen!$V$2:$V$2999,1))</f>
        <v/>
      </c>
      <c r="L377" s="20"/>
      <c r="N3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8" spans="1:14">
      <c r="A378" s="16"/>
      <c r="B378" s="16"/>
      <c r="C378" s="17"/>
      <c r="D378" s="17"/>
      <c r="E378" s="17"/>
      <c r="F378" s="18"/>
      <c r="G378" s="19" t="str">
        <f t="shared" ca="1" si="10"/>
        <v/>
      </c>
      <c r="H378" s="18"/>
      <c r="I378" s="18"/>
      <c r="J378" s="77" t="str">
        <f t="shared" ca="1" si="11"/>
        <v/>
      </c>
      <c r="K378" s="19">
        <f>IF(A378="","",COUNTIFS(Resumen!$N$2:$N$2999,ROW(),Resumen!$V$2:$V$2999,1))</f>
        <v/>
      </c>
      <c r="L378" s="20"/>
      <c r="N3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79" spans="1:14">
      <c r="A379" s="16"/>
      <c r="B379" s="16"/>
      <c r="C379" s="17"/>
      <c r="D379" s="17"/>
      <c r="E379" s="17"/>
      <c r="F379" s="18"/>
      <c r="G379" s="19" t="str">
        <f t="shared" ca="1" si="10"/>
        <v/>
      </c>
      <c r="H379" s="18"/>
      <c r="I379" s="18"/>
      <c r="J379" s="77" t="str">
        <f t="shared" ca="1" si="11"/>
        <v/>
      </c>
      <c r="K379" s="19">
        <f>IF(A379="","",COUNTIFS(Resumen!$N$2:$N$2999,ROW(),Resumen!$V$2:$V$2999,1))</f>
        <v/>
      </c>
      <c r="L379" s="20"/>
      <c r="N3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0" spans="1:14">
      <c r="A380" s="16"/>
      <c r="B380" s="16"/>
      <c r="C380" s="17"/>
      <c r="D380" s="17"/>
      <c r="E380" s="17"/>
      <c r="F380" s="18"/>
      <c r="G380" s="19" t="str">
        <f t="shared" ca="1" si="10"/>
        <v/>
      </c>
      <c r="H380" s="18"/>
      <c r="I380" s="18"/>
      <c r="J380" s="77" t="str">
        <f t="shared" ca="1" si="11"/>
        <v/>
      </c>
      <c r="K380" s="19">
        <f>IF(A380="","",COUNTIFS(Resumen!$N$2:$N$2999,ROW(),Resumen!$V$2:$V$2999,1))</f>
        <v/>
      </c>
      <c r="L380" s="20"/>
      <c r="N3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1" spans="1:14">
      <c r="A381" s="16"/>
      <c r="B381" s="16"/>
      <c r="C381" s="17"/>
      <c r="D381" s="17"/>
      <c r="E381" s="17"/>
      <c r="F381" s="18"/>
      <c r="G381" s="19" t="str">
        <f t="shared" ca="1" si="10"/>
        <v/>
      </c>
      <c r="H381" s="18"/>
      <c r="I381" s="18"/>
      <c r="J381" s="77" t="str">
        <f t="shared" ca="1" si="11"/>
        <v/>
      </c>
      <c r="K381" s="19">
        <f>IF(A381="","",COUNTIFS(Resumen!$N$2:$N$2999,ROW(),Resumen!$V$2:$V$2999,1))</f>
        <v/>
      </c>
      <c r="L381" s="20"/>
      <c r="N3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2" spans="1:14">
      <c r="A382" s="16"/>
      <c r="B382" s="16"/>
      <c r="C382" s="17"/>
      <c r="D382" s="17"/>
      <c r="E382" s="17"/>
      <c r="F382" s="18"/>
      <c r="G382" s="19" t="str">
        <f t="shared" ca="1" si="10"/>
        <v/>
      </c>
      <c r="H382" s="18"/>
      <c r="I382" s="18"/>
      <c r="J382" s="77" t="str">
        <f t="shared" ca="1" si="11"/>
        <v/>
      </c>
      <c r="K382" s="19">
        <f>IF(A382="","",COUNTIFS(Resumen!$N$2:$N$2999,ROW(),Resumen!$V$2:$V$2999,1))</f>
        <v/>
      </c>
      <c r="L382" s="20"/>
      <c r="N3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3" spans="1:14">
      <c r="A383" s="16"/>
      <c r="B383" s="16"/>
      <c r="C383" s="17"/>
      <c r="D383" s="17"/>
      <c r="E383" s="17"/>
      <c r="F383" s="18"/>
      <c r="G383" s="19" t="str">
        <f t="shared" ca="1" si="10"/>
        <v/>
      </c>
      <c r="H383" s="18"/>
      <c r="I383" s="18"/>
      <c r="J383" s="77" t="str">
        <f t="shared" ca="1" si="11"/>
        <v/>
      </c>
      <c r="K383" s="19">
        <f>IF(A383="","",COUNTIFS(Resumen!$N$2:$N$2999,ROW(),Resumen!$V$2:$V$2999,1))</f>
        <v/>
      </c>
      <c r="L383" s="20"/>
      <c r="N3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4" spans="1:14">
      <c r="A384" s="16"/>
      <c r="B384" s="16"/>
      <c r="C384" s="17"/>
      <c r="D384" s="17"/>
      <c r="E384" s="17"/>
      <c r="F384" s="18"/>
      <c r="G384" s="19" t="str">
        <f t="shared" ca="1" si="10"/>
        <v/>
      </c>
      <c r="H384" s="18"/>
      <c r="I384" s="18"/>
      <c r="J384" s="77" t="str">
        <f t="shared" ca="1" si="11"/>
        <v/>
      </c>
      <c r="K384" s="19">
        <f>IF(A384="","",COUNTIFS(Resumen!$N$2:$N$2999,ROW(),Resumen!$V$2:$V$2999,1))</f>
        <v/>
      </c>
      <c r="L384" s="20"/>
      <c r="N3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5" spans="1:14">
      <c r="A385" s="16"/>
      <c r="B385" s="16"/>
      <c r="C385" s="17"/>
      <c r="D385" s="17"/>
      <c r="E385" s="17"/>
      <c r="F385" s="18"/>
      <c r="G385" s="19" t="str">
        <f t="shared" ca="1" si="10"/>
        <v/>
      </c>
      <c r="H385" s="18"/>
      <c r="I385" s="18"/>
      <c r="J385" s="77" t="str">
        <f t="shared" ca="1" si="11"/>
        <v/>
      </c>
      <c r="K385" s="19">
        <f>IF(A385="","",COUNTIFS(Resumen!$N$2:$N$2999,ROW(),Resumen!$V$2:$V$2999,1))</f>
        <v/>
      </c>
      <c r="L385" s="20"/>
      <c r="N3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6" spans="1:14">
      <c r="A386" s="16"/>
      <c r="B386" s="16"/>
      <c r="C386" s="17"/>
      <c r="D386" s="17"/>
      <c r="E386" s="17"/>
      <c r="F386" s="18"/>
      <c r="G386" s="19" t="str">
        <f t="shared" ref="G386:G449" ca="1" si="12">IF(F386="", "", DATEDIF(F386, TODAY(), "Y"))</f>
        <v/>
      </c>
      <c r="H386" s="18"/>
      <c r="I386" s="18"/>
      <c r="J386" s="77" t="str">
        <f t="shared" ref="J386:J449" ca="1" si="13">IFERROR(IF(ISNUMBER(INDEX(VigenciasFamilia,ROW())),INDEX(VigenciasFamilia,ROW())-TODAY(),""),"")</f>
        <v/>
      </c>
      <c r="K386" s="19">
        <f>IF(A386="","",COUNTIFS(Resumen!$N$2:$N$2999,ROW(),Resumen!$V$2:$V$2999,1))</f>
        <v/>
      </c>
      <c r="L386" s="20"/>
      <c r="N3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7" spans="1:14">
      <c r="A387" s="16"/>
      <c r="B387" s="16"/>
      <c r="C387" s="17"/>
      <c r="D387" s="17"/>
      <c r="E387" s="17"/>
      <c r="F387" s="18"/>
      <c r="G387" s="19" t="str">
        <f t="shared" ca="1" si="12"/>
        <v/>
      </c>
      <c r="H387" s="18"/>
      <c r="I387" s="18"/>
      <c r="J387" s="77" t="str">
        <f t="shared" ca="1" si="13"/>
        <v/>
      </c>
      <c r="K387" s="19">
        <f>IF(A387="","",COUNTIFS(Resumen!$N$2:$N$2999,ROW(),Resumen!$V$2:$V$2999,1))</f>
        <v/>
      </c>
      <c r="L387" s="20"/>
      <c r="N3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8" spans="1:14">
      <c r="A388" s="16"/>
      <c r="B388" s="16"/>
      <c r="C388" s="17"/>
      <c r="D388" s="17"/>
      <c r="E388" s="17"/>
      <c r="F388" s="18"/>
      <c r="G388" s="19" t="str">
        <f t="shared" ca="1" si="12"/>
        <v/>
      </c>
      <c r="H388" s="18"/>
      <c r="I388" s="18"/>
      <c r="J388" s="77" t="str">
        <f t="shared" ca="1" si="13"/>
        <v/>
      </c>
      <c r="K388" s="19">
        <f>IF(A388="","",COUNTIFS(Resumen!$N$2:$N$2999,ROW(),Resumen!$V$2:$V$2999,1))</f>
        <v/>
      </c>
      <c r="L388" s="20"/>
      <c r="N3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89" spans="1:14">
      <c r="A389" s="16"/>
      <c r="B389" s="16"/>
      <c r="C389" s="17"/>
      <c r="D389" s="17"/>
      <c r="E389" s="17"/>
      <c r="F389" s="18"/>
      <c r="G389" s="19" t="str">
        <f t="shared" ca="1" si="12"/>
        <v/>
      </c>
      <c r="H389" s="18"/>
      <c r="I389" s="18"/>
      <c r="J389" s="77" t="str">
        <f t="shared" ca="1" si="13"/>
        <v/>
      </c>
      <c r="K389" s="19">
        <f>IF(A389="","",COUNTIFS(Resumen!$N$2:$N$2999,ROW(),Resumen!$V$2:$V$2999,1))</f>
        <v/>
      </c>
      <c r="L389" s="20"/>
      <c r="N3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0" spans="1:14">
      <c r="A390" s="16"/>
      <c r="B390" s="16"/>
      <c r="C390" s="17"/>
      <c r="D390" s="17"/>
      <c r="E390" s="17"/>
      <c r="F390" s="18"/>
      <c r="G390" s="19" t="str">
        <f t="shared" ca="1" si="12"/>
        <v/>
      </c>
      <c r="H390" s="18"/>
      <c r="I390" s="18"/>
      <c r="J390" s="77" t="str">
        <f t="shared" ca="1" si="13"/>
        <v/>
      </c>
      <c r="K390" s="19">
        <f>IF(A390="","",COUNTIFS(Resumen!$N$2:$N$2999,ROW(),Resumen!$V$2:$V$2999,1))</f>
        <v/>
      </c>
      <c r="L390" s="20"/>
      <c r="N3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1" spans="1:14">
      <c r="A391" s="16"/>
      <c r="B391" s="16"/>
      <c r="C391" s="17"/>
      <c r="D391" s="17"/>
      <c r="E391" s="17"/>
      <c r="F391" s="18"/>
      <c r="G391" s="19" t="str">
        <f t="shared" ca="1" si="12"/>
        <v/>
      </c>
      <c r="H391" s="18"/>
      <c r="I391" s="18"/>
      <c r="J391" s="77" t="str">
        <f t="shared" ca="1" si="13"/>
        <v/>
      </c>
      <c r="K391" s="19">
        <f>IF(A391="","",COUNTIFS(Resumen!$N$2:$N$2999,ROW(),Resumen!$V$2:$V$2999,1))</f>
        <v/>
      </c>
      <c r="L391" s="20"/>
      <c r="N3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2" spans="1:14">
      <c r="A392" s="16"/>
      <c r="B392" s="16"/>
      <c r="C392" s="17"/>
      <c r="D392" s="17"/>
      <c r="E392" s="17"/>
      <c r="F392" s="18"/>
      <c r="G392" s="19" t="str">
        <f t="shared" ca="1" si="12"/>
        <v/>
      </c>
      <c r="H392" s="18"/>
      <c r="I392" s="18"/>
      <c r="J392" s="77" t="str">
        <f t="shared" ca="1" si="13"/>
        <v/>
      </c>
      <c r="K392" s="19">
        <f>IF(A392="","",COUNTIFS(Resumen!$N$2:$N$2999,ROW(),Resumen!$V$2:$V$2999,1))</f>
        <v/>
      </c>
      <c r="L392" s="20"/>
      <c r="N3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3" spans="1:14">
      <c r="A393" s="16"/>
      <c r="B393" s="16"/>
      <c r="C393" s="17"/>
      <c r="D393" s="17"/>
      <c r="E393" s="17"/>
      <c r="F393" s="18"/>
      <c r="G393" s="19" t="str">
        <f t="shared" ca="1" si="12"/>
        <v/>
      </c>
      <c r="H393" s="18"/>
      <c r="I393" s="18"/>
      <c r="J393" s="77" t="str">
        <f t="shared" ca="1" si="13"/>
        <v/>
      </c>
      <c r="K393" s="19">
        <f>IF(A393="","",COUNTIFS(Resumen!$N$2:$N$2999,ROW(),Resumen!$V$2:$V$2999,1))</f>
        <v/>
      </c>
      <c r="L393" s="20"/>
      <c r="N3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4" spans="1:14">
      <c r="A394" s="16"/>
      <c r="B394" s="16"/>
      <c r="C394" s="17"/>
      <c r="D394" s="17"/>
      <c r="E394" s="17"/>
      <c r="F394" s="18"/>
      <c r="G394" s="19" t="str">
        <f t="shared" ca="1" si="12"/>
        <v/>
      </c>
      <c r="H394" s="18"/>
      <c r="I394" s="18"/>
      <c r="J394" s="77" t="str">
        <f t="shared" ca="1" si="13"/>
        <v/>
      </c>
      <c r="K394" s="19">
        <f>IF(A394="","",COUNTIFS(Resumen!$N$2:$N$2999,ROW(),Resumen!$V$2:$V$2999,1))</f>
        <v/>
      </c>
      <c r="L394" s="20"/>
      <c r="N3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5" spans="1:14">
      <c r="A395" s="16"/>
      <c r="B395" s="16"/>
      <c r="C395" s="17"/>
      <c r="D395" s="17"/>
      <c r="E395" s="17"/>
      <c r="F395" s="18"/>
      <c r="G395" s="19" t="str">
        <f t="shared" ca="1" si="12"/>
        <v/>
      </c>
      <c r="H395" s="18"/>
      <c r="I395" s="18"/>
      <c r="J395" s="77" t="str">
        <f t="shared" ca="1" si="13"/>
        <v/>
      </c>
      <c r="K395" s="19">
        <f>IF(A395="","",COUNTIFS(Resumen!$N$2:$N$2999,ROW(),Resumen!$V$2:$V$2999,1))</f>
        <v/>
      </c>
      <c r="L395" s="20"/>
      <c r="N3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6" spans="1:14">
      <c r="A396" s="16"/>
      <c r="B396" s="16"/>
      <c r="C396" s="17"/>
      <c r="D396" s="17"/>
      <c r="E396" s="17"/>
      <c r="F396" s="18"/>
      <c r="G396" s="19" t="str">
        <f t="shared" ca="1" si="12"/>
        <v/>
      </c>
      <c r="H396" s="18"/>
      <c r="I396" s="18"/>
      <c r="J396" s="77" t="str">
        <f t="shared" ca="1" si="13"/>
        <v/>
      </c>
      <c r="K396" s="19">
        <f>IF(A396="","",COUNTIFS(Resumen!$N$2:$N$2999,ROW(),Resumen!$V$2:$V$2999,1))</f>
        <v/>
      </c>
      <c r="L396" s="20"/>
      <c r="N3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7" spans="1:14">
      <c r="A397" s="16"/>
      <c r="B397" s="16"/>
      <c r="C397" s="17"/>
      <c r="D397" s="17"/>
      <c r="E397" s="17"/>
      <c r="F397" s="18"/>
      <c r="G397" s="19" t="str">
        <f t="shared" ca="1" si="12"/>
        <v/>
      </c>
      <c r="H397" s="18"/>
      <c r="I397" s="18"/>
      <c r="J397" s="77" t="str">
        <f t="shared" ca="1" si="13"/>
        <v/>
      </c>
      <c r="K397" s="19">
        <f>IF(A397="","",COUNTIFS(Resumen!$N$2:$N$2999,ROW(),Resumen!$V$2:$V$2999,1))</f>
        <v/>
      </c>
      <c r="L397" s="20"/>
      <c r="N3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8" spans="1:14">
      <c r="A398" s="16"/>
      <c r="B398" s="16"/>
      <c r="C398" s="17"/>
      <c r="D398" s="17"/>
      <c r="E398" s="17"/>
      <c r="F398" s="18"/>
      <c r="G398" s="19" t="str">
        <f t="shared" ca="1" si="12"/>
        <v/>
      </c>
      <c r="H398" s="18"/>
      <c r="I398" s="18"/>
      <c r="J398" s="77" t="str">
        <f t="shared" ca="1" si="13"/>
        <v/>
      </c>
      <c r="K398" s="19">
        <f>IF(A398="","",COUNTIFS(Resumen!$N$2:$N$2999,ROW(),Resumen!$V$2:$V$2999,1))</f>
        <v/>
      </c>
      <c r="L398" s="20"/>
      <c r="N3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99" spans="1:14">
      <c r="A399" s="16"/>
      <c r="B399" s="16"/>
      <c r="C399" s="17"/>
      <c r="D399" s="17"/>
      <c r="E399" s="17"/>
      <c r="F399" s="18"/>
      <c r="G399" s="19" t="str">
        <f t="shared" ca="1" si="12"/>
        <v/>
      </c>
      <c r="H399" s="18"/>
      <c r="I399" s="18"/>
      <c r="J399" s="77" t="str">
        <f t="shared" ca="1" si="13"/>
        <v/>
      </c>
      <c r="K399" s="19">
        <f>IF(A399="","",COUNTIFS(Resumen!$N$2:$N$2999,ROW(),Resumen!$V$2:$V$2999,1))</f>
        <v/>
      </c>
      <c r="L399" s="20"/>
      <c r="N3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0" spans="1:14">
      <c r="A400" s="16"/>
      <c r="B400" s="16"/>
      <c r="C400" s="17"/>
      <c r="D400" s="17"/>
      <c r="E400" s="17"/>
      <c r="F400" s="18"/>
      <c r="G400" s="19" t="str">
        <f t="shared" ca="1" si="12"/>
        <v/>
      </c>
      <c r="H400" s="18"/>
      <c r="I400" s="18"/>
      <c r="J400" s="77" t="str">
        <f t="shared" ca="1" si="13"/>
        <v/>
      </c>
      <c r="K400" s="19">
        <f>IF(A400="","",COUNTIFS(Resumen!$N$2:$N$2999,ROW(),Resumen!$V$2:$V$2999,1))</f>
        <v/>
      </c>
      <c r="L400" s="20"/>
      <c r="N4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1" spans="1:14">
      <c r="A401" s="16"/>
      <c r="B401" s="16"/>
      <c r="C401" s="17"/>
      <c r="D401" s="17"/>
      <c r="E401" s="17"/>
      <c r="F401" s="18"/>
      <c r="G401" s="19" t="str">
        <f t="shared" ca="1" si="12"/>
        <v/>
      </c>
      <c r="H401" s="18"/>
      <c r="I401" s="18"/>
      <c r="J401" s="77" t="str">
        <f t="shared" ca="1" si="13"/>
        <v/>
      </c>
      <c r="K401" s="19">
        <f>IF(A401="","",COUNTIFS(Resumen!$N$2:$N$2999,ROW(),Resumen!$V$2:$V$2999,1))</f>
        <v/>
      </c>
      <c r="L401" s="20"/>
      <c r="N4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2" spans="1:14">
      <c r="A402" s="16"/>
      <c r="B402" s="16"/>
      <c r="C402" s="17"/>
      <c r="D402" s="17"/>
      <c r="E402" s="17"/>
      <c r="F402" s="18"/>
      <c r="G402" s="19" t="str">
        <f t="shared" ca="1" si="12"/>
        <v/>
      </c>
      <c r="H402" s="18"/>
      <c r="I402" s="18"/>
      <c r="J402" s="77" t="str">
        <f t="shared" ca="1" si="13"/>
        <v/>
      </c>
      <c r="K402" s="19">
        <f>IF(A402="","",COUNTIFS(Resumen!$N$2:$N$2999,ROW(),Resumen!$V$2:$V$2999,1))</f>
        <v/>
      </c>
      <c r="L402" s="20"/>
      <c r="N4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3" spans="1:14">
      <c r="A403" s="16"/>
      <c r="B403" s="16"/>
      <c r="C403" s="17"/>
      <c r="D403" s="17"/>
      <c r="E403" s="17"/>
      <c r="F403" s="18"/>
      <c r="G403" s="19" t="str">
        <f t="shared" ca="1" si="12"/>
        <v/>
      </c>
      <c r="H403" s="18"/>
      <c r="I403" s="18"/>
      <c r="J403" s="77" t="str">
        <f t="shared" ca="1" si="13"/>
        <v/>
      </c>
      <c r="K403" s="19">
        <f>IF(A403="","",COUNTIFS(Resumen!$N$2:$N$2999,ROW(),Resumen!$V$2:$V$2999,1))</f>
        <v/>
      </c>
      <c r="L403" s="20"/>
      <c r="N4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4" spans="1:14">
      <c r="A404" s="16"/>
      <c r="B404" s="16"/>
      <c r="C404" s="17"/>
      <c r="D404" s="17"/>
      <c r="E404" s="17"/>
      <c r="F404" s="18"/>
      <c r="G404" s="19" t="str">
        <f t="shared" ca="1" si="12"/>
        <v/>
      </c>
      <c r="H404" s="18"/>
      <c r="I404" s="18"/>
      <c r="J404" s="77" t="str">
        <f t="shared" ca="1" si="13"/>
        <v/>
      </c>
      <c r="K404" s="19">
        <f>IF(A404="","",COUNTIFS(Resumen!$N$2:$N$2999,ROW(),Resumen!$V$2:$V$2999,1))</f>
        <v/>
      </c>
      <c r="L404" s="20"/>
      <c r="N4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5" spans="1:14">
      <c r="A405" s="16"/>
      <c r="B405" s="16"/>
      <c r="C405" s="17"/>
      <c r="D405" s="17"/>
      <c r="E405" s="17"/>
      <c r="F405" s="18"/>
      <c r="G405" s="19" t="str">
        <f t="shared" ca="1" si="12"/>
        <v/>
      </c>
      <c r="H405" s="18"/>
      <c r="I405" s="18"/>
      <c r="J405" s="77" t="str">
        <f t="shared" ca="1" si="13"/>
        <v/>
      </c>
      <c r="K405" s="19">
        <f>IF(A405="","",COUNTIFS(Resumen!$N$2:$N$2999,ROW(),Resumen!$V$2:$V$2999,1))</f>
        <v/>
      </c>
      <c r="L405" s="20"/>
      <c r="N4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6" spans="1:14">
      <c r="A406" s="16"/>
      <c r="B406" s="16"/>
      <c r="C406" s="17"/>
      <c r="D406" s="17"/>
      <c r="E406" s="17"/>
      <c r="F406" s="18"/>
      <c r="G406" s="19" t="str">
        <f t="shared" ca="1" si="12"/>
        <v/>
      </c>
      <c r="H406" s="18"/>
      <c r="I406" s="18"/>
      <c r="J406" s="77" t="str">
        <f t="shared" ca="1" si="13"/>
        <v/>
      </c>
      <c r="K406" s="19">
        <f>IF(A406="","",COUNTIFS(Resumen!$N$2:$N$2999,ROW(),Resumen!$V$2:$V$2999,1))</f>
        <v/>
      </c>
      <c r="L406" s="20"/>
      <c r="N4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7" spans="1:14">
      <c r="A407" s="16"/>
      <c r="B407" s="16"/>
      <c r="C407" s="17"/>
      <c r="D407" s="17"/>
      <c r="E407" s="17"/>
      <c r="F407" s="18"/>
      <c r="G407" s="19" t="str">
        <f t="shared" ca="1" si="12"/>
        <v/>
      </c>
      <c r="H407" s="18"/>
      <c r="I407" s="18"/>
      <c r="J407" s="77" t="str">
        <f t="shared" ca="1" si="13"/>
        <v/>
      </c>
      <c r="K407" s="19">
        <f>IF(A407="","",COUNTIFS(Resumen!$N$2:$N$2999,ROW(),Resumen!$V$2:$V$2999,1))</f>
        <v/>
      </c>
      <c r="L407" s="20"/>
      <c r="N4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8" spans="1:14">
      <c r="A408" s="16"/>
      <c r="B408" s="16"/>
      <c r="C408" s="17"/>
      <c r="D408" s="17"/>
      <c r="E408" s="17"/>
      <c r="F408" s="18"/>
      <c r="G408" s="19" t="str">
        <f t="shared" ca="1" si="12"/>
        <v/>
      </c>
      <c r="H408" s="18"/>
      <c r="I408" s="18"/>
      <c r="J408" s="77" t="str">
        <f t="shared" ca="1" si="13"/>
        <v/>
      </c>
      <c r="K408" s="19">
        <f>IF(A408="","",COUNTIFS(Resumen!$N$2:$N$2999,ROW(),Resumen!$V$2:$V$2999,1))</f>
        <v/>
      </c>
      <c r="L408" s="20"/>
      <c r="N4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09" spans="1:14">
      <c r="A409" s="16"/>
      <c r="B409" s="16"/>
      <c r="C409" s="17"/>
      <c r="D409" s="17"/>
      <c r="E409" s="17"/>
      <c r="F409" s="18"/>
      <c r="G409" s="19" t="str">
        <f t="shared" ca="1" si="12"/>
        <v/>
      </c>
      <c r="H409" s="18"/>
      <c r="I409" s="18"/>
      <c r="J409" s="77" t="str">
        <f t="shared" ca="1" si="13"/>
        <v/>
      </c>
      <c r="K409" s="19">
        <f>IF(A409="","",COUNTIFS(Resumen!$N$2:$N$2999,ROW(),Resumen!$V$2:$V$2999,1))</f>
        <v/>
      </c>
      <c r="L409" s="20"/>
      <c r="N4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0" spans="1:14">
      <c r="A410" s="16"/>
      <c r="B410" s="16"/>
      <c r="C410" s="17"/>
      <c r="D410" s="17"/>
      <c r="E410" s="17"/>
      <c r="F410" s="18"/>
      <c r="G410" s="19" t="str">
        <f t="shared" ca="1" si="12"/>
        <v/>
      </c>
      <c r="H410" s="18"/>
      <c r="I410" s="18"/>
      <c r="J410" s="77" t="str">
        <f t="shared" ca="1" si="13"/>
        <v/>
      </c>
      <c r="K410" s="19">
        <f>IF(A410="","",COUNTIFS(Resumen!$N$2:$N$2999,ROW(),Resumen!$V$2:$V$2999,1))</f>
        <v/>
      </c>
      <c r="L410" s="20"/>
      <c r="N4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1" spans="1:14">
      <c r="A411" s="16"/>
      <c r="B411" s="16"/>
      <c r="C411" s="17"/>
      <c r="D411" s="17"/>
      <c r="E411" s="17"/>
      <c r="F411" s="18"/>
      <c r="G411" s="19" t="str">
        <f t="shared" ca="1" si="12"/>
        <v/>
      </c>
      <c r="H411" s="18"/>
      <c r="I411" s="18"/>
      <c r="J411" s="77" t="str">
        <f t="shared" ca="1" si="13"/>
        <v/>
      </c>
      <c r="K411" s="19">
        <f>IF(A411="","",COUNTIFS(Resumen!$N$2:$N$2999,ROW(),Resumen!$V$2:$V$2999,1))</f>
        <v/>
      </c>
      <c r="L411" s="20"/>
      <c r="N4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2" spans="1:14">
      <c r="A412" s="16"/>
      <c r="B412" s="16"/>
      <c r="C412" s="17"/>
      <c r="D412" s="17"/>
      <c r="E412" s="17"/>
      <c r="F412" s="18"/>
      <c r="G412" s="19" t="str">
        <f t="shared" ca="1" si="12"/>
        <v/>
      </c>
      <c r="H412" s="18"/>
      <c r="I412" s="18"/>
      <c r="J412" s="77" t="str">
        <f t="shared" ca="1" si="13"/>
        <v/>
      </c>
      <c r="K412" s="19">
        <f>IF(A412="","",COUNTIFS(Resumen!$N$2:$N$2999,ROW(),Resumen!$V$2:$V$2999,1))</f>
        <v/>
      </c>
      <c r="L412" s="20"/>
      <c r="N4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3" spans="1:14">
      <c r="A413" s="16"/>
      <c r="B413" s="16"/>
      <c r="C413" s="17"/>
      <c r="D413" s="17"/>
      <c r="E413" s="17"/>
      <c r="F413" s="18"/>
      <c r="G413" s="19" t="str">
        <f t="shared" ca="1" si="12"/>
        <v/>
      </c>
      <c r="H413" s="18"/>
      <c r="I413" s="18"/>
      <c r="J413" s="77" t="str">
        <f t="shared" ca="1" si="13"/>
        <v/>
      </c>
      <c r="K413" s="19">
        <f>IF(A413="","",COUNTIFS(Resumen!$N$2:$N$2999,ROW(),Resumen!$V$2:$V$2999,1))</f>
        <v/>
      </c>
      <c r="L413" s="20"/>
      <c r="N4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4" spans="1:14">
      <c r="A414" s="16"/>
      <c r="B414" s="16"/>
      <c r="C414" s="17"/>
      <c r="D414" s="17"/>
      <c r="E414" s="17"/>
      <c r="F414" s="18"/>
      <c r="G414" s="19" t="str">
        <f t="shared" ca="1" si="12"/>
        <v/>
      </c>
      <c r="H414" s="18"/>
      <c r="I414" s="18"/>
      <c r="J414" s="77" t="str">
        <f t="shared" ca="1" si="13"/>
        <v/>
      </c>
      <c r="K414" s="19">
        <f>IF(A414="","",COUNTIFS(Resumen!$N$2:$N$2999,ROW(),Resumen!$V$2:$V$2999,1))</f>
        <v/>
      </c>
      <c r="L414" s="20"/>
      <c r="N4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5" spans="1:14">
      <c r="A415" s="16"/>
      <c r="B415" s="16"/>
      <c r="C415" s="17"/>
      <c r="D415" s="17"/>
      <c r="E415" s="17"/>
      <c r="F415" s="18"/>
      <c r="G415" s="19" t="str">
        <f t="shared" ca="1" si="12"/>
        <v/>
      </c>
      <c r="H415" s="18"/>
      <c r="I415" s="18"/>
      <c r="J415" s="77" t="str">
        <f t="shared" ca="1" si="13"/>
        <v/>
      </c>
      <c r="K415" s="19">
        <f>IF(A415="","",COUNTIFS(Resumen!$N$2:$N$2999,ROW(),Resumen!$V$2:$V$2999,1))</f>
        <v/>
      </c>
      <c r="L415" s="20"/>
      <c r="N4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6" spans="1:14">
      <c r="A416" s="16"/>
      <c r="B416" s="16"/>
      <c r="C416" s="17"/>
      <c r="D416" s="17"/>
      <c r="E416" s="17"/>
      <c r="F416" s="18"/>
      <c r="G416" s="19" t="str">
        <f t="shared" ca="1" si="12"/>
        <v/>
      </c>
      <c r="H416" s="18"/>
      <c r="I416" s="18"/>
      <c r="J416" s="77" t="str">
        <f t="shared" ca="1" si="13"/>
        <v/>
      </c>
      <c r="K416" s="19">
        <f>IF(A416="","",COUNTIFS(Resumen!$N$2:$N$2999,ROW(),Resumen!$V$2:$V$2999,1))</f>
        <v/>
      </c>
      <c r="L416" s="20"/>
      <c r="N4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7" spans="1:14">
      <c r="A417" s="16"/>
      <c r="B417" s="16"/>
      <c r="C417" s="17"/>
      <c r="D417" s="17"/>
      <c r="E417" s="17"/>
      <c r="F417" s="18"/>
      <c r="G417" s="19" t="str">
        <f t="shared" ca="1" si="12"/>
        <v/>
      </c>
      <c r="H417" s="18"/>
      <c r="I417" s="18"/>
      <c r="J417" s="77" t="str">
        <f t="shared" ca="1" si="13"/>
        <v/>
      </c>
      <c r="K417" s="19">
        <f>IF(A417="","",COUNTIFS(Resumen!$N$2:$N$2999,ROW(),Resumen!$V$2:$V$2999,1))</f>
        <v/>
      </c>
      <c r="L417" s="20"/>
      <c r="N4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8" spans="1:14">
      <c r="A418" s="16"/>
      <c r="B418" s="16"/>
      <c r="C418" s="17"/>
      <c r="D418" s="17"/>
      <c r="E418" s="17"/>
      <c r="F418" s="18"/>
      <c r="G418" s="19" t="str">
        <f t="shared" ca="1" si="12"/>
        <v/>
      </c>
      <c r="H418" s="18"/>
      <c r="I418" s="18"/>
      <c r="J418" s="77" t="str">
        <f t="shared" ca="1" si="13"/>
        <v/>
      </c>
      <c r="K418" s="19">
        <f>IF(A418="","",COUNTIFS(Resumen!$N$2:$N$2999,ROW(),Resumen!$V$2:$V$2999,1))</f>
        <v/>
      </c>
      <c r="L418" s="20"/>
      <c r="N4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19" spans="1:14">
      <c r="A419" s="16"/>
      <c r="B419" s="16"/>
      <c r="C419" s="17"/>
      <c r="D419" s="17"/>
      <c r="E419" s="17"/>
      <c r="F419" s="18"/>
      <c r="G419" s="19" t="str">
        <f t="shared" ca="1" si="12"/>
        <v/>
      </c>
      <c r="H419" s="18"/>
      <c r="I419" s="18"/>
      <c r="J419" s="77" t="str">
        <f t="shared" ca="1" si="13"/>
        <v/>
      </c>
      <c r="K419" s="19">
        <f>IF(A419="","",COUNTIFS(Resumen!$N$2:$N$2999,ROW(),Resumen!$V$2:$V$2999,1))</f>
        <v/>
      </c>
      <c r="L419" s="20"/>
      <c r="N4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0" spans="1:14">
      <c r="A420" s="16"/>
      <c r="B420" s="16"/>
      <c r="C420" s="17"/>
      <c r="D420" s="17"/>
      <c r="E420" s="17"/>
      <c r="F420" s="18"/>
      <c r="G420" s="19" t="str">
        <f t="shared" ca="1" si="12"/>
        <v/>
      </c>
      <c r="H420" s="18"/>
      <c r="I420" s="18"/>
      <c r="J420" s="77" t="str">
        <f t="shared" ca="1" si="13"/>
        <v/>
      </c>
      <c r="K420" s="19">
        <f>IF(A420="","",COUNTIFS(Resumen!$N$2:$N$2999,ROW(),Resumen!$V$2:$V$2999,1))</f>
        <v/>
      </c>
      <c r="L420" s="20"/>
      <c r="N4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1" spans="1:14">
      <c r="A421" s="16"/>
      <c r="B421" s="16"/>
      <c r="C421" s="17"/>
      <c r="D421" s="17"/>
      <c r="E421" s="17"/>
      <c r="F421" s="18"/>
      <c r="G421" s="19" t="str">
        <f t="shared" ca="1" si="12"/>
        <v/>
      </c>
      <c r="H421" s="18"/>
      <c r="I421" s="18"/>
      <c r="J421" s="77" t="str">
        <f t="shared" ca="1" si="13"/>
        <v/>
      </c>
      <c r="K421" s="19">
        <f>IF(A421="","",COUNTIFS(Resumen!$N$2:$N$2999,ROW(),Resumen!$V$2:$V$2999,1))</f>
        <v/>
      </c>
      <c r="L421" s="20"/>
      <c r="N4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2" spans="1:14">
      <c r="A422" s="16"/>
      <c r="B422" s="16"/>
      <c r="C422" s="17"/>
      <c r="D422" s="17"/>
      <c r="E422" s="17"/>
      <c r="F422" s="18"/>
      <c r="G422" s="19" t="str">
        <f t="shared" ca="1" si="12"/>
        <v/>
      </c>
      <c r="H422" s="18"/>
      <c r="I422" s="18"/>
      <c r="J422" s="77" t="str">
        <f t="shared" ca="1" si="13"/>
        <v/>
      </c>
      <c r="K422" s="19">
        <f>IF(A422="","",COUNTIFS(Resumen!$N$2:$N$2999,ROW(),Resumen!$V$2:$V$2999,1))</f>
        <v/>
      </c>
      <c r="L422" s="20"/>
      <c r="N4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3" spans="1:14">
      <c r="A423" s="16"/>
      <c r="B423" s="16"/>
      <c r="C423" s="17"/>
      <c r="D423" s="17"/>
      <c r="E423" s="17"/>
      <c r="F423" s="18"/>
      <c r="G423" s="19" t="str">
        <f t="shared" ca="1" si="12"/>
        <v/>
      </c>
      <c r="H423" s="18"/>
      <c r="I423" s="18"/>
      <c r="J423" s="77" t="str">
        <f t="shared" ca="1" si="13"/>
        <v/>
      </c>
      <c r="K423" s="19">
        <f>IF(A423="","",COUNTIFS(Resumen!$N$2:$N$2999,ROW(),Resumen!$V$2:$V$2999,1))</f>
        <v/>
      </c>
      <c r="L423" s="20"/>
      <c r="N4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4" spans="1:14">
      <c r="A424" s="16"/>
      <c r="B424" s="16"/>
      <c r="C424" s="17"/>
      <c r="D424" s="17"/>
      <c r="E424" s="17"/>
      <c r="F424" s="18"/>
      <c r="G424" s="19" t="str">
        <f t="shared" ca="1" si="12"/>
        <v/>
      </c>
      <c r="H424" s="18"/>
      <c r="I424" s="18"/>
      <c r="J424" s="77" t="str">
        <f t="shared" ca="1" si="13"/>
        <v/>
      </c>
      <c r="K424" s="19">
        <f>IF(A424="","",COUNTIFS(Resumen!$N$2:$N$2999,ROW(),Resumen!$V$2:$V$2999,1))</f>
        <v/>
      </c>
      <c r="L424" s="20"/>
      <c r="N4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5" spans="1:14">
      <c r="A425" s="16"/>
      <c r="B425" s="16"/>
      <c r="C425" s="17"/>
      <c r="D425" s="17"/>
      <c r="E425" s="17"/>
      <c r="F425" s="18"/>
      <c r="G425" s="19" t="str">
        <f t="shared" ca="1" si="12"/>
        <v/>
      </c>
      <c r="H425" s="18"/>
      <c r="I425" s="18"/>
      <c r="J425" s="77" t="str">
        <f t="shared" ca="1" si="13"/>
        <v/>
      </c>
      <c r="K425" s="19">
        <f>IF(A425="","",COUNTIFS(Resumen!$N$2:$N$2999,ROW(),Resumen!$V$2:$V$2999,1))</f>
        <v/>
      </c>
      <c r="L425" s="20"/>
      <c r="N4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6" spans="1:14">
      <c r="A426" s="16"/>
      <c r="B426" s="16"/>
      <c r="C426" s="17"/>
      <c r="D426" s="17"/>
      <c r="E426" s="17"/>
      <c r="F426" s="18"/>
      <c r="G426" s="19" t="str">
        <f t="shared" ca="1" si="12"/>
        <v/>
      </c>
      <c r="H426" s="18"/>
      <c r="I426" s="18"/>
      <c r="J426" s="77" t="str">
        <f t="shared" ca="1" si="13"/>
        <v/>
      </c>
      <c r="K426" s="19">
        <f>IF(A426="","",COUNTIFS(Resumen!$N$2:$N$2999,ROW(),Resumen!$V$2:$V$2999,1))</f>
        <v/>
      </c>
      <c r="L426" s="20"/>
      <c r="N4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7" spans="1:14">
      <c r="A427" s="16"/>
      <c r="B427" s="16"/>
      <c r="C427" s="17"/>
      <c r="D427" s="17"/>
      <c r="E427" s="17"/>
      <c r="F427" s="18"/>
      <c r="G427" s="19" t="str">
        <f t="shared" ca="1" si="12"/>
        <v/>
      </c>
      <c r="H427" s="18"/>
      <c r="I427" s="18"/>
      <c r="J427" s="77" t="str">
        <f t="shared" ca="1" si="13"/>
        <v/>
      </c>
      <c r="K427" s="19">
        <f>IF(A427="","",COUNTIFS(Resumen!$N$2:$N$2999,ROW(),Resumen!$V$2:$V$2999,1))</f>
        <v/>
      </c>
      <c r="L427" s="20"/>
      <c r="N4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8" spans="1:14">
      <c r="A428" s="16"/>
      <c r="B428" s="16"/>
      <c r="C428" s="17"/>
      <c r="D428" s="17"/>
      <c r="E428" s="17"/>
      <c r="F428" s="18"/>
      <c r="G428" s="19" t="str">
        <f t="shared" ca="1" si="12"/>
        <v/>
      </c>
      <c r="H428" s="18"/>
      <c r="I428" s="18"/>
      <c r="J428" s="77" t="str">
        <f t="shared" ca="1" si="13"/>
        <v/>
      </c>
      <c r="K428" s="19">
        <f>IF(A428="","",COUNTIFS(Resumen!$N$2:$N$2999,ROW(),Resumen!$V$2:$V$2999,1))</f>
        <v/>
      </c>
      <c r="L428" s="20"/>
      <c r="N4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29" spans="1:14">
      <c r="A429" s="16"/>
      <c r="B429" s="16"/>
      <c r="C429" s="17"/>
      <c r="D429" s="17"/>
      <c r="E429" s="17"/>
      <c r="F429" s="18"/>
      <c r="G429" s="19" t="str">
        <f t="shared" ca="1" si="12"/>
        <v/>
      </c>
      <c r="H429" s="18"/>
      <c r="I429" s="18"/>
      <c r="J429" s="77" t="str">
        <f t="shared" ca="1" si="13"/>
        <v/>
      </c>
      <c r="K429" s="19">
        <f>IF(A429="","",COUNTIFS(Resumen!$N$2:$N$2999,ROW(),Resumen!$V$2:$V$2999,1))</f>
        <v/>
      </c>
      <c r="L429" s="20"/>
      <c r="N4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0" spans="1:14">
      <c r="A430" s="16"/>
      <c r="B430" s="16"/>
      <c r="C430" s="17"/>
      <c r="D430" s="17"/>
      <c r="E430" s="17"/>
      <c r="F430" s="18"/>
      <c r="G430" s="19" t="str">
        <f t="shared" ca="1" si="12"/>
        <v/>
      </c>
      <c r="H430" s="18"/>
      <c r="I430" s="18"/>
      <c r="J430" s="77" t="str">
        <f t="shared" ca="1" si="13"/>
        <v/>
      </c>
      <c r="K430" s="19">
        <f>IF(A430="","",COUNTIFS(Resumen!$N$2:$N$2999,ROW(),Resumen!$V$2:$V$2999,1))</f>
        <v/>
      </c>
      <c r="L430" s="20"/>
      <c r="N4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1" spans="1:14">
      <c r="A431" s="16"/>
      <c r="B431" s="16"/>
      <c r="C431" s="17"/>
      <c r="D431" s="17"/>
      <c r="E431" s="17"/>
      <c r="F431" s="18"/>
      <c r="G431" s="19" t="str">
        <f t="shared" ca="1" si="12"/>
        <v/>
      </c>
      <c r="H431" s="18"/>
      <c r="I431" s="18"/>
      <c r="J431" s="77" t="str">
        <f t="shared" ca="1" si="13"/>
        <v/>
      </c>
      <c r="K431" s="19">
        <f>IF(A431="","",COUNTIFS(Resumen!$N$2:$N$2999,ROW(),Resumen!$V$2:$V$2999,1))</f>
        <v/>
      </c>
      <c r="L431" s="20"/>
      <c r="N4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2" spans="1:14">
      <c r="A432" s="16"/>
      <c r="B432" s="16"/>
      <c r="C432" s="17"/>
      <c r="D432" s="17"/>
      <c r="E432" s="17"/>
      <c r="F432" s="18"/>
      <c r="G432" s="19" t="str">
        <f t="shared" ca="1" si="12"/>
        <v/>
      </c>
      <c r="H432" s="18"/>
      <c r="I432" s="18"/>
      <c r="J432" s="77" t="str">
        <f t="shared" ca="1" si="13"/>
        <v/>
      </c>
      <c r="K432" s="19">
        <f>IF(A432="","",COUNTIFS(Resumen!$N$2:$N$2999,ROW(),Resumen!$V$2:$V$2999,1))</f>
        <v/>
      </c>
      <c r="L432" s="20"/>
      <c r="N4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3" spans="1:14">
      <c r="A433" s="16"/>
      <c r="B433" s="16"/>
      <c r="C433" s="17"/>
      <c r="D433" s="17"/>
      <c r="E433" s="17"/>
      <c r="F433" s="18"/>
      <c r="G433" s="19" t="str">
        <f t="shared" ca="1" si="12"/>
        <v/>
      </c>
      <c r="H433" s="18"/>
      <c r="I433" s="18"/>
      <c r="J433" s="77" t="str">
        <f t="shared" ca="1" si="13"/>
        <v/>
      </c>
      <c r="K433" s="19">
        <f>IF(A433="","",COUNTIFS(Resumen!$N$2:$N$2999,ROW(),Resumen!$V$2:$V$2999,1))</f>
        <v/>
      </c>
      <c r="L433" s="20"/>
      <c r="N4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4" spans="1:14">
      <c r="A434" s="16"/>
      <c r="B434" s="16"/>
      <c r="C434" s="17"/>
      <c r="D434" s="17"/>
      <c r="E434" s="17"/>
      <c r="F434" s="18"/>
      <c r="G434" s="19" t="str">
        <f t="shared" ca="1" si="12"/>
        <v/>
      </c>
      <c r="H434" s="18"/>
      <c r="I434" s="18"/>
      <c r="J434" s="77" t="str">
        <f t="shared" ca="1" si="13"/>
        <v/>
      </c>
      <c r="K434" s="19">
        <f>IF(A434="","",COUNTIFS(Resumen!$N$2:$N$2999,ROW(),Resumen!$V$2:$V$2999,1))</f>
        <v/>
      </c>
      <c r="L434" s="20"/>
      <c r="N4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5" spans="1:14">
      <c r="A435" s="16"/>
      <c r="B435" s="16"/>
      <c r="C435" s="17"/>
      <c r="D435" s="17"/>
      <c r="E435" s="17"/>
      <c r="F435" s="18"/>
      <c r="G435" s="19" t="str">
        <f t="shared" ca="1" si="12"/>
        <v/>
      </c>
      <c r="H435" s="18"/>
      <c r="I435" s="18"/>
      <c r="J435" s="77" t="str">
        <f t="shared" ca="1" si="13"/>
        <v/>
      </c>
      <c r="K435" s="19">
        <f>IF(A435="","",COUNTIFS(Resumen!$N$2:$N$2999,ROW(),Resumen!$V$2:$V$2999,1))</f>
        <v/>
      </c>
      <c r="L435" s="20"/>
      <c r="N4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6" spans="1:14">
      <c r="A436" s="16"/>
      <c r="B436" s="16"/>
      <c r="C436" s="17"/>
      <c r="D436" s="17"/>
      <c r="E436" s="17"/>
      <c r="F436" s="18"/>
      <c r="G436" s="19" t="str">
        <f t="shared" ca="1" si="12"/>
        <v/>
      </c>
      <c r="H436" s="18"/>
      <c r="I436" s="18"/>
      <c r="J436" s="77" t="str">
        <f t="shared" ca="1" si="13"/>
        <v/>
      </c>
      <c r="K436" s="19">
        <f>IF(A436="","",COUNTIFS(Resumen!$N$2:$N$2999,ROW(),Resumen!$V$2:$V$2999,1))</f>
        <v/>
      </c>
      <c r="L436" s="20"/>
      <c r="N4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7" spans="1:14">
      <c r="A437" s="16"/>
      <c r="B437" s="16"/>
      <c r="C437" s="17"/>
      <c r="D437" s="17"/>
      <c r="E437" s="17"/>
      <c r="F437" s="18"/>
      <c r="G437" s="19" t="str">
        <f t="shared" ca="1" si="12"/>
        <v/>
      </c>
      <c r="H437" s="18"/>
      <c r="I437" s="18"/>
      <c r="J437" s="77" t="str">
        <f t="shared" ca="1" si="13"/>
        <v/>
      </c>
      <c r="K437" s="19">
        <f>IF(A437="","",COUNTIFS(Resumen!$N$2:$N$2999,ROW(),Resumen!$V$2:$V$2999,1))</f>
        <v/>
      </c>
      <c r="L437" s="20"/>
      <c r="N4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8" spans="1:14">
      <c r="A438" s="16"/>
      <c r="B438" s="16"/>
      <c r="C438" s="17"/>
      <c r="D438" s="17"/>
      <c r="E438" s="17"/>
      <c r="F438" s="18"/>
      <c r="G438" s="19" t="str">
        <f t="shared" ca="1" si="12"/>
        <v/>
      </c>
      <c r="H438" s="18"/>
      <c r="I438" s="18"/>
      <c r="J438" s="77" t="str">
        <f t="shared" ca="1" si="13"/>
        <v/>
      </c>
      <c r="K438" s="19">
        <f>IF(A438="","",COUNTIFS(Resumen!$N$2:$N$2999,ROW(),Resumen!$V$2:$V$2999,1))</f>
        <v/>
      </c>
      <c r="L438" s="20"/>
      <c r="N4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39" spans="1:14">
      <c r="A439" s="16"/>
      <c r="B439" s="16"/>
      <c r="C439" s="17"/>
      <c r="D439" s="17"/>
      <c r="E439" s="17"/>
      <c r="F439" s="18"/>
      <c r="G439" s="19" t="str">
        <f t="shared" ca="1" si="12"/>
        <v/>
      </c>
      <c r="H439" s="18"/>
      <c r="I439" s="18"/>
      <c r="J439" s="77" t="str">
        <f t="shared" ca="1" si="13"/>
        <v/>
      </c>
      <c r="K439" s="19">
        <f>IF(A439="","",COUNTIFS(Resumen!$N$2:$N$2999,ROW(),Resumen!$V$2:$V$2999,1))</f>
        <v/>
      </c>
      <c r="L439" s="20"/>
      <c r="N4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0" spans="1:14">
      <c r="A440" s="16"/>
      <c r="B440" s="16"/>
      <c r="C440" s="17"/>
      <c r="D440" s="17"/>
      <c r="E440" s="17"/>
      <c r="F440" s="18"/>
      <c r="G440" s="19" t="str">
        <f t="shared" ca="1" si="12"/>
        <v/>
      </c>
      <c r="H440" s="18"/>
      <c r="I440" s="18"/>
      <c r="J440" s="77" t="str">
        <f t="shared" ca="1" si="13"/>
        <v/>
      </c>
      <c r="K440" s="19">
        <f>IF(A440="","",COUNTIFS(Resumen!$N$2:$N$2999,ROW(),Resumen!$V$2:$V$2999,1))</f>
        <v/>
      </c>
      <c r="L440" s="20"/>
      <c r="N4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1" spans="1:14">
      <c r="A441" s="16"/>
      <c r="B441" s="16"/>
      <c r="C441" s="17"/>
      <c r="D441" s="17"/>
      <c r="E441" s="17"/>
      <c r="F441" s="18"/>
      <c r="G441" s="19" t="str">
        <f t="shared" ca="1" si="12"/>
        <v/>
      </c>
      <c r="H441" s="18"/>
      <c r="I441" s="18"/>
      <c r="J441" s="77" t="str">
        <f t="shared" ca="1" si="13"/>
        <v/>
      </c>
      <c r="K441" s="19">
        <f>IF(A441="","",COUNTIFS(Resumen!$N$2:$N$2999,ROW(),Resumen!$V$2:$V$2999,1))</f>
        <v/>
      </c>
      <c r="L441" s="20"/>
      <c r="N4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2" spans="1:14">
      <c r="A442" s="16"/>
      <c r="B442" s="16"/>
      <c r="C442" s="17"/>
      <c r="D442" s="17"/>
      <c r="E442" s="17"/>
      <c r="F442" s="18"/>
      <c r="G442" s="19" t="str">
        <f t="shared" ca="1" si="12"/>
        <v/>
      </c>
      <c r="H442" s="18"/>
      <c r="I442" s="18"/>
      <c r="J442" s="77" t="str">
        <f t="shared" ca="1" si="13"/>
        <v/>
      </c>
      <c r="K442" s="19">
        <f>IF(A442="","",COUNTIFS(Resumen!$N$2:$N$2999,ROW(),Resumen!$V$2:$V$2999,1))</f>
        <v/>
      </c>
      <c r="L442" s="20"/>
      <c r="N4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3" spans="1:14">
      <c r="A443" s="16"/>
      <c r="B443" s="16"/>
      <c r="C443" s="17"/>
      <c r="D443" s="17"/>
      <c r="E443" s="17"/>
      <c r="F443" s="18"/>
      <c r="G443" s="19" t="str">
        <f t="shared" ca="1" si="12"/>
        <v/>
      </c>
      <c r="H443" s="18"/>
      <c r="I443" s="18"/>
      <c r="J443" s="77" t="str">
        <f t="shared" ca="1" si="13"/>
        <v/>
      </c>
      <c r="K443" s="19">
        <f>IF(A443="","",COUNTIFS(Resumen!$N$2:$N$2999,ROW(),Resumen!$V$2:$V$2999,1))</f>
        <v/>
      </c>
      <c r="L443" s="20"/>
      <c r="N4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4" spans="1:14">
      <c r="A444" s="16"/>
      <c r="B444" s="16"/>
      <c r="C444" s="17"/>
      <c r="D444" s="17"/>
      <c r="E444" s="17"/>
      <c r="F444" s="18"/>
      <c r="G444" s="19" t="str">
        <f t="shared" ca="1" si="12"/>
        <v/>
      </c>
      <c r="H444" s="18"/>
      <c r="I444" s="18"/>
      <c r="J444" s="77" t="str">
        <f t="shared" ca="1" si="13"/>
        <v/>
      </c>
      <c r="K444" s="19">
        <f>IF(A444="","",COUNTIFS(Resumen!$N$2:$N$2999,ROW(),Resumen!$V$2:$V$2999,1))</f>
        <v/>
      </c>
      <c r="L444" s="20"/>
      <c r="N4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5" spans="1:14">
      <c r="A445" s="16"/>
      <c r="B445" s="16"/>
      <c r="C445" s="17"/>
      <c r="D445" s="17"/>
      <c r="E445" s="17"/>
      <c r="F445" s="18"/>
      <c r="G445" s="19" t="str">
        <f t="shared" ca="1" si="12"/>
        <v/>
      </c>
      <c r="H445" s="18"/>
      <c r="I445" s="18"/>
      <c r="J445" s="77" t="str">
        <f t="shared" ca="1" si="13"/>
        <v/>
      </c>
      <c r="K445" s="19">
        <f>IF(A445="","",COUNTIFS(Resumen!$N$2:$N$2999,ROW(),Resumen!$V$2:$V$2999,1))</f>
        <v/>
      </c>
      <c r="L445" s="20"/>
      <c r="N4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6" spans="1:14">
      <c r="A446" s="16"/>
      <c r="B446" s="16"/>
      <c r="C446" s="17"/>
      <c r="D446" s="17"/>
      <c r="E446" s="17"/>
      <c r="F446" s="18"/>
      <c r="G446" s="19" t="str">
        <f t="shared" ca="1" si="12"/>
        <v/>
      </c>
      <c r="H446" s="18"/>
      <c r="I446" s="18"/>
      <c r="J446" s="77" t="str">
        <f t="shared" ca="1" si="13"/>
        <v/>
      </c>
      <c r="K446" s="19">
        <f>IF(A446="","",COUNTIFS(Resumen!$N$2:$N$2999,ROW(),Resumen!$V$2:$V$2999,1))</f>
        <v/>
      </c>
      <c r="L446" s="20"/>
      <c r="N4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7" spans="1:14">
      <c r="A447" s="16"/>
      <c r="B447" s="16"/>
      <c r="C447" s="17"/>
      <c r="D447" s="17"/>
      <c r="E447" s="17"/>
      <c r="F447" s="18"/>
      <c r="G447" s="19" t="str">
        <f t="shared" ca="1" si="12"/>
        <v/>
      </c>
      <c r="H447" s="18"/>
      <c r="I447" s="18"/>
      <c r="J447" s="77" t="str">
        <f t="shared" ca="1" si="13"/>
        <v/>
      </c>
      <c r="K447" s="19">
        <f>IF(A447="","",COUNTIFS(Resumen!$N$2:$N$2999,ROW(),Resumen!$V$2:$V$2999,1))</f>
        <v/>
      </c>
      <c r="L447" s="20"/>
      <c r="N4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8" spans="1:14">
      <c r="A448" s="16"/>
      <c r="B448" s="16"/>
      <c r="C448" s="17"/>
      <c r="D448" s="17"/>
      <c r="E448" s="17"/>
      <c r="F448" s="18"/>
      <c r="G448" s="19" t="str">
        <f t="shared" ca="1" si="12"/>
        <v/>
      </c>
      <c r="H448" s="18"/>
      <c r="I448" s="18"/>
      <c r="J448" s="77" t="str">
        <f t="shared" ca="1" si="13"/>
        <v/>
      </c>
      <c r="K448" s="19">
        <f>IF(A448="","",COUNTIFS(Resumen!$N$2:$N$2999,ROW(),Resumen!$V$2:$V$2999,1))</f>
        <v/>
      </c>
      <c r="L448" s="20"/>
      <c r="N4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49" spans="1:14">
      <c r="A449" s="16"/>
      <c r="B449" s="16"/>
      <c r="C449" s="17"/>
      <c r="D449" s="17"/>
      <c r="E449" s="17"/>
      <c r="F449" s="18"/>
      <c r="G449" s="19" t="str">
        <f t="shared" ca="1" si="12"/>
        <v/>
      </c>
      <c r="H449" s="18"/>
      <c r="I449" s="18"/>
      <c r="J449" s="77" t="str">
        <f t="shared" ca="1" si="13"/>
        <v/>
      </c>
      <c r="K449" s="19">
        <f>IF(A449="","",COUNTIFS(Resumen!$N$2:$N$2999,ROW(),Resumen!$V$2:$V$2999,1))</f>
        <v/>
      </c>
      <c r="L449" s="20"/>
      <c r="N4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0" spans="1:14">
      <c r="A450" s="16"/>
      <c r="B450" s="16"/>
      <c r="C450" s="17"/>
      <c r="D450" s="17"/>
      <c r="E450" s="17"/>
      <c r="F450" s="18"/>
      <c r="G450" s="19" t="str">
        <f t="shared" ref="G450:G513" ca="1" si="14">IF(F450="", "", DATEDIF(F450, TODAY(), "Y"))</f>
        <v/>
      </c>
      <c r="H450" s="18"/>
      <c r="I450" s="18"/>
      <c r="J450" s="77" t="str">
        <f t="shared" ref="J450:J513" ca="1" si="15">IFERROR(IF(ISNUMBER(INDEX(VigenciasFamilia,ROW())),INDEX(VigenciasFamilia,ROW())-TODAY(),""),"")</f>
        <v/>
      </c>
      <c r="K450" s="19">
        <f>IF(A450="","",COUNTIFS(Resumen!$N$2:$N$2999,ROW(),Resumen!$V$2:$V$2999,1))</f>
        <v/>
      </c>
      <c r="L450" s="20"/>
      <c r="N4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1" spans="1:14">
      <c r="A451" s="16"/>
      <c r="B451" s="16"/>
      <c r="C451" s="17"/>
      <c r="D451" s="17"/>
      <c r="E451" s="17"/>
      <c r="F451" s="18"/>
      <c r="G451" s="19" t="str">
        <f t="shared" ca="1" si="14"/>
        <v/>
      </c>
      <c r="H451" s="18"/>
      <c r="I451" s="18"/>
      <c r="J451" s="77" t="str">
        <f t="shared" ca="1" si="15"/>
        <v/>
      </c>
      <c r="K451" s="19">
        <f>IF(A451="","",COUNTIFS(Resumen!$N$2:$N$2999,ROW(),Resumen!$V$2:$V$2999,1))</f>
        <v/>
      </c>
      <c r="L451" s="20"/>
      <c r="N4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2" spans="1:14">
      <c r="A452" s="16"/>
      <c r="B452" s="16"/>
      <c r="C452" s="17"/>
      <c r="D452" s="17"/>
      <c r="E452" s="17"/>
      <c r="F452" s="18"/>
      <c r="G452" s="19" t="str">
        <f t="shared" ca="1" si="14"/>
        <v/>
      </c>
      <c r="H452" s="18"/>
      <c r="I452" s="18"/>
      <c r="J452" s="77" t="str">
        <f t="shared" ca="1" si="15"/>
        <v/>
      </c>
      <c r="K452" s="19">
        <f>IF(A452="","",COUNTIFS(Resumen!$N$2:$N$2999,ROW(),Resumen!$V$2:$V$2999,1))</f>
        <v/>
      </c>
      <c r="L452" s="20"/>
      <c r="N4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3" spans="1:14">
      <c r="A453" s="16"/>
      <c r="B453" s="16"/>
      <c r="C453" s="17"/>
      <c r="D453" s="17"/>
      <c r="E453" s="17"/>
      <c r="F453" s="18"/>
      <c r="G453" s="19" t="str">
        <f t="shared" ca="1" si="14"/>
        <v/>
      </c>
      <c r="H453" s="18"/>
      <c r="I453" s="18"/>
      <c r="J453" s="77" t="str">
        <f t="shared" ca="1" si="15"/>
        <v/>
      </c>
      <c r="K453" s="19">
        <f>IF(A453="","",COUNTIFS(Resumen!$N$2:$N$2999,ROW(),Resumen!$V$2:$V$2999,1))</f>
        <v/>
      </c>
      <c r="L453" s="20"/>
      <c r="N4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4" spans="1:14">
      <c r="A454" s="16"/>
      <c r="B454" s="16"/>
      <c r="C454" s="17"/>
      <c r="D454" s="17"/>
      <c r="E454" s="17"/>
      <c r="F454" s="18"/>
      <c r="G454" s="19" t="str">
        <f t="shared" ca="1" si="14"/>
        <v/>
      </c>
      <c r="H454" s="18"/>
      <c r="I454" s="18"/>
      <c r="J454" s="77" t="str">
        <f t="shared" ca="1" si="15"/>
        <v/>
      </c>
      <c r="K454" s="19">
        <f>IF(A454="","",COUNTIFS(Resumen!$N$2:$N$2999,ROW(),Resumen!$V$2:$V$2999,1))</f>
        <v/>
      </c>
      <c r="L454" s="20"/>
      <c r="N4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5" spans="1:14">
      <c r="A455" s="16"/>
      <c r="B455" s="16"/>
      <c r="C455" s="17"/>
      <c r="D455" s="17"/>
      <c r="E455" s="17"/>
      <c r="F455" s="18"/>
      <c r="G455" s="19" t="str">
        <f t="shared" ca="1" si="14"/>
        <v/>
      </c>
      <c r="H455" s="18"/>
      <c r="I455" s="18"/>
      <c r="J455" s="77" t="str">
        <f t="shared" ca="1" si="15"/>
        <v/>
      </c>
      <c r="K455" s="19">
        <f>IF(A455="","",COUNTIFS(Resumen!$N$2:$N$2999,ROW(),Resumen!$V$2:$V$2999,1))</f>
        <v/>
      </c>
      <c r="L455" s="20"/>
      <c r="N4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6" spans="1:14">
      <c r="A456" s="16"/>
      <c r="B456" s="16"/>
      <c r="C456" s="17"/>
      <c r="D456" s="17"/>
      <c r="E456" s="17"/>
      <c r="F456" s="18"/>
      <c r="G456" s="19" t="str">
        <f t="shared" ca="1" si="14"/>
        <v/>
      </c>
      <c r="H456" s="18"/>
      <c r="I456" s="18"/>
      <c r="J456" s="77" t="str">
        <f t="shared" ca="1" si="15"/>
        <v/>
      </c>
      <c r="K456" s="19">
        <f>IF(A456="","",COUNTIFS(Resumen!$N$2:$N$2999,ROW(),Resumen!$V$2:$V$2999,1))</f>
        <v/>
      </c>
      <c r="L456" s="20"/>
      <c r="N4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7" spans="1:14">
      <c r="A457" s="16"/>
      <c r="B457" s="16"/>
      <c r="C457" s="17"/>
      <c r="D457" s="17"/>
      <c r="E457" s="17"/>
      <c r="F457" s="18"/>
      <c r="G457" s="19" t="str">
        <f t="shared" ca="1" si="14"/>
        <v/>
      </c>
      <c r="H457" s="18"/>
      <c r="I457" s="18"/>
      <c r="J457" s="77" t="str">
        <f t="shared" ca="1" si="15"/>
        <v/>
      </c>
      <c r="K457" s="19">
        <f>IF(A457="","",COUNTIFS(Resumen!$N$2:$N$2999,ROW(),Resumen!$V$2:$V$2999,1))</f>
        <v/>
      </c>
      <c r="L457" s="20"/>
      <c r="N4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8" spans="1:14">
      <c r="A458" s="16"/>
      <c r="B458" s="16"/>
      <c r="C458" s="17"/>
      <c r="D458" s="17"/>
      <c r="E458" s="17"/>
      <c r="F458" s="18"/>
      <c r="G458" s="19" t="str">
        <f t="shared" ca="1" si="14"/>
        <v/>
      </c>
      <c r="H458" s="18"/>
      <c r="I458" s="18"/>
      <c r="J458" s="77" t="str">
        <f t="shared" ca="1" si="15"/>
        <v/>
      </c>
      <c r="K458" s="19">
        <f>IF(A458="","",COUNTIFS(Resumen!$N$2:$N$2999,ROW(),Resumen!$V$2:$V$2999,1))</f>
        <v/>
      </c>
      <c r="L458" s="20"/>
      <c r="N4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59" spans="1:14">
      <c r="A459" s="16"/>
      <c r="B459" s="16"/>
      <c r="C459" s="17"/>
      <c r="D459" s="17"/>
      <c r="E459" s="17"/>
      <c r="F459" s="18"/>
      <c r="G459" s="19" t="str">
        <f t="shared" ca="1" si="14"/>
        <v/>
      </c>
      <c r="H459" s="18"/>
      <c r="I459" s="18"/>
      <c r="J459" s="77" t="str">
        <f t="shared" ca="1" si="15"/>
        <v/>
      </c>
      <c r="K459" s="19">
        <f>IF(A459="","",COUNTIFS(Resumen!$N$2:$N$2999,ROW(),Resumen!$V$2:$V$2999,1))</f>
        <v/>
      </c>
      <c r="L459" s="20"/>
      <c r="N4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0" spans="1:14">
      <c r="A460" s="16"/>
      <c r="B460" s="16"/>
      <c r="C460" s="17"/>
      <c r="D460" s="17"/>
      <c r="E460" s="17"/>
      <c r="F460" s="18"/>
      <c r="G460" s="19" t="str">
        <f t="shared" ca="1" si="14"/>
        <v/>
      </c>
      <c r="H460" s="18"/>
      <c r="I460" s="18"/>
      <c r="J460" s="77" t="str">
        <f t="shared" ca="1" si="15"/>
        <v/>
      </c>
      <c r="K460" s="19">
        <f>IF(A460="","",COUNTIFS(Resumen!$N$2:$N$2999,ROW(),Resumen!$V$2:$V$2999,1))</f>
        <v/>
      </c>
      <c r="L460" s="20"/>
      <c r="N4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1" spans="1:14">
      <c r="A461" s="16"/>
      <c r="B461" s="16"/>
      <c r="C461" s="17"/>
      <c r="D461" s="17"/>
      <c r="E461" s="17"/>
      <c r="F461" s="18"/>
      <c r="G461" s="19" t="str">
        <f t="shared" ca="1" si="14"/>
        <v/>
      </c>
      <c r="H461" s="18"/>
      <c r="I461" s="18"/>
      <c r="J461" s="77" t="str">
        <f t="shared" ca="1" si="15"/>
        <v/>
      </c>
      <c r="K461" s="19">
        <f>IF(A461="","",COUNTIFS(Resumen!$N$2:$N$2999,ROW(),Resumen!$V$2:$V$2999,1))</f>
        <v/>
      </c>
      <c r="L461" s="20"/>
      <c r="N4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2" spans="1:14">
      <c r="A462" s="16"/>
      <c r="B462" s="16"/>
      <c r="C462" s="17"/>
      <c r="D462" s="17"/>
      <c r="E462" s="17"/>
      <c r="F462" s="18"/>
      <c r="G462" s="19" t="str">
        <f t="shared" ca="1" si="14"/>
        <v/>
      </c>
      <c r="H462" s="18"/>
      <c r="I462" s="18"/>
      <c r="J462" s="77" t="str">
        <f t="shared" ca="1" si="15"/>
        <v/>
      </c>
      <c r="K462" s="19">
        <f>IF(A462="","",COUNTIFS(Resumen!$N$2:$N$2999,ROW(),Resumen!$V$2:$V$2999,1))</f>
        <v/>
      </c>
      <c r="L462" s="20"/>
      <c r="N4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3" spans="1:14">
      <c r="A463" s="16"/>
      <c r="B463" s="16"/>
      <c r="C463" s="17"/>
      <c r="D463" s="17"/>
      <c r="E463" s="17"/>
      <c r="F463" s="18"/>
      <c r="G463" s="19" t="str">
        <f t="shared" ca="1" si="14"/>
        <v/>
      </c>
      <c r="H463" s="18"/>
      <c r="I463" s="18"/>
      <c r="J463" s="77" t="str">
        <f t="shared" ca="1" si="15"/>
        <v/>
      </c>
      <c r="K463" s="19">
        <f>IF(A463="","",COUNTIFS(Resumen!$N$2:$N$2999,ROW(),Resumen!$V$2:$V$2999,1))</f>
        <v/>
      </c>
      <c r="L463" s="20"/>
      <c r="N4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4" spans="1:14">
      <c r="A464" s="16"/>
      <c r="B464" s="16"/>
      <c r="C464" s="17"/>
      <c r="D464" s="17"/>
      <c r="E464" s="17"/>
      <c r="F464" s="18"/>
      <c r="G464" s="19" t="str">
        <f t="shared" ca="1" si="14"/>
        <v/>
      </c>
      <c r="H464" s="18"/>
      <c r="I464" s="18"/>
      <c r="J464" s="77" t="str">
        <f t="shared" ca="1" si="15"/>
        <v/>
      </c>
      <c r="K464" s="19">
        <f>IF(A464="","",COUNTIFS(Resumen!$N$2:$N$2999,ROW(),Resumen!$V$2:$V$2999,1))</f>
        <v/>
      </c>
      <c r="L464" s="20"/>
      <c r="N4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5" spans="1:14">
      <c r="A465" s="16"/>
      <c r="B465" s="16"/>
      <c r="C465" s="17"/>
      <c r="D465" s="17"/>
      <c r="E465" s="17"/>
      <c r="F465" s="18"/>
      <c r="G465" s="19" t="str">
        <f t="shared" ca="1" si="14"/>
        <v/>
      </c>
      <c r="H465" s="18"/>
      <c r="I465" s="18"/>
      <c r="J465" s="77" t="str">
        <f t="shared" ca="1" si="15"/>
        <v/>
      </c>
      <c r="K465" s="19">
        <f>IF(A465="","",COUNTIFS(Resumen!$N$2:$N$2999,ROW(),Resumen!$V$2:$V$2999,1))</f>
        <v/>
      </c>
      <c r="L465" s="20"/>
      <c r="N4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6" spans="1:14">
      <c r="A466" s="16"/>
      <c r="B466" s="16"/>
      <c r="C466" s="17"/>
      <c r="D466" s="17"/>
      <c r="E466" s="17"/>
      <c r="F466" s="18"/>
      <c r="G466" s="19" t="str">
        <f t="shared" ca="1" si="14"/>
        <v/>
      </c>
      <c r="H466" s="18"/>
      <c r="I466" s="18"/>
      <c r="J466" s="77" t="str">
        <f t="shared" ca="1" si="15"/>
        <v/>
      </c>
      <c r="K466" s="19">
        <f>IF(A466="","",COUNTIFS(Resumen!$N$2:$N$2999,ROW(),Resumen!$V$2:$V$2999,1))</f>
        <v/>
      </c>
      <c r="L466" s="20"/>
      <c r="N4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7" spans="1:14">
      <c r="A467" s="16"/>
      <c r="B467" s="16"/>
      <c r="C467" s="17"/>
      <c r="D467" s="17"/>
      <c r="E467" s="17"/>
      <c r="F467" s="18"/>
      <c r="G467" s="19" t="str">
        <f t="shared" ca="1" si="14"/>
        <v/>
      </c>
      <c r="H467" s="18"/>
      <c r="I467" s="18"/>
      <c r="J467" s="77" t="str">
        <f t="shared" ca="1" si="15"/>
        <v/>
      </c>
      <c r="K467" s="19">
        <f>IF(A467="","",COUNTIFS(Resumen!$N$2:$N$2999,ROW(),Resumen!$V$2:$V$2999,1))</f>
        <v/>
      </c>
      <c r="L467" s="20"/>
      <c r="N4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8" spans="1:14">
      <c r="A468" s="16"/>
      <c r="B468" s="16"/>
      <c r="C468" s="17"/>
      <c r="D468" s="17"/>
      <c r="E468" s="17"/>
      <c r="F468" s="18"/>
      <c r="G468" s="19" t="str">
        <f t="shared" ca="1" si="14"/>
        <v/>
      </c>
      <c r="H468" s="18"/>
      <c r="I468" s="18"/>
      <c r="J468" s="77" t="str">
        <f t="shared" ca="1" si="15"/>
        <v/>
      </c>
      <c r="K468" s="19">
        <f>IF(A468="","",COUNTIFS(Resumen!$N$2:$N$2999,ROW(),Resumen!$V$2:$V$2999,1))</f>
        <v/>
      </c>
      <c r="L468" s="20"/>
      <c r="N4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69" spans="1:14">
      <c r="A469" s="16"/>
      <c r="B469" s="16"/>
      <c r="C469" s="17"/>
      <c r="D469" s="17"/>
      <c r="E469" s="17"/>
      <c r="F469" s="18"/>
      <c r="G469" s="19" t="str">
        <f t="shared" ca="1" si="14"/>
        <v/>
      </c>
      <c r="H469" s="18"/>
      <c r="I469" s="18"/>
      <c r="J469" s="77" t="str">
        <f t="shared" ca="1" si="15"/>
        <v/>
      </c>
      <c r="K469" s="19">
        <f>IF(A469="","",COUNTIFS(Resumen!$N$2:$N$2999,ROW(),Resumen!$V$2:$V$2999,1))</f>
        <v/>
      </c>
      <c r="L469" s="20"/>
      <c r="N4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0" spans="1:14">
      <c r="A470" s="16"/>
      <c r="B470" s="16"/>
      <c r="C470" s="17"/>
      <c r="D470" s="17"/>
      <c r="E470" s="17"/>
      <c r="F470" s="18"/>
      <c r="G470" s="19" t="str">
        <f t="shared" ca="1" si="14"/>
        <v/>
      </c>
      <c r="H470" s="18"/>
      <c r="I470" s="18"/>
      <c r="J470" s="77" t="str">
        <f t="shared" ca="1" si="15"/>
        <v/>
      </c>
      <c r="K470" s="19">
        <f>IF(A470="","",COUNTIFS(Resumen!$N$2:$N$2999,ROW(),Resumen!$V$2:$V$2999,1))</f>
        <v/>
      </c>
      <c r="L470" s="20"/>
      <c r="N4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1" spans="1:14">
      <c r="A471" s="16"/>
      <c r="B471" s="16"/>
      <c r="C471" s="17"/>
      <c r="D471" s="17"/>
      <c r="E471" s="17"/>
      <c r="F471" s="18"/>
      <c r="G471" s="19" t="str">
        <f t="shared" ca="1" si="14"/>
        <v/>
      </c>
      <c r="H471" s="18"/>
      <c r="I471" s="18"/>
      <c r="J471" s="77" t="str">
        <f t="shared" ca="1" si="15"/>
        <v/>
      </c>
      <c r="K471" s="19">
        <f>IF(A471="","",COUNTIFS(Resumen!$N$2:$N$2999,ROW(),Resumen!$V$2:$V$2999,1))</f>
        <v/>
      </c>
      <c r="L471" s="20"/>
      <c r="N4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2" spans="1:14">
      <c r="A472" s="16"/>
      <c r="B472" s="16"/>
      <c r="C472" s="17"/>
      <c r="D472" s="17"/>
      <c r="E472" s="17"/>
      <c r="F472" s="18"/>
      <c r="G472" s="19" t="str">
        <f t="shared" ca="1" si="14"/>
        <v/>
      </c>
      <c r="H472" s="18"/>
      <c r="I472" s="18"/>
      <c r="J472" s="77" t="str">
        <f t="shared" ca="1" si="15"/>
        <v/>
      </c>
      <c r="K472" s="19">
        <f>IF(A472="","",COUNTIFS(Resumen!$N$2:$N$2999,ROW(),Resumen!$V$2:$V$2999,1))</f>
        <v/>
      </c>
      <c r="L472" s="20"/>
      <c r="N4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3" spans="1:14">
      <c r="A473" s="16"/>
      <c r="B473" s="16"/>
      <c r="C473" s="17"/>
      <c r="D473" s="17"/>
      <c r="E473" s="17"/>
      <c r="F473" s="18"/>
      <c r="G473" s="19" t="str">
        <f t="shared" ca="1" si="14"/>
        <v/>
      </c>
      <c r="H473" s="18"/>
      <c r="I473" s="18"/>
      <c r="J473" s="77" t="str">
        <f t="shared" ca="1" si="15"/>
        <v/>
      </c>
      <c r="K473" s="19">
        <f>IF(A473="","",COUNTIFS(Resumen!$N$2:$N$2999,ROW(),Resumen!$V$2:$V$2999,1))</f>
        <v/>
      </c>
      <c r="L473" s="20"/>
      <c r="N4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4" spans="1:14">
      <c r="A474" s="16"/>
      <c r="B474" s="16"/>
      <c r="C474" s="17"/>
      <c r="D474" s="17"/>
      <c r="E474" s="17"/>
      <c r="F474" s="18"/>
      <c r="G474" s="19" t="str">
        <f t="shared" ca="1" si="14"/>
        <v/>
      </c>
      <c r="H474" s="18"/>
      <c r="I474" s="18"/>
      <c r="J474" s="77" t="str">
        <f t="shared" ca="1" si="15"/>
        <v/>
      </c>
      <c r="K474" s="19">
        <f>IF(A474="","",COUNTIFS(Resumen!$N$2:$N$2999,ROW(),Resumen!$V$2:$V$2999,1))</f>
        <v/>
      </c>
      <c r="L474" s="20"/>
      <c r="N4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5" spans="1:14">
      <c r="A475" s="16"/>
      <c r="B475" s="16"/>
      <c r="C475" s="17"/>
      <c r="D475" s="17"/>
      <c r="E475" s="17"/>
      <c r="F475" s="18"/>
      <c r="G475" s="19" t="str">
        <f t="shared" ca="1" si="14"/>
        <v/>
      </c>
      <c r="H475" s="18"/>
      <c r="I475" s="18"/>
      <c r="J475" s="77" t="str">
        <f t="shared" ca="1" si="15"/>
        <v/>
      </c>
      <c r="K475" s="19">
        <f>IF(A475="","",COUNTIFS(Resumen!$N$2:$N$2999,ROW(),Resumen!$V$2:$V$2999,1))</f>
        <v/>
      </c>
      <c r="L475" s="20"/>
      <c r="N4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6" spans="1:14">
      <c r="A476" s="16"/>
      <c r="B476" s="16"/>
      <c r="C476" s="17"/>
      <c r="D476" s="17"/>
      <c r="E476" s="17"/>
      <c r="F476" s="18"/>
      <c r="G476" s="19" t="str">
        <f t="shared" ca="1" si="14"/>
        <v/>
      </c>
      <c r="H476" s="18"/>
      <c r="I476" s="18"/>
      <c r="J476" s="77" t="str">
        <f t="shared" ca="1" si="15"/>
        <v/>
      </c>
      <c r="K476" s="19">
        <f>IF(A476="","",COUNTIFS(Resumen!$N$2:$N$2999,ROW(),Resumen!$V$2:$V$2999,1))</f>
        <v/>
      </c>
      <c r="L476" s="20"/>
      <c r="N4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7" spans="1:14">
      <c r="A477" s="16"/>
      <c r="B477" s="16"/>
      <c r="C477" s="17"/>
      <c r="D477" s="17"/>
      <c r="E477" s="17"/>
      <c r="F477" s="18"/>
      <c r="G477" s="19" t="str">
        <f t="shared" ca="1" si="14"/>
        <v/>
      </c>
      <c r="H477" s="18"/>
      <c r="I477" s="18"/>
      <c r="J477" s="77" t="str">
        <f t="shared" ca="1" si="15"/>
        <v/>
      </c>
      <c r="K477" s="19">
        <f>IF(A477="","",COUNTIFS(Resumen!$N$2:$N$2999,ROW(),Resumen!$V$2:$V$2999,1))</f>
        <v/>
      </c>
      <c r="L477" s="20"/>
      <c r="N4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8" spans="1:14">
      <c r="A478" s="16"/>
      <c r="B478" s="16"/>
      <c r="C478" s="17"/>
      <c r="D478" s="17"/>
      <c r="E478" s="17"/>
      <c r="F478" s="18"/>
      <c r="G478" s="19" t="str">
        <f t="shared" ca="1" si="14"/>
        <v/>
      </c>
      <c r="H478" s="18"/>
      <c r="I478" s="18"/>
      <c r="J478" s="77" t="str">
        <f t="shared" ca="1" si="15"/>
        <v/>
      </c>
      <c r="K478" s="19">
        <f>IF(A478="","",COUNTIFS(Resumen!$N$2:$N$2999,ROW(),Resumen!$V$2:$V$2999,1))</f>
        <v/>
      </c>
      <c r="L478" s="20"/>
      <c r="N4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79" spans="1:14">
      <c r="A479" s="16"/>
      <c r="B479" s="16"/>
      <c r="C479" s="17"/>
      <c r="D479" s="17"/>
      <c r="E479" s="17"/>
      <c r="F479" s="18"/>
      <c r="G479" s="19" t="str">
        <f t="shared" ca="1" si="14"/>
        <v/>
      </c>
      <c r="H479" s="18"/>
      <c r="I479" s="18"/>
      <c r="J479" s="77" t="str">
        <f t="shared" ca="1" si="15"/>
        <v/>
      </c>
      <c r="K479" s="19">
        <f>IF(A479="","",COUNTIFS(Resumen!$N$2:$N$2999,ROW(),Resumen!$V$2:$V$2999,1))</f>
        <v/>
      </c>
      <c r="L479" s="20"/>
      <c r="N4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0" spans="1:14">
      <c r="A480" s="16"/>
      <c r="B480" s="16"/>
      <c r="C480" s="17"/>
      <c r="D480" s="17"/>
      <c r="E480" s="17"/>
      <c r="F480" s="18"/>
      <c r="G480" s="19" t="str">
        <f t="shared" ca="1" si="14"/>
        <v/>
      </c>
      <c r="H480" s="18"/>
      <c r="I480" s="18"/>
      <c r="J480" s="77" t="str">
        <f t="shared" ca="1" si="15"/>
        <v/>
      </c>
      <c r="K480" s="19">
        <f>IF(A480="","",COUNTIFS(Resumen!$N$2:$N$2999,ROW(),Resumen!$V$2:$V$2999,1))</f>
        <v/>
      </c>
      <c r="L480" s="20"/>
      <c r="N4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1" spans="1:14">
      <c r="A481" s="16"/>
      <c r="B481" s="16"/>
      <c r="C481" s="17"/>
      <c r="D481" s="17"/>
      <c r="E481" s="17"/>
      <c r="F481" s="18"/>
      <c r="G481" s="19" t="str">
        <f t="shared" ca="1" si="14"/>
        <v/>
      </c>
      <c r="H481" s="18"/>
      <c r="I481" s="18"/>
      <c r="J481" s="77" t="str">
        <f t="shared" ca="1" si="15"/>
        <v/>
      </c>
      <c r="K481" s="19">
        <f>IF(A481="","",COUNTIFS(Resumen!$N$2:$N$2999,ROW(),Resumen!$V$2:$V$2999,1))</f>
        <v/>
      </c>
      <c r="L481" s="20"/>
      <c r="N4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2" spans="1:14">
      <c r="A482" s="16"/>
      <c r="B482" s="16"/>
      <c r="C482" s="17"/>
      <c r="D482" s="17"/>
      <c r="E482" s="17"/>
      <c r="F482" s="18"/>
      <c r="G482" s="19" t="str">
        <f t="shared" ca="1" si="14"/>
        <v/>
      </c>
      <c r="H482" s="18"/>
      <c r="I482" s="18"/>
      <c r="J482" s="77" t="str">
        <f t="shared" ca="1" si="15"/>
        <v/>
      </c>
      <c r="K482" s="19">
        <f>IF(A482="","",COUNTIFS(Resumen!$N$2:$N$2999,ROW(),Resumen!$V$2:$V$2999,1))</f>
        <v/>
      </c>
      <c r="L482" s="20"/>
      <c r="N4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3" spans="1:14">
      <c r="A483" s="16"/>
      <c r="B483" s="16"/>
      <c r="C483" s="17"/>
      <c r="D483" s="17"/>
      <c r="E483" s="17"/>
      <c r="F483" s="18"/>
      <c r="G483" s="19" t="str">
        <f t="shared" ca="1" si="14"/>
        <v/>
      </c>
      <c r="H483" s="18"/>
      <c r="I483" s="18"/>
      <c r="J483" s="77" t="str">
        <f t="shared" ca="1" si="15"/>
        <v/>
      </c>
      <c r="K483" s="19">
        <f>IF(A483="","",COUNTIFS(Resumen!$N$2:$N$2999,ROW(),Resumen!$V$2:$V$2999,1))</f>
        <v/>
      </c>
      <c r="L483" s="20"/>
      <c r="N4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4" spans="1:14">
      <c r="A484" s="16"/>
      <c r="B484" s="16"/>
      <c r="C484" s="17"/>
      <c r="D484" s="17"/>
      <c r="E484" s="17"/>
      <c r="F484" s="18"/>
      <c r="G484" s="19" t="str">
        <f t="shared" ca="1" si="14"/>
        <v/>
      </c>
      <c r="H484" s="18"/>
      <c r="I484" s="18"/>
      <c r="J484" s="77" t="str">
        <f t="shared" ca="1" si="15"/>
        <v/>
      </c>
      <c r="K484" s="19">
        <f>IF(A484="","",COUNTIFS(Resumen!$N$2:$N$2999,ROW(),Resumen!$V$2:$V$2999,1))</f>
        <v/>
      </c>
      <c r="L484" s="20"/>
      <c r="N4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5" spans="1:14">
      <c r="A485" s="16"/>
      <c r="B485" s="16"/>
      <c r="C485" s="17"/>
      <c r="D485" s="17"/>
      <c r="E485" s="17"/>
      <c r="F485" s="18"/>
      <c r="G485" s="19" t="str">
        <f t="shared" ca="1" si="14"/>
        <v/>
      </c>
      <c r="H485" s="18"/>
      <c r="I485" s="18"/>
      <c r="J485" s="77" t="str">
        <f t="shared" ca="1" si="15"/>
        <v/>
      </c>
      <c r="K485" s="19">
        <f>IF(A485="","",COUNTIFS(Resumen!$N$2:$N$2999,ROW(),Resumen!$V$2:$V$2999,1))</f>
        <v/>
      </c>
      <c r="L485" s="20"/>
      <c r="N4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6" spans="1:14">
      <c r="A486" s="16"/>
      <c r="B486" s="16"/>
      <c r="C486" s="17"/>
      <c r="D486" s="17"/>
      <c r="E486" s="17"/>
      <c r="F486" s="18"/>
      <c r="G486" s="19" t="str">
        <f t="shared" ca="1" si="14"/>
        <v/>
      </c>
      <c r="H486" s="18"/>
      <c r="I486" s="18"/>
      <c r="J486" s="77" t="str">
        <f t="shared" ca="1" si="15"/>
        <v/>
      </c>
      <c r="K486" s="19">
        <f>IF(A486="","",COUNTIFS(Resumen!$N$2:$N$2999,ROW(),Resumen!$V$2:$V$2999,1))</f>
        <v/>
      </c>
      <c r="L486" s="20"/>
      <c r="N4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7" spans="1:14">
      <c r="A487" s="16"/>
      <c r="B487" s="16"/>
      <c r="C487" s="17"/>
      <c r="D487" s="17"/>
      <c r="E487" s="17"/>
      <c r="F487" s="18"/>
      <c r="G487" s="19" t="str">
        <f t="shared" ca="1" si="14"/>
        <v/>
      </c>
      <c r="H487" s="18"/>
      <c r="I487" s="18"/>
      <c r="J487" s="77" t="str">
        <f t="shared" ca="1" si="15"/>
        <v/>
      </c>
      <c r="K487" s="19">
        <f>IF(A487="","",COUNTIFS(Resumen!$N$2:$N$2999,ROW(),Resumen!$V$2:$V$2999,1))</f>
        <v/>
      </c>
      <c r="L487" s="20"/>
      <c r="N4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8" spans="1:14">
      <c r="A488" s="16"/>
      <c r="B488" s="16"/>
      <c r="C488" s="17"/>
      <c r="D488" s="17"/>
      <c r="E488" s="17"/>
      <c r="F488" s="18"/>
      <c r="G488" s="19" t="str">
        <f t="shared" ca="1" si="14"/>
        <v/>
      </c>
      <c r="H488" s="18"/>
      <c r="I488" s="18"/>
      <c r="J488" s="77" t="str">
        <f t="shared" ca="1" si="15"/>
        <v/>
      </c>
      <c r="K488" s="19">
        <f>IF(A488="","",COUNTIFS(Resumen!$N$2:$N$2999,ROW(),Resumen!$V$2:$V$2999,1))</f>
        <v/>
      </c>
      <c r="L488" s="20"/>
      <c r="N4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89" spans="1:14">
      <c r="A489" s="16"/>
      <c r="B489" s="16"/>
      <c r="C489" s="17"/>
      <c r="D489" s="17"/>
      <c r="E489" s="17"/>
      <c r="F489" s="18"/>
      <c r="G489" s="19" t="str">
        <f t="shared" ca="1" si="14"/>
        <v/>
      </c>
      <c r="H489" s="18"/>
      <c r="I489" s="18"/>
      <c r="J489" s="77" t="str">
        <f t="shared" ca="1" si="15"/>
        <v/>
      </c>
      <c r="K489" s="19">
        <f>IF(A489="","",COUNTIFS(Resumen!$N$2:$N$2999,ROW(),Resumen!$V$2:$V$2999,1))</f>
        <v/>
      </c>
      <c r="L489" s="20"/>
      <c r="N4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0" spans="1:14">
      <c r="A490" s="16"/>
      <c r="B490" s="16"/>
      <c r="C490" s="17"/>
      <c r="D490" s="17"/>
      <c r="E490" s="17"/>
      <c r="F490" s="18"/>
      <c r="G490" s="19" t="str">
        <f t="shared" ca="1" si="14"/>
        <v/>
      </c>
      <c r="H490" s="18"/>
      <c r="I490" s="18"/>
      <c r="J490" s="77" t="str">
        <f t="shared" ca="1" si="15"/>
        <v/>
      </c>
      <c r="K490" s="19">
        <f>IF(A490="","",COUNTIFS(Resumen!$N$2:$N$2999,ROW(),Resumen!$V$2:$V$2999,1))</f>
        <v/>
      </c>
      <c r="L490" s="20"/>
      <c r="N4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1" spans="1:14">
      <c r="A491" s="16"/>
      <c r="B491" s="16"/>
      <c r="C491" s="17"/>
      <c r="D491" s="17"/>
      <c r="E491" s="17"/>
      <c r="F491" s="18"/>
      <c r="G491" s="19" t="str">
        <f t="shared" ca="1" si="14"/>
        <v/>
      </c>
      <c r="H491" s="18"/>
      <c r="I491" s="18"/>
      <c r="J491" s="77" t="str">
        <f t="shared" ca="1" si="15"/>
        <v/>
      </c>
      <c r="K491" s="19">
        <f>IF(A491="","",COUNTIFS(Resumen!$N$2:$N$2999,ROW(),Resumen!$V$2:$V$2999,1))</f>
        <v/>
      </c>
      <c r="L491" s="20"/>
      <c r="N4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2" spans="1:14">
      <c r="A492" s="16"/>
      <c r="B492" s="16"/>
      <c r="C492" s="17"/>
      <c r="D492" s="17"/>
      <c r="E492" s="17"/>
      <c r="F492" s="18"/>
      <c r="G492" s="19" t="str">
        <f t="shared" ca="1" si="14"/>
        <v/>
      </c>
      <c r="H492" s="18"/>
      <c r="I492" s="18"/>
      <c r="J492" s="77" t="str">
        <f t="shared" ca="1" si="15"/>
        <v/>
      </c>
      <c r="K492" s="19">
        <f>IF(A492="","",COUNTIFS(Resumen!$N$2:$N$2999,ROW(),Resumen!$V$2:$V$2999,1))</f>
        <v/>
      </c>
      <c r="L492" s="20"/>
      <c r="N4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3" spans="1:14">
      <c r="A493" s="16"/>
      <c r="B493" s="16"/>
      <c r="C493" s="17"/>
      <c r="D493" s="17"/>
      <c r="E493" s="17"/>
      <c r="F493" s="18"/>
      <c r="G493" s="19" t="str">
        <f t="shared" ca="1" si="14"/>
        <v/>
      </c>
      <c r="H493" s="18"/>
      <c r="I493" s="18"/>
      <c r="J493" s="77" t="str">
        <f t="shared" ca="1" si="15"/>
        <v/>
      </c>
      <c r="K493" s="19">
        <f>IF(A493="","",COUNTIFS(Resumen!$N$2:$N$2999,ROW(),Resumen!$V$2:$V$2999,1))</f>
        <v/>
      </c>
      <c r="L493" s="20"/>
      <c r="N4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4" spans="1:14">
      <c r="A494" s="16"/>
      <c r="B494" s="16"/>
      <c r="C494" s="17"/>
      <c r="D494" s="17"/>
      <c r="E494" s="17"/>
      <c r="F494" s="18"/>
      <c r="G494" s="19" t="str">
        <f t="shared" ca="1" si="14"/>
        <v/>
      </c>
      <c r="H494" s="18"/>
      <c r="I494" s="18"/>
      <c r="J494" s="77" t="str">
        <f t="shared" ca="1" si="15"/>
        <v/>
      </c>
      <c r="K494" s="19">
        <f>IF(A494="","",COUNTIFS(Resumen!$N$2:$N$2999,ROW(),Resumen!$V$2:$V$2999,1))</f>
        <v/>
      </c>
      <c r="L494" s="20"/>
      <c r="N4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5" spans="1:14">
      <c r="A495" s="16"/>
      <c r="B495" s="16"/>
      <c r="C495" s="17"/>
      <c r="D495" s="17"/>
      <c r="E495" s="17"/>
      <c r="F495" s="18"/>
      <c r="G495" s="19" t="str">
        <f t="shared" ca="1" si="14"/>
        <v/>
      </c>
      <c r="H495" s="18"/>
      <c r="I495" s="18"/>
      <c r="J495" s="77" t="str">
        <f t="shared" ca="1" si="15"/>
        <v/>
      </c>
      <c r="K495" s="19">
        <f>IF(A495="","",COUNTIFS(Resumen!$N$2:$N$2999,ROW(),Resumen!$V$2:$V$2999,1))</f>
        <v/>
      </c>
      <c r="L495" s="20"/>
      <c r="N4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6" spans="1:14">
      <c r="A496" s="16"/>
      <c r="B496" s="16"/>
      <c r="C496" s="17"/>
      <c r="D496" s="17"/>
      <c r="E496" s="17"/>
      <c r="F496" s="18"/>
      <c r="G496" s="19" t="str">
        <f t="shared" ca="1" si="14"/>
        <v/>
      </c>
      <c r="H496" s="18"/>
      <c r="I496" s="18"/>
      <c r="J496" s="77" t="str">
        <f t="shared" ca="1" si="15"/>
        <v/>
      </c>
      <c r="K496" s="19">
        <f>IF(A496="","",COUNTIFS(Resumen!$N$2:$N$2999,ROW(),Resumen!$V$2:$V$2999,1))</f>
        <v/>
      </c>
      <c r="L496" s="20"/>
      <c r="N4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7" spans="1:14">
      <c r="A497" s="16"/>
      <c r="B497" s="16"/>
      <c r="C497" s="17"/>
      <c r="D497" s="17"/>
      <c r="E497" s="17"/>
      <c r="F497" s="18"/>
      <c r="G497" s="19" t="str">
        <f t="shared" ca="1" si="14"/>
        <v/>
      </c>
      <c r="H497" s="18"/>
      <c r="I497" s="18"/>
      <c r="J497" s="77" t="str">
        <f t="shared" ca="1" si="15"/>
        <v/>
      </c>
      <c r="K497" s="19">
        <f>IF(A497="","",COUNTIFS(Resumen!$N$2:$N$2999,ROW(),Resumen!$V$2:$V$2999,1))</f>
        <v/>
      </c>
      <c r="L497" s="20"/>
      <c r="N4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8" spans="1:14">
      <c r="A498" s="16"/>
      <c r="B498" s="16"/>
      <c r="C498" s="17"/>
      <c r="D498" s="17"/>
      <c r="E498" s="17"/>
      <c r="F498" s="18"/>
      <c r="G498" s="19" t="str">
        <f t="shared" ca="1" si="14"/>
        <v/>
      </c>
      <c r="H498" s="18"/>
      <c r="I498" s="18"/>
      <c r="J498" s="77" t="str">
        <f t="shared" ca="1" si="15"/>
        <v/>
      </c>
      <c r="K498" s="19">
        <f>IF(A498="","",COUNTIFS(Resumen!$N$2:$N$2999,ROW(),Resumen!$V$2:$V$2999,1))</f>
        <v/>
      </c>
      <c r="L498" s="20"/>
      <c r="N4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499" spans="1:14">
      <c r="A499" s="16"/>
      <c r="B499" s="16"/>
      <c r="C499" s="17"/>
      <c r="D499" s="17"/>
      <c r="E499" s="17"/>
      <c r="F499" s="18"/>
      <c r="G499" s="19" t="str">
        <f t="shared" ca="1" si="14"/>
        <v/>
      </c>
      <c r="H499" s="18"/>
      <c r="I499" s="18"/>
      <c r="J499" s="77" t="str">
        <f t="shared" ca="1" si="15"/>
        <v/>
      </c>
      <c r="K499" s="19">
        <f>IF(A499="","",COUNTIFS(Resumen!$N$2:$N$2999,ROW(),Resumen!$V$2:$V$2999,1))</f>
        <v/>
      </c>
      <c r="L499" s="20"/>
      <c r="N4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0" spans="1:14">
      <c r="A500" s="16"/>
      <c r="B500" s="16"/>
      <c r="C500" s="17"/>
      <c r="D500" s="17"/>
      <c r="E500" s="17"/>
      <c r="F500" s="18"/>
      <c r="G500" s="19" t="str">
        <f t="shared" ca="1" si="14"/>
        <v/>
      </c>
      <c r="H500" s="18"/>
      <c r="I500" s="18"/>
      <c r="J500" s="77" t="str">
        <f t="shared" ca="1" si="15"/>
        <v/>
      </c>
      <c r="K500" s="19">
        <f>IF(A500="","",COUNTIFS(Resumen!$N$2:$N$2999,ROW(),Resumen!$V$2:$V$2999,1))</f>
        <v/>
      </c>
      <c r="L500" s="20"/>
      <c r="N5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1" spans="1:14">
      <c r="A501" s="16"/>
      <c r="B501" s="16"/>
      <c r="C501" s="17"/>
      <c r="D501" s="17"/>
      <c r="E501" s="17"/>
      <c r="F501" s="18"/>
      <c r="G501" s="19" t="str">
        <f t="shared" ca="1" si="14"/>
        <v/>
      </c>
      <c r="H501" s="18"/>
      <c r="I501" s="18"/>
      <c r="J501" s="77" t="str">
        <f t="shared" ca="1" si="15"/>
        <v/>
      </c>
      <c r="K501" s="19">
        <f>IF(A501="","",COUNTIFS(Resumen!$N$2:$N$2999,ROW(),Resumen!$V$2:$V$2999,1))</f>
        <v/>
      </c>
      <c r="L501" s="20"/>
      <c r="N5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2" spans="1:14">
      <c r="A502" s="16"/>
      <c r="B502" s="16"/>
      <c r="C502" s="17"/>
      <c r="D502" s="17"/>
      <c r="E502" s="17"/>
      <c r="F502" s="18"/>
      <c r="G502" s="19" t="str">
        <f t="shared" ca="1" si="14"/>
        <v/>
      </c>
      <c r="H502" s="18"/>
      <c r="I502" s="18"/>
      <c r="J502" s="77" t="str">
        <f t="shared" ca="1" si="15"/>
        <v/>
      </c>
      <c r="K502" s="19">
        <f>IF(A502="","",COUNTIFS(Resumen!$N$2:$N$2999,ROW(),Resumen!$V$2:$V$2999,1))</f>
        <v/>
      </c>
      <c r="L502" s="20"/>
      <c r="N5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3" spans="1:14">
      <c r="A503" s="16"/>
      <c r="B503" s="16"/>
      <c r="C503" s="17"/>
      <c r="D503" s="17"/>
      <c r="E503" s="17"/>
      <c r="F503" s="18"/>
      <c r="G503" s="19" t="str">
        <f t="shared" ca="1" si="14"/>
        <v/>
      </c>
      <c r="H503" s="18"/>
      <c r="I503" s="18"/>
      <c r="J503" s="77" t="str">
        <f t="shared" ca="1" si="15"/>
        <v/>
      </c>
      <c r="K503" s="19">
        <f>IF(A503="","",COUNTIFS(Resumen!$N$2:$N$2999,ROW(),Resumen!$V$2:$V$2999,1))</f>
        <v/>
      </c>
      <c r="L503" s="20"/>
      <c r="N5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4" spans="1:14">
      <c r="A504" s="16"/>
      <c r="B504" s="16"/>
      <c r="C504" s="17"/>
      <c r="D504" s="17"/>
      <c r="E504" s="17"/>
      <c r="F504" s="18"/>
      <c r="G504" s="19" t="str">
        <f t="shared" ca="1" si="14"/>
        <v/>
      </c>
      <c r="H504" s="18"/>
      <c r="I504" s="18"/>
      <c r="J504" s="77" t="str">
        <f t="shared" ca="1" si="15"/>
        <v/>
      </c>
      <c r="K504" s="19">
        <f>IF(A504="","",COUNTIFS(Resumen!$N$2:$N$2999,ROW(),Resumen!$V$2:$V$2999,1))</f>
        <v/>
      </c>
      <c r="L504" s="20"/>
      <c r="N5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5" spans="1:14">
      <c r="A505" s="16"/>
      <c r="B505" s="16"/>
      <c r="C505" s="17"/>
      <c r="D505" s="17"/>
      <c r="E505" s="17"/>
      <c r="F505" s="18"/>
      <c r="G505" s="19" t="str">
        <f t="shared" ca="1" si="14"/>
        <v/>
      </c>
      <c r="H505" s="18"/>
      <c r="I505" s="18"/>
      <c r="J505" s="77" t="str">
        <f t="shared" ca="1" si="15"/>
        <v/>
      </c>
      <c r="K505" s="19">
        <f>IF(A505="","",COUNTIFS(Resumen!$N$2:$N$2999,ROW(),Resumen!$V$2:$V$2999,1))</f>
        <v/>
      </c>
      <c r="L505" s="20"/>
      <c r="N5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6" spans="1:14">
      <c r="A506" s="16"/>
      <c r="B506" s="16"/>
      <c r="C506" s="17"/>
      <c r="D506" s="17"/>
      <c r="E506" s="17"/>
      <c r="F506" s="18"/>
      <c r="G506" s="19" t="str">
        <f t="shared" ca="1" si="14"/>
        <v/>
      </c>
      <c r="H506" s="18"/>
      <c r="I506" s="18"/>
      <c r="J506" s="77" t="str">
        <f t="shared" ca="1" si="15"/>
        <v/>
      </c>
      <c r="K506" s="19">
        <f>IF(A506="","",COUNTIFS(Resumen!$N$2:$N$2999,ROW(),Resumen!$V$2:$V$2999,1))</f>
        <v/>
      </c>
      <c r="L506" s="20"/>
      <c r="N5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7" spans="1:14">
      <c r="A507" s="16"/>
      <c r="B507" s="16"/>
      <c r="C507" s="17"/>
      <c r="D507" s="17"/>
      <c r="E507" s="17"/>
      <c r="F507" s="18"/>
      <c r="G507" s="19" t="str">
        <f t="shared" ca="1" si="14"/>
        <v/>
      </c>
      <c r="H507" s="18"/>
      <c r="I507" s="18"/>
      <c r="J507" s="77" t="str">
        <f t="shared" ca="1" si="15"/>
        <v/>
      </c>
      <c r="K507" s="19">
        <f>IF(A507="","",COUNTIFS(Resumen!$N$2:$N$2999,ROW(),Resumen!$V$2:$V$2999,1))</f>
        <v/>
      </c>
      <c r="L507" s="20"/>
      <c r="N5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8" spans="1:14">
      <c r="A508" s="16"/>
      <c r="B508" s="16"/>
      <c r="C508" s="17"/>
      <c r="D508" s="17"/>
      <c r="E508" s="17"/>
      <c r="F508" s="18"/>
      <c r="G508" s="19" t="str">
        <f t="shared" ca="1" si="14"/>
        <v/>
      </c>
      <c r="H508" s="18"/>
      <c r="I508" s="18"/>
      <c r="J508" s="77" t="str">
        <f t="shared" ca="1" si="15"/>
        <v/>
      </c>
      <c r="K508" s="19">
        <f>IF(A508="","",COUNTIFS(Resumen!$N$2:$N$2999,ROW(),Resumen!$V$2:$V$2999,1))</f>
        <v/>
      </c>
      <c r="L508" s="20"/>
      <c r="N5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09" spans="1:14">
      <c r="A509" s="16"/>
      <c r="B509" s="16"/>
      <c r="C509" s="17"/>
      <c r="D509" s="17"/>
      <c r="E509" s="17"/>
      <c r="F509" s="18"/>
      <c r="G509" s="19" t="str">
        <f t="shared" ca="1" si="14"/>
        <v/>
      </c>
      <c r="H509" s="18"/>
      <c r="I509" s="18"/>
      <c r="J509" s="77" t="str">
        <f t="shared" ca="1" si="15"/>
        <v/>
      </c>
      <c r="K509" s="19">
        <f>IF(A509="","",COUNTIFS(Resumen!$N$2:$N$2999,ROW(),Resumen!$V$2:$V$2999,1))</f>
        <v/>
      </c>
      <c r="L509" s="20"/>
      <c r="N5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0" spans="1:14">
      <c r="A510" s="16"/>
      <c r="B510" s="16"/>
      <c r="C510" s="17"/>
      <c r="D510" s="17"/>
      <c r="E510" s="17"/>
      <c r="F510" s="18"/>
      <c r="G510" s="19" t="str">
        <f t="shared" ca="1" si="14"/>
        <v/>
      </c>
      <c r="H510" s="18"/>
      <c r="I510" s="18"/>
      <c r="J510" s="77" t="str">
        <f t="shared" ca="1" si="15"/>
        <v/>
      </c>
      <c r="K510" s="19">
        <f>IF(A510="","",COUNTIFS(Resumen!$N$2:$N$2999,ROW(),Resumen!$V$2:$V$2999,1))</f>
        <v/>
      </c>
      <c r="L510" s="20"/>
      <c r="N5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1" spans="1:14">
      <c r="A511" s="16"/>
      <c r="B511" s="16"/>
      <c r="C511" s="17"/>
      <c r="D511" s="17"/>
      <c r="E511" s="17"/>
      <c r="F511" s="18"/>
      <c r="G511" s="19" t="str">
        <f t="shared" ca="1" si="14"/>
        <v/>
      </c>
      <c r="H511" s="18"/>
      <c r="I511" s="18"/>
      <c r="J511" s="77" t="str">
        <f t="shared" ca="1" si="15"/>
        <v/>
      </c>
      <c r="K511" s="19">
        <f>IF(A511="","",COUNTIFS(Resumen!$N$2:$N$2999,ROW(),Resumen!$V$2:$V$2999,1))</f>
        <v/>
      </c>
      <c r="L511" s="20"/>
      <c r="N5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2" spans="1:14">
      <c r="A512" s="16"/>
      <c r="B512" s="16"/>
      <c r="C512" s="17"/>
      <c r="D512" s="17"/>
      <c r="E512" s="17"/>
      <c r="F512" s="18"/>
      <c r="G512" s="19" t="str">
        <f t="shared" ca="1" si="14"/>
        <v/>
      </c>
      <c r="H512" s="18"/>
      <c r="I512" s="18"/>
      <c r="J512" s="77" t="str">
        <f t="shared" ca="1" si="15"/>
        <v/>
      </c>
      <c r="K512" s="19">
        <f>IF(A512="","",COUNTIFS(Resumen!$N$2:$N$2999,ROW(),Resumen!$V$2:$V$2999,1))</f>
        <v/>
      </c>
      <c r="L512" s="20"/>
      <c r="N5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3" spans="1:14">
      <c r="A513" s="16"/>
      <c r="B513" s="16"/>
      <c r="C513" s="17"/>
      <c r="D513" s="17"/>
      <c r="E513" s="17"/>
      <c r="F513" s="18"/>
      <c r="G513" s="19" t="str">
        <f t="shared" ca="1" si="14"/>
        <v/>
      </c>
      <c r="H513" s="18"/>
      <c r="I513" s="18"/>
      <c r="J513" s="77" t="str">
        <f t="shared" ca="1" si="15"/>
        <v/>
      </c>
      <c r="K513" s="19">
        <f>IF(A513="","",COUNTIFS(Resumen!$N$2:$N$2999,ROW(),Resumen!$V$2:$V$2999,1))</f>
        <v/>
      </c>
      <c r="L513" s="20"/>
      <c r="N5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4" spans="1:14">
      <c r="A514" s="16"/>
      <c r="B514" s="16"/>
      <c r="C514" s="17"/>
      <c r="D514" s="17"/>
      <c r="E514" s="17"/>
      <c r="F514" s="18"/>
      <c r="G514" s="19" t="str">
        <f t="shared" ref="G514:G577" ca="1" si="16">IF(F514="", "", DATEDIF(F514, TODAY(), "Y"))</f>
        <v/>
      </c>
      <c r="H514" s="18"/>
      <c r="I514" s="18"/>
      <c r="J514" s="77" t="str">
        <f t="shared" ref="J514:J577" ca="1" si="17">IFERROR(IF(ISNUMBER(INDEX(VigenciasFamilia,ROW())),INDEX(VigenciasFamilia,ROW())-TODAY(),""),"")</f>
        <v/>
      </c>
      <c r="K514" s="19">
        <f>IF(A514="","",COUNTIFS(Resumen!$N$2:$N$2999,ROW(),Resumen!$V$2:$V$2999,1))</f>
        <v/>
      </c>
      <c r="L514" s="20"/>
      <c r="N5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5" spans="1:14">
      <c r="A515" s="16"/>
      <c r="B515" s="16"/>
      <c r="C515" s="17"/>
      <c r="D515" s="17"/>
      <c r="E515" s="17"/>
      <c r="F515" s="18"/>
      <c r="G515" s="19" t="str">
        <f t="shared" ca="1" si="16"/>
        <v/>
      </c>
      <c r="H515" s="18"/>
      <c r="I515" s="18"/>
      <c r="J515" s="77" t="str">
        <f t="shared" ca="1" si="17"/>
        <v/>
      </c>
      <c r="K515" s="19">
        <f>IF(A515="","",COUNTIFS(Resumen!$N$2:$N$2999,ROW(),Resumen!$V$2:$V$2999,1))</f>
        <v/>
      </c>
      <c r="L515" s="20"/>
      <c r="N5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6" spans="1:14">
      <c r="A516" s="16"/>
      <c r="B516" s="16"/>
      <c r="C516" s="17"/>
      <c r="D516" s="17"/>
      <c r="E516" s="17"/>
      <c r="F516" s="18"/>
      <c r="G516" s="19" t="str">
        <f t="shared" ca="1" si="16"/>
        <v/>
      </c>
      <c r="H516" s="18"/>
      <c r="I516" s="18"/>
      <c r="J516" s="77" t="str">
        <f t="shared" ca="1" si="17"/>
        <v/>
      </c>
      <c r="K516" s="19">
        <f>IF(A516="","",COUNTIFS(Resumen!$N$2:$N$2999,ROW(),Resumen!$V$2:$V$2999,1))</f>
        <v/>
      </c>
      <c r="L516" s="20"/>
      <c r="N5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7" spans="1:14">
      <c r="A517" s="16"/>
      <c r="B517" s="16"/>
      <c r="C517" s="17"/>
      <c r="D517" s="17"/>
      <c r="E517" s="17"/>
      <c r="F517" s="18"/>
      <c r="G517" s="19" t="str">
        <f t="shared" ca="1" si="16"/>
        <v/>
      </c>
      <c r="H517" s="18"/>
      <c r="I517" s="18"/>
      <c r="J517" s="77" t="str">
        <f t="shared" ca="1" si="17"/>
        <v/>
      </c>
      <c r="K517" s="19">
        <f>IF(A517="","",COUNTIFS(Resumen!$N$2:$N$2999,ROW(),Resumen!$V$2:$V$2999,1))</f>
        <v/>
      </c>
      <c r="L517" s="20"/>
      <c r="N5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8" spans="1:14">
      <c r="A518" s="16"/>
      <c r="B518" s="16"/>
      <c r="C518" s="17"/>
      <c r="D518" s="17"/>
      <c r="E518" s="17"/>
      <c r="F518" s="18"/>
      <c r="G518" s="19" t="str">
        <f t="shared" ca="1" si="16"/>
        <v/>
      </c>
      <c r="H518" s="18"/>
      <c r="I518" s="18"/>
      <c r="J518" s="77" t="str">
        <f t="shared" ca="1" si="17"/>
        <v/>
      </c>
      <c r="K518" s="19">
        <f>IF(A518="","",COUNTIFS(Resumen!$N$2:$N$2999,ROW(),Resumen!$V$2:$V$2999,1))</f>
        <v/>
      </c>
      <c r="L518" s="20"/>
      <c r="N5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19" spans="1:14">
      <c r="A519" s="16"/>
      <c r="B519" s="16"/>
      <c r="C519" s="17"/>
      <c r="D519" s="17"/>
      <c r="E519" s="17"/>
      <c r="F519" s="18"/>
      <c r="G519" s="19" t="str">
        <f t="shared" ca="1" si="16"/>
        <v/>
      </c>
      <c r="H519" s="18"/>
      <c r="I519" s="18"/>
      <c r="J519" s="77" t="str">
        <f t="shared" ca="1" si="17"/>
        <v/>
      </c>
      <c r="K519" s="19">
        <f>IF(A519="","",COUNTIFS(Resumen!$N$2:$N$2999,ROW(),Resumen!$V$2:$V$2999,1))</f>
        <v/>
      </c>
      <c r="L519" s="20"/>
      <c r="N5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0" spans="1:14">
      <c r="A520" s="16"/>
      <c r="B520" s="16"/>
      <c r="C520" s="17"/>
      <c r="D520" s="17"/>
      <c r="E520" s="17"/>
      <c r="F520" s="18"/>
      <c r="G520" s="19" t="str">
        <f t="shared" ca="1" si="16"/>
        <v/>
      </c>
      <c r="H520" s="18"/>
      <c r="I520" s="18"/>
      <c r="J520" s="77" t="str">
        <f t="shared" ca="1" si="17"/>
        <v/>
      </c>
      <c r="K520" s="19">
        <f>IF(A520="","",COUNTIFS(Resumen!$N$2:$N$2999,ROW(),Resumen!$V$2:$V$2999,1))</f>
        <v/>
      </c>
      <c r="L520" s="20"/>
      <c r="N5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1" spans="1:14">
      <c r="A521" s="16"/>
      <c r="B521" s="16"/>
      <c r="C521" s="17"/>
      <c r="D521" s="17"/>
      <c r="E521" s="17"/>
      <c r="F521" s="18"/>
      <c r="G521" s="19" t="str">
        <f t="shared" ca="1" si="16"/>
        <v/>
      </c>
      <c r="H521" s="18"/>
      <c r="I521" s="18"/>
      <c r="J521" s="77" t="str">
        <f t="shared" ca="1" si="17"/>
        <v/>
      </c>
      <c r="K521" s="19">
        <f>IF(A521="","",COUNTIFS(Resumen!$N$2:$N$2999,ROW(),Resumen!$V$2:$V$2999,1))</f>
        <v/>
      </c>
      <c r="L521" s="20"/>
      <c r="N5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2" spans="1:14">
      <c r="A522" s="16"/>
      <c r="B522" s="16"/>
      <c r="C522" s="17"/>
      <c r="D522" s="17"/>
      <c r="E522" s="17"/>
      <c r="F522" s="18"/>
      <c r="G522" s="19" t="str">
        <f t="shared" ca="1" si="16"/>
        <v/>
      </c>
      <c r="H522" s="18"/>
      <c r="I522" s="18"/>
      <c r="J522" s="77" t="str">
        <f t="shared" ca="1" si="17"/>
        <v/>
      </c>
      <c r="K522" s="19">
        <f>IF(A522="","",COUNTIFS(Resumen!$N$2:$N$2999,ROW(),Resumen!$V$2:$V$2999,1))</f>
        <v/>
      </c>
      <c r="L522" s="20"/>
      <c r="N5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3" spans="1:14">
      <c r="A523" s="16"/>
      <c r="B523" s="16"/>
      <c r="C523" s="17"/>
      <c r="D523" s="17"/>
      <c r="E523" s="17"/>
      <c r="F523" s="18"/>
      <c r="G523" s="19" t="str">
        <f t="shared" ca="1" si="16"/>
        <v/>
      </c>
      <c r="H523" s="18"/>
      <c r="I523" s="18"/>
      <c r="J523" s="77" t="str">
        <f t="shared" ca="1" si="17"/>
        <v/>
      </c>
      <c r="K523" s="19">
        <f>IF(A523="","",COUNTIFS(Resumen!$N$2:$N$2999,ROW(),Resumen!$V$2:$V$2999,1))</f>
        <v/>
      </c>
      <c r="L523" s="20"/>
      <c r="N5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4" spans="1:14">
      <c r="A524" s="16"/>
      <c r="B524" s="16"/>
      <c r="C524" s="17"/>
      <c r="D524" s="17"/>
      <c r="E524" s="17"/>
      <c r="F524" s="18"/>
      <c r="G524" s="19" t="str">
        <f t="shared" ca="1" si="16"/>
        <v/>
      </c>
      <c r="H524" s="18"/>
      <c r="I524" s="18"/>
      <c r="J524" s="77" t="str">
        <f t="shared" ca="1" si="17"/>
        <v/>
      </c>
      <c r="K524" s="19">
        <f>IF(A524="","",COUNTIFS(Resumen!$N$2:$N$2999,ROW(),Resumen!$V$2:$V$2999,1))</f>
        <v/>
      </c>
      <c r="L524" s="20"/>
      <c r="N5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5" spans="1:14">
      <c r="A525" s="16"/>
      <c r="B525" s="16"/>
      <c r="C525" s="17"/>
      <c r="D525" s="17"/>
      <c r="E525" s="17"/>
      <c r="F525" s="18"/>
      <c r="G525" s="19" t="str">
        <f t="shared" ca="1" si="16"/>
        <v/>
      </c>
      <c r="H525" s="18"/>
      <c r="I525" s="18"/>
      <c r="J525" s="77" t="str">
        <f t="shared" ca="1" si="17"/>
        <v/>
      </c>
      <c r="K525" s="19">
        <f>IF(A525="","",COUNTIFS(Resumen!$N$2:$N$2999,ROW(),Resumen!$V$2:$V$2999,1))</f>
        <v/>
      </c>
      <c r="L525" s="20"/>
      <c r="N5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6" spans="1:14">
      <c r="A526" s="16"/>
      <c r="B526" s="16"/>
      <c r="C526" s="17"/>
      <c r="D526" s="17"/>
      <c r="E526" s="17"/>
      <c r="F526" s="18"/>
      <c r="G526" s="19" t="str">
        <f t="shared" ca="1" si="16"/>
        <v/>
      </c>
      <c r="H526" s="18"/>
      <c r="I526" s="18"/>
      <c r="J526" s="77" t="str">
        <f t="shared" ca="1" si="17"/>
        <v/>
      </c>
      <c r="K526" s="19">
        <f>IF(A526="","",COUNTIFS(Resumen!$N$2:$N$2999,ROW(),Resumen!$V$2:$V$2999,1))</f>
        <v/>
      </c>
      <c r="L526" s="20"/>
      <c r="N5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7" spans="1:14">
      <c r="A527" s="16"/>
      <c r="B527" s="16"/>
      <c r="C527" s="17"/>
      <c r="D527" s="17"/>
      <c r="E527" s="17"/>
      <c r="F527" s="18"/>
      <c r="G527" s="19" t="str">
        <f t="shared" ca="1" si="16"/>
        <v/>
      </c>
      <c r="H527" s="18"/>
      <c r="I527" s="18"/>
      <c r="J527" s="77" t="str">
        <f t="shared" ca="1" si="17"/>
        <v/>
      </c>
      <c r="K527" s="19">
        <f>IF(A527="","",COUNTIFS(Resumen!$N$2:$N$2999,ROW(),Resumen!$V$2:$V$2999,1))</f>
        <v/>
      </c>
      <c r="L527" s="20"/>
      <c r="N5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8" spans="1:14">
      <c r="A528" s="16"/>
      <c r="B528" s="16"/>
      <c r="C528" s="17"/>
      <c r="D528" s="17"/>
      <c r="E528" s="17"/>
      <c r="F528" s="18"/>
      <c r="G528" s="19" t="str">
        <f t="shared" ca="1" si="16"/>
        <v/>
      </c>
      <c r="H528" s="18"/>
      <c r="I528" s="18"/>
      <c r="J528" s="77" t="str">
        <f t="shared" ca="1" si="17"/>
        <v/>
      </c>
      <c r="K528" s="19">
        <f>IF(A528="","",COUNTIFS(Resumen!$N$2:$N$2999,ROW(),Resumen!$V$2:$V$2999,1))</f>
        <v/>
      </c>
      <c r="L528" s="20"/>
      <c r="N5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29" spans="1:14">
      <c r="A529" s="16"/>
      <c r="B529" s="16"/>
      <c r="C529" s="17"/>
      <c r="D529" s="17"/>
      <c r="E529" s="17"/>
      <c r="F529" s="18"/>
      <c r="G529" s="19" t="str">
        <f t="shared" ca="1" si="16"/>
        <v/>
      </c>
      <c r="H529" s="18"/>
      <c r="I529" s="18"/>
      <c r="J529" s="77" t="str">
        <f t="shared" ca="1" si="17"/>
        <v/>
      </c>
      <c r="K529" s="19">
        <f>IF(A529="","",COUNTIFS(Resumen!$N$2:$N$2999,ROW(),Resumen!$V$2:$V$2999,1))</f>
        <v/>
      </c>
      <c r="L529" s="20"/>
      <c r="N5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0" spans="1:14">
      <c r="A530" s="16"/>
      <c r="B530" s="16"/>
      <c r="C530" s="17"/>
      <c r="D530" s="17"/>
      <c r="E530" s="17"/>
      <c r="F530" s="18"/>
      <c r="G530" s="19" t="str">
        <f t="shared" ca="1" si="16"/>
        <v/>
      </c>
      <c r="H530" s="18"/>
      <c r="I530" s="18"/>
      <c r="J530" s="77" t="str">
        <f t="shared" ca="1" si="17"/>
        <v/>
      </c>
      <c r="K530" s="19">
        <f>IF(A530="","",COUNTIFS(Resumen!$N$2:$N$2999,ROW(),Resumen!$V$2:$V$2999,1))</f>
        <v/>
      </c>
      <c r="L530" s="20"/>
      <c r="N5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1" spans="1:14">
      <c r="A531" s="16"/>
      <c r="B531" s="16"/>
      <c r="C531" s="17"/>
      <c r="D531" s="17"/>
      <c r="E531" s="17"/>
      <c r="F531" s="18"/>
      <c r="G531" s="19" t="str">
        <f t="shared" ca="1" si="16"/>
        <v/>
      </c>
      <c r="H531" s="18"/>
      <c r="I531" s="18"/>
      <c r="J531" s="77" t="str">
        <f t="shared" ca="1" si="17"/>
        <v/>
      </c>
      <c r="K531" s="19">
        <f>IF(A531="","",COUNTIFS(Resumen!$N$2:$N$2999,ROW(),Resumen!$V$2:$V$2999,1))</f>
        <v/>
      </c>
      <c r="L531" s="20"/>
      <c r="N5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2" spans="1:14">
      <c r="A532" s="16"/>
      <c r="B532" s="16"/>
      <c r="C532" s="17"/>
      <c r="D532" s="17"/>
      <c r="E532" s="17"/>
      <c r="F532" s="18"/>
      <c r="G532" s="19" t="str">
        <f t="shared" ca="1" si="16"/>
        <v/>
      </c>
      <c r="H532" s="18"/>
      <c r="I532" s="18"/>
      <c r="J532" s="77" t="str">
        <f t="shared" ca="1" si="17"/>
        <v/>
      </c>
      <c r="K532" s="19">
        <f>IF(A532="","",COUNTIFS(Resumen!$N$2:$N$2999,ROW(),Resumen!$V$2:$V$2999,1))</f>
        <v/>
      </c>
      <c r="L532" s="20"/>
      <c r="N5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3" spans="1:14">
      <c r="A533" s="16"/>
      <c r="B533" s="16"/>
      <c r="C533" s="17"/>
      <c r="D533" s="17"/>
      <c r="E533" s="17"/>
      <c r="F533" s="18"/>
      <c r="G533" s="19" t="str">
        <f t="shared" ca="1" si="16"/>
        <v/>
      </c>
      <c r="H533" s="18"/>
      <c r="I533" s="18"/>
      <c r="J533" s="77" t="str">
        <f t="shared" ca="1" si="17"/>
        <v/>
      </c>
      <c r="K533" s="19">
        <f>IF(A533="","",COUNTIFS(Resumen!$N$2:$N$2999,ROW(),Resumen!$V$2:$V$2999,1))</f>
        <v/>
      </c>
      <c r="L533" s="20"/>
      <c r="N5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4" spans="1:14">
      <c r="A534" s="16"/>
      <c r="B534" s="16"/>
      <c r="C534" s="17"/>
      <c r="D534" s="17"/>
      <c r="E534" s="17"/>
      <c r="F534" s="18"/>
      <c r="G534" s="19" t="str">
        <f t="shared" ca="1" si="16"/>
        <v/>
      </c>
      <c r="H534" s="18"/>
      <c r="I534" s="18"/>
      <c r="J534" s="77" t="str">
        <f t="shared" ca="1" si="17"/>
        <v/>
      </c>
      <c r="K534" s="19">
        <f>IF(A534="","",COUNTIFS(Resumen!$N$2:$N$2999,ROW(),Resumen!$V$2:$V$2999,1))</f>
        <v/>
      </c>
      <c r="L534" s="20"/>
      <c r="N5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5" spans="1:14">
      <c r="A535" s="16"/>
      <c r="B535" s="16"/>
      <c r="C535" s="17"/>
      <c r="D535" s="17"/>
      <c r="E535" s="17"/>
      <c r="F535" s="18"/>
      <c r="G535" s="19" t="str">
        <f t="shared" ca="1" si="16"/>
        <v/>
      </c>
      <c r="H535" s="18"/>
      <c r="I535" s="18"/>
      <c r="J535" s="77" t="str">
        <f t="shared" ca="1" si="17"/>
        <v/>
      </c>
      <c r="K535" s="19">
        <f>IF(A535="","",COUNTIFS(Resumen!$N$2:$N$2999,ROW(),Resumen!$V$2:$V$2999,1))</f>
        <v/>
      </c>
      <c r="L535" s="20"/>
      <c r="N5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6" spans="1:14">
      <c r="A536" s="16"/>
      <c r="B536" s="16"/>
      <c r="C536" s="17"/>
      <c r="D536" s="17"/>
      <c r="E536" s="17"/>
      <c r="F536" s="18"/>
      <c r="G536" s="19" t="str">
        <f t="shared" ca="1" si="16"/>
        <v/>
      </c>
      <c r="H536" s="18"/>
      <c r="I536" s="18"/>
      <c r="J536" s="77" t="str">
        <f t="shared" ca="1" si="17"/>
        <v/>
      </c>
      <c r="K536" s="19">
        <f>IF(A536="","",COUNTIFS(Resumen!$N$2:$N$2999,ROW(),Resumen!$V$2:$V$2999,1))</f>
        <v/>
      </c>
      <c r="L536" s="20"/>
      <c r="N5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7" spans="1:14">
      <c r="A537" s="16"/>
      <c r="B537" s="16"/>
      <c r="C537" s="17"/>
      <c r="D537" s="17"/>
      <c r="E537" s="17"/>
      <c r="F537" s="18"/>
      <c r="G537" s="19" t="str">
        <f t="shared" ca="1" si="16"/>
        <v/>
      </c>
      <c r="H537" s="18"/>
      <c r="I537" s="18"/>
      <c r="J537" s="77" t="str">
        <f t="shared" ca="1" si="17"/>
        <v/>
      </c>
      <c r="K537" s="19">
        <f>IF(A537="","",COUNTIFS(Resumen!$N$2:$N$2999,ROW(),Resumen!$V$2:$V$2999,1))</f>
        <v/>
      </c>
      <c r="L537" s="20"/>
      <c r="N5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8" spans="1:14">
      <c r="A538" s="16"/>
      <c r="B538" s="16"/>
      <c r="C538" s="17"/>
      <c r="D538" s="17"/>
      <c r="E538" s="17"/>
      <c r="F538" s="18"/>
      <c r="G538" s="19" t="str">
        <f t="shared" ca="1" si="16"/>
        <v/>
      </c>
      <c r="H538" s="18"/>
      <c r="I538" s="18"/>
      <c r="J538" s="77" t="str">
        <f t="shared" ca="1" si="17"/>
        <v/>
      </c>
      <c r="K538" s="19">
        <f>IF(A538="","",COUNTIFS(Resumen!$N$2:$N$2999,ROW(),Resumen!$V$2:$V$2999,1))</f>
        <v/>
      </c>
      <c r="L538" s="20"/>
      <c r="N5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39" spans="1:14">
      <c r="A539" s="16"/>
      <c r="B539" s="16"/>
      <c r="C539" s="17"/>
      <c r="D539" s="17"/>
      <c r="E539" s="17"/>
      <c r="F539" s="18"/>
      <c r="G539" s="19" t="str">
        <f t="shared" ca="1" si="16"/>
        <v/>
      </c>
      <c r="H539" s="18"/>
      <c r="I539" s="18"/>
      <c r="J539" s="77" t="str">
        <f t="shared" ca="1" si="17"/>
        <v/>
      </c>
      <c r="K539" s="19">
        <f>IF(A539="","",COUNTIFS(Resumen!$N$2:$N$2999,ROW(),Resumen!$V$2:$V$2999,1))</f>
        <v/>
      </c>
      <c r="L539" s="20"/>
      <c r="N5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0" spans="1:14">
      <c r="A540" s="16"/>
      <c r="B540" s="16"/>
      <c r="C540" s="17"/>
      <c r="D540" s="17"/>
      <c r="E540" s="17"/>
      <c r="F540" s="18"/>
      <c r="G540" s="19" t="str">
        <f t="shared" ca="1" si="16"/>
        <v/>
      </c>
      <c r="H540" s="18"/>
      <c r="I540" s="18"/>
      <c r="J540" s="77" t="str">
        <f t="shared" ca="1" si="17"/>
        <v/>
      </c>
      <c r="K540" s="19">
        <f>IF(A540="","",COUNTIFS(Resumen!$N$2:$N$2999,ROW(),Resumen!$V$2:$V$2999,1))</f>
        <v/>
      </c>
      <c r="L540" s="20"/>
      <c r="N5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1" spans="1:14">
      <c r="A541" s="16"/>
      <c r="B541" s="16"/>
      <c r="C541" s="17"/>
      <c r="D541" s="17"/>
      <c r="E541" s="17"/>
      <c r="F541" s="18"/>
      <c r="G541" s="19" t="str">
        <f t="shared" ca="1" si="16"/>
        <v/>
      </c>
      <c r="H541" s="18"/>
      <c r="I541" s="18"/>
      <c r="J541" s="77" t="str">
        <f t="shared" ca="1" si="17"/>
        <v/>
      </c>
      <c r="K541" s="19">
        <f>IF(A541="","",COUNTIFS(Resumen!$N$2:$N$2999,ROW(),Resumen!$V$2:$V$2999,1))</f>
        <v/>
      </c>
      <c r="L541" s="20"/>
      <c r="N5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2" spans="1:14">
      <c r="A542" s="16"/>
      <c r="B542" s="16"/>
      <c r="C542" s="17"/>
      <c r="D542" s="17"/>
      <c r="E542" s="17"/>
      <c r="F542" s="18"/>
      <c r="G542" s="19" t="str">
        <f t="shared" ca="1" si="16"/>
        <v/>
      </c>
      <c r="H542" s="18"/>
      <c r="I542" s="18"/>
      <c r="J542" s="77" t="str">
        <f t="shared" ca="1" si="17"/>
        <v/>
      </c>
      <c r="K542" s="19">
        <f>IF(A542="","",COUNTIFS(Resumen!$N$2:$N$2999,ROW(),Resumen!$V$2:$V$2999,1))</f>
        <v/>
      </c>
      <c r="L542" s="20"/>
      <c r="N5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3" spans="1:14">
      <c r="A543" s="16"/>
      <c r="B543" s="16"/>
      <c r="C543" s="17"/>
      <c r="D543" s="17"/>
      <c r="E543" s="17"/>
      <c r="F543" s="18"/>
      <c r="G543" s="19" t="str">
        <f t="shared" ca="1" si="16"/>
        <v/>
      </c>
      <c r="H543" s="18"/>
      <c r="I543" s="18"/>
      <c r="J543" s="77" t="str">
        <f t="shared" ca="1" si="17"/>
        <v/>
      </c>
      <c r="K543" s="19">
        <f>IF(A543="","",COUNTIFS(Resumen!$N$2:$N$2999,ROW(),Resumen!$V$2:$V$2999,1))</f>
        <v/>
      </c>
      <c r="L543" s="20"/>
      <c r="N5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4" spans="1:14">
      <c r="A544" s="16"/>
      <c r="B544" s="16"/>
      <c r="C544" s="17"/>
      <c r="D544" s="17"/>
      <c r="E544" s="17"/>
      <c r="F544" s="18"/>
      <c r="G544" s="19" t="str">
        <f t="shared" ca="1" si="16"/>
        <v/>
      </c>
      <c r="H544" s="18"/>
      <c r="I544" s="18"/>
      <c r="J544" s="77" t="str">
        <f t="shared" ca="1" si="17"/>
        <v/>
      </c>
      <c r="K544" s="19">
        <f>IF(A544="","",COUNTIFS(Resumen!$N$2:$N$2999,ROW(),Resumen!$V$2:$V$2999,1))</f>
        <v/>
      </c>
      <c r="L544" s="20"/>
      <c r="N5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5" spans="1:14">
      <c r="A545" s="16"/>
      <c r="B545" s="16"/>
      <c r="C545" s="17"/>
      <c r="D545" s="17"/>
      <c r="E545" s="17"/>
      <c r="F545" s="18"/>
      <c r="G545" s="19" t="str">
        <f t="shared" ca="1" si="16"/>
        <v/>
      </c>
      <c r="H545" s="18"/>
      <c r="I545" s="18"/>
      <c r="J545" s="77" t="str">
        <f t="shared" ca="1" si="17"/>
        <v/>
      </c>
      <c r="K545" s="19">
        <f>IF(A545="","",COUNTIFS(Resumen!$N$2:$N$2999,ROW(),Resumen!$V$2:$V$2999,1))</f>
        <v/>
      </c>
      <c r="L545" s="20"/>
      <c r="N5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6" spans="1:14">
      <c r="A546" s="16"/>
      <c r="B546" s="16"/>
      <c r="C546" s="17"/>
      <c r="D546" s="17"/>
      <c r="E546" s="17"/>
      <c r="F546" s="18"/>
      <c r="G546" s="19" t="str">
        <f t="shared" ca="1" si="16"/>
        <v/>
      </c>
      <c r="H546" s="18"/>
      <c r="I546" s="18"/>
      <c r="J546" s="77" t="str">
        <f t="shared" ca="1" si="17"/>
        <v/>
      </c>
      <c r="K546" s="19">
        <f>IF(A546="","",COUNTIFS(Resumen!$N$2:$N$2999,ROW(),Resumen!$V$2:$V$2999,1))</f>
        <v/>
      </c>
      <c r="L546" s="20"/>
      <c r="N5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7" spans="1:14">
      <c r="A547" s="16"/>
      <c r="B547" s="16"/>
      <c r="C547" s="17"/>
      <c r="D547" s="17"/>
      <c r="E547" s="17"/>
      <c r="F547" s="18"/>
      <c r="G547" s="19" t="str">
        <f t="shared" ca="1" si="16"/>
        <v/>
      </c>
      <c r="H547" s="18"/>
      <c r="I547" s="18"/>
      <c r="J547" s="77" t="str">
        <f t="shared" ca="1" si="17"/>
        <v/>
      </c>
      <c r="K547" s="19">
        <f>IF(A547="","",COUNTIFS(Resumen!$N$2:$N$2999,ROW(),Resumen!$V$2:$V$2999,1))</f>
        <v/>
      </c>
      <c r="L547" s="20"/>
      <c r="N5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8" spans="1:14">
      <c r="A548" s="16"/>
      <c r="B548" s="16"/>
      <c r="C548" s="17"/>
      <c r="D548" s="17"/>
      <c r="E548" s="17"/>
      <c r="F548" s="18"/>
      <c r="G548" s="19" t="str">
        <f t="shared" ca="1" si="16"/>
        <v/>
      </c>
      <c r="H548" s="18"/>
      <c r="I548" s="18"/>
      <c r="J548" s="77" t="str">
        <f t="shared" ca="1" si="17"/>
        <v/>
      </c>
      <c r="K548" s="19">
        <f>IF(A548="","",COUNTIFS(Resumen!$N$2:$N$2999,ROW(),Resumen!$V$2:$V$2999,1))</f>
        <v/>
      </c>
      <c r="L548" s="20"/>
      <c r="N5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49" spans="1:14">
      <c r="A549" s="16"/>
      <c r="B549" s="16"/>
      <c r="C549" s="17"/>
      <c r="D549" s="17"/>
      <c r="E549" s="17"/>
      <c r="F549" s="18"/>
      <c r="G549" s="19" t="str">
        <f t="shared" ca="1" si="16"/>
        <v/>
      </c>
      <c r="H549" s="18"/>
      <c r="I549" s="18"/>
      <c r="J549" s="77" t="str">
        <f t="shared" ca="1" si="17"/>
        <v/>
      </c>
      <c r="K549" s="19">
        <f>IF(A549="","",COUNTIFS(Resumen!$N$2:$N$2999,ROW(),Resumen!$V$2:$V$2999,1))</f>
        <v/>
      </c>
      <c r="L549" s="20"/>
      <c r="N5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0" spans="1:14">
      <c r="A550" s="16"/>
      <c r="B550" s="16"/>
      <c r="C550" s="17"/>
      <c r="D550" s="17"/>
      <c r="E550" s="17"/>
      <c r="F550" s="18"/>
      <c r="G550" s="19" t="str">
        <f t="shared" ca="1" si="16"/>
        <v/>
      </c>
      <c r="H550" s="18"/>
      <c r="I550" s="18"/>
      <c r="J550" s="77" t="str">
        <f t="shared" ca="1" si="17"/>
        <v/>
      </c>
      <c r="K550" s="19">
        <f>IF(A550="","",COUNTIFS(Resumen!$N$2:$N$2999,ROW(),Resumen!$V$2:$V$2999,1))</f>
        <v/>
      </c>
      <c r="L550" s="20"/>
      <c r="N5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1" spans="1:14">
      <c r="A551" s="16"/>
      <c r="B551" s="16"/>
      <c r="C551" s="17"/>
      <c r="D551" s="17"/>
      <c r="E551" s="17"/>
      <c r="F551" s="18"/>
      <c r="G551" s="19" t="str">
        <f t="shared" ca="1" si="16"/>
        <v/>
      </c>
      <c r="H551" s="18"/>
      <c r="I551" s="18"/>
      <c r="J551" s="77" t="str">
        <f t="shared" ca="1" si="17"/>
        <v/>
      </c>
      <c r="K551" s="19">
        <f>IF(A551="","",COUNTIFS(Resumen!$N$2:$N$2999,ROW(),Resumen!$V$2:$V$2999,1))</f>
        <v/>
      </c>
      <c r="L551" s="20"/>
      <c r="N5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2" spans="1:14">
      <c r="A552" s="16"/>
      <c r="B552" s="16"/>
      <c r="C552" s="17"/>
      <c r="D552" s="17"/>
      <c r="E552" s="17"/>
      <c r="F552" s="18"/>
      <c r="G552" s="19" t="str">
        <f t="shared" ca="1" si="16"/>
        <v/>
      </c>
      <c r="H552" s="18"/>
      <c r="I552" s="18"/>
      <c r="J552" s="77" t="str">
        <f t="shared" ca="1" si="17"/>
        <v/>
      </c>
      <c r="K552" s="19">
        <f>IF(A552="","",COUNTIFS(Resumen!$N$2:$N$2999,ROW(),Resumen!$V$2:$V$2999,1))</f>
        <v/>
      </c>
      <c r="L552" s="20"/>
      <c r="N5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3" spans="1:14">
      <c r="A553" s="16"/>
      <c r="B553" s="16"/>
      <c r="C553" s="17"/>
      <c r="D553" s="17"/>
      <c r="E553" s="17"/>
      <c r="F553" s="18"/>
      <c r="G553" s="19" t="str">
        <f t="shared" ca="1" si="16"/>
        <v/>
      </c>
      <c r="H553" s="18"/>
      <c r="I553" s="18"/>
      <c r="J553" s="77" t="str">
        <f t="shared" ca="1" si="17"/>
        <v/>
      </c>
      <c r="K553" s="19">
        <f>IF(A553="","",COUNTIFS(Resumen!$N$2:$N$2999,ROW(),Resumen!$V$2:$V$2999,1))</f>
        <v/>
      </c>
      <c r="L553" s="20"/>
      <c r="N5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4" spans="1:14">
      <c r="A554" s="16"/>
      <c r="B554" s="16"/>
      <c r="C554" s="17"/>
      <c r="D554" s="17"/>
      <c r="E554" s="17"/>
      <c r="F554" s="18"/>
      <c r="G554" s="19" t="str">
        <f t="shared" ca="1" si="16"/>
        <v/>
      </c>
      <c r="H554" s="18"/>
      <c r="I554" s="18"/>
      <c r="J554" s="77" t="str">
        <f t="shared" ca="1" si="17"/>
        <v/>
      </c>
      <c r="K554" s="19">
        <f>IF(A554="","",COUNTIFS(Resumen!$N$2:$N$2999,ROW(),Resumen!$V$2:$V$2999,1))</f>
        <v/>
      </c>
      <c r="L554" s="20"/>
      <c r="N5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5" spans="1:14">
      <c r="A555" s="16"/>
      <c r="B555" s="16"/>
      <c r="C555" s="17"/>
      <c r="D555" s="17"/>
      <c r="E555" s="17"/>
      <c r="F555" s="18"/>
      <c r="G555" s="19" t="str">
        <f t="shared" ca="1" si="16"/>
        <v/>
      </c>
      <c r="H555" s="18"/>
      <c r="I555" s="18"/>
      <c r="J555" s="77" t="str">
        <f t="shared" ca="1" si="17"/>
        <v/>
      </c>
      <c r="K555" s="19">
        <f>IF(A555="","",COUNTIFS(Resumen!$N$2:$N$2999,ROW(),Resumen!$V$2:$V$2999,1))</f>
        <v/>
      </c>
      <c r="L555" s="20"/>
      <c r="N5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6" spans="1:14">
      <c r="A556" s="16"/>
      <c r="B556" s="16"/>
      <c r="C556" s="17"/>
      <c r="D556" s="17"/>
      <c r="E556" s="17"/>
      <c r="F556" s="18"/>
      <c r="G556" s="19" t="str">
        <f t="shared" ca="1" si="16"/>
        <v/>
      </c>
      <c r="H556" s="18"/>
      <c r="I556" s="18"/>
      <c r="J556" s="77" t="str">
        <f t="shared" ca="1" si="17"/>
        <v/>
      </c>
      <c r="K556" s="19">
        <f>IF(A556="","",COUNTIFS(Resumen!$N$2:$N$2999,ROW(),Resumen!$V$2:$V$2999,1))</f>
        <v/>
      </c>
      <c r="L556" s="20"/>
      <c r="N5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7" spans="1:14">
      <c r="A557" s="16"/>
      <c r="B557" s="16"/>
      <c r="C557" s="17"/>
      <c r="D557" s="17"/>
      <c r="E557" s="17"/>
      <c r="F557" s="18"/>
      <c r="G557" s="19" t="str">
        <f t="shared" ca="1" si="16"/>
        <v/>
      </c>
      <c r="H557" s="18"/>
      <c r="I557" s="18"/>
      <c r="J557" s="77" t="str">
        <f t="shared" ca="1" si="17"/>
        <v/>
      </c>
      <c r="K557" s="19">
        <f>IF(A557="","",COUNTIFS(Resumen!$N$2:$N$2999,ROW(),Resumen!$V$2:$V$2999,1))</f>
        <v/>
      </c>
      <c r="L557" s="20"/>
      <c r="N5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8" spans="1:14">
      <c r="A558" s="16"/>
      <c r="B558" s="16"/>
      <c r="C558" s="17"/>
      <c r="D558" s="17"/>
      <c r="E558" s="17"/>
      <c r="F558" s="18"/>
      <c r="G558" s="19" t="str">
        <f t="shared" ca="1" si="16"/>
        <v/>
      </c>
      <c r="H558" s="18"/>
      <c r="I558" s="18"/>
      <c r="J558" s="77" t="str">
        <f t="shared" ca="1" si="17"/>
        <v/>
      </c>
      <c r="K558" s="19">
        <f>IF(A558="","",COUNTIFS(Resumen!$N$2:$N$2999,ROW(),Resumen!$V$2:$V$2999,1))</f>
        <v/>
      </c>
      <c r="L558" s="20"/>
      <c r="N5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59" spans="1:14">
      <c r="A559" s="16"/>
      <c r="B559" s="16"/>
      <c r="C559" s="17"/>
      <c r="D559" s="17"/>
      <c r="E559" s="17"/>
      <c r="F559" s="18"/>
      <c r="G559" s="19" t="str">
        <f t="shared" ca="1" si="16"/>
        <v/>
      </c>
      <c r="H559" s="18"/>
      <c r="I559" s="18"/>
      <c r="J559" s="77" t="str">
        <f t="shared" ca="1" si="17"/>
        <v/>
      </c>
      <c r="K559" s="19">
        <f>IF(A559="","",COUNTIFS(Resumen!$N$2:$N$2999,ROW(),Resumen!$V$2:$V$2999,1))</f>
        <v/>
      </c>
      <c r="L559" s="20"/>
      <c r="N5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0" spans="1:14">
      <c r="A560" s="16"/>
      <c r="B560" s="16"/>
      <c r="C560" s="17"/>
      <c r="D560" s="17"/>
      <c r="E560" s="17"/>
      <c r="F560" s="18"/>
      <c r="G560" s="19" t="str">
        <f t="shared" ca="1" si="16"/>
        <v/>
      </c>
      <c r="H560" s="18"/>
      <c r="I560" s="18"/>
      <c r="J560" s="77" t="str">
        <f t="shared" ca="1" si="17"/>
        <v/>
      </c>
      <c r="K560" s="19">
        <f>IF(A560="","",COUNTIFS(Resumen!$N$2:$N$2999,ROW(),Resumen!$V$2:$V$2999,1))</f>
        <v/>
      </c>
      <c r="L560" s="20"/>
      <c r="N5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1" spans="1:14">
      <c r="A561" s="16"/>
      <c r="B561" s="16"/>
      <c r="C561" s="17"/>
      <c r="D561" s="17"/>
      <c r="E561" s="17"/>
      <c r="F561" s="18"/>
      <c r="G561" s="19" t="str">
        <f t="shared" ca="1" si="16"/>
        <v/>
      </c>
      <c r="H561" s="18"/>
      <c r="I561" s="18"/>
      <c r="J561" s="77" t="str">
        <f t="shared" ca="1" si="17"/>
        <v/>
      </c>
      <c r="K561" s="19">
        <f>IF(A561="","",COUNTIFS(Resumen!$N$2:$N$2999,ROW(),Resumen!$V$2:$V$2999,1))</f>
        <v/>
      </c>
      <c r="L561" s="20"/>
      <c r="N5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2" spans="1:14">
      <c r="A562" s="16"/>
      <c r="B562" s="16"/>
      <c r="C562" s="17"/>
      <c r="D562" s="17"/>
      <c r="E562" s="17"/>
      <c r="F562" s="18"/>
      <c r="G562" s="19" t="str">
        <f t="shared" ca="1" si="16"/>
        <v/>
      </c>
      <c r="H562" s="18"/>
      <c r="I562" s="18"/>
      <c r="J562" s="77" t="str">
        <f t="shared" ca="1" si="17"/>
        <v/>
      </c>
      <c r="K562" s="19">
        <f>IF(A562="","",COUNTIFS(Resumen!$N$2:$N$2999,ROW(),Resumen!$V$2:$V$2999,1))</f>
        <v/>
      </c>
      <c r="L562" s="20"/>
      <c r="N5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3" spans="1:14">
      <c r="A563" s="16"/>
      <c r="B563" s="16"/>
      <c r="C563" s="17"/>
      <c r="D563" s="17"/>
      <c r="E563" s="17"/>
      <c r="F563" s="18"/>
      <c r="G563" s="19" t="str">
        <f t="shared" ca="1" si="16"/>
        <v/>
      </c>
      <c r="H563" s="18"/>
      <c r="I563" s="18"/>
      <c r="J563" s="77" t="str">
        <f t="shared" ca="1" si="17"/>
        <v/>
      </c>
      <c r="K563" s="19">
        <f>IF(A563="","",COUNTIFS(Resumen!$N$2:$N$2999,ROW(),Resumen!$V$2:$V$2999,1))</f>
        <v/>
      </c>
      <c r="L563" s="20"/>
      <c r="N5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4" spans="1:14">
      <c r="A564" s="16"/>
      <c r="B564" s="16"/>
      <c r="C564" s="17"/>
      <c r="D564" s="17"/>
      <c r="E564" s="17"/>
      <c r="F564" s="18"/>
      <c r="G564" s="19" t="str">
        <f t="shared" ca="1" si="16"/>
        <v/>
      </c>
      <c r="H564" s="18"/>
      <c r="I564" s="18"/>
      <c r="J564" s="77" t="str">
        <f t="shared" ca="1" si="17"/>
        <v/>
      </c>
      <c r="K564" s="19">
        <f>IF(A564="","",COUNTIFS(Resumen!$N$2:$N$2999,ROW(),Resumen!$V$2:$V$2999,1))</f>
        <v/>
      </c>
      <c r="L564" s="20"/>
      <c r="N5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5" spans="1:14">
      <c r="A565" s="16"/>
      <c r="B565" s="16"/>
      <c r="C565" s="17"/>
      <c r="D565" s="17"/>
      <c r="E565" s="17"/>
      <c r="F565" s="18"/>
      <c r="G565" s="19" t="str">
        <f t="shared" ca="1" si="16"/>
        <v/>
      </c>
      <c r="H565" s="18"/>
      <c r="I565" s="18"/>
      <c r="J565" s="77" t="str">
        <f t="shared" ca="1" si="17"/>
        <v/>
      </c>
      <c r="K565" s="19">
        <f>IF(A565="","",COUNTIFS(Resumen!$N$2:$N$2999,ROW(),Resumen!$V$2:$V$2999,1))</f>
        <v/>
      </c>
      <c r="L565" s="20"/>
      <c r="N5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6" spans="1:14">
      <c r="A566" s="16"/>
      <c r="B566" s="16"/>
      <c r="C566" s="17"/>
      <c r="D566" s="17"/>
      <c r="E566" s="17"/>
      <c r="F566" s="18"/>
      <c r="G566" s="19" t="str">
        <f t="shared" ca="1" si="16"/>
        <v/>
      </c>
      <c r="H566" s="18"/>
      <c r="I566" s="18"/>
      <c r="J566" s="77" t="str">
        <f t="shared" ca="1" si="17"/>
        <v/>
      </c>
      <c r="K566" s="19">
        <f>IF(A566="","",COUNTIFS(Resumen!$N$2:$N$2999,ROW(),Resumen!$V$2:$V$2999,1))</f>
        <v/>
      </c>
      <c r="L566" s="20"/>
      <c r="N5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7" spans="1:14">
      <c r="A567" s="16"/>
      <c r="B567" s="16"/>
      <c r="C567" s="17"/>
      <c r="D567" s="17"/>
      <c r="E567" s="17"/>
      <c r="F567" s="18"/>
      <c r="G567" s="19" t="str">
        <f t="shared" ca="1" si="16"/>
        <v/>
      </c>
      <c r="H567" s="18"/>
      <c r="I567" s="18"/>
      <c r="J567" s="77" t="str">
        <f t="shared" ca="1" si="17"/>
        <v/>
      </c>
      <c r="K567" s="19">
        <f>IF(A567="","",COUNTIFS(Resumen!$N$2:$N$2999,ROW(),Resumen!$V$2:$V$2999,1))</f>
        <v/>
      </c>
      <c r="L567" s="20"/>
      <c r="N5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8" spans="1:14">
      <c r="A568" s="16"/>
      <c r="B568" s="16"/>
      <c r="C568" s="17"/>
      <c r="D568" s="17"/>
      <c r="E568" s="17"/>
      <c r="F568" s="18"/>
      <c r="G568" s="19" t="str">
        <f t="shared" ca="1" si="16"/>
        <v/>
      </c>
      <c r="H568" s="18"/>
      <c r="I568" s="18"/>
      <c r="J568" s="77" t="str">
        <f t="shared" ca="1" si="17"/>
        <v/>
      </c>
      <c r="K568" s="19">
        <f>IF(A568="","",COUNTIFS(Resumen!$N$2:$N$2999,ROW(),Resumen!$V$2:$V$2999,1))</f>
        <v/>
      </c>
      <c r="L568" s="20"/>
      <c r="N5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69" spans="1:14">
      <c r="A569" s="16"/>
      <c r="B569" s="16"/>
      <c r="C569" s="17"/>
      <c r="D569" s="17"/>
      <c r="E569" s="17"/>
      <c r="F569" s="18"/>
      <c r="G569" s="19" t="str">
        <f t="shared" ca="1" si="16"/>
        <v/>
      </c>
      <c r="H569" s="18"/>
      <c r="I569" s="18"/>
      <c r="J569" s="77" t="str">
        <f t="shared" ca="1" si="17"/>
        <v/>
      </c>
      <c r="K569" s="19">
        <f>IF(A569="","",COUNTIFS(Resumen!$N$2:$N$2999,ROW(),Resumen!$V$2:$V$2999,1))</f>
        <v/>
      </c>
      <c r="L569" s="20"/>
      <c r="N5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0" spans="1:14">
      <c r="A570" s="16"/>
      <c r="B570" s="16"/>
      <c r="C570" s="17"/>
      <c r="D570" s="17"/>
      <c r="E570" s="17"/>
      <c r="F570" s="18"/>
      <c r="G570" s="19" t="str">
        <f t="shared" ca="1" si="16"/>
        <v/>
      </c>
      <c r="H570" s="18"/>
      <c r="I570" s="18"/>
      <c r="J570" s="77" t="str">
        <f t="shared" ca="1" si="17"/>
        <v/>
      </c>
      <c r="K570" s="19">
        <f>IF(A570="","",COUNTIFS(Resumen!$N$2:$N$2999,ROW(),Resumen!$V$2:$V$2999,1))</f>
        <v/>
      </c>
      <c r="L570" s="20"/>
      <c r="N5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1" spans="1:14">
      <c r="A571" s="16"/>
      <c r="B571" s="16"/>
      <c r="C571" s="17"/>
      <c r="D571" s="17"/>
      <c r="E571" s="17"/>
      <c r="F571" s="18"/>
      <c r="G571" s="19" t="str">
        <f t="shared" ca="1" si="16"/>
        <v/>
      </c>
      <c r="H571" s="18"/>
      <c r="I571" s="18"/>
      <c r="J571" s="77" t="str">
        <f t="shared" ca="1" si="17"/>
        <v/>
      </c>
      <c r="K571" s="19">
        <f>IF(A571="","",COUNTIFS(Resumen!$N$2:$N$2999,ROW(),Resumen!$V$2:$V$2999,1))</f>
        <v/>
      </c>
      <c r="L571" s="20"/>
      <c r="N5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2" spans="1:14">
      <c r="A572" s="16"/>
      <c r="B572" s="16"/>
      <c r="C572" s="17"/>
      <c r="D572" s="17"/>
      <c r="E572" s="17"/>
      <c r="F572" s="18"/>
      <c r="G572" s="19" t="str">
        <f t="shared" ca="1" si="16"/>
        <v/>
      </c>
      <c r="H572" s="18"/>
      <c r="I572" s="18"/>
      <c r="J572" s="77" t="str">
        <f t="shared" ca="1" si="17"/>
        <v/>
      </c>
      <c r="K572" s="19">
        <f>IF(A572="","",COUNTIFS(Resumen!$N$2:$N$2999,ROW(),Resumen!$V$2:$V$2999,1))</f>
        <v/>
      </c>
      <c r="L572" s="20"/>
      <c r="N5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3" spans="1:14">
      <c r="A573" s="16"/>
      <c r="B573" s="16"/>
      <c r="C573" s="17"/>
      <c r="D573" s="17"/>
      <c r="E573" s="17"/>
      <c r="F573" s="18"/>
      <c r="G573" s="19" t="str">
        <f t="shared" ca="1" si="16"/>
        <v/>
      </c>
      <c r="H573" s="18"/>
      <c r="I573" s="18"/>
      <c r="J573" s="77" t="str">
        <f t="shared" ca="1" si="17"/>
        <v/>
      </c>
      <c r="K573" s="19">
        <f>IF(A573="","",COUNTIFS(Resumen!$N$2:$N$2999,ROW(),Resumen!$V$2:$V$2999,1))</f>
        <v/>
      </c>
      <c r="L573" s="20"/>
      <c r="N5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4" spans="1:14">
      <c r="A574" s="16"/>
      <c r="B574" s="16"/>
      <c r="C574" s="17"/>
      <c r="D574" s="17"/>
      <c r="E574" s="17"/>
      <c r="F574" s="18"/>
      <c r="G574" s="19" t="str">
        <f t="shared" ca="1" si="16"/>
        <v/>
      </c>
      <c r="H574" s="18"/>
      <c r="I574" s="18"/>
      <c r="J574" s="77" t="str">
        <f t="shared" ca="1" si="17"/>
        <v/>
      </c>
      <c r="K574" s="19">
        <f>IF(A574="","",COUNTIFS(Resumen!$N$2:$N$2999,ROW(),Resumen!$V$2:$V$2999,1))</f>
        <v/>
      </c>
      <c r="L574" s="20"/>
      <c r="N5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5" spans="1:14">
      <c r="A575" s="16"/>
      <c r="B575" s="16"/>
      <c r="C575" s="17"/>
      <c r="D575" s="17"/>
      <c r="E575" s="17"/>
      <c r="F575" s="18"/>
      <c r="G575" s="19" t="str">
        <f t="shared" ca="1" si="16"/>
        <v/>
      </c>
      <c r="H575" s="18"/>
      <c r="I575" s="18"/>
      <c r="J575" s="77" t="str">
        <f t="shared" ca="1" si="17"/>
        <v/>
      </c>
      <c r="K575" s="19">
        <f>IF(A575="","",COUNTIFS(Resumen!$N$2:$N$2999,ROW(),Resumen!$V$2:$V$2999,1))</f>
        <v/>
      </c>
      <c r="L575" s="20"/>
      <c r="N5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6" spans="1:14">
      <c r="A576" s="16"/>
      <c r="B576" s="16"/>
      <c r="C576" s="17"/>
      <c r="D576" s="17"/>
      <c r="E576" s="17"/>
      <c r="F576" s="18"/>
      <c r="G576" s="19" t="str">
        <f t="shared" ca="1" si="16"/>
        <v/>
      </c>
      <c r="H576" s="18"/>
      <c r="I576" s="18"/>
      <c r="J576" s="77" t="str">
        <f t="shared" ca="1" si="17"/>
        <v/>
      </c>
      <c r="K576" s="19">
        <f>IF(A576="","",COUNTIFS(Resumen!$N$2:$N$2999,ROW(),Resumen!$V$2:$V$2999,1))</f>
        <v/>
      </c>
      <c r="L576" s="20"/>
      <c r="N5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7" spans="1:14">
      <c r="A577" s="16"/>
      <c r="B577" s="16"/>
      <c r="C577" s="17"/>
      <c r="D577" s="17"/>
      <c r="E577" s="17"/>
      <c r="F577" s="18"/>
      <c r="G577" s="19" t="str">
        <f t="shared" ca="1" si="16"/>
        <v/>
      </c>
      <c r="H577" s="18"/>
      <c r="I577" s="18"/>
      <c r="J577" s="77" t="str">
        <f t="shared" ca="1" si="17"/>
        <v/>
      </c>
      <c r="K577" s="19">
        <f>IF(A577="","",COUNTIFS(Resumen!$N$2:$N$2999,ROW(),Resumen!$V$2:$V$2999,1))</f>
        <v/>
      </c>
      <c r="L577" s="20"/>
      <c r="N5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8" spans="1:14">
      <c r="A578" s="16"/>
      <c r="B578" s="16"/>
      <c r="C578" s="17"/>
      <c r="D578" s="17"/>
      <c r="E578" s="17"/>
      <c r="F578" s="18"/>
      <c r="G578" s="19" t="str">
        <f t="shared" ref="G578:G641" ca="1" si="18">IF(F578="", "", DATEDIF(F578, TODAY(), "Y"))</f>
        <v/>
      </c>
      <c r="H578" s="18"/>
      <c r="I578" s="18"/>
      <c r="J578" s="77" t="str">
        <f t="shared" ref="J578:J641" ca="1" si="19">IFERROR(IF(ISNUMBER(INDEX(VigenciasFamilia,ROW())),INDEX(VigenciasFamilia,ROW())-TODAY(),""),"")</f>
        <v/>
      </c>
      <c r="K578" s="19">
        <f>IF(A578="","",COUNTIFS(Resumen!$N$2:$N$2999,ROW(),Resumen!$V$2:$V$2999,1))</f>
        <v/>
      </c>
      <c r="L578" s="20"/>
      <c r="N5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79" spans="1:14">
      <c r="A579" s="16"/>
      <c r="B579" s="16"/>
      <c r="C579" s="17"/>
      <c r="D579" s="17"/>
      <c r="E579" s="17"/>
      <c r="F579" s="18"/>
      <c r="G579" s="19" t="str">
        <f t="shared" ca="1" si="18"/>
        <v/>
      </c>
      <c r="H579" s="18"/>
      <c r="I579" s="18"/>
      <c r="J579" s="77" t="str">
        <f t="shared" ca="1" si="19"/>
        <v/>
      </c>
      <c r="K579" s="19">
        <f>IF(A579="","",COUNTIFS(Resumen!$N$2:$N$2999,ROW(),Resumen!$V$2:$V$2999,1))</f>
        <v/>
      </c>
      <c r="L579" s="20"/>
      <c r="N5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0" spans="1:14">
      <c r="A580" s="16"/>
      <c r="B580" s="16"/>
      <c r="C580" s="17"/>
      <c r="D580" s="17"/>
      <c r="E580" s="17"/>
      <c r="F580" s="18"/>
      <c r="G580" s="19" t="str">
        <f t="shared" ca="1" si="18"/>
        <v/>
      </c>
      <c r="H580" s="18"/>
      <c r="I580" s="18"/>
      <c r="J580" s="77" t="str">
        <f t="shared" ca="1" si="19"/>
        <v/>
      </c>
      <c r="K580" s="19">
        <f>IF(A580="","",COUNTIFS(Resumen!$N$2:$N$2999,ROW(),Resumen!$V$2:$V$2999,1))</f>
        <v/>
      </c>
      <c r="L580" s="20"/>
      <c r="N5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1" spans="1:14">
      <c r="A581" s="16"/>
      <c r="B581" s="16"/>
      <c r="C581" s="17"/>
      <c r="D581" s="17"/>
      <c r="E581" s="17"/>
      <c r="F581" s="18"/>
      <c r="G581" s="19" t="str">
        <f t="shared" ca="1" si="18"/>
        <v/>
      </c>
      <c r="H581" s="18"/>
      <c r="I581" s="18"/>
      <c r="J581" s="77" t="str">
        <f t="shared" ca="1" si="19"/>
        <v/>
      </c>
      <c r="K581" s="19">
        <f>IF(A581="","",COUNTIFS(Resumen!$N$2:$N$2999,ROW(),Resumen!$V$2:$V$2999,1))</f>
        <v/>
      </c>
      <c r="L581" s="20"/>
      <c r="N5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2" spans="1:14">
      <c r="A582" s="16"/>
      <c r="B582" s="16"/>
      <c r="C582" s="17"/>
      <c r="D582" s="17"/>
      <c r="E582" s="17"/>
      <c r="F582" s="18"/>
      <c r="G582" s="19" t="str">
        <f t="shared" ca="1" si="18"/>
        <v/>
      </c>
      <c r="H582" s="18"/>
      <c r="I582" s="18"/>
      <c r="J582" s="77" t="str">
        <f t="shared" ca="1" si="19"/>
        <v/>
      </c>
      <c r="K582" s="19">
        <f>IF(A582="","",COUNTIFS(Resumen!$N$2:$N$2999,ROW(),Resumen!$V$2:$V$2999,1))</f>
        <v/>
      </c>
      <c r="L582" s="20"/>
      <c r="N5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3" spans="1:14">
      <c r="A583" s="16"/>
      <c r="B583" s="16"/>
      <c r="C583" s="17"/>
      <c r="D583" s="17"/>
      <c r="E583" s="17"/>
      <c r="F583" s="18"/>
      <c r="G583" s="19" t="str">
        <f t="shared" ca="1" si="18"/>
        <v/>
      </c>
      <c r="H583" s="18"/>
      <c r="I583" s="18"/>
      <c r="J583" s="77" t="str">
        <f t="shared" ca="1" si="19"/>
        <v/>
      </c>
      <c r="K583" s="19">
        <f>IF(A583="","",COUNTIFS(Resumen!$N$2:$N$2999,ROW(),Resumen!$V$2:$V$2999,1))</f>
        <v/>
      </c>
      <c r="L583" s="20"/>
      <c r="N5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4" spans="1:14">
      <c r="A584" s="16"/>
      <c r="B584" s="16"/>
      <c r="C584" s="17"/>
      <c r="D584" s="17"/>
      <c r="E584" s="17"/>
      <c r="F584" s="18"/>
      <c r="G584" s="19" t="str">
        <f t="shared" ca="1" si="18"/>
        <v/>
      </c>
      <c r="H584" s="18"/>
      <c r="I584" s="18"/>
      <c r="J584" s="77" t="str">
        <f t="shared" ca="1" si="19"/>
        <v/>
      </c>
      <c r="K584" s="19">
        <f>IF(A584="","",COUNTIFS(Resumen!$N$2:$N$2999,ROW(),Resumen!$V$2:$V$2999,1))</f>
        <v/>
      </c>
      <c r="L584" s="20"/>
      <c r="N5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5" spans="1:14">
      <c r="A585" s="16"/>
      <c r="B585" s="16"/>
      <c r="C585" s="17"/>
      <c r="D585" s="17"/>
      <c r="E585" s="17"/>
      <c r="F585" s="18"/>
      <c r="G585" s="19" t="str">
        <f t="shared" ca="1" si="18"/>
        <v/>
      </c>
      <c r="H585" s="18"/>
      <c r="I585" s="18"/>
      <c r="J585" s="77" t="str">
        <f t="shared" ca="1" si="19"/>
        <v/>
      </c>
      <c r="K585" s="19">
        <f>IF(A585="","",COUNTIFS(Resumen!$N$2:$N$2999,ROW(),Resumen!$V$2:$V$2999,1))</f>
        <v/>
      </c>
      <c r="L585" s="20"/>
      <c r="N5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6" spans="1:14">
      <c r="A586" s="16"/>
      <c r="B586" s="16"/>
      <c r="C586" s="17"/>
      <c r="D586" s="17"/>
      <c r="E586" s="17"/>
      <c r="F586" s="18"/>
      <c r="G586" s="19" t="str">
        <f t="shared" ca="1" si="18"/>
        <v/>
      </c>
      <c r="H586" s="18"/>
      <c r="I586" s="18"/>
      <c r="J586" s="77" t="str">
        <f t="shared" ca="1" si="19"/>
        <v/>
      </c>
      <c r="K586" s="19">
        <f>IF(A586="","",COUNTIFS(Resumen!$N$2:$N$2999,ROW(),Resumen!$V$2:$V$2999,1))</f>
        <v/>
      </c>
      <c r="L586" s="20"/>
      <c r="N5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7" spans="1:14">
      <c r="A587" s="16"/>
      <c r="B587" s="16"/>
      <c r="C587" s="17"/>
      <c r="D587" s="17"/>
      <c r="E587" s="17"/>
      <c r="F587" s="18"/>
      <c r="G587" s="19" t="str">
        <f t="shared" ca="1" si="18"/>
        <v/>
      </c>
      <c r="H587" s="18"/>
      <c r="I587" s="18"/>
      <c r="J587" s="77" t="str">
        <f t="shared" ca="1" si="19"/>
        <v/>
      </c>
      <c r="K587" s="19">
        <f>IF(A587="","",COUNTIFS(Resumen!$N$2:$N$2999,ROW(),Resumen!$V$2:$V$2999,1))</f>
        <v/>
      </c>
      <c r="L587" s="20"/>
      <c r="N5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8" spans="1:14">
      <c r="A588" s="16"/>
      <c r="B588" s="16"/>
      <c r="C588" s="17"/>
      <c r="D588" s="17"/>
      <c r="E588" s="17"/>
      <c r="F588" s="18"/>
      <c r="G588" s="19" t="str">
        <f t="shared" ca="1" si="18"/>
        <v/>
      </c>
      <c r="H588" s="18"/>
      <c r="I588" s="18"/>
      <c r="J588" s="77" t="str">
        <f t="shared" ca="1" si="19"/>
        <v/>
      </c>
      <c r="K588" s="19">
        <f>IF(A588="","",COUNTIFS(Resumen!$N$2:$N$2999,ROW(),Resumen!$V$2:$V$2999,1))</f>
        <v/>
      </c>
      <c r="L588" s="20"/>
      <c r="N5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89" spans="1:14">
      <c r="A589" s="16"/>
      <c r="B589" s="16"/>
      <c r="C589" s="17"/>
      <c r="D589" s="17"/>
      <c r="E589" s="17"/>
      <c r="F589" s="18"/>
      <c r="G589" s="19" t="str">
        <f t="shared" ca="1" si="18"/>
        <v/>
      </c>
      <c r="H589" s="18"/>
      <c r="I589" s="18"/>
      <c r="J589" s="77" t="str">
        <f t="shared" ca="1" si="19"/>
        <v/>
      </c>
      <c r="K589" s="19">
        <f>IF(A589="","",COUNTIFS(Resumen!$N$2:$N$2999,ROW(),Resumen!$V$2:$V$2999,1))</f>
        <v/>
      </c>
      <c r="L589" s="20"/>
      <c r="N5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0" spans="1:14">
      <c r="A590" s="16"/>
      <c r="B590" s="16"/>
      <c r="C590" s="17"/>
      <c r="D590" s="17"/>
      <c r="E590" s="17"/>
      <c r="F590" s="18"/>
      <c r="G590" s="19" t="str">
        <f t="shared" ca="1" si="18"/>
        <v/>
      </c>
      <c r="H590" s="18"/>
      <c r="I590" s="18"/>
      <c r="J590" s="77" t="str">
        <f t="shared" ca="1" si="19"/>
        <v/>
      </c>
      <c r="K590" s="19">
        <f>IF(A590="","",COUNTIFS(Resumen!$N$2:$N$2999,ROW(),Resumen!$V$2:$V$2999,1))</f>
        <v/>
      </c>
      <c r="L590" s="20"/>
      <c r="N5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1" spans="1:14">
      <c r="A591" s="16"/>
      <c r="B591" s="16"/>
      <c r="C591" s="17"/>
      <c r="D591" s="17"/>
      <c r="E591" s="17"/>
      <c r="F591" s="18"/>
      <c r="G591" s="19" t="str">
        <f t="shared" ca="1" si="18"/>
        <v/>
      </c>
      <c r="H591" s="18"/>
      <c r="I591" s="18"/>
      <c r="J591" s="77" t="str">
        <f t="shared" ca="1" si="19"/>
        <v/>
      </c>
      <c r="K591" s="19">
        <f>IF(A591="","",COUNTIFS(Resumen!$N$2:$N$2999,ROW(),Resumen!$V$2:$V$2999,1))</f>
        <v/>
      </c>
      <c r="L591" s="20"/>
      <c r="N5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2" spans="1:14">
      <c r="A592" s="16"/>
      <c r="B592" s="16"/>
      <c r="C592" s="17"/>
      <c r="D592" s="17"/>
      <c r="E592" s="17"/>
      <c r="F592" s="18"/>
      <c r="G592" s="19" t="str">
        <f t="shared" ca="1" si="18"/>
        <v/>
      </c>
      <c r="H592" s="18"/>
      <c r="I592" s="18"/>
      <c r="J592" s="77" t="str">
        <f t="shared" ca="1" si="19"/>
        <v/>
      </c>
      <c r="K592" s="19">
        <f>IF(A592="","",COUNTIFS(Resumen!$N$2:$N$2999,ROW(),Resumen!$V$2:$V$2999,1))</f>
        <v/>
      </c>
      <c r="L592" s="20"/>
      <c r="N5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3" spans="1:14">
      <c r="A593" s="16"/>
      <c r="B593" s="16"/>
      <c r="C593" s="17"/>
      <c r="D593" s="17"/>
      <c r="E593" s="17"/>
      <c r="F593" s="18"/>
      <c r="G593" s="19" t="str">
        <f t="shared" ca="1" si="18"/>
        <v/>
      </c>
      <c r="H593" s="18"/>
      <c r="I593" s="18"/>
      <c r="J593" s="77" t="str">
        <f t="shared" ca="1" si="19"/>
        <v/>
      </c>
      <c r="K593" s="19">
        <f>IF(A593="","",COUNTIFS(Resumen!$N$2:$N$2999,ROW(),Resumen!$V$2:$V$2999,1))</f>
        <v/>
      </c>
      <c r="L593" s="20"/>
      <c r="N5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4" spans="1:14">
      <c r="A594" s="16"/>
      <c r="B594" s="16"/>
      <c r="C594" s="17"/>
      <c r="D594" s="17"/>
      <c r="E594" s="17"/>
      <c r="F594" s="18"/>
      <c r="G594" s="19" t="str">
        <f t="shared" ca="1" si="18"/>
        <v/>
      </c>
      <c r="H594" s="18"/>
      <c r="I594" s="18"/>
      <c r="J594" s="77" t="str">
        <f t="shared" ca="1" si="19"/>
        <v/>
      </c>
      <c r="K594" s="19">
        <f>IF(A594="","",COUNTIFS(Resumen!$N$2:$N$2999,ROW(),Resumen!$V$2:$V$2999,1))</f>
        <v/>
      </c>
      <c r="L594" s="20"/>
      <c r="N5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5" spans="1:14">
      <c r="A595" s="16"/>
      <c r="B595" s="16"/>
      <c r="C595" s="17"/>
      <c r="D595" s="17"/>
      <c r="E595" s="17"/>
      <c r="F595" s="18"/>
      <c r="G595" s="19" t="str">
        <f t="shared" ca="1" si="18"/>
        <v/>
      </c>
      <c r="H595" s="18"/>
      <c r="I595" s="18"/>
      <c r="J595" s="77" t="str">
        <f t="shared" ca="1" si="19"/>
        <v/>
      </c>
      <c r="K595" s="19">
        <f>IF(A595="","",COUNTIFS(Resumen!$N$2:$N$2999,ROW(),Resumen!$V$2:$V$2999,1))</f>
        <v/>
      </c>
      <c r="L595" s="20"/>
      <c r="N5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6" spans="1:14">
      <c r="A596" s="16"/>
      <c r="B596" s="16"/>
      <c r="C596" s="17"/>
      <c r="D596" s="17"/>
      <c r="E596" s="17"/>
      <c r="F596" s="18"/>
      <c r="G596" s="19" t="str">
        <f t="shared" ca="1" si="18"/>
        <v/>
      </c>
      <c r="H596" s="18"/>
      <c r="I596" s="18"/>
      <c r="J596" s="77" t="str">
        <f t="shared" ca="1" si="19"/>
        <v/>
      </c>
      <c r="K596" s="19">
        <f>IF(A596="","",COUNTIFS(Resumen!$N$2:$N$2999,ROW(),Resumen!$V$2:$V$2999,1))</f>
        <v/>
      </c>
      <c r="L596" s="20"/>
      <c r="N5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7" spans="1:14">
      <c r="A597" s="16"/>
      <c r="B597" s="16"/>
      <c r="C597" s="17"/>
      <c r="D597" s="17"/>
      <c r="E597" s="17"/>
      <c r="F597" s="18"/>
      <c r="G597" s="19" t="str">
        <f t="shared" ca="1" si="18"/>
        <v/>
      </c>
      <c r="H597" s="18"/>
      <c r="I597" s="18"/>
      <c r="J597" s="77" t="str">
        <f t="shared" ca="1" si="19"/>
        <v/>
      </c>
      <c r="K597" s="19">
        <f>IF(A597="","",COUNTIFS(Resumen!$N$2:$N$2999,ROW(),Resumen!$V$2:$V$2999,1))</f>
        <v/>
      </c>
      <c r="L597" s="20"/>
      <c r="N5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8" spans="1:14">
      <c r="A598" s="16"/>
      <c r="B598" s="16"/>
      <c r="C598" s="17"/>
      <c r="D598" s="17"/>
      <c r="E598" s="17"/>
      <c r="F598" s="18"/>
      <c r="G598" s="19" t="str">
        <f t="shared" ca="1" si="18"/>
        <v/>
      </c>
      <c r="H598" s="18"/>
      <c r="I598" s="18"/>
      <c r="J598" s="77" t="str">
        <f t="shared" ca="1" si="19"/>
        <v/>
      </c>
      <c r="K598" s="19">
        <f>IF(A598="","",COUNTIFS(Resumen!$N$2:$N$2999,ROW(),Resumen!$V$2:$V$2999,1))</f>
        <v/>
      </c>
      <c r="L598" s="20"/>
      <c r="N5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599" spans="1:14">
      <c r="A599" s="16"/>
      <c r="B599" s="16"/>
      <c r="C599" s="17"/>
      <c r="D599" s="17"/>
      <c r="E599" s="17"/>
      <c r="F599" s="18"/>
      <c r="G599" s="19" t="str">
        <f t="shared" ca="1" si="18"/>
        <v/>
      </c>
      <c r="H599" s="18"/>
      <c r="I599" s="18"/>
      <c r="J599" s="77" t="str">
        <f t="shared" ca="1" si="19"/>
        <v/>
      </c>
      <c r="K599" s="19">
        <f>IF(A599="","",COUNTIFS(Resumen!$N$2:$N$2999,ROW(),Resumen!$V$2:$V$2999,1))</f>
        <v/>
      </c>
      <c r="L599" s="20"/>
      <c r="N5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0" spans="1:14">
      <c r="A600" s="16"/>
      <c r="B600" s="16"/>
      <c r="C600" s="17"/>
      <c r="D600" s="17"/>
      <c r="E600" s="17"/>
      <c r="F600" s="18"/>
      <c r="G600" s="19" t="str">
        <f t="shared" ca="1" si="18"/>
        <v/>
      </c>
      <c r="H600" s="18"/>
      <c r="I600" s="18"/>
      <c r="J600" s="77" t="str">
        <f t="shared" ca="1" si="19"/>
        <v/>
      </c>
      <c r="K600" s="19">
        <f>IF(A600="","",COUNTIFS(Resumen!$N$2:$N$2999,ROW(),Resumen!$V$2:$V$2999,1))</f>
        <v/>
      </c>
      <c r="L600" s="20"/>
      <c r="N6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1" spans="1:14">
      <c r="A601" s="16"/>
      <c r="B601" s="16"/>
      <c r="C601" s="17"/>
      <c r="D601" s="17"/>
      <c r="E601" s="17"/>
      <c r="F601" s="18"/>
      <c r="G601" s="19" t="str">
        <f t="shared" ca="1" si="18"/>
        <v/>
      </c>
      <c r="H601" s="18"/>
      <c r="I601" s="18"/>
      <c r="J601" s="77" t="str">
        <f t="shared" ca="1" si="19"/>
        <v/>
      </c>
      <c r="K601" s="19">
        <f>IF(A601="","",COUNTIFS(Resumen!$N$2:$N$2999,ROW(),Resumen!$V$2:$V$2999,1))</f>
        <v/>
      </c>
      <c r="L601" s="20"/>
      <c r="N6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2" spans="1:14">
      <c r="A602" s="16"/>
      <c r="B602" s="16"/>
      <c r="C602" s="17"/>
      <c r="D602" s="17"/>
      <c r="E602" s="17"/>
      <c r="F602" s="18"/>
      <c r="G602" s="19" t="str">
        <f t="shared" ca="1" si="18"/>
        <v/>
      </c>
      <c r="H602" s="18"/>
      <c r="I602" s="18"/>
      <c r="J602" s="77" t="str">
        <f t="shared" ca="1" si="19"/>
        <v/>
      </c>
      <c r="K602" s="19">
        <f>IF(A602="","",COUNTIFS(Resumen!$N$2:$N$2999,ROW(),Resumen!$V$2:$V$2999,1))</f>
        <v/>
      </c>
      <c r="L602" s="20"/>
      <c r="N6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3" spans="1:14">
      <c r="A603" s="16"/>
      <c r="B603" s="16"/>
      <c r="C603" s="17"/>
      <c r="D603" s="17"/>
      <c r="E603" s="17"/>
      <c r="F603" s="18"/>
      <c r="G603" s="19" t="str">
        <f t="shared" ca="1" si="18"/>
        <v/>
      </c>
      <c r="H603" s="18"/>
      <c r="I603" s="18"/>
      <c r="J603" s="77" t="str">
        <f t="shared" ca="1" si="19"/>
        <v/>
      </c>
      <c r="K603" s="19">
        <f>IF(A603="","",COUNTIFS(Resumen!$N$2:$N$2999,ROW(),Resumen!$V$2:$V$2999,1))</f>
        <v/>
      </c>
      <c r="L603" s="20"/>
      <c r="N6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4" spans="1:14">
      <c r="A604" s="16"/>
      <c r="B604" s="16"/>
      <c r="C604" s="17"/>
      <c r="D604" s="17"/>
      <c r="E604" s="17"/>
      <c r="F604" s="18"/>
      <c r="G604" s="19" t="str">
        <f t="shared" ca="1" si="18"/>
        <v/>
      </c>
      <c r="H604" s="18"/>
      <c r="I604" s="18"/>
      <c r="J604" s="77" t="str">
        <f t="shared" ca="1" si="19"/>
        <v/>
      </c>
      <c r="K604" s="19">
        <f>IF(A604="","",COUNTIFS(Resumen!$N$2:$N$2999,ROW(),Resumen!$V$2:$V$2999,1))</f>
        <v/>
      </c>
      <c r="L604" s="20"/>
      <c r="N6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5" spans="1:14">
      <c r="A605" s="16"/>
      <c r="B605" s="16"/>
      <c r="C605" s="17"/>
      <c r="D605" s="17"/>
      <c r="E605" s="17"/>
      <c r="F605" s="18"/>
      <c r="G605" s="19" t="str">
        <f t="shared" ca="1" si="18"/>
        <v/>
      </c>
      <c r="H605" s="18"/>
      <c r="I605" s="18"/>
      <c r="J605" s="77" t="str">
        <f t="shared" ca="1" si="19"/>
        <v/>
      </c>
      <c r="K605" s="19">
        <f>IF(A605="","",COUNTIFS(Resumen!$N$2:$N$2999,ROW(),Resumen!$V$2:$V$2999,1))</f>
        <v/>
      </c>
      <c r="L605" s="20"/>
      <c r="N6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6" spans="1:14">
      <c r="A606" s="16"/>
      <c r="B606" s="16"/>
      <c r="C606" s="17"/>
      <c r="D606" s="17"/>
      <c r="E606" s="17"/>
      <c r="F606" s="18"/>
      <c r="G606" s="19" t="str">
        <f t="shared" ca="1" si="18"/>
        <v/>
      </c>
      <c r="H606" s="18"/>
      <c r="I606" s="18"/>
      <c r="J606" s="77" t="str">
        <f t="shared" ca="1" si="19"/>
        <v/>
      </c>
      <c r="K606" s="19">
        <f>IF(A606="","",COUNTIFS(Resumen!$N$2:$N$2999,ROW(),Resumen!$V$2:$V$2999,1))</f>
        <v/>
      </c>
      <c r="L606" s="20"/>
      <c r="N6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7" spans="1:14">
      <c r="A607" s="16"/>
      <c r="B607" s="16"/>
      <c r="C607" s="17"/>
      <c r="D607" s="17"/>
      <c r="E607" s="17"/>
      <c r="F607" s="18"/>
      <c r="G607" s="19" t="str">
        <f t="shared" ca="1" si="18"/>
        <v/>
      </c>
      <c r="H607" s="18"/>
      <c r="I607" s="18"/>
      <c r="J607" s="77" t="str">
        <f t="shared" ca="1" si="19"/>
        <v/>
      </c>
      <c r="K607" s="19">
        <f>IF(A607="","",COUNTIFS(Resumen!$N$2:$N$2999,ROW(),Resumen!$V$2:$V$2999,1))</f>
        <v/>
      </c>
      <c r="L607" s="20"/>
      <c r="N6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8" spans="1:14">
      <c r="A608" s="16"/>
      <c r="B608" s="16"/>
      <c r="C608" s="17"/>
      <c r="D608" s="17"/>
      <c r="E608" s="17"/>
      <c r="F608" s="18"/>
      <c r="G608" s="19" t="str">
        <f t="shared" ca="1" si="18"/>
        <v/>
      </c>
      <c r="H608" s="18"/>
      <c r="I608" s="18"/>
      <c r="J608" s="77" t="str">
        <f t="shared" ca="1" si="19"/>
        <v/>
      </c>
      <c r="K608" s="19">
        <f>IF(A608="","",COUNTIFS(Resumen!$N$2:$N$2999,ROW(),Resumen!$V$2:$V$2999,1))</f>
        <v/>
      </c>
      <c r="L608" s="20"/>
      <c r="N6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09" spans="1:14">
      <c r="A609" s="16"/>
      <c r="B609" s="16"/>
      <c r="C609" s="17"/>
      <c r="D609" s="17"/>
      <c r="E609" s="17"/>
      <c r="F609" s="18"/>
      <c r="G609" s="19" t="str">
        <f t="shared" ca="1" si="18"/>
        <v/>
      </c>
      <c r="H609" s="18"/>
      <c r="I609" s="18"/>
      <c r="J609" s="77" t="str">
        <f t="shared" ca="1" si="19"/>
        <v/>
      </c>
      <c r="K609" s="19">
        <f>IF(A609="","",COUNTIFS(Resumen!$N$2:$N$2999,ROW(),Resumen!$V$2:$V$2999,1))</f>
        <v/>
      </c>
      <c r="L609" s="20"/>
      <c r="N6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0" spans="1:14">
      <c r="A610" s="16"/>
      <c r="B610" s="16"/>
      <c r="C610" s="17"/>
      <c r="D610" s="17"/>
      <c r="E610" s="17"/>
      <c r="F610" s="18"/>
      <c r="G610" s="19" t="str">
        <f t="shared" ca="1" si="18"/>
        <v/>
      </c>
      <c r="H610" s="18"/>
      <c r="I610" s="18"/>
      <c r="J610" s="77" t="str">
        <f t="shared" ca="1" si="19"/>
        <v/>
      </c>
      <c r="K610" s="19">
        <f>IF(A610="","",COUNTIFS(Resumen!$N$2:$N$2999,ROW(),Resumen!$V$2:$V$2999,1))</f>
        <v/>
      </c>
      <c r="L610" s="20"/>
      <c r="N6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1" spans="1:14">
      <c r="A611" s="16"/>
      <c r="B611" s="16"/>
      <c r="C611" s="17"/>
      <c r="D611" s="17"/>
      <c r="E611" s="17"/>
      <c r="F611" s="18"/>
      <c r="G611" s="19" t="str">
        <f t="shared" ca="1" si="18"/>
        <v/>
      </c>
      <c r="H611" s="18"/>
      <c r="I611" s="18"/>
      <c r="J611" s="77" t="str">
        <f t="shared" ca="1" si="19"/>
        <v/>
      </c>
      <c r="K611" s="19">
        <f>IF(A611="","",COUNTIFS(Resumen!$N$2:$N$2999,ROW(),Resumen!$V$2:$V$2999,1))</f>
        <v/>
      </c>
      <c r="L611" s="20"/>
      <c r="N6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2" spans="1:14">
      <c r="A612" s="16"/>
      <c r="B612" s="16"/>
      <c r="C612" s="17"/>
      <c r="D612" s="17"/>
      <c r="E612" s="17"/>
      <c r="F612" s="18"/>
      <c r="G612" s="19" t="str">
        <f t="shared" ca="1" si="18"/>
        <v/>
      </c>
      <c r="H612" s="18"/>
      <c r="I612" s="18"/>
      <c r="J612" s="77" t="str">
        <f t="shared" ca="1" si="19"/>
        <v/>
      </c>
      <c r="K612" s="19">
        <f>IF(A612="","",COUNTIFS(Resumen!$N$2:$N$2999,ROW(),Resumen!$V$2:$V$2999,1))</f>
        <v/>
      </c>
      <c r="L612" s="20"/>
      <c r="N6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3" spans="1:14">
      <c r="A613" s="16"/>
      <c r="B613" s="16"/>
      <c r="C613" s="17"/>
      <c r="D613" s="17"/>
      <c r="E613" s="17"/>
      <c r="F613" s="18"/>
      <c r="G613" s="19" t="str">
        <f t="shared" ca="1" si="18"/>
        <v/>
      </c>
      <c r="H613" s="18"/>
      <c r="I613" s="18"/>
      <c r="J613" s="77" t="str">
        <f t="shared" ca="1" si="19"/>
        <v/>
      </c>
      <c r="K613" s="19">
        <f>IF(A613="","",COUNTIFS(Resumen!$N$2:$N$2999,ROW(),Resumen!$V$2:$V$2999,1))</f>
        <v/>
      </c>
      <c r="L613" s="20"/>
      <c r="N6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4" spans="1:14">
      <c r="A614" s="16"/>
      <c r="B614" s="16"/>
      <c r="C614" s="17"/>
      <c r="D614" s="17"/>
      <c r="E614" s="17"/>
      <c r="F614" s="18"/>
      <c r="G614" s="19" t="str">
        <f t="shared" ca="1" si="18"/>
        <v/>
      </c>
      <c r="H614" s="18"/>
      <c r="I614" s="18"/>
      <c r="J614" s="77" t="str">
        <f t="shared" ca="1" si="19"/>
        <v/>
      </c>
      <c r="K614" s="19">
        <f>IF(A614="","",COUNTIFS(Resumen!$N$2:$N$2999,ROW(),Resumen!$V$2:$V$2999,1))</f>
        <v/>
      </c>
      <c r="L614" s="20"/>
      <c r="N6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5" spans="1:14">
      <c r="A615" s="16"/>
      <c r="B615" s="16"/>
      <c r="C615" s="17"/>
      <c r="D615" s="17"/>
      <c r="E615" s="17"/>
      <c r="F615" s="18"/>
      <c r="G615" s="19" t="str">
        <f t="shared" ca="1" si="18"/>
        <v/>
      </c>
      <c r="H615" s="18"/>
      <c r="I615" s="18"/>
      <c r="J615" s="77" t="str">
        <f t="shared" ca="1" si="19"/>
        <v/>
      </c>
      <c r="K615" s="19">
        <f>IF(A615="","",COUNTIFS(Resumen!$N$2:$N$2999,ROW(),Resumen!$V$2:$V$2999,1))</f>
        <v/>
      </c>
      <c r="L615" s="20"/>
      <c r="N6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6" spans="1:14">
      <c r="A616" s="16"/>
      <c r="B616" s="16"/>
      <c r="C616" s="17"/>
      <c r="D616" s="17"/>
      <c r="E616" s="17"/>
      <c r="F616" s="18"/>
      <c r="G616" s="19" t="str">
        <f t="shared" ca="1" si="18"/>
        <v/>
      </c>
      <c r="H616" s="18"/>
      <c r="I616" s="18"/>
      <c r="J616" s="77" t="str">
        <f t="shared" ca="1" si="19"/>
        <v/>
      </c>
      <c r="K616" s="19">
        <f>IF(A616="","",COUNTIFS(Resumen!$N$2:$N$2999,ROW(),Resumen!$V$2:$V$2999,1))</f>
        <v/>
      </c>
      <c r="L616" s="20"/>
      <c r="N6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7" spans="1:14">
      <c r="A617" s="16"/>
      <c r="B617" s="16"/>
      <c r="C617" s="17"/>
      <c r="D617" s="17"/>
      <c r="E617" s="17"/>
      <c r="F617" s="18"/>
      <c r="G617" s="19" t="str">
        <f t="shared" ca="1" si="18"/>
        <v/>
      </c>
      <c r="H617" s="18"/>
      <c r="I617" s="18"/>
      <c r="J617" s="77" t="str">
        <f t="shared" ca="1" si="19"/>
        <v/>
      </c>
      <c r="K617" s="19">
        <f>IF(A617="","",COUNTIFS(Resumen!$N$2:$N$2999,ROW(),Resumen!$V$2:$V$2999,1))</f>
        <v/>
      </c>
      <c r="L617" s="20"/>
      <c r="N6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8" spans="1:14">
      <c r="A618" s="16"/>
      <c r="B618" s="16"/>
      <c r="C618" s="17"/>
      <c r="D618" s="17"/>
      <c r="E618" s="17"/>
      <c r="F618" s="18"/>
      <c r="G618" s="19" t="str">
        <f t="shared" ca="1" si="18"/>
        <v/>
      </c>
      <c r="H618" s="18"/>
      <c r="I618" s="18"/>
      <c r="J618" s="77" t="str">
        <f t="shared" ca="1" si="19"/>
        <v/>
      </c>
      <c r="K618" s="19">
        <f>IF(A618="","",COUNTIFS(Resumen!$N$2:$N$2999,ROW(),Resumen!$V$2:$V$2999,1))</f>
        <v/>
      </c>
      <c r="L618" s="20"/>
      <c r="N6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19" spans="1:14">
      <c r="A619" s="16"/>
      <c r="B619" s="16"/>
      <c r="C619" s="17"/>
      <c r="D619" s="17"/>
      <c r="E619" s="17"/>
      <c r="F619" s="18"/>
      <c r="G619" s="19" t="str">
        <f t="shared" ca="1" si="18"/>
        <v/>
      </c>
      <c r="H619" s="18"/>
      <c r="I619" s="18"/>
      <c r="J619" s="77" t="str">
        <f t="shared" ca="1" si="19"/>
        <v/>
      </c>
      <c r="K619" s="19">
        <f>IF(A619="","",COUNTIFS(Resumen!$N$2:$N$2999,ROW(),Resumen!$V$2:$V$2999,1))</f>
        <v/>
      </c>
      <c r="L619" s="20"/>
      <c r="N6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0" spans="1:14">
      <c r="A620" s="16"/>
      <c r="B620" s="16"/>
      <c r="C620" s="17"/>
      <c r="D620" s="17"/>
      <c r="E620" s="17"/>
      <c r="F620" s="18"/>
      <c r="G620" s="19" t="str">
        <f t="shared" ca="1" si="18"/>
        <v/>
      </c>
      <c r="H620" s="18"/>
      <c r="I620" s="18"/>
      <c r="J620" s="77" t="str">
        <f t="shared" ca="1" si="19"/>
        <v/>
      </c>
      <c r="K620" s="19">
        <f>IF(A620="","",COUNTIFS(Resumen!$N$2:$N$2999,ROW(),Resumen!$V$2:$V$2999,1))</f>
        <v/>
      </c>
      <c r="L620" s="20"/>
      <c r="N6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1" spans="1:14">
      <c r="A621" s="16"/>
      <c r="B621" s="16"/>
      <c r="C621" s="17"/>
      <c r="D621" s="17"/>
      <c r="E621" s="17"/>
      <c r="F621" s="18"/>
      <c r="G621" s="19" t="str">
        <f t="shared" ca="1" si="18"/>
        <v/>
      </c>
      <c r="H621" s="18"/>
      <c r="I621" s="18"/>
      <c r="J621" s="77" t="str">
        <f t="shared" ca="1" si="19"/>
        <v/>
      </c>
      <c r="K621" s="19">
        <f>IF(A621="","",COUNTIFS(Resumen!$N$2:$N$2999,ROW(),Resumen!$V$2:$V$2999,1))</f>
        <v/>
      </c>
      <c r="L621" s="20"/>
      <c r="N6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2" spans="1:14">
      <c r="A622" s="16"/>
      <c r="B622" s="16"/>
      <c r="C622" s="17"/>
      <c r="D622" s="17"/>
      <c r="E622" s="17"/>
      <c r="F622" s="18"/>
      <c r="G622" s="19" t="str">
        <f t="shared" ca="1" si="18"/>
        <v/>
      </c>
      <c r="H622" s="18"/>
      <c r="I622" s="18"/>
      <c r="J622" s="77" t="str">
        <f t="shared" ca="1" si="19"/>
        <v/>
      </c>
      <c r="K622" s="19">
        <f>IF(A622="","",COUNTIFS(Resumen!$N$2:$N$2999,ROW(),Resumen!$V$2:$V$2999,1))</f>
        <v/>
      </c>
      <c r="L622" s="20"/>
      <c r="N6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3" spans="1:14">
      <c r="A623" s="16"/>
      <c r="B623" s="16"/>
      <c r="C623" s="17"/>
      <c r="D623" s="17"/>
      <c r="E623" s="17"/>
      <c r="F623" s="18"/>
      <c r="G623" s="19" t="str">
        <f t="shared" ca="1" si="18"/>
        <v/>
      </c>
      <c r="H623" s="18"/>
      <c r="I623" s="18"/>
      <c r="J623" s="77" t="str">
        <f t="shared" ca="1" si="19"/>
        <v/>
      </c>
      <c r="K623" s="19">
        <f>IF(A623="","",COUNTIFS(Resumen!$N$2:$N$2999,ROW(),Resumen!$V$2:$V$2999,1))</f>
        <v/>
      </c>
      <c r="L623" s="20"/>
      <c r="N6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4" spans="1:14">
      <c r="A624" s="16"/>
      <c r="B624" s="16"/>
      <c r="C624" s="17"/>
      <c r="D624" s="17"/>
      <c r="E624" s="17"/>
      <c r="F624" s="18"/>
      <c r="G624" s="19" t="str">
        <f t="shared" ca="1" si="18"/>
        <v/>
      </c>
      <c r="H624" s="18"/>
      <c r="I624" s="18"/>
      <c r="J624" s="77" t="str">
        <f t="shared" ca="1" si="19"/>
        <v/>
      </c>
      <c r="K624" s="19">
        <f>IF(A624="","",COUNTIFS(Resumen!$N$2:$N$2999,ROW(),Resumen!$V$2:$V$2999,1))</f>
        <v/>
      </c>
      <c r="L624" s="20"/>
      <c r="N6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5" spans="1:14">
      <c r="A625" s="16"/>
      <c r="B625" s="16"/>
      <c r="C625" s="17"/>
      <c r="D625" s="17"/>
      <c r="E625" s="17"/>
      <c r="F625" s="18"/>
      <c r="G625" s="19" t="str">
        <f t="shared" ca="1" si="18"/>
        <v/>
      </c>
      <c r="H625" s="18"/>
      <c r="I625" s="18"/>
      <c r="J625" s="77" t="str">
        <f t="shared" ca="1" si="19"/>
        <v/>
      </c>
      <c r="K625" s="19">
        <f>IF(A625="","",COUNTIFS(Resumen!$N$2:$N$2999,ROW(),Resumen!$V$2:$V$2999,1))</f>
        <v/>
      </c>
      <c r="L625" s="20"/>
      <c r="N6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6" spans="1:14">
      <c r="A626" s="16"/>
      <c r="B626" s="16"/>
      <c r="C626" s="17"/>
      <c r="D626" s="17"/>
      <c r="E626" s="17"/>
      <c r="F626" s="18"/>
      <c r="G626" s="19" t="str">
        <f t="shared" ca="1" si="18"/>
        <v/>
      </c>
      <c r="H626" s="18"/>
      <c r="I626" s="18"/>
      <c r="J626" s="77" t="str">
        <f t="shared" ca="1" si="19"/>
        <v/>
      </c>
      <c r="K626" s="19">
        <f>IF(A626="","",COUNTIFS(Resumen!$N$2:$N$2999,ROW(),Resumen!$V$2:$V$2999,1))</f>
        <v/>
      </c>
      <c r="L626" s="20"/>
      <c r="N6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7" spans="1:14">
      <c r="A627" s="16"/>
      <c r="B627" s="16"/>
      <c r="C627" s="17"/>
      <c r="D627" s="17"/>
      <c r="E627" s="17"/>
      <c r="F627" s="18"/>
      <c r="G627" s="19" t="str">
        <f t="shared" ca="1" si="18"/>
        <v/>
      </c>
      <c r="H627" s="18"/>
      <c r="I627" s="18"/>
      <c r="J627" s="77" t="str">
        <f t="shared" ca="1" si="19"/>
        <v/>
      </c>
      <c r="K627" s="19">
        <f>IF(A627="","",COUNTIFS(Resumen!$N$2:$N$2999,ROW(),Resumen!$V$2:$V$2999,1))</f>
        <v/>
      </c>
      <c r="L627" s="20"/>
      <c r="N6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8" spans="1:14">
      <c r="A628" s="16"/>
      <c r="B628" s="16"/>
      <c r="C628" s="17"/>
      <c r="D628" s="17"/>
      <c r="E628" s="17"/>
      <c r="F628" s="18"/>
      <c r="G628" s="19" t="str">
        <f t="shared" ca="1" si="18"/>
        <v/>
      </c>
      <c r="H628" s="18"/>
      <c r="I628" s="18"/>
      <c r="J628" s="77" t="str">
        <f t="shared" ca="1" si="19"/>
        <v/>
      </c>
      <c r="K628" s="19">
        <f>IF(A628="","",COUNTIFS(Resumen!$N$2:$N$2999,ROW(),Resumen!$V$2:$V$2999,1))</f>
        <v/>
      </c>
      <c r="L628" s="20"/>
      <c r="N6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29" spans="1:14">
      <c r="A629" s="16"/>
      <c r="B629" s="16"/>
      <c r="C629" s="17"/>
      <c r="D629" s="17"/>
      <c r="E629" s="17"/>
      <c r="F629" s="18"/>
      <c r="G629" s="19" t="str">
        <f t="shared" ca="1" si="18"/>
        <v/>
      </c>
      <c r="H629" s="18"/>
      <c r="I629" s="18"/>
      <c r="J629" s="77" t="str">
        <f t="shared" ca="1" si="19"/>
        <v/>
      </c>
      <c r="K629" s="19">
        <f>IF(A629="","",COUNTIFS(Resumen!$N$2:$N$2999,ROW(),Resumen!$V$2:$V$2999,1))</f>
        <v/>
      </c>
      <c r="L629" s="20"/>
      <c r="N6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0" spans="1:14">
      <c r="A630" s="16"/>
      <c r="B630" s="16"/>
      <c r="C630" s="17"/>
      <c r="D630" s="17"/>
      <c r="E630" s="17"/>
      <c r="F630" s="18"/>
      <c r="G630" s="19" t="str">
        <f t="shared" ca="1" si="18"/>
        <v/>
      </c>
      <c r="H630" s="18"/>
      <c r="I630" s="18"/>
      <c r="J630" s="77" t="str">
        <f t="shared" ca="1" si="19"/>
        <v/>
      </c>
      <c r="K630" s="19">
        <f>IF(A630="","",COUNTIFS(Resumen!$N$2:$N$2999,ROW(),Resumen!$V$2:$V$2999,1))</f>
        <v/>
      </c>
      <c r="L630" s="20"/>
      <c r="N6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1" spans="1:14">
      <c r="A631" s="16"/>
      <c r="B631" s="16"/>
      <c r="C631" s="17"/>
      <c r="D631" s="17"/>
      <c r="E631" s="17"/>
      <c r="F631" s="18"/>
      <c r="G631" s="19" t="str">
        <f t="shared" ca="1" si="18"/>
        <v/>
      </c>
      <c r="H631" s="18"/>
      <c r="I631" s="18"/>
      <c r="J631" s="77" t="str">
        <f t="shared" ca="1" si="19"/>
        <v/>
      </c>
      <c r="K631" s="19">
        <f>IF(A631="","",COUNTIFS(Resumen!$N$2:$N$2999,ROW(),Resumen!$V$2:$V$2999,1))</f>
        <v/>
      </c>
      <c r="L631" s="20"/>
      <c r="N6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2" spans="1:14">
      <c r="A632" s="16"/>
      <c r="B632" s="16"/>
      <c r="C632" s="17"/>
      <c r="D632" s="17"/>
      <c r="E632" s="17"/>
      <c r="F632" s="18"/>
      <c r="G632" s="19" t="str">
        <f t="shared" ca="1" si="18"/>
        <v/>
      </c>
      <c r="H632" s="18"/>
      <c r="I632" s="18"/>
      <c r="J632" s="77" t="str">
        <f t="shared" ca="1" si="19"/>
        <v/>
      </c>
      <c r="K632" s="19">
        <f>IF(A632="","",COUNTIFS(Resumen!$N$2:$N$2999,ROW(),Resumen!$V$2:$V$2999,1))</f>
        <v/>
      </c>
      <c r="L632" s="20"/>
      <c r="N6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3" spans="1:14">
      <c r="A633" s="16"/>
      <c r="B633" s="16"/>
      <c r="C633" s="17"/>
      <c r="D633" s="17"/>
      <c r="E633" s="17"/>
      <c r="F633" s="18"/>
      <c r="G633" s="19" t="str">
        <f t="shared" ca="1" si="18"/>
        <v/>
      </c>
      <c r="H633" s="18"/>
      <c r="I633" s="18"/>
      <c r="J633" s="77" t="str">
        <f t="shared" ca="1" si="19"/>
        <v/>
      </c>
      <c r="K633" s="19">
        <f>IF(A633="","",COUNTIFS(Resumen!$N$2:$N$2999,ROW(),Resumen!$V$2:$V$2999,1))</f>
        <v/>
      </c>
      <c r="L633" s="20"/>
      <c r="N6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4" spans="1:14">
      <c r="A634" s="16"/>
      <c r="B634" s="16"/>
      <c r="C634" s="17"/>
      <c r="D634" s="17"/>
      <c r="E634" s="17"/>
      <c r="F634" s="18"/>
      <c r="G634" s="19" t="str">
        <f t="shared" ca="1" si="18"/>
        <v/>
      </c>
      <c r="H634" s="18"/>
      <c r="I634" s="18"/>
      <c r="J634" s="77" t="str">
        <f t="shared" ca="1" si="19"/>
        <v/>
      </c>
      <c r="K634" s="19">
        <f>IF(A634="","",COUNTIFS(Resumen!$N$2:$N$2999,ROW(),Resumen!$V$2:$V$2999,1))</f>
        <v/>
      </c>
      <c r="L634" s="20"/>
      <c r="N6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5" spans="1:14">
      <c r="A635" s="16"/>
      <c r="B635" s="16"/>
      <c r="C635" s="17"/>
      <c r="D635" s="17"/>
      <c r="E635" s="17"/>
      <c r="F635" s="18"/>
      <c r="G635" s="19" t="str">
        <f t="shared" ca="1" si="18"/>
        <v/>
      </c>
      <c r="H635" s="18"/>
      <c r="I635" s="18"/>
      <c r="J635" s="77" t="str">
        <f t="shared" ca="1" si="19"/>
        <v/>
      </c>
      <c r="K635" s="19">
        <f>IF(A635="","",COUNTIFS(Resumen!$N$2:$N$2999,ROW(),Resumen!$V$2:$V$2999,1))</f>
        <v/>
      </c>
      <c r="L635" s="20"/>
      <c r="N6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6" spans="1:14">
      <c r="A636" s="16"/>
      <c r="B636" s="16"/>
      <c r="C636" s="17"/>
      <c r="D636" s="17"/>
      <c r="E636" s="17"/>
      <c r="F636" s="18"/>
      <c r="G636" s="19" t="str">
        <f t="shared" ca="1" si="18"/>
        <v/>
      </c>
      <c r="H636" s="18"/>
      <c r="I636" s="18"/>
      <c r="J636" s="77" t="str">
        <f t="shared" ca="1" si="19"/>
        <v/>
      </c>
      <c r="K636" s="19">
        <f>IF(A636="","",COUNTIFS(Resumen!$N$2:$N$2999,ROW(),Resumen!$V$2:$V$2999,1))</f>
        <v/>
      </c>
      <c r="L636" s="20"/>
      <c r="N6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7" spans="1:14">
      <c r="A637" s="16"/>
      <c r="B637" s="16"/>
      <c r="C637" s="17"/>
      <c r="D637" s="17"/>
      <c r="E637" s="17"/>
      <c r="F637" s="18"/>
      <c r="G637" s="19" t="str">
        <f t="shared" ca="1" si="18"/>
        <v/>
      </c>
      <c r="H637" s="18"/>
      <c r="I637" s="18"/>
      <c r="J637" s="77" t="str">
        <f t="shared" ca="1" si="19"/>
        <v/>
      </c>
      <c r="K637" s="19">
        <f>IF(A637="","",COUNTIFS(Resumen!$N$2:$N$2999,ROW(),Resumen!$V$2:$V$2999,1))</f>
        <v/>
      </c>
      <c r="L637" s="20"/>
      <c r="N6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8" spans="1:14">
      <c r="A638" s="16"/>
      <c r="B638" s="16"/>
      <c r="C638" s="17"/>
      <c r="D638" s="17"/>
      <c r="E638" s="17"/>
      <c r="F638" s="18"/>
      <c r="G638" s="19" t="str">
        <f t="shared" ca="1" si="18"/>
        <v/>
      </c>
      <c r="H638" s="18"/>
      <c r="I638" s="18"/>
      <c r="J638" s="77" t="str">
        <f t="shared" ca="1" si="19"/>
        <v/>
      </c>
      <c r="K638" s="19">
        <f>IF(A638="","",COUNTIFS(Resumen!$N$2:$N$2999,ROW(),Resumen!$V$2:$V$2999,1))</f>
        <v/>
      </c>
      <c r="L638" s="20"/>
      <c r="N6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39" spans="1:14">
      <c r="A639" s="16"/>
      <c r="B639" s="16"/>
      <c r="C639" s="17"/>
      <c r="D639" s="17"/>
      <c r="E639" s="17"/>
      <c r="F639" s="18"/>
      <c r="G639" s="19" t="str">
        <f t="shared" ca="1" si="18"/>
        <v/>
      </c>
      <c r="H639" s="18"/>
      <c r="I639" s="18"/>
      <c r="J639" s="77" t="str">
        <f t="shared" ca="1" si="19"/>
        <v/>
      </c>
      <c r="K639" s="19">
        <f>IF(A639="","",COUNTIFS(Resumen!$N$2:$N$2999,ROW(),Resumen!$V$2:$V$2999,1))</f>
        <v/>
      </c>
      <c r="L639" s="20"/>
      <c r="N6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0" spans="1:14">
      <c r="A640" s="16"/>
      <c r="B640" s="16"/>
      <c r="C640" s="17"/>
      <c r="D640" s="17"/>
      <c r="E640" s="17"/>
      <c r="F640" s="18"/>
      <c r="G640" s="19" t="str">
        <f t="shared" ca="1" si="18"/>
        <v/>
      </c>
      <c r="H640" s="18"/>
      <c r="I640" s="18"/>
      <c r="J640" s="77" t="str">
        <f t="shared" ca="1" si="19"/>
        <v/>
      </c>
      <c r="K640" s="19">
        <f>IF(A640="","",COUNTIFS(Resumen!$N$2:$N$2999,ROW(),Resumen!$V$2:$V$2999,1))</f>
        <v/>
      </c>
      <c r="L640" s="20"/>
      <c r="N6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1" spans="1:14">
      <c r="A641" s="16"/>
      <c r="B641" s="16"/>
      <c r="C641" s="17"/>
      <c r="D641" s="17"/>
      <c r="E641" s="17"/>
      <c r="F641" s="18"/>
      <c r="G641" s="19" t="str">
        <f t="shared" ca="1" si="18"/>
        <v/>
      </c>
      <c r="H641" s="18"/>
      <c r="I641" s="18"/>
      <c r="J641" s="77" t="str">
        <f t="shared" ca="1" si="19"/>
        <v/>
      </c>
      <c r="K641" s="19">
        <f>IF(A641="","",COUNTIFS(Resumen!$N$2:$N$2999,ROW(),Resumen!$V$2:$V$2999,1))</f>
        <v/>
      </c>
      <c r="L641" s="20"/>
      <c r="N6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2" spans="1:14">
      <c r="A642" s="16"/>
      <c r="B642" s="16"/>
      <c r="C642" s="17"/>
      <c r="D642" s="17"/>
      <c r="E642" s="17"/>
      <c r="F642" s="18"/>
      <c r="G642" s="19" t="str">
        <f t="shared" ref="G642:G705" ca="1" si="20">IF(F642="", "", DATEDIF(F642, TODAY(), "Y"))</f>
        <v/>
      </c>
      <c r="H642" s="18"/>
      <c r="I642" s="18"/>
      <c r="J642" s="77" t="str">
        <f t="shared" ref="J642:J705" ca="1" si="21">IFERROR(IF(ISNUMBER(INDEX(VigenciasFamilia,ROW())),INDEX(VigenciasFamilia,ROW())-TODAY(),""),"")</f>
        <v/>
      </c>
      <c r="K642" s="19">
        <f>IF(A642="","",COUNTIFS(Resumen!$N$2:$N$2999,ROW(),Resumen!$V$2:$V$2999,1))</f>
        <v/>
      </c>
      <c r="L642" s="20"/>
      <c r="N6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3" spans="1:14">
      <c r="A643" s="16"/>
      <c r="B643" s="16"/>
      <c r="C643" s="17"/>
      <c r="D643" s="17"/>
      <c r="E643" s="17"/>
      <c r="F643" s="18"/>
      <c r="G643" s="19" t="str">
        <f t="shared" ca="1" si="20"/>
        <v/>
      </c>
      <c r="H643" s="18"/>
      <c r="I643" s="18"/>
      <c r="J643" s="77" t="str">
        <f t="shared" ca="1" si="21"/>
        <v/>
      </c>
      <c r="K643" s="19">
        <f>IF(A643="","",COUNTIFS(Resumen!$N$2:$N$2999,ROW(),Resumen!$V$2:$V$2999,1))</f>
        <v/>
      </c>
      <c r="L643" s="20"/>
      <c r="N6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4" spans="1:14">
      <c r="A644" s="16"/>
      <c r="B644" s="16"/>
      <c r="C644" s="17"/>
      <c r="D644" s="17"/>
      <c r="E644" s="17"/>
      <c r="F644" s="18"/>
      <c r="G644" s="19" t="str">
        <f t="shared" ca="1" si="20"/>
        <v/>
      </c>
      <c r="H644" s="18"/>
      <c r="I644" s="18"/>
      <c r="J644" s="77" t="str">
        <f t="shared" ca="1" si="21"/>
        <v/>
      </c>
      <c r="K644" s="19">
        <f>IF(A644="","",COUNTIFS(Resumen!$N$2:$N$2999,ROW(),Resumen!$V$2:$V$2999,1))</f>
        <v/>
      </c>
      <c r="L644" s="20"/>
      <c r="N6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5" spans="1:14">
      <c r="A645" s="16"/>
      <c r="B645" s="16"/>
      <c r="C645" s="17"/>
      <c r="D645" s="17"/>
      <c r="E645" s="17"/>
      <c r="F645" s="18"/>
      <c r="G645" s="19" t="str">
        <f t="shared" ca="1" si="20"/>
        <v/>
      </c>
      <c r="H645" s="18"/>
      <c r="I645" s="18"/>
      <c r="J645" s="77" t="str">
        <f t="shared" ca="1" si="21"/>
        <v/>
      </c>
      <c r="K645" s="19">
        <f>IF(A645="","",COUNTIFS(Resumen!$N$2:$N$2999,ROW(),Resumen!$V$2:$V$2999,1))</f>
        <v/>
      </c>
      <c r="L645" s="20"/>
      <c r="N6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6" spans="1:14">
      <c r="A646" s="16"/>
      <c r="B646" s="16"/>
      <c r="C646" s="17"/>
      <c r="D646" s="17"/>
      <c r="E646" s="17"/>
      <c r="F646" s="18"/>
      <c r="G646" s="19" t="str">
        <f t="shared" ca="1" si="20"/>
        <v/>
      </c>
      <c r="H646" s="18"/>
      <c r="I646" s="18"/>
      <c r="J646" s="77" t="str">
        <f t="shared" ca="1" si="21"/>
        <v/>
      </c>
      <c r="K646" s="19">
        <f>IF(A646="","",COUNTIFS(Resumen!$N$2:$N$2999,ROW(),Resumen!$V$2:$V$2999,1))</f>
        <v/>
      </c>
      <c r="L646" s="20"/>
      <c r="N6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7" spans="1:14">
      <c r="A647" s="16"/>
      <c r="B647" s="16"/>
      <c r="C647" s="17"/>
      <c r="D647" s="17"/>
      <c r="E647" s="17"/>
      <c r="F647" s="18"/>
      <c r="G647" s="19" t="str">
        <f t="shared" ca="1" si="20"/>
        <v/>
      </c>
      <c r="H647" s="18"/>
      <c r="I647" s="18"/>
      <c r="J647" s="77" t="str">
        <f t="shared" ca="1" si="21"/>
        <v/>
      </c>
      <c r="K647" s="19">
        <f>IF(A647="","",COUNTIFS(Resumen!$N$2:$N$2999,ROW(),Resumen!$V$2:$V$2999,1))</f>
        <v/>
      </c>
      <c r="L647" s="20"/>
      <c r="N6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8" spans="1:14">
      <c r="A648" s="16"/>
      <c r="B648" s="16"/>
      <c r="C648" s="17"/>
      <c r="D648" s="17"/>
      <c r="E648" s="17"/>
      <c r="F648" s="18"/>
      <c r="G648" s="19" t="str">
        <f t="shared" ca="1" si="20"/>
        <v/>
      </c>
      <c r="H648" s="18"/>
      <c r="I648" s="18"/>
      <c r="J648" s="77" t="str">
        <f t="shared" ca="1" si="21"/>
        <v/>
      </c>
      <c r="K648" s="19">
        <f>IF(A648="","",COUNTIFS(Resumen!$N$2:$N$2999,ROW(),Resumen!$V$2:$V$2999,1))</f>
        <v/>
      </c>
      <c r="L648" s="20"/>
      <c r="N6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49" spans="1:14">
      <c r="A649" s="16"/>
      <c r="B649" s="16"/>
      <c r="C649" s="17"/>
      <c r="D649" s="17"/>
      <c r="E649" s="17"/>
      <c r="F649" s="18"/>
      <c r="G649" s="19" t="str">
        <f t="shared" ca="1" si="20"/>
        <v/>
      </c>
      <c r="H649" s="18"/>
      <c r="I649" s="18"/>
      <c r="J649" s="77" t="str">
        <f t="shared" ca="1" si="21"/>
        <v/>
      </c>
      <c r="K649" s="19">
        <f>IF(A649="","",COUNTIFS(Resumen!$N$2:$N$2999,ROW(),Resumen!$V$2:$V$2999,1))</f>
        <v/>
      </c>
      <c r="L649" s="20"/>
      <c r="N6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0" spans="1:14">
      <c r="A650" s="16"/>
      <c r="B650" s="16"/>
      <c r="C650" s="17"/>
      <c r="D650" s="17"/>
      <c r="E650" s="17"/>
      <c r="F650" s="18"/>
      <c r="G650" s="19" t="str">
        <f t="shared" ca="1" si="20"/>
        <v/>
      </c>
      <c r="H650" s="18"/>
      <c r="I650" s="18"/>
      <c r="J650" s="77" t="str">
        <f t="shared" ca="1" si="21"/>
        <v/>
      </c>
      <c r="K650" s="19">
        <f>IF(A650="","",COUNTIFS(Resumen!$N$2:$N$2999,ROW(),Resumen!$V$2:$V$2999,1))</f>
        <v/>
      </c>
      <c r="L650" s="20"/>
      <c r="N6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1" spans="1:14">
      <c r="A651" s="16"/>
      <c r="B651" s="16"/>
      <c r="C651" s="17"/>
      <c r="D651" s="17"/>
      <c r="E651" s="17"/>
      <c r="F651" s="18"/>
      <c r="G651" s="19" t="str">
        <f t="shared" ca="1" si="20"/>
        <v/>
      </c>
      <c r="H651" s="18"/>
      <c r="I651" s="18"/>
      <c r="J651" s="77" t="str">
        <f t="shared" ca="1" si="21"/>
        <v/>
      </c>
      <c r="K651" s="19">
        <f>IF(A651="","",COUNTIFS(Resumen!$N$2:$N$2999,ROW(),Resumen!$V$2:$V$2999,1))</f>
        <v/>
      </c>
      <c r="L651" s="20"/>
      <c r="N6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2" spans="1:14">
      <c r="A652" s="16"/>
      <c r="B652" s="16"/>
      <c r="C652" s="17"/>
      <c r="D652" s="17"/>
      <c r="E652" s="17"/>
      <c r="F652" s="18"/>
      <c r="G652" s="19" t="str">
        <f t="shared" ca="1" si="20"/>
        <v/>
      </c>
      <c r="H652" s="18"/>
      <c r="I652" s="18"/>
      <c r="J652" s="77" t="str">
        <f t="shared" ca="1" si="21"/>
        <v/>
      </c>
      <c r="K652" s="19">
        <f>IF(A652="","",COUNTIFS(Resumen!$N$2:$N$2999,ROW(),Resumen!$V$2:$V$2999,1))</f>
        <v/>
      </c>
      <c r="L652" s="20"/>
      <c r="N6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3" spans="1:14">
      <c r="A653" s="16"/>
      <c r="B653" s="16"/>
      <c r="C653" s="17"/>
      <c r="D653" s="17"/>
      <c r="E653" s="17"/>
      <c r="F653" s="18"/>
      <c r="G653" s="19" t="str">
        <f t="shared" ca="1" si="20"/>
        <v/>
      </c>
      <c r="H653" s="18"/>
      <c r="I653" s="18"/>
      <c r="J653" s="77" t="str">
        <f t="shared" ca="1" si="21"/>
        <v/>
      </c>
      <c r="K653" s="19">
        <f>IF(A653="","",COUNTIFS(Resumen!$N$2:$N$2999,ROW(),Resumen!$V$2:$V$2999,1))</f>
        <v/>
      </c>
      <c r="L653" s="20"/>
      <c r="N6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4" spans="1:14">
      <c r="A654" s="16"/>
      <c r="B654" s="16"/>
      <c r="C654" s="17"/>
      <c r="D654" s="17"/>
      <c r="E654" s="17"/>
      <c r="F654" s="18"/>
      <c r="G654" s="19" t="str">
        <f t="shared" ca="1" si="20"/>
        <v/>
      </c>
      <c r="H654" s="18"/>
      <c r="I654" s="18"/>
      <c r="J654" s="77" t="str">
        <f t="shared" ca="1" si="21"/>
        <v/>
      </c>
      <c r="K654" s="19">
        <f>IF(A654="","",COUNTIFS(Resumen!$N$2:$N$2999,ROW(),Resumen!$V$2:$V$2999,1))</f>
        <v/>
      </c>
      <c r="L654" s="20"/>
      <c r="N6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5" spans="1:14">
      <c r="A655" s="16"/>
      <c r="B655" s="16"/>
      <c r="C655" s="17"/>
      <c r="D655" s="17"/>
      <c r="E655" s="17"/>
      <c r="F655" s="18"/>
      <c r="G655" s="19" t="str">
        <f t="shared" ca="1" si="20"/>
        <v/>
      </c>
      <c r="H655" s="18"/>
      <c r="I655" s="18"/>
      <c r="J655" s="77" t="str">
        <f t="shared" ca="1" si="21"/>
        <v/>
      </c>
      <c r="K655" s="19">
        <f>IF(A655="","",COUNTIFS(Resumen!$N$2:$N$2999,ROW(),Resumen!$V$2:$V$2999,1))</f>
        <v/>
      </c>
      <c r="L655" s="20"/>
      <c r="N6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6" spans="1:14">
      <c r="A656" s="16"/>
      <c r="B656" s="16"/>
      <c r="C656" s="17"/>
      <c r="D656" s="17"/>
      <c r="E656" s="17"/>
      <c r="F656" s="18"/>
      <c r="G656" s="19" t="str">
        <f t="shared" ca="1" si="20"/>
        <v/>
      </c>
      <c r="H656" s="18"/>
      <c r="I656" s="18"/>
      <c r="J656" s="77" t="str">
        <f t="shared" ca="1" si="21"/>
        <v/>
      </c>
      <c r="K656" s="19">
        <f>IF(A656="","",COUNTIFS(Resumen!$N$2:$N$2999,ROW(),Resumen!$V$2:$V$2999,1))</f>
        <v/>
      </c>
      <c r="L656" s="20"/>
      <c r="N6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7" spans="1:14">
      <c r="A657" s="16"/>
      <c r="B657" s="16"/>
      <c r="C657" s="17"/>
      <c r="D657" s="17"/>
      <c r="E657" s="17"/>
      <c r="F657" s="18"/>
      <c r="G657" s="19" t="str">
        <f t="shared" ca="1" si="20"/>
        <v/>
      </c>
      <c r="H657" s="18"/>
      <c r="I657" s="18"/>
      <c r="J657" s="77" t="str">
        <f t="shared" ca="1" si="21"/>
        <v/>
      </c>
      <c r="K657" s="19">
        <f>IF(A657="","",COUNTIFS(Resumen!$N$2:$N$2999,ROW(),Resumen!$V$2:$V$2999,1))</f>
        <v/>
      </c>
      <c r="L657" s="20"/>
      <c r="N6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8" spans="1:14">
      <c r="A658" s="16"/>
      <c r="B658" s="16"/>
      <c r="C658" s="17"/>
      <c r="D658" s="17"/>
      <c r="E658" s="17"/>
      <c r="F658" s="18"/>
      <c r="G658" s="19" t="str">
        <f t="shared" ca="1" si="20"/>
        <v/>
      </c>
      <c r="H658" s="18"/>
      <c r="I658" s="18"/>
      <c r="J658" s="77" t="str">
        <f t="shared" ca="1" si="21"/>
        <v/>
      </c>
      <c r="K658" s="19">
        <f>IF(A658="","",COUNTIFS(Resumen!$N$2:$N$2999,ROW(),Resumen!$V$2:$V$2999,1))</f>
        <v/>
      </c>
      <c r="L658" s="20"/>
      <c r="N6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59" spans="1:14">
      <c r="A659" s="16"/>
      <c r="B659" s="16"/>
      <c r="C659" s="17"/>
      <c r="D659" s="17"/>
      <c r="E659" s="17"/>
      <c r="F659" s="18"/>
      <c r="G659" s="19" t="str">
        <f t="shared" ca="1" si="20"/>
        <v/>
      </c>
      <c r="H659" s="18"/>
      <c r="I659" s="18"/>
      <c r="J659" s="77" t="str">
        <f t="shared" ca="1" si="21"/>
        <v/>
      </c>
      <c r="K659" s="19">
        <f>IF(A659="","",COUNTIFS(Resumen!$N$2:$N$2999,ROW(),Resumen!$V$2:$V$2999,1))</f>
        <v/>
      </c>
      <c r="L659" s="20"/>
      <c r="N6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0" spans="1:14">
      <c r="A660" s="16"/>
      <c r="B660" s="16"/>
      <c r="C660" s="17"/>
      <c r="D660" s="17"/>
      <c r="E660" s="17"/>
      <c r="F660" s="18"/>
      <c r="G660" s="19" t="str">
        <f t="shared" ca="1" si="20"/>
        <v/>
      </c>
      <c r="H660" s="18"/>
      <c r="I660" s="18"/>
      <c r="J660" s="77" t="str">
        <f t="shared" ca="1" si="21"/>
        <v/>
      </c>
      <c r="K660" s="19">
        <f>IF(A660="","",COUNTIFS(Resumen!$N$2:$N$2999,ROW(),Resumen!$V$2:$V$2999,1))</f>
        <v/>
      </c>
      <c r="L660" s="20"/>
      <c r="N6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1" spans="1:14">
      <c r="A661" s="16"/>
      <c r="B661" s="16"/>
      <c r="C661" s="17"/>
      <c r="D661" s="17"/>
      <c r="E661" s="17"/>
      <c r="F661" s="18"/>
      <c r="G661" s="19" t="str">
        <f t="shared" ca="1" si="20"/>
        <v/>
      </c>
      <c r="H661" s="18"/>
      <c r="I661" s="18"/>
      <c r="J661" s="77" t="str">
        <f t="shared" ca="1" si="21"/>
        <v/>
      </c>
      <c r="K661" s="19">
        <f>IF(A661="","",COUNTIFS(Resumen!$N$2:$N$2999,ROW(),Resumen!$V$2:$V$2999,1))</f>
        <v/>
      </c>
      <c r="L661" s="20"/>
      <c r="N6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2" spans="1:14">
      <c r="A662" s="16"/>
      <c r="B662" s="16"/>
      <c r="C662" s="17"/>
      <c r="D662" s="17"/>
      <c r="E662" s="17"/>
      <c r="F662" s="18"/>
      <c r="G662" s="19" t="str">
        <f t="shared" ca="1" si="20"/>
        <v/>
      </c>
      <c r="H662" s="18"/>
      <c r="I662" s="18"/>
      <c r="J662" s="77" t="str">
        <f t="shared" ca="1" si="21"/>
        <v/>
      </c>
      <c r="K662" s="19">
        <f>IF(A662="","",COUNTIFS(Resumen!$N$2:$N$2999,ROW(),Resumen!$V$2:$V$2999,1))</f>
        <v/>
      </c>
      <c r="L662" s="20"/>
      <c r="N6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3" spans="1:14">
      <c r="A663" s="16"/>
      <c r="B663" s="16"/>
      <c r="C663" s="17"/>
      <c r="D663" s="17"/>
      <c r="E663" s="17"/>
      <c r="F663" s="18"/>
      <c r="G663" s="19" t="str">
        <f t="shared" ca="1" si="20"/>
        <v/>
      </c>
      <c r="H663" s="18"/>
      <c r="I663" s="18"/>
      <c r="J663" s="77" t="str">
        <f t="shared" ca="1" si="21"/>
        <v/>
      </c>
      <c r="K663" s="19">
        <f>IF(A663="","",COUNTIFS(Resumen!$N$2:$N$2999,ROW(),Resumen!$V$2:$V$2999,1))</f>
        <v/>
      </c>
      <c r="L663" s="20"/>
      <c r="N6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4" spans="1:14">
      <c r="A664" s="16"/>
      <c r="B664" s="16"/>
      <c r="C664" s="17"/>
      <c r="D664" s="17"/>
      <c r="E664" s="17"/>
      <c r="F664" s="18"/>
      <c r="G664" s="19" t="str">
        <f t="shared" ca="1" si="20"/>
        <v/>
      </c>
      <c r="H664" s="18"/>
      <c r="I664" s="18"/>
      <c r="J664" s="77" t="str">
        <f t="shared" ca="1" si="21"/>
        <v/>
      </c>
      <c r="K664" s="19">
        <f>IF(A664="","",COUNTIFS(Resumen!$N$2:$N$2999,ROW(),Resumen!$V$2:$V$2999,1))</f>
        <v/>
      </c>
      <c r="L664" s="20"/>
      <c r="N6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5" spans="1:14">
      <c r="A665" s="16"/>
      <c r="B665" s="16"/>
      <c r="C665" s="17"/>
      <c r="D665" s="17"/>
      <c r="E665" s="17"/>
      <c r="F665" s="18"/>
      <c r="G665" s="19" t="str">
        <f t="shared" ca="1" si="20"/>
        <v/>
      </c>
      <c r="H665" s="18"/>
      <c r="I665" s="18"/>
      <c r="J665" s="77" t="str">
        <f t="shared" ca="1" si="21"/>
        <v/>
      </c>
      <c r="K665" s="19">
        <f>IF(A665="","",COUNTIFS(Resumen!$N$2:$N$2999,ROW(),Resumen!$V$2:$V$2999,1))</f>
        <v/>
      </c>
      <c r="L665" s="20"/>
      <c r="N6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6" spans="1:14">
      <c r="A666" s="16"/>
      <c r="B666" s="16"/>
      <c r="C666" s="17"/>
      <c r="D666" s="17"/>
      <c r="E666" s="17"/>
      <c r="F666" s="18"/>
      <c r="G666" s="19" t="str">
        <f t="shared" ca="1" si="20"/>
        <v/>
      </c>
      <c r="H666" s="18"/>
      <c r="I666" s="18"/>
      <c r="J666" s="77" t="str">
        <f t="shared" ca="1" si="21"/>
        <v/>
      </c>
      <c r="K666" s="19">
        <f>IF(A666="","",COUNTIFS(Resumen!$N$2:$N$2999,ROW(),Resumen!$V$2:$V$2999,1))</f>
        <v/>
      </c>
      <c r="L666" s="20"/>
      <c r="N6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7" spans="1:14">
      <c r="A667" s="16"/>
      <c r="B667" s="16"/>
      <c r="C667" s="17"/>
      <c r="D667" s="17"/>
      <c r="E667" s="17"/>
      <c r="F667" s="18"/>
      <c r="G667" s="19" t="str">
        <f t="shared" ca="1" si="20"/>
        <v/>
      </c>
      <c r="H667" s="18"/>
      <c r="I667" s="18"/>
      <c r="J667" s="77" t="str">
        <f t="shared" ca="1" si="21"/>
        <v/>
      </c>
      <c r="K667" s="19">
        <f>IF(A667="","",COUNTIFS(Resumen!$N$2:$N$2999,ROW(),Resumen!$V$2:$V$2999,1))</f>
        <v/>
      </c>
      <c r="L667" s="20"/>
      <c r="N6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8" spans="1:14">
      <c r="A668" s="16"/>
      <c r="B668" s="16"/>
      <c r="C668" s="17"/>
      <c r="D668" s="17"/>
      <c r="E668" s="17"/>
      <c r="F668" s="18"/>
      <c r="G668" s="19" t="str">
        <f t="shared" ca="1" si="20"/>
        <v/>
      </c>
      <c r="H668" s="18"/>
      <c r="I668" s="18"/>
      <c r="J668" s="77" t="str">
        <f t="shared" ca="1" si="21"/>
        <v/>
      </c>
      <c r="K668" s="19">
        <f>IF(A668="","",COUNTIFS(Resumen!$N$2:$N$2999,ROW(),Resumen!$V$2:$V$2999,1))</f>
        <v/>
      </c>
      <c r="L668" s="20"/>
      <c r="N6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69" spans="1:14">
      <c r="A669" s="16"/>
      <c r="B669" s="16"/>
      <c r="C669" s="17"/>
      <c r="D669" s="17"/>
      <c r="E669" s="17"/>
      <c r="F669" s="18"/>
      <c r="G669" s="19" t="str">
        <f t="shared" ca="1" si="20"/>
        <v/>
      </c>
      <c r="H669" s="18"/>
      <c r="I669" s="18"/>
      <c r="J669" s="77" t="str">
        <f t="shared" ca="1" si="21"/>
        <v/>
      </c>
      <c r="K669" s="19">
        <f>IF(A669="","",COUNTIFS(Resumen!$N$2:$N$2999,ROW(),Resumen!$V$2:$V$2999,1))</f>
        <v/>
      </c>
      <c r="L669" s="20"/>
      <c r="N6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0" spans="1:14">
      <c r="A670" s="16"/>
      <c r="B670" s="16"/>
      <c r="C670" s="17"/>
      <c r="D670" s="17"/>
      <c r="E670" s="17"/>
      <c r="F670" s="18"/>
      <c r="G670" s="19" t="str">
        <f t="shared" ca="1" si="20"/>
        <v/>
      </c>
      <c r="H670" s="18"/>
      <c r="I670" s="18"/>
      <c r="J670" s="77" t="str">
        <f t="shared" ca="1" si="21"/>
        <v/>
      </c>
      <c r="K670" s="19">
        <f>IF(A670="","",COUNTIFS(Resumen!$N$2:$N$2999,ROW(),Resumen!$V$2:$V$2999,1))</f>
        <v/>
      </c>
      <c r="L670" s="20"/>
      <c r="N6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1" spans="1:14">
      <c r="A671" s="16"/>
      <c r="B671" s="16"/>
      <c r="C671" s="17"/>
      <c r="D671" s="17"/>
      <c r="E671" s="17"/>
      <c r="F671" s="18"/>
      <c r="G671" s="19" t="str">
        <f t="shared" ca="1" si="20"/>
        <v/>
      </c>
      <c r="H671" s="18"/>
      <c r="I671" s="18"/>
      <c r="J671" s="77" t="str">
        <f t="shared" ca="1" si="21"/>
        <v/>
      </c>
      <c r="K671" s="19">
        <f>IF(A671="","",COUNTIFS(Resumen!$N$2:$N$2999,ROW(),Resumen!$V$2:$V$2999,1))</f>
        <v/>
      </c>
      <c r="L671" s="20"/>
      <c r="N6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2" spans="1:14">
      <c r="A672" s="16"/>
      <c r="B672" s="16"/>
      <c r="C672" s="17"/>
      <c r="D672" s="17"/>
      <c r="E672" s="17"/>
      <c r="F672" s="18"/>
      <c r="G672" s="19" t="str">
        <f t="shared" ca="1" si="20"/>
        <v/>
      </c>
      <c r="H672" s="18"/>
      <c r="I672" s="18"/>
      <c r="J672" s="77" t="str">
        <f t="shared" ca="1" si="21"/>
        <v/>
      </c>
      <c r="K672" s="19">
        <f>IF(A672="","",COUNTIFS(Resumen!$N$2:$N$2999,ROW(),Resumen!$V$2:$V$2999,1))</f>
        <v/>
      </c>
      <c r="L672" s="20"/>
      <c r="N6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3" spans="1:14">
      <c r="A673" s="16"/>
      <c r="B673" s="16"/>
      <c r="C673" s="17"/>
      <c r="D673" s="17"/>
      <c r="E673" s="17"/>
      <c r="F673" s="18"/>
      <c r="G673" s="19" t="str">
        <f t="shared" ca="1" si="20"/>
        <v/>
      </c>
      <c r="H673" s="18"/>
      <c r="I673" s="18"/>
      <c r="J673" s="77" t="str">
        <f t="shared" ca="1" si="21"/>
        <v/>
      </c>
      <c r="K673" s="19">
        <f>IF(A673="","",COUNTIFS(Resumen!$N$2:$N$2999,ROW(),Resumen!$V$2:$V$2999,1))</f>
        <v/>
      </c>
      <c r="L673" s="20"/>
      <c r="N6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4" spans="1:14">
      <c r="A674" s="16"/>
      <c r="B674" s="16"/>
      <c r="C674" s="17"/>
      <c r="D674" s="17"/>
      <c r="E674" s="17"/>
      <c r="F674" s="18"/>
      <c r="G674" s="19" t="str">
        <f t="shared" ca="1" si="20"/>
        <v/>
      </c>
      <c r="H674" s="18"/>
      <c r="I674" s="18"/>
      <c r="J674" s="77" t="str">
        <f t="shared" ca="1" si="21"/>
        <v/>
      </c>
      <c r="K674" s="19">
        <f>IF(A674="","",COUNTIFS(Resumen!$N$2:$N$2999,ROW(),Resumen!$V$2:$V$2999,1))</f>
        <v/>
      </c>
      <c r="L674" s="20"/>
      <c r="N6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5" spans="1:14">
      <c r="A675" s="16"/>
      <c r="B675" s="16"/>
      <c r="C675" s="17"/>
      <c r="D675" s="17"/>
      <c r="E675" s="17"/>
      <c r="F675" s="18"/>
      <c r="G675" s="19" t="str">
        <f t="shared" ca="1" si="20"/>
        <v/>
      </c>
      <c r="H675" s="18"/>
      <c r="I675" s="18"/>
      <c r="J675" s="77" t="str">
        <f t="shared" ca="1" si="21"/>
        <v/>
      </c>
      <c r="K675" s="19">
        <f>IF(A675="","",COUNTIFS(Resumen!$N$2:$N$2999,ROW(),Resumen!$V$2:$V$2999,1))</f>
        <v/>
      </c>
      <c r="L675" s="20"/>
      <c r="N6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6" spans="1:14">
      <c r="A676" s="16"/>
      <c r="B676" s="16"/>
      <c r="C676" s="17"/>
      <c r="D676" s="17"/>
      <c r="E676" s="17"/>
      <c r="F676" s="18"/>
      <c r="G676" s="19" t="str">
        <f t="shared" ca="1" si="20"/>
        <v/>
      </c>
      <c r="H676" s="18"/>
      <c r="I676" s="18"/>
      <c r="J676" s="77" t="str">
        <f t="shared" ca="1" si="21"/>
        <v/>
      </c>
      <c r="K676" s="19">
        <f>IF(A676="","",COUNTIFS(Resumen!$N$2:$N$2999,ROW(),Resumen!$V$2:$V$2999,1))</f>
        <v/>
      </c>
      <c r="L676" s="20"/>
      <c r="N6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7" spans="1:14">
      <c r="A677" s="16"/>
      <c r="B677" s="16"/>
      <c r="C677" s="17"/>
      <c r="D677" s="17"/>
      <c r="E677" s="17"/>
      <c r="F677" s="18"/>
      <c r="G677" s="19" t="str">
        <f t="shared" ca="1" si="20"/>
        <v/>
      </c>
      <c r="H677" s="18"/>
      <c r="I677" s="18"/>
      <c r="J677" s="77" t="str">
        <f t="shared" ca="1" si="21"/>
        <v/>
      </c>
      <c r="K677" s="19">
        <f>IF(A677="","",COUNTIFS(Resumen!$N$2:$N$2999,ROW(),Resumen!$V$2:$V$2999,1))</f>
        <v/>
      </c>
      <c r="L677" s="20"/>
      <c r="N6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8" spans="1:14">
      <c r="A678" s="16"/>
      <c r="B678" s="16"/>
      <c r="C678" s="17"/>
      <c r="D678" s="17"/>
      <c r="E678" s="17"/>
      <c r="F678" s="18"/>
      <c r="G678" s="19" t="str">
        <f t="shared" ca="1" si="20"/>
        <v/>
      </c>
      <c r="H678" s="18"/>
      <c r="I678" s="18"/>
      <c r="J678" s="77" t="str">
        <f t="shared" ca="1" si="21"/>
        <v/>
      </c>
      <c r="K678" s="19">
        <f>IF(A678="","",COUNTIFS(Resumen!$N$2:$N$2999,ROW(),Resumen!$V$2:$V$2999,1))</f>
        <v/>
      </c>
      <c r="L678" s="20"/>
      <c r="N6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79" spans="1:14">
      <c r="A679" s="16"/>
      <c r="B679" s="16"/>
      <c r="C679" s="17"/>
      <c r="D679" s="17"/>
      <c r="E679" s="17"/>
      <c r="F679" s="18"/>
      <c r="G679" s="19" t="str">
        <f t="shared" ca="1" si="20"/>
        <v/>
      </c>
      <c r="H679" s="18"/>
      <c r="I679" s="18"/>
      <c r="J679" s="77" t="str">
        <f t="shared" ca="1" si="21"/>
        <v/>
      </c>
      <c r="K679" s="19">
        <f>IF(A679="","",COUNTIFS(Resumen!$N$2:$N$2999,ROW(),Resumen!$V$2:$V$2999,1))</f>
        <v/>
      </c>
      <c r="L679" s="20"/>
      <c r="N6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0" spans="1:14">
      <c r="A680" s="16"/>
      <c r="B680" s="16"/>
      <c r="C680" s="17"/>
      <c r="D680" s="17"/>
      <c r="E680" s="17"/>
      <c r="F680" s="18"/>
      <c r="G680" s="19" t="str">
        <f t="shared" ca="1" si="20"/>
        <v/>
      </c>
      <c r="H680" s="18"/>
      <c r="I680" s="18"/>
      <c r="J680" s="77" t="str">
        <f t="shared" ca="1" si="21"/>
        <v/>
      </c>
      <c r="K680" s="19">
        <f>IF(A680="","",COUNTIFS(Resumen!$N$2:$N$2999,ROW(),Resumen!$V$2:$V$2999,1))</f>
        <v/>
      </c>
      <c r="L680" s="20"/>
      <c r="N6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1" spans="1:14">
      <c r="A681" s="16"/>
      <c r="B681" s="16"/>
      <c r="C681" s="17"/>
      <c r="D681" s="17"/>
      <c r="E681" s="17"/>
      <c r="F681" s="18"/>
      <c r="G681" s="19" t="str">
        <f t="shared" ca="1" si="20"/>
        <v/>
      </c>
      <c r="H681" s="18"/>
      <c r="I681" s="18"/>
      <c r="J681" s="77" t="str">
        <f t="shared" ca="1" si="21"/>
        <v/>
      </c>
      <c r="K681" s="19">
        <f>IF(A681="","",COUNTIFS(Resumen!$N$2:$N$2999,ROW(),Resumen!$V$2:$V$2999,1))</f>
        <v/>
      </c>
      <c r="L681" s="20"/>
      <c r="N6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2" spans="1:14">
      <c r="A682" s="16"/>
      <c r="B682" s="16"/>
      <c r="C682" s="17"/>
      <c r="D682" s="17"/>
      <c r="E682" s="17"/>
      <c r="F682" s="18"/>
      <c r="G682" s="19" t="str">
        <f t="shared" ca="1" si="20"/>
        <v/>
      </c>
      <c r="H682" s="18"/>
      <c r="I682" s="18"/>
      <c r="J682" s="77" t="str">
        <f t="shared" ca="1" si="21"/>
        <v/>
      </c>
      <c r="K682" s="19">
        <f>IF(A682="","",COUNTIFS(Resumen!$N$2:$N$2999,ROW(),Resumen!$V$2:$V$2999,1))</f>
        <v/>
      </c>
      <c r="L682" s="20"/>
      <c r="N6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3" spans="1:14">
      <c r="A683" s="16"/>
      <c r="B683" s="16"/>
      <c r="C683" s="17"/>
      <c r="D683" s="17"/>
      <c r="E683" s="17"/>
      <c r="F683" s="18"/>
      <c r="G683" s="19" t="str">
        <f t="shared" ca="1" si="20"/>
        <v/>
      </c>
      <c r="H683" s="18"/>
      <c r="I683" s="18"/>
      <c r="J683" s="77" t="str">
        <f t="shared" ca="1" si="21"/>
        <v/>
      </c>
      <c r="K683" s="19">
        <f>IF(A683="","",COUNTIFS(Resumen!$N$2:$N$2999,ROW(),Resumen!$V$2:$V$2999,1))</f>
        <v/>
      </c>
      <c r="L683" s="20"/>
      <c r="N6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4" spans="1:14">
      <c r="A684" s="16"/>
      <c r="B684" s="16"/>
      <c r="C684" s="17"/>
      <c r="D684" s="17"/>
      <c r="E684" s="17"/>
      <c r="F684" s="18"/>
      <c r="G684" s="19" t="str">
        <f t="shared" ca="1" si="20"/>
        <v/>
      </c>
      <c r="H684" s="18"/>
      <c r="I684" s="18"/>
      <c r="J684" s="77" t="str">
        <f t="shared" ca="1" si="21"/>
        <v/>
      </c>
      <c r="K684" s="19">
        <f>IF(A684="","",COUNTIFS(Resumen!$N$2:$N$2999,ROW(),Resumen!$V$2:$V$2999,1))</f>
        <v/>
      </c>
      <c r="L684" s="20"/>
      <c r="N6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5" spans="1:14">
      <c r="A685" s="16"/>
      <c r="B685" s="16"/>
      <c r="C685" s="17"/>
      <c r="D685" s="17"/>
      <c r="E685" s="17"/>
      <c r="F685" s="18"/>
      <c r="G685" s="19" t="str">
        <f t="shared" ca="1" si="20"/>
        <v/>
      </c>
      <c r="H685" s="18"/>
      <c r="I685" s="18"/>
      <c r="J685" s="77" t="str">
        <f t="shared" ca="1" si="21"/>
        <v/>
      </c>
      <c r="K685" s="19">
        <f>IF(A685="","",COUNTIFS(Resumen!$N$2:$N$2999,ROW(),Resumen!$V$2:$V$2999,1))</f>
        <v/>
      </c>
      <c r="L685" s="20"/>
      <c r="N6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6" spans="1:14">
      <c r="A686" s="16"/>
      <c r="B686" s="16"/>
      <c r="C686" s="17"/>
      <c r="D686" s="17"/>
      <c r="E686" s="17"/>
      <c r="F686" s="18"/>
      <c r="G686" s="19" t="str">
        <f t="shared" ca="1" si="20"/>
        <v/>
      </c>
      <c r="H686" s="18"/>
      <c r="I686" s="18"/>
      <c r="J686" s="77" t="str">
        <f t="shared" ca="1" si="21"/>
        <v/>
      </c>
      <c r="K686" s="19">
        <f>IF(A686="","",COUNTIFS(Resumen!$N$2:$N$2999,ROW(),Resumen!$V$2:$V$2999,1))</f>
        <v/>
      </c>
      <c r="L686" s="20"/>
      <c r="N6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7" spans="1:14">
      <c r="A687" s="16"/>
      <c r="B687" s="16"/>
      <c r="C687" s="17"/>
      <c r="D687" s="17"/>
      <c r="E687" s="17"/>
      <c r="F687" s="18"/>
      <c r="G687" s="19" t="str">
        <f t="shared" ca="1" si="20"/>
        <v/>
      </c>
      <c r="H687" s="18"/>
      <c r="I687" s="18"/>
      <c r="J687" s="77" t="str">
        <f t="shared" ca="1" si="21"/>
        <v/>
      </c>
      <c r="K687" s="19">
        <f>IF(A687="","",COUNTIFS(Resumen!$N$2:$N$2999,ROW(),Resumen!$V$2:$V$2999,1))</f>
        <v/>
      </c>
      <c r="L687" s="20"/>
      <c r="N6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8" spans="1:14">
      <c r="A688" s="16"/>
      <c r="B688" s="16"/>
      <c r="C688" s="17"/>
      <c r="D688" s="17"/>
      <c r="E688" s="17"/>
      <c r="F688" s="18"/>
      <c r="G688" s="19" t="str">
        <f t="shared" ca="1" si="20"/>
        <v/>
      </c>
      <c r="H688" s="18"/>
      <c r="I688" s="18"/>
      <c r="J688" s="77" t="str">
        <f t="shared" ca="1" si="21"/>
        <v/>
      </c>
      <c r="K688" s="19">
        <f>IF(A688="","",COUNTIFS(Resumen!$N$2:$N$2999,ROW(),Resumen!$V$2:$V$2999,1))</f>
        <v/>
      </c>
      <c r="L688" s="20"/>
      <c r="N6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89" spans="1:14">
      <c r="A689" s="16"/>
      <c r="B689" s="16"/>
      <c r="C689" s="17"/>
      <c r="D689" s="17"/>
      <c r="E689" s="17"/>
      <c r="F689" s="18"/>
      <c r="G689" s="19" t="str">
        <f t="shared" ca="1" si="20"/>
        <v/>
      </c>
      <c r="H689" s="18"/>
      <c r="I689" s="18"/>
      <c r="J689" s="77" t="str">
        <f t="shared" ca="1" si="21"/>
        <v/>
      </c>
      <c r="K689" s="19">
        <f>IF(A689="","",COUNTIFS(Resumen!$N$2:$N$2999,ROW(),Resumen!$V$2:$V$2999,1))</f>
        <v/>
      </c>
      <c r="L689" s="20"/>
      <c r="N6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0" spans="1:14">
      <c r="A690" s="16"/>
      <c r="B690" s="16"/>
      <c r="C690" s="17"/>
      <c r="D690" s="17"/>
      <c r="E690" s="17"/>
      <c r="F690" s="18"/>
      <c r="G690" s="19" t="str">
        <f t="shared" ca="1" si="20"/>
        <v/>
      </c>
      <c r="H690" s="18"/>
      <c r="I690" s="18"/>
      <c r="J690" s="77" t="str">
        <f t="shared" ca="1" si="21"/>
        <v/>
      </c>
      <c r="K690" s="19">
        <f>IF(A690="","",COUNTIFS(Resumen!$N$2:$N$2999,ROW(),Resumen!$V$2:$V$2999,1))</f>
        <v/>
      </c>
      <c r="L690" s="20"/>
      <c r="N6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1" spans="1:14">
      <c r="A691" s="16"/>
      <c r="B691" s="16"/>
      <c r="C691" s="17"/>
      <c r="D691" s="17"/>
      <c r="E691" s="17"/>
      <c r="F691" s="18"/>
      <c r="G691" s="19" t="str">
        <f t="shared" ca="1" si="20"/>
        <v/>
      </c>
      <c r="H691" s="18"/>
      <c r="I691" s="18"/>
      <c r="J691" s="77" t="str">
        <f t="shared" ca="1" si="21"/>
        <v/>
      </c>
      <c r="K691" s="19">
        <f>IF(A691="","",COUNTIFS(Resumen!$N$2:$N$2999,ROW(),Resumen!$V$2:$V$2999,1))</f>
        <v/>
      </c>
      <c r="L691" s="20"/>
      <c r="N6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2" spans="1:14">
      <c r="A692" s="16"/>
      <c r="B692" s="16"/>
      <c r="C692" s="17"/>
      <c r="D692" s="17"/>
      <c r="E692" s="17"/>
      <c r="F692" s="18"/>
      <c r="G692" s="19" t="str">
        <f t="shared" ca="1" si="20"/>
        <v/>
      </c>
      <c r="H692" s="18"/>
      <c r="I692" s="18"/>
      <c r="J692" s="77" t="str">
        <f t="shared" ca="1" si="21"/>
        <v/>
      </c>
      <c r="K692" s="19">
        <f>IF(A692="","",COUNTIFS(Resumen!$N$2:$N$2999,ROW(),Resumen!$V$2:$V$2999,1))</f>
        <v/>
      </c>
      <c r="L692" s="20"/>
      <c r="N6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3" spans="1:14">
      <c r="A693" s="16"/>
      <c r="B693" s="16"/>
      <c r="C693" s="17"/>
      <c r="D693" s="17"/>
      <c r="E693" s="17"/>
      <c r="F693" s="18"/>
      <c r="G693" s="19" t="str">
        <f t="shared" ca="1" si="20"/>
        <v/>
      </c>
      <c r="H693" s="18"/>
      <c r="I693" s="18"/>
      <c r="J693" s="77" t="str">
        <f t="shared" ca="1" si="21"/>
        <v/>
      </c>
      <c r="K693" s="19">
        <f>IF(A693="","",COUNTIFS(Resumen!$N$2:$N$2999,ROW(),Resumen!$V$2:$V$2999,1))</f>
        <v/>
      </c>
      <c r="L693" s="20"/>
      <c r="N6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4" spans="1:14">
      <c r="A694" s="16"/>
      <c r="B694" s="16"/>
      <c r="C694" s="17"/>
      <c r="D694" s="17"/>
      <c r="E694" s="17"/>
      <c r="F694" s="18"/>
      <c r="G694" s="19" t="str">
        <f t="shared" ca="1" si="20"/>
        <v/>
      </c>
      <c r="H694" s="18"/>
      <c r="I694" s="18"/>
      <c r="J694" s="77" t="str">
        <f t="shared" ca="1" si="21"/>
        <v/>
      </c>
      <c r="K694" s="19">
        <f>IF(A694="","",COUNTIFS(Resumen!$N$2:$N$2999,ROW(),Resumen!$V$2:$V$2999,1))</f>
        <v/>
      </c>
      <c r="L694" s="20"/>
      <c r="N6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5" spans="1:14">
      <c r="A695" s="16"/>
      <c r="B695" s="16"/>
      <c r="C695" s="17"/>
      <c r="D695" s="17"/>
      <c r="E695" s="17"/>
      <c r="F695" s="18"/>
      <c r="G695" s="19" t="str">
        <f t="shared" ca="1" si="20"/>
        <v/>
      </c>
      <c r="H695" s="18"/>
      <c r="I695" s="18"/>
      <c r="J695" s="77" t="str">
        <f t="shared" ca="1" si="21"/>
        <v/>
      </c>
      <c r="K695" s="19">
        <f>IF(A695="","",COUNTIFS(Resumen!$N$2:$N$2999,ROW(),Resumen!$V$2:$V$2999,1))</f>
        <v/>
      </c>
      <c r="L695" s="20"/>
      <c r="N6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6" spans="1:14">
      <c r="A696" s="16"/>
      <c r="B696" s="16"/>
      <c r="C696" s="17"/>
      <c r="D696" s="17"/>
      <c r="E696" s="17"/>
      <c r="F696" s="18"/>
      <c r="G696" s="19" t="str">
        <f t="shared" ca="1" si="20"/>
        <v/>
      </c>
      <c r="H696" s="18"/>
      <c r="I696" s="18"/>
      <c r="J696" s="77" t="str">
        <f t="shared" ca="1" si="21"/>
        <v/>
      </c>
      <c r="K696" s="19">
        <f>IF(A696="","",COUNTIFS(Resumen!$N$2:$N$2999,ROW(),Resumen!$V$2:$V$2999,1))</f>
        <v/>
      </c>
      <c r="L696" s="20"/>
      <c r="N6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7" spans="1:14">
      <c r="A697" s="16"/>
      <c r="B697" s="16"/>
      <c r="C697" s="17"/>
      <c r="D697" s="17"/>
      <c r="E697" s="17"/>
      <c r="F697" s="18"/>
      <c r="G697" s="19" t="str">
        <f t="shared" ca="1" si="20"/>
        <v/>
      </c>
      <c r="H697" s="18"/>
      <c r="I697" s="18"/>
      <c r="J697" s="77" t="str">
        <f t="shared" ca="1" si="21"/>
        <v/>
      </c>
      <c r="K697" s="19">
        <f>IF(A697="","",COUNTIFS(Resumen!$N$2:$N$2999,ROW(),Resumen!$V$2:$V$2999,1))</f>
        <v/>
      </c>
      <c r="L697" s="20"/>
      <c r="N6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8" spans="1:14">
      <c r="A698" s="16"/>
      <c r="B698" s="16"/>
      <c r="C698" s="17"/>
      <c r="D698" s="17"/>
      <c r="E698" s="17"/>
      <c r="F698" s="18"/>
      <c r="G698" s="19" t="str">
        <f t="shared" ca="1" si="20"/>
        <v/>
      </c>
      <c r="H698" s="18"/>
      <c r="I698" s="18"/>
      <c r="J698" s="77" t="str">
        <f t="shared" ca="1" si="21"/>
        <v/>
      </c>
      <c r="K698" s="19">
        <f>IF(A698="","",COUNTIFS(Resumen!$N$2:$N$2999,ROW(),Resumen!$V$2:$V$2999,1))</f>
        <v/>
      </c>
      <c r="L698" s="20"/>
      <c r="N6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699" spans="1:14">
      <c r="A699" s="16"/>
      <c r="B699" s="16"/>
      <c r="C699" s="17"/>
      <c r="D699" s="17"/>
      <c r="E699" s="17"/>
      <c r="F699" s="18"/>
      <c r="G699" s="19" t="str">
        <f t="shared" ca="1" si="20"/>
        <v/>
      </c>
      <c r="H699" s="18"/>
      <c r="I699" s="18"/>
      <c r="J699" s="77" t="str">
        <f t="shared" ca="1" si="21"/>
        <v/>
      </c>
      <c r="K699" s="19">
        <f>IF(A699="","",COUNTIFS(Resumen!$N$2:$N$2999,ROW(),Resumen!$V$2:$V$2999,1))</f>
        <v/>
      </c>
      <c r="L699" s="20"/>
      <c r="N6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0" spans="1:14">
      <c r="A700" s="16"/>
      <c r="B700" s="16"/>
      <c r="C700" s="17"/>
      <c r="D700" s="17"/>
      <c r="E700" s="17"/>
      <c r="F700" s="18"/>
      <c r="G700" s="19" t="str">
        <f t="shared" ca="1" si="20"/>
        <v/>
      </c>
      <c r="H700" s="18"/>
      <c r="I700" s="18"/>
      <c r="J700" s="77" t="str">
        <f t="shared" ca="1" si="21"/>
        <v/>
      </c>
      <c r="K700" s="19">
        <f>IF(A700="","",COUNTIFS(Resumen!$N$2:$N$2999,ROW(),Resumen!$V$2:$V$2999,1))</f>
        <v/>
      </c>
      <c r="L700" s="20"/>
      <c r="N7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1" spans="1:14">
      <c r="A701" s="16"/>
      <c r="B701" s="16"/>
      <c r="C701" s="17"/>
      <c r="D701" s="17"/>
      <c r="E701" s="17"/>
      <c r="F701" s="18"/>
      <c r="G701" s="19" t="str">
        <f t="shared" ca="1" si="20"/>
        <v/>
      </c>
      <c r="H701" s="18"/>
      <c r="I701" s="18"/>
      <c r="J701" s="77" t="str">
        <f t="shared" ca="1" si="21"/>
        <v/>
      </c>
      <c r="K701" s="19">
        <f>IF(A701="","",COUNTIFS(Resumen!$N$2:$N$2999,ROW(),Resumen!$V$2:$V$2999,1))</f>
        <v/>
      </c>
      <c r="L701" s="20"/>
      <c r="N7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2" spans="1:14">
      <c r="A702" s="16"/>
      <c r="B702" s="16"/>
      <c r="C702" s="17"/>
      <c r="D702" s="17"/>
      <c r="E702" s="17"/>
      <c r="F702" s="18"/>
      <c r="G702" s="19" t="str">
        <f t="shared" ca="1" si="20"/>
        <v/>
      </c>
      <c r="H702" s="18"/>
      <c r="I702" s="18"/>
      <c r="J702" s="77" t="str">
        <f t="shared" ca="1" si="21"/>
        <v/>
      </c>
      <c r="K702" s="19">
        <f>IF(A702="","",COUNTIFS(Resumen!$N$2:$N$2999,ROW(),Resumen!$V$2:$V$2999,1))</f>
        <v/>
      </c>
      <c r="L702" s="20"/>
      <c r="N7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3" spans="1:14">
      <c r="A703" s="16"/>
      <c r="B703" s="16"/>
      <c r="C703" s="17"/>
      <c r="D703" s="17"/>
      <c r="E703" s="17"/>
      <c r="F703" s="18"/>
      <c r="G703" s="19" t="str">
        <f t="shared" ca="1" si="20"/>
        <v/>
      </c>
      <c r="H703" s="18"/>
      <c r="I703" s="18"/>
      <c r="J703" s="77" t="str">
        <f t="shared" ca="1" si="21"/>
        <v/>
      </c>
      <c r="K703" s="19">
        <f>IF(A703="","",COUNTIFS(Resumen!$N$2:$N$2999,ROW(),Resumen!$V$2:$V$2999,1))</f>
        <v/>
      </c>
      <c r="L703" s="20"/>
      <c r="N7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4" spans="1:14">
      <c r="A704" s="16"/>
      <c r="B704" s="16"/>
      <c r="C704" s="17"/>
      <c r="D704" s="17"/>
      <c r="E704" s="17"/>
      <c r="F704" s="18"/>
      <c r="G704" s="19" t="str">
        <f t="shared" ca="1" si="20"/>
        <v/>
      </c>
      <c r="H704" s="18"/>
      <c r="I704" s="18"/>
      <c r="J704" s="77" t="str">
        <f t="shared" ca="1" si="21"/>
        <v/>
      </c>
      <c r="K704" s="19">
        <f>IF(A704="","",COUNTIFS(Resumen!$N$2:$N$2999,ROW(),Resumen!$V$2:$V$2999,1))</f>
        <v/>
      </c>
      <c r="L704" s="20"/>
      <c r="N7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5" spans="1:14">
      <c r="A705" s="16"/>
      <c r="B705" s="16"/>
      <c r="C705" s="17"/>
      <c r="D705" s="17"/>
      <c r="E705" s="17"/>
      <c r="F705" s="18"/>
      <c r="G705" s="19" t="str">
        <f t="shared" ca="1" si="20"/>
        <v/>
      </c>
      <c r="H705" s="18"/>
      <c r="I705" s="18"/>
      <c r="J705" s="77" t="str">
        <f t="shared" ca="1" si="21"/>
        <v/>
      </c>
      <c r="K705" s="19">
        <f>IF(A705="","",COUNTIFS(Resumen!$N$2:$N$2999,ROW(),Resumen!$V$2:$V$2999,1))</f>
        <v/>
      </c>
      <c r="L705" s="20"/>
      <c r="N7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6" spans="1:14">
      <c r="A706" s="16"/>
      <c r="B706" s="16"/>
      <c r="C706" s="17"/>
      <c r="D706" s="17"/>
      <c r="E706" s="17"/>
      <c r="F706" s="18"/>
      <c r="G706" s="19" t="str">
        <f t="shared" ref="G706:G769" ca="1" si="22">IF(F706="", "", DATEDIF(F706, TODAY(), "Y"))</f>
        <v/>
      </c>
      <c r="H706" s="18"/>
      <c r="I706" s="18"/>
      <c r="J706" s="77" t="str">
        <f t="shared" ref="J706:J769" ca="1" si="23">IFERROR(IF(ISNUMBER(INDEX(VigenciasFamilia,ROW())),INDEX(VigenciasFamilia,ROW())-TODAY(),""),"")</f>
        <v/>
      </c>
      <c r="K706" s="19">
        <f>IF(A706="","",COUNTIFS(Resumen!$N$2:$N$2999,ROW(),Resumen!$V$2:$V$2999,1))</f>
        <v/>
      </c>
      <c r="L706" s="20"/>
      <c r="N7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7" spans="1:14">
      <c r="A707" s="16"/>
      <c r="B707" s="16"/>
      <c r="C707" s="17"/>
      <c r="D707" s="17"/>
      <c r="E707" s="17"/>
      <c r="F707" s="18"/>
      <c r="G707" s="19" t="str">
        <f t="shared" ca="1" si="22"/>
        <v/>
      </c>
      <c r="H707" s="18"/>
      <c r="I707" s="18"/>
      <c r="J707" s="77" t="str">
        <f t="shared" ca="1" si="23"/>
        <v/>
      </c>
      <c r="K707" s="19">
        <f>IF(A707="","",COUNTIFS(Resumen!$N$2:$N$2999,ROW(),Resumen!$V$2:$V$2999,1))</f>
        <v/>
      </c>
      <c r="L707" s="20"/>
      <c r="N7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8" spans="1:14">
      <c r="A708" s="16"/>
      <c r="B708" s="16"/>
      <c r="C708" s="17"/>
      <c r="D708" s="17"/>
      <c r="E708" s="17"/>
      <c r="F708" s="18"/>
      <c r="G708" s="19" t="str">
        <f t="shared" ca="1" si="22"/>
        <v/>
      </c>
      <c r="H708" s="18"/>
      <c r="I708" s="18"/>
      <c r="J708" s="77" t="str">
        <f t="shared" ca="1" si="23"/>
        <v/>
      </c>
      <c r="K708" s="19">
        <f>IF(A708="","",COUNTIFS(Resumen!$N$2:$N$2999,ROW(),Resumen!$V$2:$V$2999,1))</f>
        <v/>
      </c>
      <c r="L708" s="20"/>
      <c r="N7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09" spans="1:14">
      <c r="A709" s="16"/>
      <c r="B709" s="16"/>
      <c r="C709" s="17"/>
      <c r="D709" s="17"/>
      <c r="E709" s="17"/>
      <c r="F709" s="18"/>
      <c r="G709" s="19" t="str">
        <f t="shared" ca="1" si="22"/>
        <v/>
      </c>
      <c r="H709" s="18"/>
      <c r="I709" s="18"/>
      <c r="J709" s="77" t="str">
        <f t="shared" ca="1" si="23"/>
        <v/>
      </c>
      <c r="K709" s="19">
        <f>IF(A709="","",COUNTIFS(Resumen!$N$2:$N$2999,ROW(),Resumen!$V$2:$V$2999,1))</f>
        <v/>
      </c>
      <c r="L709" s="20"/>
      <c r="N7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0" spans="1:14">
      <c r="A710" s="16"/>
      <c r="B710" s="16"/>
      <c r="C710" s="17"/>
      <c r="D710" s="17"/>
      <c r="E710" s="17"/>
      <c r="F710" s="18"/>
      <c r="G710" s="19" t="str">
        <f t="shared" ca="1" si="22"/>
        <v/>
      </c>
      <c r="H710" s="18"/>
      <c r="I710" s="18"/>
      <c r="J710" s="77" t="str">
        <f t="shared" ca="1" si="23"/>
        <v/>
      </c>
      <c r="K710" s="19">
        <f>IF(A710="","",COUNTIFS(Resumen!$N$2:$N$2999,ROW(),Resumen!$V$2:$V$2999,1))</f>
        <v/>
      </c>
      <c r="L710" s="20"/>
      <c r="N7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1" spans="1:14">
      <c r="A711" s="16"/>
      <c r="B711" s="16"/>
      <c r="C711" s="17"/>
      <c r="D711" s="17"/>
      <c r="E711" s="17"/>
      <c r="F711" s="18"/>
      <c r="G711" s="19" t="str">
        <f t="shared" ca="1" si="22"/>
        <v/>
      </c>
      <c r="H711" s="18"/>
      <c r="I711" s="18"/>
      <c r="J711" s="77" t="str">
        <f t="shared" ca="1" si="23"/>
        <v/>
      </c>
      <c r="K711" s="19">
        <f>IF(A711="","",COUNTIFS(Resumen!$N$2:$N$2999,ROW(),Resumen!$V$2:$V$2999,1))</f>
        <v/>
      </c>
      <c r="L711" s="20"/>
      <c r="N7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2" spans="1:14">
      <c r="A712" s="16"/>
      <c r="B712" s="16"/>
      <c r="C712" s="17"/>
      <c r="D712" s="17"/>
      <c r="E712" s="17"/>
      <c r="F712" s="18"/>
      <c r="G712" s="19" t="str">
        <f t="shared" ca="1" si="22"/>
        <v/>
      </c>
      <c r="H712" s="18"/>
      <c r="I712" s="18"/>
      <c r="J712" s="77" t="str">
        <f t="shared" ca="1" si="23"/>
        <v/>
      </c>
      <c r="K712" s="19">
        <f>IF(A712="","",COUNTIFS(Resumen!$N$2:$N$2999,ROW(),Resumen!$V$2:$V$2999,1))</f>
        <v/>
      </c>
      <c r="L712" s="20"/>
      <c r="N7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3" spans="1:14">
      <c r="A713" s="16"/>
      <c r="B713" s="16"/>
      <c r="C713" s="17"/>
      <c r="D713" s="17"/>
      <c r="E713" s="17"/>
      <c r="F713" s="18"/>
      <c r="G713" s="19" t="str">
        <f t="shared" ca="1" si="22"/>
        <v/>
      </c>
      <c r="H713" s="18"/>
      <c r="I713" s="18"/>
      <c r="J713" s="77" t="str">
        <f t="shared" ca="1" si="23"/>
        <v/>
      </c>
      <c r="K713" s="19">
        <f>IF(A713="","",COUNTIFS(Resumen!$N$2:$N$2999,ROW(),Resumen!$V$2:$V$2999,1))</f>
        <v/>
      </c>
      <c r="L713" s="20"/>
      <c r="N7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4" spans="1:14">
      <c r="A714" s="16"/>
      <c r="B714" s="16"/>
      <c r="C714" s="17"/>
      <c r="D714" s="17"/>
      <c r="E714" s="17"/>
      <c r="F714" s="18"/>
      <c r="G714" s="19" t="str">
        <f t="shared" ca="1" si="22"/>
        <v/>
      </c>
      <c r="H714" s="18"/>
      <c r="I714" s="18"/>
      <c r="J714" s="77" t="str">
        <f t="shared" ca="1" si="23"/>
        <v/>
      </c>
      <c r="K714" s="19">
        <f>IF(A714="","",COUNTIFS(Resumen!$N$2:$N$2999,ROW(),Resumen!$V$2:$V$2999,1))</f>
        <v/>
      </c>
      <c r="L714" s="20"/>
      <c r="N7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5" spans="1:14">
      <c r="A715" s="16"/>
      <c r="B715" s="16"/>
      <c r="C715" s="17"/>
      <c r="D715" s="17"/>
      <c r="E715" s="17"/>
      <c r="F715" s="18"/>
      <c r="G715" s="19" t="str">
        <f t="shared" ca="1" si="22"/>
        <v/>
      </c>
      <c r="H715" s="18"/>
      <c r="I715" s="18"/>
      <c r="J715" s="77" t="str">
        <f t="shared" ca="1" si="23"/>
        <v/>
      </c>
      <c r="K715" s="19">
        <f>IF(A715="","",COUNTIFS(Resumen!$N$2:$N$2999,ROW(),Resumen!$V$2:$V$2999,1))</f>
        <v/>
      </c>
      <c r="L715" s="20"/>
      <c r="N7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6" spans="1:14">
      <c r="A716" s="16"/>
      <c r="B716" s="16"/>
      <c r="C716" s="17"/>
      <c r="D716" s="17"/>
      <c r="E716" s="17"/>
      <c r="F716" s="18"/>
      <c r="G716" s="19" t="str">
        <f t="shared" ca="1" si="22"/>
        <v/>
      </c>
      <c r="H716" s="18"/>
      <c r="I716" s="18"/>
      <c r="J716" s="77" t="str">
        <f t="shared" ca="1" si="23"/>
        <v/>
      </c>
      <c r="K716" s="19">
        <f>IF(A716="","",COUNTIFS(Resumen!$N$2:$N$2999,ROW(),Resumen!$V$2:$V$2999,1))</f>
        <v/>
      </c>
      <c r="L716" s="20"/>
      <c r="N7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7" spans="1:14">
      <c r="A717" s="16"/>
      <c r="B717" s="16"/>
      <c r="C717" s="17"/>
      <c r="D717" s="17"/>
      <c r="E717" s="17"/>
      <c r="F717" s="18"/>
      <c r="G717" s="19" t="str">
        <f t="shared" ca="1" si="22"/>
        <v/>
      </c>
      <c r="H717" s="18"/>
      <c r="I717" s="18"/>
      <c r="J717" s="77" t="str">
        <f t="shared" ca="1" si="23"/>
        <v/>
      </c>
      <c r="K717" s="19">
        <f>IF(A717="","",COUNTIFS(Resumen!$N$2:$N$2999,ROW(),Resumen!$V$2:$V$2999,1))</f>
        <v/>
      </c>
      <c r="L717" s="20"/>
      <c r="N7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8" spans="1:14">
      <c r="A718" s="16"/>
      <c r="B718" s="16"/>
      <c r="C718" s="17"/>
      <c r="D718" s="17"/>
      <c r="E718" s="17"/>
      <c r="F718" s="18"/>
      <c r="G718" s="19" t="str">
        <f t="shared" ca="1" si="22"/>
        <v/>
      </c>
      <c r="H718" s="18"/>
      <c r="I718" s="18"/>
      <c r="J718" s="77" t="str">
        <f t="shared" ca="1" si="23"/>
        <v/>
      </c>
      <c r="K718" s="19">
        <f>IF(A718="","",COUNTIFS(Resumen!$N$2:$N$2999,ROW(),Resumen!$V$2:$V$2999,1))</f>
        <v/>
      </c>
      <c r="L718" s="20"/>
      <c r="N7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19" spans="1:14">
      <c r="A719" s="16"/>
      <c r="B719" s="16"/>
      <c r="C719" s="17"/>
      <c r="D719" s="17"/>
      <c r="E719" s="17"/>
      <c r="F719" s="18"/>
      <c r="G719" s="19" t="str">
        <f t="shared" ca="1" si="22"/>
        <v/>
      </c>
      <c r="H719" s="18"/>
      <c r="I719" s="18"/>
      <c r="J719" s="77" t="str">
        <f t="shared" ca="1" si="23"/>
        <v/>
      </c>
      <c r="K719" s="19">
        <f>IF(A719="","",COUNTIFS(Resumen!$N$2:$N$2999,ROW(),Resumen!$V$2:$V$2999,1))</f>
        <v/>
      </c>
      <c r="L719" s="20"/>
      <c r="N7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0" spans="1:14">
      <c r="A720" s="16"/>
      <c r="B720" s="16"/>
      <c r="C720" s="17"/>
      <c r="D720" s="17"/>
      <c r="E720" s="17"/>
      <c r="F720" s="18"/>
      <c r="G720" s="19" t="str">
        <f t="shared" ca="1" si="22"/>
        <v/>
      </c>
      <c r="H720" s="18"/>
      <c r="I720" s="18"/>
      <c r="J720" s="77" t="str">
        <f t="shared" ca="1" si="23"/>
        <v/>
      </c>
      <c r="K720" s="19">
        <f>IF(A720="","",COUNTIFS(Resumen!$N$2:$N$2999,ROW(),Resumen!$V$2:$V$2999,1))</f>
        <v/>
      </c>
      <c r="L720" s="20"/>
      <c r="N7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1" spans="1:14">
      <c r="A721" s="16"/>
      <c r="B721" s="16"/>
      <c r="C721" s="17"/>
      <c r="D721" s="17"/>
      <c r="E721" s="17"/>
      <c r="F721" s="18"/>
      <c r="G721" s="19" t="str">
        <f t="shared" ca="1" si="22"/>
        <v/>
      </c>
      <c r="H721" s="18"/>
      <c r="I721" s="18"/>
      <c r="J721" s="77" t="str">
        <f t="shared" ca="1" si="23"/>
        <v/>
      </c>
      <c r="K721" s="19">
        <f>IF(A721="","",COUNTIFS(Resumen!$N$2:$N$2999,ROW(),Resumen!$V$2:$V$2999,1))</f>
        <v/>
      </c>
      <c r="L721" s="20"/>
      <c r="N7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2" spans="1:14">
      <c r="A722" s="16"/>
      <c r="B722" s="16"/>
      <c r="C722" s="17"/>
      <c r="D722" s="17"/>
      <c r="E722" s="17"/>
      <c r="F722" s="18"/>
      <c r="G722" s="19" t="str">
        <f t="shared" ca="1" si="22"/>
        <v/>
      </c>
      <c r="H722" s="18"/>
      <c r="I722" s="18"/>
      <c r="J722" s="77" t="str">
        <f t="shared" ca="1" si="23"/>
        <v/>
      </c>
      <c r="K722" s="19">
        <f>IF(A722="","",COUNTIFS(Resumen!$N$2:$N$2999,ROW(),Resumen!$V$2:$V$2999,1))</f>
        <v/>
      </c>
      <c r="L722" s="20"/>
      <c r="N7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3" spans="1:14">
      <c r="A723" s="16"/>
      <c r="B723" s="16"/>
      <c r="C723" s="17"/>
      <c r="D723" s="17"/>
      <c r="E723" s="17"/>
      <c r="F723" s="18"/>
      <c r="G723" s="19" t="str">
        <f t="shared" ca="1" si="22"/>
        <v/>
      </c>
      <c r="H723" s="18"/>
      <c r="I723" s="18"/>
      <c r="J723" s="77" t="str">
        <f t="shared" ca="1" si="23"/>
        <v/>
      </c>
      <c r="K723" s="19">
        <f>IF(A723="","",COUNTIFS(Resumen!$N$2:$N$2999,ROW(),Resumen!$V$2:$V$2999,1))</f>
        <v/>
      </c>
      <c r="L723" s="20"/>
      <c r="N7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4" spans="1:14">
      <c r="A724" s="16"/>
      <c r="B724" s="16"/>
      <c r="C724" s="17"/>
      <c r="D724" s="17"/>
      <c r="E724" s="17"/>
      <c r="F724" s="18"/>
      <c r="G724" s="19" t="str">
        <f t="shared" ca="1" si="22"/>
        <v/>
      </c>
      <c r="H724" s="18"/>
      <c r="I724" s="18"/>
      <c r="J724" s="77" t="str">
        <f t="shared" ca="1" si="23"/>
        <v/>
      </c>
      <c r="K724" s="19">
        <f>IF(A724="","",COUNTIFS(Resumen!$N$2:$N$2999,ROW(),Resumen!$V$2:$V$2999,1))</f>
        <v/>
      </c>
      <c r="L724" s="20"/>
      <c r="N7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5" spans="1:14">
      <c r="A725" s="16"/>
      <c r="B725" s="16"/>
      <c r="C725" s="17"/>
      <c r="D725" s="17"/>
      <c r="E725" s="17"/>
      <c r="F725" s="18"/>
      <c r="G725" s="19" t="str">
        <f t="shared" ca="1" si="22"/>
        <v/>
      </c>
      <c r="H725" s="18"/>
      <c r="I725" s="18"/>
      <c r="J725" s="77" t="str">
        <f t="shared" ca="1" si="23"/>
        <v/>
      </c>
      <c r="K725" s="19">
        <f>IF(A725="","",COUNTIFS(Resumen!$N$2:$N$2999,ROW(),Resumen!$V$2:$V$2999,1))</f>
        <v/>
      </c>
      <c r="L725" s="20"/>
      <c r="N7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6" spans="1:14">
      <c r="A726" s="16"/>
      <c r="B726" s="16"/>
      <c r="C726" s="17"/>
      <c r="D726" s="17"/>
      <c r="E726" s="17"/>
      <c r="F726" s="18"/>
      <c r="G726" s="19" t="str">
        <f t="shared" ca="1" si="22"/>
        <v/>
      </c>
      <c r="H726" s="18"/>
      <c r="I726" s="18"/>
      <c r="J726" s="77" t="str">
        <f t="shared" ca="1" si="23"/>
        <v/>
      </c>
      <c r="K726" s="19">
        <f>IF(A726="","",COUNTIFS(Resumen!$N$2:$N$2999,ROW(),Resumen!$V$2:$V$2999,1))</f>
        <v/>
      </c>
      <c r="L726" s="20"/>
      <c r="N7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7" spans="1:14">
      <c r="A727" s="16"/>
      <c r="B727" s="16"/>
      <c r="C727" s="17"/>
      <c r="D727" s="17"/>
      <c r="E727" s="17"/>
      <c r="F727" s="18"/>
      <c r="G727" s="19" t="str">
        <f t="shared" ca="1" si="22"/>
        <v/>
      </c>
      <c r="H727" s="18"/>
      <c r="I727" s="18"/>
      <c r="J727" s="77" t="str">
        <f t="shared" ca="1" si="23"/>
        <v/>
      </c>
      <c r="K727" s="19">
        <f>IF(A727="","",COUNTIFS(Resumen!$N$2:$N$2999,ROW(),Resumen!$V$2:$V$2999,1))</f>
        <v/>
      </c>
      <c r="L727" s="20"/>
      <c r="N7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8" spans="1:14">
      <c r="A728" s="16"/>
      <c r="B728" s="16"/>
      <c r="C728" s="17"/>
      <c r="D728" s="17"/>
      <c r="E728" s="17"/>
      <c r="F728" s="18"/>
      <c r="G728" s="19" t="str">
        <f t="shared" ca="1" si="22"/>
        <v/>
      </c>
      <c r="H728" s="18"/>
      <c r="I728" s="18"/>
      <c r="J728" s="77" t="str">
        <f t="shared" ca="1" si="23"/>
        <v/>
      </c>
      <c r="K728" s="19">
        <f>IF(A728="","",COUNTIFS(Resumen!$N$2:$N$2999,ROW(),Resumen!$V$2:$V$2999,1))</f>
        <v/>
      </c>
      <c r="L728" s="20"/>
      <c r="N7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29" spans="1:14">
      <c r="A729" s="16"/>
      <c r="B729" s="16"/>
      <c r="C729" s="17"/>
      <c r="D729" s="17"/>
      <c r="E729" s="17"/>
      <c r="F729" s="18"/>
      <c r="G729" s="19" t="str">
        <f t="shared" ca="1" si="22"/>
        <v/>
      </c>
      <c r="H729" s="18"/>
      <c r="I729" s="18"/>
      <c r="J729" s="77" t="str">
        <f t="shared" ca="1" si="23"/>
        <v/>
      </c>
      <c r="K729" s="19">
        <f>IF(A729="","",COUNTIFS(Resumen!$N$2:$N$2999,ROW(),Resumen!$V$2:$V$2999,1))</f>
        <v/>
      </c>
      <c r="L729" s="20"/>
      <c r="N7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0" spans="1:14">
      <c r="A730" s="16"/>
      <c r="B730" s="16"/>
      <c r="C730" s="17"/>
      <c r="D730" s="17"/>
      <c r="E730" s="17"/>
      <c r="F730" s="18"/>
      <c r="G730" s="19" t="str">
        <f t="shared" ca="1" si="22"/>
        <v/>
      </c>
      <c r="H730" s="18"/>
      <c r="I730" s="18"/>
      <c r="J730" s="77" t="str">
        <f t="shared" ca="1" si="23"/>
        <v/>
      </c>
      <c r="K730" s="19">
        <f>IF(A730="","",COUNTIFS(Resumen!$N$2:$N$2999,ROW(),Resumen!$V$2:$V$2999,1))</f>
        <v/>
      </c>
      <c r="L730" s="20"/>
      <c r="N7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1" spans="1:14">
      <c r="A731" s="16"/>
      <c r="B731" s="16"/>
      <c r="C731" s="17"/>
      <c r="D731" s="17"/>
      <c r="E731" s="17"/>
      <c r="F731" s="18"/>
      <c r="G731" s="19" t="str">
        <f t="shared" ca="1" si="22"/>
        <v/>
      </c>
      <c r="H731" s="18"/>
      <c r="I731" s="18"/>
      <c r="J731" s="77" t="str">
        <f t="shared" ca="1" si="23"/>
        <v/>
      </c>
      <c r="K731" s="19">
        <f>IF(A731="","",COUNTIFS(Resumen!$N$2:$N$2999,ROW(),Resumen!$V$2:$V$2999,1))</f>
        <v/>
      </c>
      <c r="L731" s="20"/>
      <c r="N7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2" spans="1:14">
      <c r="A732" s="16"/>
      <c r="B732" s="16"/>
      <c r="C732" s="17"/>
      <c r="D732" s="17"/>
      <c r="E732" s="17"/>
      <c r="F732" s="18"/>
      <c r="G732" s="19" t="str">
        <f t="shared" ca="1" si="22"/>
        <v/>
      </c>
      <c r="H732" s="18"/>
      <c r="I732" s="18"/>
      <c r="J732" s="77" t="str">
        <f t="shared" ca="1" si="23"/>
        <v/>
      </c>
      <c r="K732" s="19">
        <f>IF(A732="","",COUNTIFS(Resumen!$N$2:$N$2999,ROW(),Resumen!$V$2:$V$2999,1))</f>
        <v/>
      </c>
      <c r="L732" s="20"/>
      <c r="N7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3" spans="1:14">
      <c r="A733" s="16"/>
      <c r="B733" s="16"/>
      <c r="C733" s="17"/>
      <c r="D733" s="17"/>
      <c r="E733" s="17"/>
      <c r="F733" s="18"/>
      <c r="G733" s="19" t="str">
        <f t="shared" ca="1" si="22"/>
        <v/>
      </c>
      <c r="H733" s="18"/>
      <c r="I733" s="18"/>
      <c r="J733" s="77" t="str">
        <f t="shared" ca="1" si="23"/>
        <v/>
      </c>
      <c r="K733" s="19">
        <f>IF(A733="","",COUNTIFS(Resumen!$N$2:$N$2999,ROW(),Resumen!$V$2:$V$2999,1))</f>
        <v/>
      </c>
      <c r="L733" s="20"/>
      <c r="N7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4" spans="1:14">
      <c r="A734" s="16"/>
      <c r="B734" s="16"/>
      <c r="C734" s="17"/>
      <c r="D734" s="17"/>
      <c r="E734" s="17"/>
      <c r="F734" s="18"/>
      <c r="G734" s="19" t="str">
        <f t="shared" ca="1" si="22"/>
        <v/>
      </c>
      <c r="H734" s="18"/>
      <c r="I734" s="18"/>
      <c r="J734" s="77" t="str">
        <f t="shared" ca="1" si="23"/>
        <v/>
      </c>
      <c r="K734" s="19">
        <f>IF(A734="","",COUNTIFS(Resumen!$N$2:$N$2999,ROW(),Resumen!$V$2:$V$2999,1))</f>
        <v/>
      </c>
      <c r="L734" s="20"/>
      <c r="N7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5" spans="1:14">
      <c r="A735" s="16"/>
      <c r="B735" s="16"/>
      <c r="C735" s="17"/>
      <c r="D735" s="17"/>
      <c r="E735" s="17"/>
      <c r="F735" s="18"/>
      <c r="G735" s="19" t="str">
        <f t="shared" ca="1" si="22"/>
        <v/>
      </c>
      <c r="H735" s="18"/>
      <c r="I735" s="18"/>
      <c r="J735" s="77" t="str">
        <f t="shared" ca="1" si="23"/>
        <v/>
      </c>
      <c r="K735" s="19">
        <f>IF(A735="","",COUNTIFS(Resumen!$N$2:$N$2999,ROW(),Resumen!$V$2:$V$2999,1))</f>
        <v/>
      </c>
      <c r="L735" s="20"/>
      <c r="N7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6" spans="1:14">
      <c r="A736" s="16"/>
      <c r="B736" s="16"/>
      <c r="C736" s="17"/>
      <c r="D736" s="17"/>
      <c r="E736" s="17"/>
      <c r="F736" s="18"/>
      <c r="G736" s="19" t="str">
        <f t="shared" ca="1" si="22"/>
        <v/>
      </c>
      <c r="H736" s="18"/>
      <c r="I736" s="18"/>
      <c r="J736" s="77" t="str">
        <f t="shared" ca="1" si="23"/>
        <v/>
      </c>
      <c r="K736" s="19">
        <f>IF(A736="","",COUNTIFS(Resumen!$N$2:$N$2999,ROW(),Resumen!$V$2:$V$2999,1))</f>
        <v/>
      </c>
      <c r="L736" s="20"/>
      <c r="N7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7" spans="1:14">
      <c r="A737" s="16"/>
      <c r="B737" s="16"/>
      <c r="C737" s="17"/>
      <c r="D737" s="17"/>
      <c r="E737" s="17"/>
      <c r="F737" s="18"/>
      <c r="G737" s="19" t="str">
        <f t="shared" ca="1" si="22"/>
        <v/>
      </c>
      <c r="H737" s="18"/>
      <c r="I737" s="18"/>
      <c r="J737" s="77" t="str">
        <f t="shared" ca="1" si="23"/>
        <v/>
      </c>
      <c r="K737" s="19">
        <f>IF(A737="","",COUNTIFS(Resumen!$N$2:$N$2999,ROW(),Resumen!$V$2:$V$2999,1))</f>
        <v/>
      </c>
      <c r="L737" s="20"/>
      <c r="N7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8" spans="1:14">
      <c r="A738" s="16"/>
      <c r="B738" s="16"/>
      <c r="C738" s="17"/>
      <c r="D738" s="17"/>
      <c r="E738" s="17"/>
      <c r="F738" s="18"/>
      <c r="G738" s="19" t="str">
        <f t="shared" ca="1" si="22"/>
        <v/>
      </c>
      <c r="H738" s="18"/>
      <c r="I738" s="18"/>
      <c r="J738" s="77" t="str">
        <f t="shared" ca="1" si="23"/>
        <v/>
      </c>
      <c r="K738" s="19">
        <f>IF(A738="","",COUNTIFS(Resumen!$N$2:$N$2999,ROW(),Resumen!$V$2:$V$2999,1))</f>
        <v/>
      </c>
      <c r="L738" s="20"/>
      <c r="N7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39" spans="1:14">
      <c r="A739" s="16"/>
      <c r="B739" s="16"/>
      <c r="C739" s="17"/>
      <c r="D739" s="17"/>
      <c r="E739" s="17"/>
      <c r="F739" s="18"/>
      <c r="G739" s="19" t="str">
        <f t="shared" ca="1" si="22"/>
        <v/>
      </c>
      <c r="H739" s="18"/>
      <c r="I739" s="18"/>
      <c r="J739" s="77" t="str">
        <f t="shared" ca="1" si="23"/>
        <v/>
      </c>
      <c r="K739" s="19">
        <f>IF(A739="","",COUNTIFS(Resumen!$N$2:$N$2999,ROW(),Resumen!$V$2:$V$2999,1))</f>
        <v/>
      </c>
      <c r="L739" s="20"/>
      <c r="N7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0" spans="1:14">
      <c r="A740" s="16"/>
      <c r="B740" s="16"/>
      <c r="C740" s="17"/>
      <c r="D740" s="17"/>
      <c r="E740" s="17"/>
      <c r="F740" s="18"/>
      <c r="G740" s="19" t="str">
        <f t="shared" ca="1" si="22"/>
        <v/>
      </c>
      <c r="H740" s="18"/>
      <c r="I740" s="18"/>
      <c r="J740" s="77" t="str">
        <f t="shared" ca="1" si="23"/>
        <v/>
      </c>
      <c r="K740" s="19">
        <f>IF(A740="","",COUNTIFS(Resumen!$N$2:$N$2999,ROW(),Resumen!$V$2:$V$2999,1))</f>
        <v/>
      </c>
      <c r="L740" s="20"/>
      <c r="N7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1" spans="1:14">
      <c r="A741" s="16"/>
      <c r="B741" s="16"/>
      <c r="C741" s="17"/>
      <c r="D741" s="17"/>
      <c r="E741" s="17"/>
      <c r="F741" s="18"/>
      <c r="G741" s="19" t="str">
        <f t="shared" ca="1" si="22"/>
        <v/>
      </c>
      <c r="H741" s="18"/>
      <c r="I741" s="18"/>
      <c r="J741" s="77" t="str">
        <f t="shared" ca="1" si="23"/>
        <v/>
      </c>
      <c r="K741" s="19">
        <f>IF(A741="","",COUNTIFS(Resumen!$N$2:$N$2999,ROW(),Resumen!$V$2:$V$2999,1))</f>
        <v/>
      </c>
      <c r="L741" s="20"/>
      <c r="N7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2" spans="1:14">
      <c r="A742" s="16"/>
      <c r="B742" s="16"/>
      <c r="C742" s="17"/>
      <c r="D742" s="17"/>
      <c r="E742" s="17"/>
      <c r="F742" s="18"/>
      <c r="G742" s="19" t="str">
        <f t="shared" ca="1" si="22"/>
        <v/>
      </c>
      <c r="H742" s="18"/>
      <c r="I742" s="18"/>
      <c r="J742" s="77" t="str">
        <f t="shared" ca="1" si="23"/>
        <v/>
      </c>
      <c r="K742" s="19">
        <f>IF(A742="","",COUNTIFS(Resumen!$N$2:$N$2999,ROW(),Resumen!$V$2:$V$2999,1))</f>
        <v/>
      </c>
      <c r="L742" s="20"/>
      <c r="N7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3" spans="1:14">
      <c r="A743" s="16"/>
      <c r="B743" s="16"/>
      <c r="C743" s="17"/>
      <c r="D743" s="17"/>
      <c r="E743" s="17"/>
      <c r="F743" s="18"/>
      <c r="G743" s="19" t="str">
        <f t="shared" ca="1" si="22"/>
        <v/>
      </c>
      <c r="H743" s="18"/>
      <c r="I743" s="18"/>
      <c r="J743" s="77" t="str">
        <f t="shared" ca="1" si="23"/>
        <v/>
      </c>
      <c r="K743" s="19">
        <f>IF(A743="","",COUNTIFS(Resumen!$N$2:$N$2999,ROW(),Resumen!$V$2:$V$2999,1))</f>
        <v/>
      </c>
      <c r="L743" s="20"/>
      <c r="N7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4" spans="1:14">
      <c r="A744" s="16"/>
      <c r="B744" s="16"/>
      <c r="C744" s="17"/>
      <c r="D744" s="17"/>
      <c r="E744" s="17"/>
      <c r="F744" s="18"/>
      <c r="G744" s="19" t="str">
        <f t="shared" ca="1" si="22"/>
        <v/>
      </c>
      <c r="H744" s="18"/>
      <c r="I744" s="18"/>
      <c r="J744" s="77" t="str">
        <f t="shared" ca="1" si="23"/>
        <v/>
      </c>
      <c r="K744" s="19">
        <f>IF(A744="","",COUNTIFS(Resumen!$N$2:$N$2999,ROW(),Resumen!$V$2:$V$2999,1))</f>
        <v/>
      </c>
      <c r="L744" s="20"/>
      <c r="N7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5" spans="1:14">
      <c r="A745" s="16"/>
      <c r="B745" s="16"/>
      <c r="C745" s="17"/>
      <c r="D745" s="17"/>
      <c r="E745" s="17"/>
      <c r="F745" s="18"/>
      <c r="G745" s="19" t="str">
        <f t="shared" ca="1" si="22"/>
        <v/>
      </c>
      <c r="H745" s="18"/>
      <c r="I745" s="18"/>
      <c r="J745" s="77" t="str">
        <f t="shared" ca="1" si="23"/>
        <v/>
      </c>
      <c r="K745" s="19">
        <f>IF(A745="","",COUNTIFS(Resumen!$N$2:$N$2999,ROW(),Resumen!$V$2:$V$2999,1))</f>
        <v/>
      </c>
      <c r="L745" s="20"/>
      <c r="N7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6" spans="1:14">
      <c r="A746" s="16"/>
      <c r="B746" s="16"/>
      <c r="C746" s="17"/>
      <c r="D746" s="17"/>
      <c r="E746" s="17"/>
      <c r="F746" s="18"/>
      <c r="G746" s="19" t="str">
        <f t="shared" ca="1" si="22"/>
        <v/>
      </c>
      <c r="H746" s="18"/>
      <c r="I746" s="18"/>
      <c r="J746" s="77" t="str">
        <f t="shared" ca="1" si="23"/>
        <v/>
      </c>
      <c r="K746" s="19">
        <f>IF(A746="","",COUNTIFS(Resumen!$N$2:$N$2999,ROW(),Resumen!$V$2:$V$2999,1))</f>
        <v/>
      </c>
      <c r="L746" s="20"/>
      <c r="N7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7" spans="1:14">
      <c r="A747" s="16"/>
      <c r="B747" s="16"/>
      <c r="C747" s="17"/>
      <c r="D747" s="17"/>
      <c r="E747" s="17"/>
      <c r="F747" s="18"/>
      <c r="G747" s="19" t="str">
        <f t="shared" ca="1" si="22"/>
        <v/>
      </c>
      <c r="H747" s="18"/>
      <c r="I747" s="18"/>
      <c r="J747" s="77" t="str">
        <f t="shared" ca="1" si="23"/>
        <v/>
      </c>
      <c r="K747" s="19">
        <f>IF(A747="","",COUNTIFS(Resumen!$N$2:$N$2999,ROW(),Resumen!$V$2:$V$2999,1))</f>
        <v/>
      </c>
      <c r="L747" s="20"/>
      <c r="N7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8" spans="1:14">
      <c r="A748" s="16"/>
      <c r="B748" s="16"/>
      <c r="C748" s="17"/>
      <c r="D748" s="17"/>
      <c r="E748" s="17"/>
      <c r="F748" s="18"/>
      <c r="G748" s="19" t="str">
        <f t="shared" ca="1" si="22"/>
        <v/>
      </c>
      <c r="H748" s="18"/>
      <c r="I748" s="18"/>
      <c r="J748" s="77" t="str">
        <f t="shared" ca="1" si="23"/>
        <v/>
      </c>
      <c r="K748" s="19">
        <f>IF(A748="","",COUNTIFS(Resumen!$N$2:$N$2999,ROW(),Resumen!$V$2:$V$2999,1))</f>
        <v/>
      </c>
      <c r="L748" s="20"/>
      <c r="N7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49" spans="1:14">
      <c r="A749" s="16"/>
      <c r="B749" s="16"/>
      <c r="C749" s="17"/>
      <c r="D749" s="17"/>
      <c r="E749" s="17"/>
      <c r="F749" s="18"/>
      <c r="G749" s="19" t="str">
        <f t="shared" ca="1" si="22"/>
        <v/>
      </c>
      <c r="H749" s="18"/>
      <c r="I749" s="18"/>
      <c r="J749" s="77" t="str">
        <f t="shared" ca="1" si="23"/>
        <v/>
      </c>
      <c r="K749" s="19">
        <f>IF(A749="","",COUNTIFS(Resumen!$N$2:$N$2999,ROW(),Resumen!$V$2:$V$2999,1))</f>
        <v/>
      </c>
      <c r="L749" s="20"/>
      <c r="N7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0" spans="1:14">
      <c r="A750" s="16"/>
      <c r="B750" s="16"/>
      <c r="C750" s="17"/>
      <c r="D750" s="17"/>
      <c r="E750" s="17"/>
      <c r="F750" s="18"/>
      <c r="G750" s="19" t="str">
        <f t="shared" ca="1" si="22"/>
        <v/>
      </c>
      <c r="H750" s="18"/>
      <c r="I750" s="18"/>
      <c r="J750" s="77" t="str">
        <f t="shared" ca="1" si="23"/>
        <v/>
      </c>
      <c r="K750" s="19">
        <f>IF(A750="","",COUNTIFS(Resumen!$N$2:$N$2999,ROW(),Resumen!$V$2:$V$2999,1))</f>
        <v/>
      </c>
      <c r="L750" s="20"/>
      <c r="N7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1" spans="1:14">
      <c r="A751" s="16"/>
      <c r="B751" s="16"/>
      <c r="C751" s="17"/>
      <c r="D751" s="17"/>
      <c r="E751" s="17"/>
      <c r="F751" s="18"/>
      <c r="G751" s="19" t="str">
        <f t="shared" ca="1" si="22"/>
        <v/>
      </c>
      <c r="H751" s="18"/>
      <c r="I751" s="18"/>
      <c r="J751" s="77" t="str">
        <f t="shared" ca="1" si="23"/>
        <v/>
      </c>
      <c r="K751" s="19">
        <f>IF(A751="","",COUNTIFS(Resumen!$N$2:$N$2999,ROW(),Resumen!$V$2:$V$2999,1))</f>
        <v/>
      </c>
      <c r="L751" s="20"/>
      <c r="N7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2" spans="1:14">
      <c r="A752" s="16"/>
      <c r="B752" s="16"/>
      <c r="C752" s="17"/>
      <c r="D752" s="17"/>
      <c r="E752" s="17"/>
      <c r="F752" s="18"/>
      <c r="G752" s="19" t="str">
        <f t="shared" ca="1" si="22"/>
        <v/>
      </c>
      <c r="H752" s="18"/>
      <c r="I752" s="18"/>
      <c r="J752" s="77" t="str">
        <f t="shared" ca="1" si="23"/>
        <v/>
      </c>
      <c r="K752" s="19">
        <f>IF(A752="","",COUNTIFS(Resumen!$N$2:$N$2999,ROW(),Resumen!$V$2:$V$2999,1))</f>
        <v/>
      </c>
      <c r="L752" s="20"/>
      <c r="N7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3" spans="1:14">
      <c r="A753" s="16"/>
      <c r="B753" s="16"/>
      <c r="C753" s="17"/>
      <c r="D753" s="17"/>
      <c r="E753" s="17"/>
      <c r="F753" s="18"/>
      <c r="G753" s="19" t="str">
        <f t="shared" ca="1" si="22"/>
        <v/>
      </c>
      <c r="H753" s="18"/>
      <c r="I753" s="18"/>
      <c r="J753" s="77" t="str">
        <f t="shared" ca="1" si="23"/>
        <v/>
      </c>
      <c r="K753" s="19">
        <f>IF(A753="","",COUNTIFS(Resumen!$N$2:$N$2999,ROW(),Resumen!$V$2:$V$2999,1))</f>
        <v/>
      </c>
      <c r="L753" s="20"/>
      <c r="N7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4" spans="1:14">
      <c r="A754" s="16"/>
      <c r="B754" s="16"/>
      <c r="C754" s="17"/>
      <c r="D754" s="17"/>
      <c r="E754" s="17"/>
      <c r="F754" s="18"/>
      <c r="G754" s="19" t="str">
        <f t="shared" ca="1" si="22"/>
        <v/>
      </c>
      <c r="H754" s="18"/>
      <c r="I754" s="18"/>
      <c r="J754" s="77" t="str">
        <f t="shared" ca="1" si="23"/>
        <v/>
      </c>
      <c r="K754" s="19">
        <f>IF(A754="","",COUNTIFS(Resumen!$N$2:$N$2999,ROW(),Resumen!$V$2:$V$2999,1))</f>
        <v/>
      </c>
      <c r="L754" s="20"/>
      <c r="N7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5" spans="1:14">
      <c r="A755" s="16"/>
      <c r="B755" s="16"/>
      <c r="C755" s="17"/>
      <c r="D755" s="17"/>
      <c r="E755" s="17"/>
      <c r="F755" s="18"/>
      <c r="G755" s="19" t="str">
        <f t="shared" ca="1" si="22"/>
        <v/>
      </c>
      <c r="H755" s="18"/>
      <c r="I755" s="18"/>
      <c r="J755" s="77" t="str">
        <f t="shared" ca="1" si="23"/>
        <v/>
      </c>
      <c r="K755" s="19">
        <f>IF(A755="","",COUNTIFS(Resumen!$N$2:$N$2999,ROW(),Resumen!$V$2:$V$2999,1))</f>
        <v/>
      </c>
      <c r="L755" s="20"/>
      <c r="N7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6" spans="1:14">
      <c r="A756" s="16"/>
      <c r="B756" s="16"/>
      <c r="C756" s="17"/>
      <c r="D756" s="17"/>
      <c r="E756" s="17"/>
      <c r="F756" s="18"/>
      <c r="G756" s="19" t="str">
        <f t="shared" ca="1" si="22"/>
        <v/>
      </c>
      <c r="H756" s="18"/>
      <c r="I756" s="18"/>
      <c r="J756" s="77" t="str">
        <f t="shared" ca="1" si="23"/>
        <v/>
      </c>
      <c r="K756" s="19">
        <f>IF(A756="","",COUNTIFS(Resumen!$N$2:$N$2999,ROW(),Resumen!$V$2:$V$2999,1))</f>
        <v/>
      </c>
      <c r="L756" s="20"/>
      <c r="N7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7" spans="1:14">
      <c r="A757" s="16"/>
      <c r="B757" s="16"/>
      <c r="C757" s="17"/>
      <c r="D757" s="17"/>
      <c r="E757" s="17"/>
      <c r="F757" s="18"/>
      <c r="G757" s="19" t="str">
        <f t="shared" ca="1" si="22"/>
        <v/>
      </c>
      <c r="H757" s="18"/>
      <c r="I757" s="18"/>
      <c r="J757" s="77" t="str">
        <f t="shared" ca="1" si="23"/>
        <v/>
      </c>
      <c r="K757" s="19">
        <f>IF(A757="","",COUNTIFS(Resumen!$N$2:$N$2999,ROW(),Resumen!$V$2:$V$2999,1))</f>
        <v/>
      </c>
      <c r="L757" s="20"/>
      <c r="N7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8" spans="1:14">
      <c r="A758" s="16"/>
      <c r="B758" s="16"/>
      <c r="C758" s="17"/>
      <c r="D758" s="17"/>
      <c r="E758" s="17"/>
      <c r="F758" s="18"/>
      <c r="G758" s="19" t="str">
        <f t="shared" ca="1" si="22"/>
        <v/>
      </c>
      <c r="H758" s="18"/>
      <c r="I758" s="18"/>
      <c r="J758" s="77" t="str">
        <f t="shared" ca="1" si="23"/>
        <v/>
      </c>
      <c r="K758" s="19">
        <f>IF(A758="","",COUNTIFS(Resumen!$N$2:$N$2999,ROW(),Resumen!$V$2:$V$2999,1))</f>
        <v/>
      </c>
      <c r="L758" s="20"/>
      <c r="N7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59" spans="1:14">
      <c r="A759" s="16"/>
      <c r="B759" s="16"/>
      <c r="C759" s="17"/>
      <c r="D759" s="17"/>
      <c r="E759" s="17"/>
      <c r="F759" s="18"/>
      <c r="G759" s="19" t="str">
        <f t="shared" ca="1" si="22"/>
        <v/>
      </c>
      <c r="H759" s="18"/>
      <c r="I759" s="18"/>
      <c r="J759" s="77" t="str">
        <f t="shared" ca="1" si="23"/>
        <v/>
      </c>
      <c r="K759" s="19">
        <f>IF(A759="","",COUNTIFS(Resumen!$N$2:$N$2999,ROW(),Resumen!$V$2:$V$2999,1))</f>
        <v/>
      </c>
      <c r="L759" s="20"/>
      <c r="N7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0" spans="1:14">
      <c r="A760" s="16"/>
      <c r="B760" s="16"/>
      <c r="C760" s="17"/>
      <c r="D760" s="17"/>
      <c r="E760" s="17"/>
      <c r="F760" s="18"/>
      <c r="G760" s="19" t="str">
        <f t="shared" ca="1" si="22"/>
        <v/>
      </c>
      <c r="H760" s="18"/>
      <c r="I760" s="18"/>
      <c r="J760" s="77" t="str">
        <f t="shared" ca="1" si="23"/>
        <v/>
      </c>
      <c r="K760" s="19">
        <f>IF(A760="","",COUNTIFS(Resumen!$N$2:$N$2999,ROW(),Resumen!$V$2:$V$2999,1))</f>
        <v/>
      </c>
      <c r="L760" s="20"/>
      <c r="N7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1" spans="1:14">
      <c r="A761" s="16"/>
      <c r="B761" s="16"/>
      <c r="C761" s="17"/>
      <c r="D761" s="17"/>
      <c r="E761" s="17"/>
      <c r="F761" s="18"/>
      <c r="G761" s="19" t="str">
        <f t="shared" ca="1" si="22"/>
        <v/>
      </c>
      <c r="H761" s="18"/>
      <c r="I761" s="18"/>
      <c r="J761" s="77" t="str">
        <f t="shared" ca="1" si="23"/>
        <v/>
      </c>
      <c r="K761" s="19">
        <f>IF(A761="","",COUNTIFS(Resumen!$N$2:$N$2999,ROW(),Resumen!$V$2:$V$2999,1))</f>
        <v/>
      </c>
      <c r="L761" s="20"/>
      <c r="N7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2" spans="1:14">
      <c r="A762" s="16"/>
      <c r="B762" s="16"/>
      <c r="C762" s="17"/>
      <c r="D762" s="17"/>
      <c r="E762" s="17"/>
      <c r="F762" s="18"/>
      <c r="G762" s="19" t="str">
        <f t="shared" ca="1" si="22"/>
        <v/>
      </c>
      <c r="H762" s="18"/>
      <c r="I762" s="18"/>
      <c r="J762" s="77" t="str">
        <f t="shared" ca="1" si="23"/>
        <v/>
      </c>
      <c r="K762" s="19">
        <f>IF(A762="","",COUNTIFS(Resumen!$N$2:$N$2999,ROW(),Resumen!$V$2:$V$2999,1))</f>
        <v/>
      </c>
      <c r="L762" s="20"/>
      <c r="N7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3" spans="1:14">
      <c r="A763" s="16"/>
      <c r="B763" s="16"/>
      <c r="C763" s="17"/>
      <c r="D763" s="17"/>
      <c r="E763" s="17"/>
      <c r="F763" s="18"/>
      <c r="G763" s="19" t="str">
        <f t="shared" ca="1" si="22"/>
        <v/>
      </c>
      <c r="H763" s="18"/>
      <c r="I763" s="18"/>
      <c r="J763" s="77" t="str">
        <f t="shared" ca="1" si="23"/>
        <v/>
      </c>
      <c r="K763" s="19">
        <f>IF(A763="","",COUNTIFS(Resumen!$N$2:$N$2999,ROW(),Resumen!$V$2:$V$2999,1))</f>
        <v/>
      </c>
      <c r="L763" s="20"/>
      <c r="N7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4" spans="1:14">
      <c r="A764" s="16"/>
      <c r="B764" s="16"/>
      <c r="C764" s="17"/>
      <c r="D764" s="17"/>
      <c r="E764" s="17"/>
      <c r="F764" s="18"/>
      <c r="G764" s="19" t="str">
        <f t="shared" ca="1" si="22"/>
        <v/>
      </c>
      <c r="H764" s="18"/>
      <c r="I764" s="18"/>
      <c r="J764" s="77" t="str">
        <f t="shared" ca="1" si="23"/>
        <v/>
      </c>
      <c r="K764" s="19">
        <f>IF(A764="","",COUNTIFS(Resumen!$N$2:$N$2999,ROW(),Resumen!$V$2:$V$2999,1))</f>
        <v/>
      </c>
      <c r="L764" s="20"/>
      <c r="N7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5" spans="1:14">
      <c r="A765" s="16"/>
      <c r="B765" s="16"/>
      <c r="C765" s="17"/>
      <c r="D765" s="17"/>
      <c r="E765" s="17"/>
      <c r="F765" s="18"/>
      <c r="G765" s="19" t="str">
        <f t="shared" ca="1" si="22"/>
        <v/>
      </c>
      <c r="H765" s="18"/>
      <c r="I765" s="18"/>
      <c r="J765" s="77" t="str">
        <f t="shared" ca="1" si="23"/>
        <v/>
      </c>
      <c r="K765" s="19">
        <f>IF(A765="","",COUNTIFS(Resumen!$N$2:$N$2999,ROW(),Resumen!$V$2:$V$2999,1))</f>
        <v/>
      </c>
      <c r="L765" s="20"/>
      <c r="N7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6" spans="1:14">
      <c r="A766" s="16"/>
      <c r="B766" s="16"/>
      <c r="C766" s="17"/>
      <c r="D766" s="17"/>
      <c r="E766" s="17"/>
      <c r="F766" s="18"/>
      <c r="G766" s="19" t="str">
        <f t="shared" ca="1" si="22"/>
        <v/>
      </c>
      <c r="H766" s="18"/>
      <c r="I766" s="18"/>
      <c r="J766" s="77" t="str">
        <f t="shared" ca="1" si="23"/>
        <v/>
      </c>
      <c r="K766" s="19">
        <f>IF(A766="","",COUNTIFS(Resumen!$N$2:$N$2999,ROW(),Resumen!$V$2:$V$2999,1))</f>
        <v/>
      </c>
      <c r="L766" s="20"/>
      <c r="N7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7" spans="1:14">
      <c r="A767" s="16"/>
      <c r="B767" s="16"/>
      <c r="C767" s="17"/>
      <c r="D767" s="17"/>
      <c r="E767" s="17"/>
      <c r="F767" s="18"/>
      <c r="G767" s="19" t="str">
        <f t="shared" ca="1" si="22"/>
        <v/>
      </c>
      <c r="H767" s="18"/>
      <c r="I767" s="18"/>
      <c r="J767" s="77" t="str">
        <f t="shared" ca="1" si="23"/>
        <v/>
      </c>
      <c r="K767" s="19">
        <f>IF(A767="","",COUNTIFS(Resumen!$N$2:$N$2999,ROW(),Resumen!$V$2:$V$2999,1))</f>
        <v/>
      </c>
      <c r="L767" s="20"/>
      <c r="N7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8" spans="1:14">
      <c r="A768" s="16"/>
      <c r="B768" s="16"/>
      <c r="C768" s="17"/>
      <c r="D768" s="17"/>
      <c r="E768" s="17"/>
      <c r="F768" s="18"/>
      <c r="G768" s="19" t="str">
        <f t="shared" ca="1" si="22"/>
        <v/>
      </c>
      <c r="H768" s="18"/>
      <c r="I768" s="18"/>
      <c r="J768" s="77" t="str">
        <f t="shared" ca="1" si="23"/>
        <v/>
      </c>
      <c r="K768" s="19">
        <f>IF(A768="","",COUNTIFS(Resumen!$N$2:$N$2999,ROW(),Resumen!$V$2:$V$2999,1))</f>
        <v/>
      </c>
      <c r="L768" s="20"/>
      <c r="N7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69" spans="1:14">
      <c r="A769" s="16"/>
      <c r="B769" s="16"/>
      <c r="C769" s="17"/>
      <c r="D769" s="17"/>
      <c r="E769" s="17"/>
      <c r="F769" s="18"/>
      <c r="G769" s="19" t="str">
        <f t="shared" ca="1" si="22"/>
        <v/>
      </c>
      <c r="H769" s="18"/>
      <c r="I769" s="18"/>
      <c r="J769" s="77" t="str">
        <f t="shared" ca="1" si="23"/>
        <v/>
      </c>
      <c r="K769" s="19">
        <f>IF(A769="","",COUNTIFS(Resumen!$N$2:$N$2999,ROW(),Resumen!$V$2:$V$2999,1))</f>
        <v/>
      </c>
      <c r="L769" s="20"/>
      <c r="N7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0" spans="1:14">
      <c r="A770" s="16"/>
      <c r="B770" s="16"/>
      <c r="C770" s="17"/>
      <c r="D770" s="17"/>
      <c r="E770" s="17"/>
      <c r="F770" s="18"/>
      <c r="G770" s="19" t="str">
        <f t="shared" ref="G770:G833" ca="1" si="24">IF(F770="", "", DATEDIF(F770, TODAY(), "Y"))</f>
        <v/>
      </c>
      <c r="H770" s="18"/>
      <c r="I770" s="18"/>
      <c r="J770" s="77" t="str">
        <f t="shared" ref="J770:J833" ca="1" si="25">IFERROR(IF(ISNUMBER(INDEX(VigenciasFamilia,ROW())),INDEX(VigenciasFamilia,ROW())-TODAY(),""),"")</f>
        <v/>
      </c>
      <c r="K770" s="19">
        <f>IF(A770="","",COUNTIFS(Resumen!$N$2:$N$2999,ROW(),Resumen!$V$2:$V$2999,1))</f>
        <v/>
      </c>
      <c r="L770" s="20"/>
      <c r="N7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1" spans="1:14">
      <c r="A771" s="16"/>
      <c r="B771" s="16"/>
      <c r="C771" s="17"/>
      <c r="D771" s="17"/>
      <c r="E771" s="17"/>
      <c r="F771" s="18"/>
      <c r="G771" s="19" t="str">
        <f t="shared" ca="1" si="24"/>
        <v/>
      </c>
      <c r="H771" s="18"/>
      <c r="I771" s="18"/>
      <c r="J771" s="77" t="str">
        <f t="shared" ca="1" si="25"/>
        <v/>
      </c>
      <c r="K771" s="19">
        <f>IF(A771="","",COUNTIFS(Resumen!$N$2:$N$2999,ROW(),Resumen!$V$2:$V$2999,1))</f>
        <v/>
      </c>
      <c r="L771" s="20"/>
      <c r="N7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2" spans="1:14">
      <c r="A772" s="16"/>
      <c r="B772" s="16"/>
      <c r="C772" s="17"/>
      <c r="D772" s="17"/>
      <c r="E772" s="17"/>
      <c r="F772" s="18"/>
      <c r="G772" s="19" t="str">
        <f t="shared" ca="1" si="24"/>
        <v/>
      </c>
      <c r="H772" s="18"/>
      <c r="I772" s="18"/>
      <c r="J772" s="77" t="str">
        <f t="shared" ca="1" si="25"/>
        <v/>
      </c>
      <c r="K772" s="19">
        <f>IF(A772="","",COUNTIFS(Resumen!$N$2:$N$2999,ROW(),Resumen!$V$2:$V$2999,1))</f>
        <v/>
      </c>
      <c r="L772" s="20"/>
      <c r="N7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3" spans="1:14">
      <c r="A773" s="16"/>
      <c r="B773" s="16"/>
      <c r="C773" s="17"/>
      <c r="D773" s="17"/>
      <c r="E773" s="17"/>
      <c r="F773" s="18"/>
      <c r="G773" s="19" t="str">
        <f t="shared" ca="1" si="24"/>
        <v/>
      </c>
      <c r="H773" s="18"/>
      <c r="I773" s="18"/>
      <c r="J773" s="77" t="str">
        <f t="shared" ca="1" si="25"/>
        <v/>
      </c>
      <c r="K773" s="19">
        <f>IF(A773="","",COUNTIFS(Resumen!$N$2:$N$2999,ROW(),Resumen!$V$2:$V$2999,1))</f>
        <v/>
      </c>
      <c r="L773" s="20"/>
      <c r="N7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4" spans="1:14">
      <c r="A774" s="16"/>
      <c r="B774" s="16"/>
      <c r="C774" s="17"/>
      <c r="D774" s="17"/>
      <c r="E774" s="17"/>
      <c r="F774" s="18"/>
      <c r="G774" s="19" t="str">
        <f t="shared" ca="1" si="24"/>
        <v/>
      </c>
      <c r="H774" s="18"/>
      <c r="I774" s="18"/>
      <c r="J774" s="77" t="str">
        <f t="shared" ca="1" si="25"/>
        <v/>
      </c>
      <c r="K774" s="19">
        <f>IF(A774="","",COUNTIFS(Resumen!$N$2:$N$2999,ROW(),Resumen!$V$2:$V$2999,1))</f>
        <v/>
      </c>
      <c r="L774" s="20"/>
      <c r="N7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5" spans="1:14">
      <c r="A775" s="16"/>
      <c r="B775" s="16"/>
      <c r="C775" s="17"/>
      <c r="D775" s="17"/>
      <c r="E775" s="17"/>
      <c r="F775" s="18"/>
      <c r="G775" s="19" t="str">
        <f t="shared" ca="1" si="24"/>
        <v/>
      </c>
      <c r="H775" s="18"/>
      <c r="I775" s="18"/>
      <c r="J775" s="77" t="str">
        <f t="shared" ca="1" si="25"/>
        <v/>
      </c>
      <c r="K775" s="19">
        <f>IF(A775="","",COUNTIFS(Resumen!$N$2:$N$2999,ROW(),Resumen!$V$2:$V$2999,1))</f>
        <v/>
      </c>
      <c r="L775" s="20"/>
      <c r="N7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6" spans="1:14">
      <c r="A776" s="16"/>
      <c r="B776" s="16"/>
      <c r="C776" s="17"/>
      <c r="D776" s="17"/>
      <c r="E776" s="17"/>
      <c r="F776" s="18"/>
      <c r="G776" s="19" t="str">
        <f t="shared" ca="1" si="24"/>
        <v/>
      </c>
      <c r="H776" s="18"/>
      <c r="I776" s="18"/>
      <c r="J776" s="77" t="str">
        <f t="shared" ca="1" si="25"/>
        <v/>
      </c>
      <c r="K776" s="19">
        <f>IF(A776="","",COUNTIFS(Resumen!$N$2:$N$2999,ROW(),Resumen!$V$2:$V$2999,1))</f>
        <v/>
      </c>
      <c r="L776" s="20"/>
      <c r="N7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7" spans="1:14">
      <c r="A777" s="16"/>
      <c r="B777" s="16"/>
      <c r="C777" s="17"/>
      <c r="D777" s="17"/>
      <c r="E777" s="17"/>
      <c r="F777" s="18"/>
      <c r="G777" s="19" t="str">
        <f t="shared" ca="1" si="24"/>
        <v/>
      </c>
      <c r="H777" s="18"/>
      <c r="I777" s="18"/>
      <c r="J777" s="77" t="str">
        <f t="shared" ca="1" si="25"/>
        <v/>
      </c>
      <c r="K777" s="19">
        <f>IF(A777="","",COUNTIFS(Resumen!$N$2:$N$2999,ROW(),Resumen!$V$2:$V$2999,1))</f>
        <v/>
      </c>
      <c r="L777" s="20"/>
      <c r="N7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8" spans="1:14">
      <c r="A778" s="16"/>
      <c r="B778" s="16"/>
      <c r="C778" s="17"/>
      <c r="D778" s="17"/>
      <c r="E778" s="17"/>
      <c r="F778" s="18"/>
      <c r="G778" s="19" t="str">
        <f t="shared" ca="1" si="24"/>
        <v/>
      </c>
      <c r="H778" s="18"/>
      <c r="I778" s="18"/>
      <c r="J778" s="77" t="str">
        <f t="shared" ca="1" si="25"/>
        <v/>
      </c>
      <c r="K778" s="19">
        <f>IF(A778="","",COUNTIFS(Resumen!$N$2:$N$2999,ROW(),Resumen!$V$2:$V$2999,1))</f>
        <v/>
      </c>
      <c r="L778" s="20"/>
      <c r="N7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79" spans="1:14">
      <c r="A779" s="16"/>
      <c r="B779" s="16"/>
      <c r="C779" s="17"/>
      <c r="D779" s="17"/>
      <c r="E779" s="17"/>
      <c r="F779" s="18"/>
      <c r="G779" s="19" t="str">
        <f t="shared" ca="1" si="24"/>
        <v/>
      </c>
      <c r="H779" s="18"/>
      <c r="I779" s="18"/>
      <c r="J779" s="77" t="str">
        <f t="shared" ca="1" si="25"/>
        <v/>
      </c>
      <c r="K779" s="19">
        <f>IF(A779="","",COUNTIFS(Resumen!$N$2:$N$2999,ROW(),Resumen!$V$2:$V$2999,1))</f>
        <v/>
      </c>
      <c r="L779" s="20"/>
      <c r="N7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0" spans="1:14">
      <c r="A780" s="16"/>
      <c r="B780" s="16"/>
      <c r="C780" s="17"/>
      <c r="D780" s="17"/>
      <c r="E780" s="17"/>
      <c r="F780" s="18"/>
      <c r="G780" s="19" t="str">
        <f t="shared" ca="1" si="24"/>
        <v/>
      </c>
      <c r="H780" s="18"/>
      <c r="I780" s="18"/>
      <c r="J780" s="77" t="str">
        <f t="shared" ca="1" si="25"/>
        <v/>
      </c>
      <c r="K780" s="19">
        <f>IF(A780="","",COUNTIFS(Resumen!$N$2:$N$2999,ROW(),Resumen!$V$2:$V$2999,1))</f>
        <v/>
      </c>
      <c r="L780" s="20"/>
      <c r="N7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1" spans="1:14">
      <c r="A781" s="16"/>
      <c r="B781" s="16"/>
      <c r="C781" s="17"/>
      <c r="D781" s="17"/>
      <c r="E781" s="17"/>
      <c r="F781" s="18"/>
      <c r="G781" s="19" t="str">
        <f t="shared" ca="1" si="24"/>
        <v/>
      </c>
      <c r="H781" s="18"/>
      <c r="I781" s="18"/>
      <c r="J781" s="77" t="str">
        <f t="shared" ca="1" si="25"/>
        <v/>
      </c>
      <c r="K781" s="19">
        <f>IF(A781="","",COUNTIFS(Resumen!$N$2:$N$2999,ROW(),Resumen!$V$2:$V$2999,1))</f>
        <v/>
      </c>
      <c r="L781" s="20"/>
      <c r="N7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2" spans="1:14">
      <c r="A782" s="16"/>
      <c r="B782" s="16"/>
      <c r="C782" s="17"/>
      <c r="D782" s="17"/>
      <c r="E782" s="17"/>
      <c r="F782" s="18"/>
      <c r="G782" s="19" t="str">
        <f t="shared" ca="1" si="24"/>
        <v/>
      </c>
      <c r="H782" s="18"/>
      <c r="I782" s="18"/>
      <c r="J782" s="77" t="str">
        <f t="shared" ca="1" si="25"/>
        <v/>
      </c>
      <c r="K782" s="19">
        <f>IF(A782="","",COUNTIFS(Resumen!$N$2:$N$2999,ROW(),Resumen!$V$2:$V$2999,1))</f>
        <v/>
      </c>
      <c r="L782" s="20"/>
      <c r="N7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3" spans="1:14">
      <c r="A783" s="16"/>
      <c r="B783" s="16"/>
      <c r="C783" s="17"/>
      <c r="D783" s="17"/>
      <c r="E783" s="17"/>
      <c r="F783" s="18"/>
      <c r="G783" s="19" t="str">
        <f t="shared" ca="1" si="24"/>
        <v/>
      </c>
      <c r="H783" s="18"/>
      <c r="I783" s="18"/>
      <c r="J783" s="77" t="str">
        <f t="shared" ca="1" si="25"/>
        <v/>
      </c>
      <c r="K783" s="19">
        <f>IF(A783="","",COUNTIFS(Resumen!$N$2:$N$2999,ROW(),Resumen!$V$2:$V$2999,1))</f>
        <v/>
      </c>
      <c r="L783" s="20"/>
      <c r="N7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4" spans="1:14">
      <c r="A784" s="16"/>
      <c r="B784" s="16"/>
      <c r="C784" s="17"/>
      <c r="D784" s="17"/>
      <c r="E784" s="17"/>
      <c r="F784" s="18"/>
      <c r="G784" s="19" t="str">
        <f t="shared" ca="1" si="24"/>
        <v/>
      </c>
      <c r="H784" s="18"/>
      <c r="I784" s="18"/>
      <c r="J784" s="77" t="str">
        <f t="shared" ca="1" si="25"/>
        <v/>
      </c>
      <c r="K784" s="19">
        <f>IF(A784="","",COUNTIFS(Resumen!$N$2:$N$2999,ROW(),Resumen!$V$2:$V$2999,1))</f>
        <v/>
      </c>
      <c r="L784" s="20"/>
      <c r="N7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5" spans="1:14">
      <c r="A785" s="16"/>
      <c r="B785" s="16"/>
      <c r="C785" s="17"/>
      <c r="D785" s="17"/>
      <c r="E785" s="17"/>
      <c r="F785" s="18"/>
      <c r="G785" s="19" t="str">
        <f t="shared" ca="1" si="24"/>
        <v/>
      </c>
      <c r="H785" s="18"/>
      <c r="I785" s="18"/>
      <c r="J785" s="77" t="str">
        <f t="shared" ca="1" si="25"/>
        <v/>
      </c>
      <c r="K785" s="19">
        <f>IF(A785="","",COUNTIFS(Resumen!$N$2:$N$2999,ROW(),Resumen!$V$2:$V$2999,1))</f>
        <v/>
      </c>
      <c r="L785" s="20"/>
      <c r="N7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6" spans="1:14">
      <c r="A786" s="16"/>
      <c r="B786" s="16"/>
      <c r="C786" s="17"/>
      <c r="D786" s="17"/>
      <c r="E786" s="17"/>
      <c r="F786" s="18"/>
      <c r="G786" s="19" t="str">
        <f t="shared" ca="1" si="24"/>
        <v/>
      </c>
      <c r="H786" s="18"/>
      <c r="I786" s="18"/>
      <c r="J786" s="77" t="str">
        <f t="shared" ca="1" si="25"/>
        <v/>
      </c>
      <c r="K786" s="19">
        <f>IF(A786="","",COUNTIFS(Resumen!$N$2:$N$2999,ROW(),Resumen!$V$2:$V$2999,1))</f>
        <v/>
      </c>
      <c r="L786" s="20"/>
      <c r="N7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7" spans="1:14">
      <c r="A787" s="16"/>
      <c r="B787" s="16"/>
      <c r="C787" s="17"/>
      <c r="D787" s="17"/>
      <c r="E787" s="17"/>
      <c r="F787" s="18"/>
      <c r="G787" s="19" t="str">
        <f t="shared" ca="1" si="24"/>
        <v/>
      </c>
      <c r="H787" s="18"/>
      <c r="I787" s="18"/>
      <c r="J787" s="77" t="str">
        <f t="shared" ca="1" si="25"/>
        <v/>
      </c>
      <c r="K787" s="19">
        <f>IF(A787="","",COUNTIFS(Resumen!$N$2:$N$2999,ROW(),Resumen!$V$2:$V$2999,1))</f>
        <v/>
      </c>
      <c r="L787" s="20"/>
      <c r="N7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8" spans="1:14">
      <c r="A788" s="16"/>
      <c r="B788" s="16"/>
      <c r="C788" s="17"/>
      <c r="D788" s="17"/>
      <c r="E788" s="17"/>
      <c r="F788" s="18"/>
      <c r="G788" s="19" t="str">
        <f t="shared" ca="1" si="24"/>
        <v/>
      </c>
      <c r="H788" s="18"/>
      <c r="I788" s="18"/>
      <c r="J788" s="77" t="str">
        <f t="shared" ca="1" si="25"/>
        <v/>
      </c>
      <c r="K788" s="19">
        <f>IF(A788="","",COUNTIFS(Resumen!$N$2:$N$2999,ROW(),Resumen!$V$2:$V$2999,1))</f>
        <v/>
      </c>
      <c r="L788" s="20"/>
      <c r="N7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89" spans="1:14">
      <c r="A789" s="16"/>
      <c r="B789" s="16"/>
      <c r="C789" s="17"/>
      <c r="D789" s="17"/>
      <c r="E789" s="17"/>
      <c r="F789" s="18"/>
      <c r="G789" s="19" t="str">
        <f t="shared" ca="1" si="24"/>
        <v/>
      </c>
      <c r="H789" s="18"/>
      <c r="I789" s="18"/>
      <c r="J789" s="77" t="str">
        <f t="shared" ca="1" si="25"/>
        <v/>
      </c>
      <c r="K789" s="19">
        <f>IF(A789="","",COUNTIFS(Resumen!$N$2:$N$2999,ROW(),Resumen!$V$2:$V$2999,1))</f>
        <v/>
      </c>
      <c r="L789" s="20"/>
      <c r="N7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0" spans="1:14">
      <c r="A790" s="16"/>
      <c r="B790" s="16"/>
      <c r="C790" s="17"/>
      <c r="D790" s="17"/>
      <c r="E790" s="17"/>
      <c r="F790" s="18"/>
      <c r="G790" s="19" t="str">
        <f t="shared" ca="1" si="24"/>
        <v/>
      </c>
      <c r="H790" s="18"/>
      <c r="I790" s="18"/>
      <c r="J790" s="77" t="str">
        <f t="shared" ca="1" si="25"/>
        <v/>
      </c>
      <c r="K790" s="19">
        <f>IF(A790="","",COUNTIFS(Resumen!$N$2:$N$2999,ROW(),Resumen!$V$2:$V$2999,1))</f>
        <v/>
      </c>
      <c r="L790" s="20"/>
      <c r="N7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1" spans="1:14">
      <c r="A791" s="16"/>
      <c r="B791" s="16"/>
      <c r="C791" s="17"/>
      <c r="D791" s="17"/>
      <c r="E791" s="17"/>
      <c r="F791" s="18"/>
      <c r="G791" s="19" t="str">
        <f t="shared" ca="1" si="24"/>
        <v/>
      </c>
      <c r="H791" s="18"/>
      <c r="I791" s="18"/>
      <c r="J791" s="77" t="str">
        <f t="shared" ca="1" si="25"/>
        <v/>
      </c>
      <c r="K791" s="19">
        <f>IF(A791="","",COUNTIFS(Resumen!$N$2:$N$2999,ROW(),Resumen!$V$2:$V$2999,1))</f>
        <v/>
      </c>
      <c r="L791" s="20"/>
      <c r="N7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2" spans="1:14">
      <c r="A792" s="16"/>
      <c r="B792" s="16"/>
      <c r="C792" s="17"/>
      <c r="D792" s="17"/>
      <c r="E792" s="17"/>
      <c r="F792" s="18"/>
      <c r="G792" s="19" t="str">
        <f t="shared" ca="1" si="24"/>
        <v/>
      </c>
      <c r="H792" s="18"/>
      <c r="I792" s="18"/>
      <c r="J792" s="77" t="str">
        <f t="shared" ca="1" si="25"/>
        <v/>
      </c>
      <c r="K792" s="19">
        <f>IF(A792="","",COUNTIFS(Resumen!$N$2:$N$2999,ROW(),Resumen!$V$2:$V$2999,1))</f>
        <v/>
      </c>
      <c r="L792" s="20"/>
      <c r="N7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3" spans="1:14">
      <c r="A793" s="16"/>
      <c r="B793" s="16"/>
      <c r="C793" s="17"/>
      <c r="D793" s="17"/>
      <c r="E793" s="17"/>
      <c r="F793" s="18"/>
      <c r="G793" s="19" t="str">
        <f t="shared" ca="1" si="24"/>
        <v/>
      </c>
      <c r="H793" s="18"/>
      <c r="I793" s="18"/>
      <c r="J793" s="77" t="str">
        <f t="shared" ca="1" si="25"/>
        <v/>
      </c>
      <c r="K793" s="19">
        <f>IF(A793="","",COUNTIFS(Resumen!$N$2:$N$2999,ROW(),Resumen!$V$2:$V$2999,1))</f>
        <v/>
      </c>
      <c r="L793" s="20"/>
      <c r="N7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4" spans="1:14">
      <c r="A794" s="16"/>
      <c r="B794" s="16"/>
      <c r="C794" s="17"/>
      <c r="D794" s="17"/>
      <c r="E794" s="17"/>
      <c r="F794" s="18"/>
      <c r="G794" s="19" t="str">
        <f t="shared" ca="1" si="24"/>
        <v/>
      </c>
      <c r="H794" s="18"/>
      <c r="I794" s="18"/>
      <c r="J794" s="77" t="str">
        <f t="shared" ca="1" si="25"/>
        <v/>
      </c>
      <c r="K794" s="19">
        <f>IF(A794="","",COUNTIFS(Resumen!$N$2:$N$2999,ROW(),Resumen!$V$2:$V$2999,1))</f>
        <v/>
      </c>
      <c r="L794" s="20"/>
      <c r="N7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5" spans="1:14">
      <c r="A795" s="16"/>
      <c r="B795" s="16"/>
      <c r="C795" s="17"/>
      <c r="D795" s="17"/>
      <c r="E795" s="17"/>
      <c r="F795" s="18"/>
      <c r="G795" s="19" t="str">
        <f t="shared" ca="1" si="24"/>
        <v/>
      </c>
      <c r="H795" s="18"/>
      <c r="I795" s="18"/>
      <c r="J795" s="77" t="str">
        <f t="shared" ca="1" si="25"/>
        <v/>
      </c>
      <c r="K795" s="19">
        <f>IF(A795="","",COUNTIFS(Resumen!$N$2:$N$2999,ROW(),Resumen!$V$2:$V$2999,1))</f>
        <v/>
      </c>
      <c r="L795" s="20"/>
      <c r="N7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6" spans="1:14">
      <c r="A796" s="16"/>
      <c r="B796" s="16"/>
      <c r="C796" s="17"/>
      <c r="D796" s="17"/>
      <c r="E796" s="17"/>
      <c r="F796" s="18"/>
      <c r="G796" s="19" t="str">
        <f t="shared" ca="1" si="24"/>
        <v/>
      </c>
      <c r="H796" s="18"/>
      <c r="I796" s="18"/>
      <c r="J796" s="77" t="str">
        <f t="shared" ca="1" si="25"/>
        <v/>
      </c>
      <c r="K796" s="19">
        <f>IF(A796="","",COUNTIFS(Resumen!$N$2:$N$2999,ROW(),Resumen!$V$2:$V$2999,1))</f>
        <v/>
      </c>
      <c r="L796" s="20"/>
      <c r="N7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7" spans="1:14">
      <c r="A797" s="16"/>
      <c r="B797" s="16"/>
      <c r="C797" s="17"/>
      <c r="D797" s="17"/>
      <c r="E797" s="17"/>
      <c r="F797" s="18"/>
      <c r="G797" s="19" t="str">
        <f t="shared" ca="1" si="24"/>
        <v/>
      </c>
      <c r="H797" s="18"/>
      <c r="I797" s="18"/>
      <c r="J797" s="77" t="str">
        <f t="shared" ca="1" si="25"/>
        <v/>
      </c>
      <c r="K797" s="19">
        <f>IF(A797="","",COUNTIFS(Resumen!$N$2:$N$2999,ROW(),Resumen!$V$2:$V$2999,1))</f>
        <v/>
      </c>
      <c r="L797" s="20"/>
      <c r="N7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8" spans="1:14">
      <c r="A798" s="16"/>
      <c r="B798" s="16"/>
      <c r="C798" s="17"/>
      <c r="D798" s="17"/>
      <c r="E798" s="17"/>
      <c r="F798" s="18"/>
      <c r="G798" s="19" t="str">
        <f t="shared" ca="1" si="24"/>
        <v/>
      </c>
      <c r="H798" s="18"/>
      <c r="I798" s="18"/>
      <c r="J798" s="77" t="str">
        <f t="shared" ca="1" si="25"/>
        <v/>
      </c>
      <c r="K798" s="19">
        <f>IF(A798="","",COUNTIFS(Resumen!$N$2:$N$2999,ROW(),Resumen!$V$2:$V$2999,1))</f>
        <v/>
      </c>
      <c r="L798" s="20"/>
      <c r="N7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799" spans="1:14">
      <c r="A799" s="16"/>
      <c r="B799" s="16"/>
      <c r="C799" s="17"/>
      <c r="D799" s="17"/>
      <c r="E799" s="17"/>
      <c r="F799" s="18"/>
      <c r="G799" s="19" t="str">
        <f t="shared" ca="1" si="24"/>
        <v/>
      </c>
      <c r="H799" s="18"/>
      <c r="I799" s="18"/>
      <c r="J799" s="77" t="str">
        <f t="shared" ca="1" si="25"/>
        <v/>
      </c>
      <c r="K799" s="19">
        <f>IF(A799="","",COUNTIFS(Resumen!$N$2:$N$2999,ROW(),Resumen!$V$2:$V$2999,1))</f>
        <v/>
      </c>
      <c r="L799" s="20"/>
      <c r="N7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0" spans="1:14">
      <c r="A800" s="16"/>
      <c r="B800" s="16"/>
      <c r="C800" s="17"/>
      <c r="D800" s="17"/>
      <c r="E800" s="17"/>
      <c r="F800" s="18"/>
      <c r="G800" s="19" t="str">
        <f t="shared" ca="1" si="24"/>
        <v/>
      </c>
      <c r="H800" s="18"/>
      <c r="I800" s="18"/>
      <c r="J800" s="77" t="str">
        <f t="shared" ca="1" si="25"/>
        <v/>
      </c>
      <c r="K800" s="19">
        <f>IF(A800="","",COUNTIFS(Resumen!$N$2:$N$2999,ROW(),Resumen!$V$2:$V$2999,1))</f>
        <v/>
      </c>
      <c r="L800" s="20"/>
      <c r="N8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1" spans="1:14">
      <c r="A801" s="16"/>
      <c r="B801" s="16"/>
      <c r="C801" s="17"/>
      <c r="D801" s="17"/>
      <c r="E801" s="17"/>
      <c r="F801" s="18"/>
      <c r="G801" s="19" t="str">
        <f t="shared" ca="1" si="24"/>
        <v/>
      </c>
      <c r="H801" s="18"/>
      <c r="I801" s="18"/>
      <c r="J801" s="77" t="str">
        <f t="shared" ca="1" si="25"/>
        <v/>
      </c>
      <c r="K801" s="19">
        <f>IF(A801="","",COUNTIFS(Resumen!$N$2:$N$2999,ROW(),Resumen!$V$2:$V$2999,1))</f>
        <v/>
      </c>
      <c r="L801" s="20"/>
      <c r="N8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2" spans="1:14">
      <c r="A802" s="16"/>
      <c r="B802" s="16"/>
      <c r="C802" s="17"/>
      <c r="D802" s="17"/>
      <c r="E802" s="17"/>
      <c r="F802" s="18"/>
      <c r="G802" s="19" t="str">
        <f t="shared" ca="1" si="24"/>
        <v/>
      </c>
      <c r="H802" s="18"/>
      <c r="I802" s="18"/>
      <c r="J802" s="77" t="str">
        <f t="shared" ca="1" si="25"/>
        <v/>
      </c>
      <c r="K802" s="19">
        <f>IF(A802="","",COUNTIFS(Resumen!$N$2:$N$2999,ROW(),Resumen!$V$2:$V$2999,1))</f>
        <v/>
      </c>
      <c r="L802" s="20"/>
      <c r="N8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3" spans="1:14">
      <c r="A803" s="16"/>
      <c r="B803" s="16"/>
      <c r="C803" s="17"/>
      <c r="D803" s="17"/>
      <c r="E803" s="17"/>
      <c r="F803" s="18"/>
      <c r="G803" s="19" t="str">
        <f t="shared" ca="1" si="24"/>
        <v/>
      </c>
      <c r="H803" s="18"/>
      <c r="I803" s="18"/>
      <c r="J803" s="77" t="str">
        <f t="shared" ca="1" si="25"/>
        <v/>
      </c>
      <c r="K803" s="19">
        <f>IF(A803="","",COUNTIFS(Resumen!$N$2:$N$2999,ROW(),Resumen!$V$2:$V$2999,1))</f>
        <v/>
      </c>
      <c r="L803" s="20"/>
      <c r="N8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4" spans="1:14">
      <c r="A804" s="16"/>
      <c r="B804" s="16"/>
      <c r="C804" s="17"/>
      <c r="D804" s="17"/>
      <c r="E804" s="17"/>
      <c r="F804" s="18"/>
      <c r="G804" s="19" t="str">
        <f t="shared" ca="1" si="24"/>
        <v/>
      </c>
      <c r="H804" s="18"/>
      <c r="I804" s="18"/>
      <c r="J804" s="77" t="str">
        <f t="shared" ca="1" si="25"/>
        <v/>
      </c>
      <c r="K804" s="19">
        <f>IF(A804="","",COUNTIFS(Resumen!$N$2:$N$2999,ROW(),Resumen!$V$2:$V$2999,1))</f>
        <v/>
      </c>
      <c r="L804" s="20"/>
      <c r="N8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5" spans="1:14">
      <c r="A805" s="16"/>
      <c r="B805" s="16"/>
      <c r="C805" s="17"/>
      <c r="D805" s="17"/>
      <c r="E805" s="17"/>
      <c r="F805" s="18"/>
      <c r="G805" s="19" t="str">
        <f t="shared" ca="1" si="24"/>
        <v/>
      </c>
      <c r="H805" s="18"/>
      <c r="I805" s="18"/>
      <c r="J805" s="77" t="str">
        <f t="shared" ca="1" si="25"/>
        <v/>
      </c>
      <c r="K805" s="19">
        <f>IF(A805="","",COUNTIFS(Resumen!$N$2:$N$2999,ROW(),Resumen!$V$2:$V$2999,1))</f>
        <v/>
      </c>
      <c r="L805" s="20"/>
      <c r="N8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6" spans="1:14">
      <c r="A806" s="16"/>
      <c r="B806" s="16"/>
      <c r="C806" s="17"/>
      <c r="D806" s="17"/>
      <c r="E806" s="17"/>
      <c r="F806" s="18"/>
      <c r="G806" s="19" t="str">
        <f t="shared" ca="1" si="24"/>
        <v/>
      </c>
      <c r="H806" s="18"/>
      <c r="I806" s="18"/>
      <c r="J806" s="77" t="str">
        <f t="shared" ca="1" si="25"/>
        <v/>
      </c>
      <c r="K806" s="19">
        <f>IF(A806="","",COUNTIFS(Resumen!$N$2:$N$2999,ROW(),Resumen!$V$2:$V$2999,1))</f>
        <v/>
      </c>
      <c r="L806" s="20"/>
      <c r="N8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7" spans="1:14">
      <c r="A807" s="16"/>
      <c r="B807" s="16"/>
      <c r="C807" s="17"/>
      <c r="D807" s="17"/>
      <c r="E807" s="17"/>
      <c r="F807" s="18"/>
      <c r="G807" s="19" t="str">
        <f t="shared" ca="1" si="24"/>
        <v/>
      </c>
      <c r="H807" s="18"/>
      <c r="I807" s="18"/>
      <c r="J807" s="77" t="str">
        <f t="shared" ca="1" si="25"/>
        <v/>
      </c>
      <c r="K807" s="19">
        <f>IF(A807="","",COUNTIFS(Resumen!$N$2:$N$2999,ROW(),Resumen!$V$2:$V$2999,1))</f>
        <v/>
      </c>
      <c r="L807" s="20"/>
      <c r="N8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8" spans="1:14">
      <c r="A808" s="16"/>
      <c r="B808" s="16"/>
      <c r="C808" s="17"/>
      <c r="D808" s="17"/>
      <c r="E808" s="17"/>
      <c r="F808" s="18"/>
      <c r="G808" s="19" t="str">
        <f t="shared" ca="1" si="24"/>
        <v/>
      </c>
      <c r="H808" s="18"/>
      <c r="I808" s="18"/>
      <c r="J808" s="77" t="str">
        <f t="shared" ca="1" si="25"/>
        <v/>
      </c>
      <c r="K808" s="19">
        <f>IF(A808="","",COUNTIFS(Resumen!$N$2:$N$2999,ROW(),Resumen!$V$2:$V$2999,1))</f>
        <v/>
      </c>
      <c r="L808" s="20"/>
      <c r="N8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09" spans="1:14">
      <c r="A809" s="16"/>
      <c r="B809" s="16"/>
      <c r="C809" s="17"/>
      <c r="D809" s="17"/>
      <c r="E809" s="17"/>
      <c r="F809" s="18"/>
      <c r="G809" s="19" t="str">
        <f t="shared" ca="1" si="24"/>
        <v/>
      </c>
      <c r="H809" s="18"/>
      <c r="I809" s="18"/>
      <c r="J809" s="77" t="str">
        <f t="shared" ca="1" si="25"/>
        <v/>
      </c>
      <c r="K809" s="19">
        <f>IF(A809="","",COUNTIFS(Resumen!$N$2:$N$2999,ROW(),Resumen!$V$2:$V$2999,1))</f>
        <v/>
      </c>
      <c r="L809" s="20"/>
      <c r="N8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0" spans="1:14">
      <c r="A810" s="16"/>
      <c r="B810" s="16"/>
      <c r="C810" s="17"/>
      <c r="D810" s="17"/>
      <c r="E810" s="17"/>
      <c r="F810" s="18"/>
      <c r="G810" s="19" t="str">
        <f t="shared" ca="1" si="24"/>
        <v/>
      </c>
      <c r="H810" s="18"/>
      <c r="I810" s="18"/>
      <c r="J810" s="77" t="str">
        <f t="shared" ca="1" si="25"/>
        <v/>
      </c>
      <c r="K810" s="19">
        <f>IF(A810="","",COUNTIFS(Resumen!$N$2:$N$2999,ROW(),Resumen!$V$2:$V$2999,1))</f>
        <v/>
      </c>
      <c r="L810" s="20"/>
      <c r="N8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1" spans="1:14">
      <c r="A811" s="16"/>
      <c r="B811" s="16"/>
      <c r="C811" s="17"/>
      <c r="D811" s="17"/>
      <c r="E811" s="17"/>
      <c r="F811" s="18"/>
      <c r="G811" s="19" t="str">
        <f t="shared" ca="1" si="24"/>
        <v/>
      </c>
      <c r="H811" s="18"/>
      <c r="I811" s="18"/>
      <c r="J811" s="77" t="str">
        <f t="shared" ca="1" si="25"/>
        <v/>
      </c>
      <c r="K811" s="19">
        <f>IF(A811="","",COUNTIFS(Resumen!$N$2:$N$2999,ROW(),Resumen!$V$2:$V$2999,1))</f>
        <v/>
      </c>
      <c r="L811" s="20"/>
      <c r="N8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2" spans="1:14">
      <c r="A812" s="16"/>
      <c r="B812" s="16"/>
      <c r="C812" s="17"/>
      <c r="D812" s="17"/>
      <c r="E812" s="17"/>
      <c r="F812" s="18"/>
      <c r="G812" s="19" t="str">
        <f t="shared" ca="1" si="24"/>
        <v/>
      </c>
      <c r="H812" s="18"/>
      <c r="I812" s="18"/>
      <c r="J812" s="77" t="str">
        <f t="shared" ca="1" si="25"/>
        <v/>
      </c>
      <c r="K812" s="19">
        <f>IF(A812="","",COUNTIFS(Resumen!$N$2:$N$2999,ROW(),Resumen!$V$2:$V$2999,1))</f>
        <v/>
      </c>
      <c r="L812" s="20"/>
      <c r="N8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3" spans="1:14">
      <c r="A813" s="16"/>
      <c r="B813" s="16"/>
      <c r="C813" s="17"/>
      <c r="D813" s="17"/>
      <c r="E813" s="17"/>
      <c r="F813" s="18"/>
      <c r="G813" s="19" t="str">
        <f t="shared" ca="1" si="24"/>
        <v/>
      </c>
      <c r="H813" s="18"/>
      <c r="I813" s="18"/>
      <c r="J813" s="77" t="str">
        <f t="shared" ca="1" si="25"/>
        <v/>
      </c>
      <c r="K813" s="19">
        <f>IF(A813="","",COUNTIFS(Resumen!$N$2:$N$2999,ROW(),Resumen!$V$2:$V$2999,1))</f>
        <v/>
      </c>
      <c r="L813" s="20"/>
      <c r="N8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4" spans="1:14">
      <c r="A814" s="16"/>
      <c r="B814" s="16"/>
      <c r="C814" s="17"/>
      <c r="D814" s="17"/>
      <c r="E814" s="17"/>
      <c r="F814" s="18"/>
      <c r="G814" s="19" t="str">
        <f t="shared" ca="1" si="24"/>
        <v/>
      </c>
      <c r="H814" s="18"/>
      <c r="I814" s="18"/>
      <c r="J814" s="77" t="str">
        <f t="shared" ca="1" si="25"/>
        <v/>
      </c>
      <c r="K814" s="19">
        <f>IF(A814="","",COUNTIFS(Resumen!$N$2:$N$2999,ROW(),Resumen!$V$2:$V$2999,1))</f>
        <v/>
      </c>
      <c r="L814" s="20"/>
      <c r="N8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5" spans="1:14">
      <c r="A815" s="16"/>
      <c r="B815" s="16"/>
      <c r="C815" s="17"/>
      <c r="D815" s="17"/>
      <c r="E815" s="17"/>
      <c r="F815" s="18"/>
      <c r="G815" s="19" t="str">
        <f t="shared" ca="1" si="24"/>
        <v/>
      </c>
      <c r="H815" s="18"/>
      <c r="I815" s="18"/>
      <c r="J815" s="77" t="str">
        <f t="shared" ca="1" si="25"/>
        <v/>
      </c>
      <c r="K815" s="19">
        <f>IF(A815="","",COUNTIFS(Resumen!$N$2:$N$2999,ROW(),Resumen!$V$2:$V$2999,1))</f>
        <v/>
      </c>
      <c r="L815" s="20"/>
      <c r="N8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6" spans="1:14">
      <c r="A816" s="16"/>
      <c r="B816" s="16"/>
      <c r="C816" s="17"/>
      <c r="D816" s="17"/>
      <c r="E816" s="17"/>
      <c r="F816" s="18"/>
      <c r="G816" s="19" t="str">
        <f t="shared" ca="1" si="24"/>
        <v/>
      </c>
      <c r="H816" s="18"/>
      <c r="I816" s="18"/>
      <c r="J816" s="77" t="str">
        <f t="shared" ca="1" si="25"/>
        <v/>
      </c>
      <c r="K816" s="19">
        <f>IF(A816="","",COUNTIFS(Resumen!$N$2:$N$2999,ROW(),Resumen!$V$2:$V$2999,1))</f>
        <v/>
      </c>
      <c r="L816" s="20"/>
      <c r="N8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7" spans="1:14">
      <c r="A817" s="16"/>
      <c r="B817" s="16"/>
      <c r="C817" s="17"/>
      <c r="D817" s="17"/>
      <c r="E817" s="17"/>
      <c r="F817" s="18"/>
      <c r="G817" s="19" t="str">
        <f t="shared" ca="1" si="24"/>
        <v/>
      </c>
      <c r="H817" s="18"/>
      <c r="I817" s="18"/>
      <c r="J817" s="77" t="str">
        <f t="shared" ca="1" si="25"/>
        <v/>
      </c>
      <c r="K817" s="19">
        <f>IF(A817="","",COUNTIFS(Resumen!$N$2:$N$2999,ROW(),Resumen!$V$2:$V$2999,1))</f>
        <v/>
      </c>
      <c r="L817" s="20"/>
      <c r="N8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8" spans="1:14">
      <c r="A818" s="16"/>
      <c r="B818" s="16"/>
      <c r="C818" s="17"/>
      <c r="D818" s="17"/>
      <c r="E818" s="17"/>
      <c r="F818" s="18"/>
      <c r="G818" s="19" t="str">
        <f t="shared" ca="1" si="24"/>
        <v/>
      </c>
      <c r="H818" s="18"/>
      <c r="I818" s="18"/>
      <c r="J818" s="77" t="str">
        <f t="shared" ca="1" si="25"/>
        <v/>
      </c>
      <c r="K818" s="19">
        <f>IF(A818="","",COUNTIFS(Resumen!$N$2:$N$2999,ROW(),Resumen!$V$2:$V$2999,1))</f>
        <v/>
      </c>
      <c r="L818" s="20"/>
      <c r="N8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19" spans="1:14">
      <c r="A819" s="16"/>
      <c r="B819" s="16"/>
      <c r="C819" s="17"/>
      <c r="D819" s="17"/>
      <c r="E819" s="17"/>
      <c r="F819" s="18"/>
      <c r="G819" s="19" t="str">
        <f t="shared" ca="1" si="24"/>
        <v/>
      </c>
      <c r="H819" s="18"/>
      <c r="I819" s="18"/>
      <c r="J819" s="77" t="str">
        <f t="shared" ca="1" si="25"/>
        <v/>
      </c>
      <c r="K819" s="19">
        <f>IF(A819="","",COUNTIFS(Resumen!$N$2:$N$2999,ROW(),Resumen!$V$2:$V$2999,1))</f>
        <v/>
      </c>
      <c r="L819" s="20"/>
      <c r="N8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0" spans="1:14">
      <c r="A820" s="16"/>
      <c r="B820" s="16"/>
      <c r="C820" s="17"/>
      <c r="D820" s="17"/>
      <c r="E820" s="17"/>
      <c r="F820" s="18"/>
      <c r="G820" s="19" t="str">
        <f t="shared" ca="1" si="24"/>
        <v/>
      </c>
      <c r="H820" s="18"/>
      <c r="I820" s="18"/>
      <c r="J820" s="77" t="str">
        <f t="shared" ca="1" si="25"/>
        <v/>
      </c>
      <c r="K820" s="19">
        <f>IF(A820="","",COUNTIFS(Resumen!$N$2:$N$2999,ROW(),Resumen!$V$2:$V$2999,1))</f>
        <v/>
      </c>
      <c r="L820" s="20"/>
      <c r="N8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1" spans="1:14">
      <c r="A821" s="16"/>
      <c r="B821" s="16"/>
      <c r="C821" s="17"/>
      <c r="D821" s="17"/>
      <c r="E821" s="17"/>
      <c r="F821" s="18"/>
      <c r="G821" s="19" t="str">
        <f t="shared" ca="1" si="24"/>
        <v/>
      </c>
      <c r="H821" s="18"/>
      <c r="I821" s="18"/>
      <c r="J821" s="77" t="str">
        <f t="shared" ca="1" si="25"/>
        <v/>
      </c>
      <c r="K821" s="19">
        <f>IF(A821="","",COUNTIFS(Resumen!$N$2:$N$2999,ROW(),Resumen!$V$2:$V$2999,1))</f>
        <v/>
      </c>
      <c r="L821" s="20"/>
      <c r="N8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2" spans="1:14">
      <c r="A822" s="16"/>
      <c r="B822" s="16"/>
      <c r="C822" s="17"/>
      <c r="D822" s="17"/>
      <c r="E822" s="17"/>
      <c r="F822" s="18"/>
      <c r="G822" s="19" t="str">
        <f t="shared" ca="1" si="24"/>
        <v/>
      </c>
      <c r="H822" s="18"/>
      <c r="I822" s="18"/>
      <c r="J822" s="77" t="str">
        <f t="shared" ca="1" si="25"/>
        <v/>
      </c>
      <c r="K822" s="19">
        <f>IF(A822="","",COUNTIFS(Resumen!$N$2:$N$2999,ROW(),Resumen!$V$2:$V$2999,1))</f>
        <v/>
      </c>
      <c r="L822" s="20"/>
      <c r="N8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3" spans="1:14">
      <c r="A823" s="16"/>
      <c r="B823" s="16"/>
      <c r="C823" s="17"/>
      <c r="D823" s="17"/>
      <c r="E823" s="17"/>
      <c r="F823" s="18"/>
      <c r="G823" s="19" t="str">
        <f t="shared" ca="1" si="24"/>
        <v/>
      </c>
      <c r="H823" s="18"/>
      <c r="I823" s="18"/>
      <c r="J823" s="77" t="str">
        <f t="shared" ca="1" si="25"/>
        <v/>
      </c>
      <c r="K823" s="19">
        <f>IF(A823="","",COUNTIFS(Resumen!$N$2:$N$2999,ROW(),Resumen!$V$2:$V$2999,1))</f>
        <v/>
      </c>
      <c r="L823" s="20"/>
      <c r="N8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4" spans="1:14">
      <c r="A824" s="16"/>
      <c r="B824" s="16"/>
      <c r="C824" s="17"/>
      <c r="D824" s="17"/>
      <c r="E824" s="17"/>
      <c r="F824" s="18"/>
      <c r="G824" s="19" t="str">
        <f t="shared" ca="1" si="24"/>
        <v/>
      </c>
      <c r="H824" s="18"/>
      <c r="I824" s="18"/>
      <c r="J824" s="77" t="str">
        <f t="shared" ca="1" si="25"/>
        <v/>
      </c>
      <c r="K824" s="19">
        <f>IF(A824="","",COUNTIFS(Resumen!$N$2:$N$2999,ROW(),Resumen!$V$2:$V$2999,1))</f>
        <v/>
      </c>
      <c r="L824" s="20"/>
      <c r="N8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5" spans="1:14">
      <c r="A825" s="16"/>
      <c r="B825" s="16"/>
      <c r="C825" s="17"/>
      <c r="D825" s="17"/>
      <c r="E825" s="17"/>
      <c r="F825" s="18"/>
      <c r="G825" s="19" t="str">
        <f t="shared" ca="1" si="24"/>
        <v/>
      </c>
      <c r="H825" s="18"/>
      <c r="I825" s="18"/>
      <c r="J825" s="77" t="str">
        <f t="shared" ca="1" si="25"/>
        <v/>
      </c>
      <c r="K825" s="19">
        <f>IF(A825="","",COUNTIFS(Resumen!$N$2:$N$2999,ROW(),Resumen!$V$2:$V$2999,1))</f>
        <v/>
      </c>
      <c r="L825" s="20"/>
      <c r="N8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6" spans="1:14">
      <c r="A826" s="16"/>
      <c r="B826" s="16"/>
      <c r="C826" s="17"/>
      <c r="D826" s="17"/>
      <c r="E826" s="17"/>
      <c r="F826" s="18"/>
      <c r="G826" s="19" t="str">
        <f t="shared" ca="1" si="24"/>
        <v/>
      </c>
      <c r="H826" s="18"/>
      <c r="I826" s="18"/>
      <c r="J826" s="77" t="str">
        <f t="shared" ca="1" si="25"/>
        <v/>
      </c>
      <c r="K826" s="19">
        <f>IF(A826="","",COUNTIFS(Resumen!$N$2:$N$2999,ROW(),Resumen!$V$2:$V$2999,1))</f>
        <v/>
      </c>
      <c r="L826" s="20"/>
      <c r="N8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7" spans="1:14">
      <c r="A827" s="16"/>
      <c r="B827" s="16"/>
      <c r="C827" s="17"/>
      <c r="D827" s="17"/>
      <c r="E827" s="17"/>
      <c r="F827" s="18"/>
      <c r="G827" s="19" t="str">
        <f t="shared" ca="1" si="24"/>
        <v/>
      </c>
      <c r="H827" s="18"/>
      <c r="I827" s="18"/>
      <c r="J827" s="77" t="str">
        <f t="shared" ca="1" si="25"/>
        <v/>
      </c>
      <c r="K827" s="19">
        <f>IF(A827="","",COUNTIFS(Resumen!$N$2:$N$2999,ROW(),Resumen!$V$2:$V$2999,1))</f>
        <v/>
      </c>
      <c r="L827" s="20"/>
      <c r="N8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8" spans="1:14">
      <c r="A828" s="16"/>
      <c r="B828" s="16"/>
      <c r="C828" s="17"/>
      <c r="D828" s="17"/>
      <c r="E828" s="17"/>
      <c r="F828" s="18"/>
      <c r="G828" s="19" t="str">
        <f t="shared" ca="1" si="24"/>
        <v/>
      </c>
      <c r="H828" s="18"/>
      <c r="I828" s="18"/>
      <c r="J828" s="77" t="str">
        <f t="shared" ca="1" si="25"/>
        <v/>
      </c>
      <c r="K828" s="19">
        <f>IF(A828="","",COUNTIFS(Resumen!$N$2:$N$2999,ROW(),Resumen!$V$2:$V$2999,1))</f>
        <v/>
      </c>
      <c r="L828" s="20"/>
      <c r="N8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29" spans="1:14">
      <c r="A829" s="16"/>
      <c r="B829" s="16"/>
      <c r="C829" s="17"/>
      <c r="D829" s="17"/>
      <c r="E829" s="17"/>
      <c r="F829" s="18"/>
      <c r="G829" s="19" t="str">
        <f t="shared" ca="1" si="24"/>
        <v/>
      </c>
      <c r="H829" s="18"/>
      <c r="I829" s="18"/>
      <c r="J829" s="77" t="str">
        <f t="shared" ca="1" si="25"/>
        <v/>
      </c>
      <c r="K829" s="19">
        <f>IF(A829="","",COUNTIFS(Resumen!$N$2:$N$2999,ROW(),Resumen!$V$2:$V$2999,1))</f>
        <v/>
      </c>
      <c r="L829" s="20"/>
      <c r="N8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0" spans="1:14">
      <c r="A830" s="16"/>
      <c r="B830" s="16"/>
      <c r="C830" s="17"/>
      <c r="D830" s="17"/>
      <c r="E830" s="17"/>
      <c r="F830" s="18"/>
      <c r="G830" s="19" t="str">
        <f t="shared" ca="1" si="24"/>
        <v/>
      </c>
      <c r="H830" s="18"/>
      <c r="I830" s="18"/>
      <c r="J830" s="77" t="str">
        <f t="shared" ca="1" si="25"/>
        <v/>
      </c>
      <c r="K830" s="19">
        <f>IF(A830="","",COUNTIFS(Resumen!$N$2:$N$2999,ROW(),Resumen!$V$2:$V$2999,1))</f>
        <v/>
      </c>
      <c r="L830" s="20"/>
      <c r="N8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1" spans="1:14">
      <c r="A831" s="16"/>
      <c r="B831" s="16"/>
      <c r="C831" s="17"/>
      <c r="D831" s="17"/>
      <c r="E831" s="17"/>
      <c r="F831" s="18"/>
      <c r="G831" s="19" t="str">
        <f t="shared" ca="1" si="24"/>
        <v/>
      </c>
      <c r="H831" s="18"/>
      <c r="I831" s="18"/>
      <c r="J831" s="77" t="str">
        <f t="shared" ca="1" si="25"/>
        <v/>
      </c>
      <c r="K831" s="19">
        <f>IF(A831="","",COUNTIFS(Resumen!$N$2:$N$2999,ROW(),Resumen!$V$2:$V$2999,1))</f>
        <v/>
      </c>
      <c r="L831" s="20"/>
      <c r="N8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2" spans="1:14">
      <c r="A832" s="16"/>
      <c r="B832" s="16"/>
      <c r="C832" s="17"/>
      <c r="D832" s="17"/>
      <c r="E832" s="17"/>
      <c r="F832" s="18"/>
      <c r="G832" s="19" t="str">
        <f t="shared" ca="1" si="24"/>
        <v/>
      </c>
      <c r="H832" s="18"/>
      <c r="I832" s="18"/>
      <c r="J832" s="77" t="str">
        <f t="shared" ca="1" si="25"/>
        <v/>
      </c>
      <c r="K832" s="19">
        <f>IF(A832="","",COUNTIFS(Resumen!$N$2:$N$2999,ROW(),Resumen!$V$2:$V$2999,1))</f>
        <v/>
      </c>
      <c r="L832" s="20"/>
      <c r="N8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3" spans="1:14">
      <c r="A833" s="16"/>
      <c r="B833" s="16"/>
      <c r="C833" s="17"/>
      <c r="D833" s="17"/>
      <c r="E833" s="17"/>
      <c r="F833" s="18"/>
      <c r="G833" s="19" t="str">
        <f t="shared" ca="1" si="24"/>
        <v/>
      </c>
      <c r="H833" s="18"/>
      <c r="I833" s="18"/>
      <c r="J833" s="77" t="str">
        <f t="shared" ca="1" si="25"/>
        <v/>
      </c>
      <c r="K833" s="19">
        <f>IF(A833="","",COUNTIFS(Resumen!$N$2:$N$2999,ROW(),Resumen!$V$2:$V$2999,1))</f>
        <v/>
      </c>
      <c r="L833" s="20"/>
      <c r="N8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4" spans="1:14">
      <c r="A834" s="16"/>
      <c r="B834" s="16"/>
      <c r="C834" s="17"/>
      <c r="D834" s="17"/>
      <c r="E834" s="17"/>
      <c r="F834" s="18"/>
      <c r="G834" s="19" t="str">
        <f t="shared" ref="G834:G897" ca="1" si="26">IF(F834="", "", DATEDIF(F834, TODAY(), "Y"))</f>
        <v/>
      </c>
      <c r="H834" s="18"/>
      <c r="I834" s="18"/>
      <c r="J834" s="77" t="str">
        <f t="shared" ref="J834:J897" ca="1" si="27">IFERROR(IF(ISNUMBER(INDEX(VigenciasFamilia,ROW())),INDEX(VigenciasFamilia,ROW())-TODAY(),""),"")</f>
        <v/>
      </c>
      <c r="K834" s="19">
        <f>IF(A834="","",COUNTIFS(Resumen!$N$2:$N$2999,ROW(),Resumen!$V$2:$V$2999,1))</f>
        <v/>
      </c>
      <c r="L834" s="20"/>
      <c r="N8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5" spans="1:14">
      <c r="A835" s="16"/>
      <c r="B835" s="16"/>
      <c r="C835" s="17"/>
      <c r="D835" s="17"/>
      <c r="E835" s="17"/>
      <c r="F835" s="18"/>
      <c r="G835" s="19" t="str">
        <f t="shared" ca="1" si="26"/>
        <v/>
      </c>
      <c r="H835" s="18"/>
      <c r="I835" s="18"/>
      <c r="J835" s="77" t="str">
        <f t="shared" ca="1" si="27"/>
        <v/>
      </c>
      <c r="K835" s="19">
        <f>IF(A835="","",COUNTIFS(Resumen!$N$2:$N$2999,ROW(),Resumen!$V$2:$V$2999,1))</f>
        <v/>
      </c>
      <c r="L835" s="20"/>
      <c r="N8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6" spans="1:14">
      <c r="A836" s="16"/>
      <c r="B836" s="16"/>
      <c r="C836" s="17"/>
      <c r="D836" s="17"/>
      <c r="E836" s="17"/>
      <c r="F836" s="18"/>
      <c r="G836" s="19" t="str">
        <f t="shared" ca="1" si="26"/>
        <v/>
      </c>
      <c r="H836" s="18"/>
      <c r="I836" s="18"/>
      <c r="J836" s="77" t="str">
        <f t="shared" ca="1" si="27"/>
        <v/>
      </c>
      <c r="K836" s="19">
        <f>IF(A836="","",COUNTIFS(Resumen!$N$2:$N$2999,ROW(),Resumen!$V$2:$V$2999,1))</f>
        <v/>
      </c>
      <c r="L836" s="20"/>
      <c r="N8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7" spans="1:14">
      <c r="A837" s="16"/>
      <c r="B837" s="16"/>
      <c r="C837" s="17"/>
      <c r="D837" s="17"/>
      <c r="E837" s="17"/>
      <c r="F837" s="18"/>
      <c r="G837" s="19" t="str">
        <f t="shared" ca="1" si="26"/>
        <v/>
      </c>
      <c r="H837" s="18"/>
      <c r="I837" s="18"/>
      <c r="J837" s="77" t="str">
        <f t="shared" ca="1" si="27"/>
        <v/>
      </c>
      <c r="K837" s="19">
        <f>IF(A837="","",COUNTIFS(Resumen!$N$2:$N$2999,ROW(),Resumen!$V$2:$V$2999,1))</f>
        <v/>
      </c>
      <c r="L837" s="20"/>
      <c r="N8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8" spans="1:14">
      <c r="A838" s="16"/>
      <c r="B838" s="16"/>
      <c r="C838" s="17"/>
      <c r="D838" s="17"/>
      <c r="E838" s="17"/>
      <c r="F838" s="18"/>
      <c r="G838" s="19" t="str">
        <f t="shared" ca="1" si="26"/>
        <v/>
      </c>
      <c r="H838" s="18"/>
      <c r="I838" s="18"/>
      <c r="J838" s="77" t="str">
        <f t="shared" ca="1" si="27"/>
        <v/>
      </c>
      <c r="K838" s="19">
        <f>IF(A838="","",COUNTIFS(Resumen!$N$2:$N$2999,ROW(),Resumen!$V$2:$V$2999,1))</f>
        <v/>
      </c>
      <c r="L838" s="20"/>
      <c r="N8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39" spans="1:14">
      <c r="A839" s="16"/>
      <c r="B839" s="16"/>
      <c r="C839" s="17"/>
      <c r="D839" s="17"/>
      <c r="E839" s="17"/>
      <c r="F839" s="18"/>
      <c r="G839" s="19" t="str">
        <f t="shared" ca="1" si="26"/>
        <v/>
      </c>
      <c r="H839" s="18"/>
      <c r="I839" s="18"/>
      <c r="J839" s="77" t="str">
        <f t="shared" ca="1" si="27"/>
        <v/>
      </c>
      <c r="K839" s="19">
        <f>IF(A839="","",COUNTIFS(Resumen!$N$2:$N$2999,ROW(),Resumen!$V$2:$V$2999,1))</f>
        <v/>
      </c>
      <c r="L839" s="20"/>
      <c r="N8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0" spans="1:14">
      <c r="A840" s="16"/>
      <c r="B840" s="16"/>
      <c r="C840" s="17"/>
      <c r="D840" s="17"/>
      <c r="E840" s="17"/>
      <c r="F840" s="18"/>
      <c r="G840" s="19" t="str">
        <f t="shared" ca="1" si="26"/>
        <v/>
      </c>
      <c r="H840" s="18"/>
      <c r="I840" s="18"/>
      <c r="J840" s="77" t="str">
        <f t="shared" ca="1" si="27"/>
        <v/>
      </c>
      <c r="K840" s="19">
        <f>IF(A840="","",COUNTIFS(Resumen!$N$2:$N$2999,ROW(),Resumen!$V$2:$V$2999,1))</f>
        <v/>
      </c>
      <c r="L840" s="20"/>
      <c r="N8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1" spans="1:14">
      <c r="A841" s="16"/>
      <c r="B841" s="16"/>
      <c r="C841" s="17"/>
      <c r="D841" s="17"/>
      <c r="E841" s="17"/>
      <c r="F841" s="18"/>
      <c r="G841" s="19" t="str">
        <f t="shared" ca="1" si="26"/>
        <v/>
      </c>
      <c r="H841" s="18"/>
      <c r="I841" s="18"/>
      <c r="J841" s="77" t="str">
        <f t="shared" ca="1" si="27"/>
        <v/>
      </c>
      <c r="K841" s="19">
        <f>IF(A841="","",COUNTIFS(Resumen!$N$2:$N$2999,ROW(),Resumen!$V$2:$V$2999,1))</f>
        <v/>
      </c>
      <c r="L841" s="20"/>
      <c r="N8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2" spans="1:14">
      <c r="A842" s="16"/>
      <c r="B842" s="16"/>
      <c r="C842" s="17"/>
      <c r="D842" s="17"/>
      <c r="E842" s="17"/>
      <c r="F842" s="18"/>
      <c r="G842" s="19" t="str">
        <f t="shared" ca="1" si="26"/>
        <v/>
      </c>
      <c r="H842" s="18"/>
      <c r="I842" s="18"/>
      <c r="J842" s="77" t="str">
        <f t="shared" ca="1" si="27"/>
        <v/>
      </c>
      <c r="K842" s="19">
        <f>IF(A842="","",COUNTIFS(Resumen!$N$2:$N$2999,ROW(),Resumen!$V$2:$V$2999,1))</f>
        <v/>
      </c>
      <c r="L842" s="20"/>
      <c r="N8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3" spans="1:14">
      <c r="A843" s="16"/>
      <c r="B843" s="16"/>
      <c r="C843" s="17"/>
      <c r="D843" s="17"/>
      <c r="E843" s="17"/>
      <c r="F843" s="18"/>
      <c r="G843" s="19" t="str">
        <f t="shared" ca="1" si="26"/>
        <v/>
      </c>
      <c r="H843" s="18"/>
      <c r="I843" s="18"/>
      <c r="J843" s="77" t="str">
        <f t="shared" ca="1" si="27"/>
        <v/>
      </c>
      <c r="K843" s="19">
        <f>IF(A843="","",COUNTIFS(Resumen!$N$2:$N$2999,ROW(),Resumen!$V$2:$V$2999,1))</f>
        <v/>
      </c>
      <c r="L843" s="20"/>
      <c r="N8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4" spans="1:14">
      <c r="A844" s="16"/>
      <c r="B844" s="16"/>
      <c r="C844" s="17"/>
      <c r="D844" s="17"/>
      <c r="E844" s="17"/>
      <c r="F844" s="18"/>
      <c r="G844" s="19" t="str">
        <f t="shared" ca="1" si="26"/>
        <v/>
      </c>
      <c r="H844" s="18"/>
      <c r="I844" s="18"/>
      <c r="J844" s="77" t="str">
        <f t="shared" ca="1" si="27"/>
        <v/>
      </c>
      <c r="K844" s="19">
        <f>IF(A844="","",COUNTIFS(Resumen!$N$2:$N$2999,ROW(),Resumen!$V$2:$V$2999,1))</f>
        <v/>
      </c>
      <c r="L844" s="20"/>
      <c r="N8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5" spans="1:14">
      <c r="A845" s="16"/>
      <c r="B845" s="16"/>
      <c r="C845" s="17"/>
      <c r="D845" s="17"/>
      <c r="E845" s="17"/>
      <c r="F845" s="18"/>
      <c r="G845" s="19" t="str">
        <f t="shared" ca="1" si="26"/>
        <v/>
      </c>
      <c r="H845" s="18"/>
      <c r="I845" s="18"/>
      <c r="J845" s="77" t="str">
        <f t="shared" ca="1" si="27"/>
        <v/>
      </c>
      <c r="K845" s="19">
        <f>IF(A845="","",COUNTIFS(Resumen!$N$2:$N$2999,ROW(),Resumen!$V$2:$V$2999,1))</f>
        <v/>
      </c>
      <c r="L845" s="20"/>
      <c r="N8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6" spans="1:14">
      <c r="A846" s="16"/>
      <c r="B846" s="16"/>
      <c r="C846" s="17"/>
      <c r="D846" s="17"/>
      <c r="E846" s="17"/>
      <c r="F846" s="18"/>
      <c r="G846" s="19" t="str">
        <f t="shared" ca="1" si="26"/>
        <v/>
      </c>
      <c r="H846" s="18"/>
      <c r="I846" s="18"/>
      <c r="J846" s="77" t="str">
        <f t="shared" ca="1" si="27"/>
        <v/>
      </c>
      <c r="K846" s="19">
        <f>IF(A846="","",COUNTIFS(Resumen!$N$2:$N$2999,ROW(),Resumen!$V$2:$V$2999,1))</f>
        <v/>
      </c>
      <c r="L846" s="20"/>
      <c r="N8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7" spans="1:14">
      <c r="A847" s="16"/>
      <c r="B847" s="16"/>
      <c r="C847" s="17"/>
      <c r="D847" s="17"/>
      <c r="E847" s="17"/>
      <c r="F847" s="18"/>
      <c r="G847" s="19" t="str">
        <f t="shared" ca="1" si="26"/>
        <v/>
      </c>
      <c r="H847" s="18"/>
      <c r="I847" s="18"/>
      <c r="J847" s="77" t="str">
        <f t="shared" ca="1" si="27"/>
        <v/>
      </c>
      <c r="K847" s="19">
        <f>IF(A847="","",COUNTIFS(Resumen!$N$2:$N$2999,ROW(),Resumen!$V$2:$V$2999,1))</f>
        <v/>
      </c>
      <c r="L847" s="20"/>
      <c r="N8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8" spans="1:14">
      <c r="A848" s="16"/>
      <c r="B848" s="16"/>
      <c r="C848" s="17"/>
      <c r="D848" s="17"/>
      <c r="E848" s="17"/>
      <c r="F848" s="18"/>
      <c r="G848" s="19" t="str">
        <f t="shared" ca="1" si="26"/>
        <v/>
      </c>
      <c r="H848" s="18"/>
      <c r="I848" s="18"/>
      <c r="J848" s="77" t="str">
        <f t="shared" ca="1" si="27"/>
        <v/>
      </c>
      <c r="K848" s="19">
        <f>IF(A848="","",COUNTIFS(Resumen!$N$2:$N$2999,ROW(),Resumen!$V$2:$V$2999,1))</f>
        <v/>
      </c>
      <c r="L848" s="20"/>
      <c r="N8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49" spans="1:14">
      <c r="A849" s="16"/>
      <c r="B849" s="16"/>
      <c r="C849" s="17"/>
      <c r="D849" s="17"/>
      <c r="E849" s="17"/>
      <c r="F849" s="18"/>
      <c r="G849" s="19" t="str">
        <f t="shared" ca="1" si="26"/>
        <v/>
      </c>
      <c r="H849" s="18"/>
      <c r="I849" s="18"/>
      <c r="J849" s="77" t="str">
        <f t="shared" ca="1" si="27"/>
        <v/>
      </c>
      <c r="K849" s="19">
        <f>IF(A849="","",COUNTIFS(Resumen!$N$2:$N$2999,ROW(),Resumen!$V$2:$V$2999,1))</f>
        <v/>
      </c>
      <c r="L849" s="20"/>
      <c r="N8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0" spans="1:14">
      <c r="A850" s="16"/>
      <c r="B850" s="16"/>
      <c r="C850" s="17"/>
      <c r="D850" s="17"/>
      <c r="E850" s="17"/>
      <c r="F850" s="18"/>
      <c r="G850" s="19" t="str">
        <f t="shared" ca="1" si="26"/>
        <v/>
      </c>
      <c r="H850" s="18"/>
      <c r="I850" s="18"/>
      <c r="J850" s="77" t="str">
        <f t="shared" ca="1" si="27"/>
        <v/>
      </c>
      <c r="K850" s="19">
        <f>IF(A850="","",COUNTIFS(Resumen!$N$2:$N$2999,ROW(),Resumen!$V$2:$V$2999,1))</f>
        <v/>
      </c>
      <c r="L850" s="20"/>
      <c r="N8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1" spans="1:14">
      <c r="A851" s="16"/>
      <c r="B851" s="16"/>
      <c r="C851" s="17"/>
      <c r="D851" s="17"/>
      <c r="E851" s="17"/>
      <c r="F851" s="18"/>
      <c r="G851" s="19" t="str">
        <f t="shared" ca="1" si="26"/>
        <v/>
      </c>
      <c r="H851" s="18"/>
      <c r="I851" s="18"/>
      <c r="J851" s="77" t="str">
        <f t="shared" ca="1" si="27"/>
        <v/>
      </c>
      <c r="K851" s="19">
        <f>IF(A851="","",COUNTIFS(Resumen!$N$2:$N$2999,ROW(),Resumen!$V$2:$V$2999,1))</f>
        <v/>
      </c>
      <c r="L851" s="20"/>
      <c r="N8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2" spans="1:14">
      <c r="A852" s="16"/>
      <c r="B852" s="16"/>
      <c r="C852" s="17"/>
      <c r="D852" s="17"/>
      <c r="E852" s="17"/>
      <c r="F852" s="18"/>
      <c r="G852" s="19" t="str">
        <f t="shared" ca="1" si="26"/>
        <v/>
      </c>
      <c r="H852" s="18"/>
      <c r="I852" s="18"/>
      <c r="J852" s="77" t="str">
        <f t="shared" ca="1" si="27"/>
        <v/>
      </c>
      <c r="K852" s="19">
        <f>IF(A852="","",COUNTIFS(Resumen!$N$2:$N$2999,ROW(),Resumen!$V$2:$V$2999,1))</f>
        <v/>
      </c>
      <c r="L852" s="20"/>
      <c r="N8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3" spans="1:14">
      <c r="A853" s="16"/>
      <c r="B853" s="16"/>
      <c r="C853" s="17"/>
      <c r="D853" s="17"/>
      <c r="E853" s="17"/>
      <c r="F853" s="18"/>
      <c r="G853" s="19" t="str">
        <f t="shared" ca="1" si="26"/>
        <v/>
      </c>
      <c r="H853" s="18"/>
      <c r="I853" s="18"/>
      <c r="J853" s="77" t="str">
        <f t="shared" ca="1" si="27"/>
        <v/>
      </c>
      <c r="K853" s="19">
        <f>IF(A853="","",COUNTIFS(Resumen!$N$2:$N$2999,ROW(),Resumen!$V$2:$V$2999,1))</f>
        <v/>
      </c>
      <c r="L853" s="20"/>
      <c r="N8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4" spans="1:14">
      <c r="A854" s="16"/>
      <c r="B854" s="16"/>
      <c r="C854" s="17"/>
      <c r="D854" s="17"/>
      <c r="E854" s="17"/>
      <c r="F854" s="18"/>
      <c r="G854" s="19" t="str">
        <f t="shared" ca="1" si="26"/>
        <v/>
      </c>
      <c r="H854" s="18"/>
      <c r="I854" s="18"/>
      <c r="J854" s="77" t="str">
        <f t="shared" ca="1" si="27"/>
        <v/>
      </c>
      <c r="K854" s="19">
        <f>IF(A854="","",COUNTIFS(Resumen!$N$2:$N$2999,ROW(),Resumen!$V$2:$V$2999,1))</f>
        <v/>
      </c>
      <c r="L854" s="20"/>
      <c r="N8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5" spans="1:14">
      <c r="A855" s="16"/>
      <c r="B855" s="16"/>
      <c r="C855" s="17"/>
      <c r="D855" s="17"/>
      <c r="E855" s="17"/>
      <c r="F855" s="18"/>
      <c r="G855" s="19" t="str">
        <f t="shared" ca="1" si="26"/>
        <v/>
      </c>
      <c r="H855" s="18"/>
      <c r="I855" s="18"/>
      <c r="J855" s="77" t="str">
        <f t="shared" ca="1" si="27"/>
        <v/>
      </c>
      <c r="K855" s="19">
        <f>IF(A855="","",COUNTIFS(Resumen!$N$2:$N$2999,ROW(),Resumen!$V$2:$V$2999,1))</f>
        <v/>
      </c>
      <c r="L855" s="20"/>
      <c r="N8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6" spans="1:14">
      <c r="A856" s="16"/>
      <c r="B856" s="16"/>
      <c r="C856" s="17"/>
      <c r="D856" s="17"/>
      <c r="E856" s="17"/>
      <c r="F856" s="18"/>
      <c r="G856" s="19" t="str">
        <f t="shared" ca="1" si="26"/>
        <v/>
      </c>
      <c r="H856" s="18"/>
      <c r="I856" s="18"/>
      <c r="J856" s="77" t="str">
        <f t="shared" ca="1" si="27"/>
        <v/>
      </c>
      <c r="K856" s="19">
        <f>IF(A856="","",COUNTIFS(Resumen!$N$2:$N$2999,ROW(),Resumen!$V$2:$V$2999,1))</f>
        <v/>
      </c>
      <c r="L856" s="20"/>
      <c r="N8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7" spans="1:14">
      <c r="A857" s="16"/>
      <c r="B857" s="16"/>
      <c r="C857" s="17"/>
      <c r="D857" s="17"/>
      <c r="E857" s="17"/>
      <c r="F857" s="18"/>
      <c r="G857" s="19" t="str">
        <f t="shared" ca="1" si="26"/>
        <v/>
      </c>
      <c r="H857" s="18"/>
      <c r="I857" s="18"/>
      <c r="J857" s="77" t="str">
        <f t="shared" ca="1" si="27"/>
        <v/>
      </c>
      <c r="K857" s="19">
        <f>IF(A857="","",COUNTIFS(Resumen!$N$2:$N$2999,ROW(),Resumen!$V$2:$V$2999,1))</f>
        <v/>
      </c>
      <c r="L857" s="20"/>
      <c r="N8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8" spans="1:14">
      <c r="A858" s="16"/>
      <c r="B858" s="16"/>
      <c r="C858" s="17"/>
      <c r="D858" s="17"/>
      <c r="E858" s="17"/>
      <c r="F858" s="18"/>
      <c r="G858" s="19" t="str">
        <f t="shared" ca="1" si="26"/>
        <v/>
      </c>
      <c r="H858" s="18"/>
      <c r="I858" s="18"/>
      <c r="J858" s="77" t="str">
        <f t="shared" ca="1" si="27"/>
        <v/>
      </c>
      <c r="K858" s="19">
        <f>IF(A858="","",COUNTIFS(Resumen!$N$2:$N$2999,ROW(),Resumen!$V$2:$V$2999,1))</f>
        <v/>
      </c>
      <c r="L858" s="20"/>
      <c r="N8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59" spans="1:14">
      <c r="A859" s="16"/>
      <c r="B859" s="16"/>
      <c r="C859" s="17"/>
      <c r="D859" s="17"/>
      <c r="E859" s="17"/>
      <c r="F859" s="18"/>
      <c r="G859" s="19" t="str">
        <f t="shared" ca="1" si="26"/>
        <v/>
      </c>
      <c r="H859" s="18"/>
      <c r="I859" s="18"/>
      <c r="J859" s="77" t="str">
        <f t="shared" ca="1" si="27"/>
        <v/>
      </c>
      <c r="K859" s="19">
        <f>IF(A859="","",COUNTIFS(Resumen!$N$2:$N$2999,ROW(),Resumen!$V$2:$V$2999,1))</f>
        <v/>
      </c>
      <c r="L859" s="20"/>
      <c r="N8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0" spans="1:14">
      <c r="A860" s="16"/>
      <c r="B860" s="16"/>
      <c r="C860" s="17"/>
      <c r="D860" s="17"/>
      <c r="E860" s="17"/>
      <c r="F860" s="18"/>
      <c r="G860" s="19" t="str">
        <f t="shared" ca="1" si="26"/>
        <v/>
      </c>
      <c r="H860" s="18"/>
      <c r="I860" s="18"/>
      <c r="J860" s="77" t="str">
        <f t="shared" ca="1" si="27"/>
        <v/>
      </c>
      <c r="K860" s="19">
        <f>IF(A860="","",COUNTIFS(Resumen!$N$2:$N$2999,ROW(),Resumen!$V$2:$V$2999,1))</f>
        <v/>
      </c>
      <c r="L860" s="20"/>
      <c r="N8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1" spans="1:14">
      <c r="A861" s="16"/>
      <c r="B861" s="16"/>
      <c r="C861" s="17"/>
      <c r="D861" s="17"/>
      <c r="E861" s="17"/>
      <c r="F861" s="18"/>
      <c r="G861" s="19" t="str">
        <f t="shared" ca="1" si="26"/>
        <v/>
      </c>
      <c r="H861" s="18"/>
      <c r="I861" s="18"/>
      <c r="J861" s="77" t="str">
        <f t="shared" ca="1" si="27"/>
        <v/>
      </c>
      <c r="K861" s="19">
        <f>IF(A861="","",COUNTIFS(Resumen!$N$2:$N$2999,ROW(),Resumen!$V$2:$V$2999,1))</f>
        <v/>
      </c>
      <c r="L861" s="20"/>
      <c r="N8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2" spans="1:14">
      <c r="A862" s="16"/>
      <c r="B862" s="16"/>
      <c r="C862" s="17"/>
      <c r="D862" s="17"/>
      <c r="E862" s="17"/>
      <c r="F862" s="18"/>
      <c r="G862" s="19" t="str">
        <f t="shared" ca="1" si="26"/>
        <v/>
      </c>
      <c r="H862" s="18"/>
      <c r="I862" s="18"/>
      <c r="J862" s="77" t="str">
        <f t="shared" ca="1" si="27"/>
        <v/>
      </c>
      <c r="K862" s="19">
        <f>IF(A862="","",COUNTIFS(Resumen!$N$2:$N$2999,ROW(),Resumen!$V$2:$V$2999,1))</f>
        <v/>
      </c>
      <c r="L862" s="20"/>
      <c r="N8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3" spans="1:14">
      <c r="A863" s="16"/>
      <c r="B863" s="16"/>
      <c r="C863" s="17"/>
      <c r="D863" s="17"/>
      <c r="E863" s="17"/>
      <c r="F863" s="18"/>
      <c r="G863" s="19" t="str">
        <f t="shared" ca="1" si="26"/>
        <v/>
      </c>
      <c r="H863" s="18"/>
      <c r="I863" s="18"/>
      <c r="J863" s="77" t="str">
        <f t="shared" ca="1" si="27"/>
        <v/>
      </c>
      <c r="K863" s="19">
        <f>IF(A863="","",COUNTIFS(Resumen!$N$2:$N$2999,ROW(),Resumen!$V$2:$V$2999,1))</f>
        <v/>
      </c>
      <c r="L863" s="20"/>
      <c r="N8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4" spans="1:14">
      <c r="A864" s="16"/>
      <c r="B864" s="16"/>
      <c r="C864" s="17"/>
      <c r="D864" s="17"/>
      <c r="E864" s="17"/>
      <c r="F864" s="18"/>
      <c r="G864" s="19" t="str">
        <f t="shared" ca="1" si="26"/>
        <v/>
      </c>
      <c r="H864" s="18"/>
      <c r="I864" s="18"/>
      <c r="J864" s="77" t="str">
        <f t="shared" ca="1" si="27"/>
        <v/>
      </c>
      <c r="K864" s="19">
        <f>IF(A864="","",COUNTIFS(Resumen!$N$2:$N$2999,ROW(),Resumen!$V$2:$V$2999,1))</f>
        <v/>
      </c>
      <c r="L864" s="20"/>
      <c r="N8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5" spans="1:14">
      <c r="A865" s="16"/>
      <c r="B865" s="16"/>
      <c r="C865" s="17"/>
      <c r="D865" s="17"/>
      <c r="E865" s="17"/>
      <c r="F865" s="18"/>
      <c r="G865" s="19" t="str">
        <f t="shared" ca="1" si="26"/>
        <v/>
      </c>
      <c r="H865" s="18"/>
      <c r="I865" s="18"/>
      <c r="J865" s="77" t="str">
        <f t="shared" ca="1" si="27"/>
        <v/>
      </c>
      <c r="K865" s="19">
        <f>IF(A865="","",COUNTIFS(Resumen!$N$2:$N$2999,ROW(),Resumen!$V$2:$V$2999,1))</f>
        <v/>
      </c>
      <c r="L865" s="20"/>
      <c r="N8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6" spans="1:14">
      <c r="A866" s="16"/>
      <c r="B866" s="16"/>
      <c r="C866" s="17"/>
      <c r="D866" s="17"/>
      <c r="E866" s="17"/>
      <c r="F866" s="18"/>
      <c r="G866" s="19" t="str">
        <f t="shared" ca="1" si="26"/>
        <v/>
      </c>
      <c r="H866" s="18"/>
      <c r="I866" s="18"/>
      <c r="J866" s="77" t="str">
        <f t="shared" ca="1" si="27"/>
        <v/>
      </c>
      <c r="K866" s="19">
        <f>IF(A866="","",COUNTIFS(Resumen!$N$2:$N$2999,ROW(),Resumen!$V$2:$V$2999,1))</f>
        <v/>
      </c>
      <c r="L866" s="20"/>
      <c r="N8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7" spans="1:14">
      <c r="A867" s="16"/>
      <c r="B867" s="16"/>
      <c r="C867" s="17"/>
      <c r="D867" s="17"/>
      <c r="E867" s="17"/>
      <c r="F867" s="18"/>
      <c r="G867" s="19" t="str">
        <f t="shared" ca="1" si="26"/>
        <v/>
      </c>
      <c r="H867" s="18"/>
      <c r="I867" s="18"/>
      <c r="J867" s="77" t="str">
        <f t="shared" ca="1" si="27"/>
        <v/>
      </c>
      <c r="K867" s="19">
        <f>IF(A867="","",COUNTIFS(Resumen!$N$2:$N$2999,ROW(),Resumen!$V$2:$V$2999,1))</f>
        <v/>
      </c>
      <c r="L867" s="20"/>
      <c r="N8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8" spans="1:14">
      <c r="A868" s="16"/>
      <c r="B868" s="16"/>
      <c r="C868" s="17"/>
      <c r="D868" s="17"/>
      <c r="E868" s="17"/>
      <c r="F868" s="18"/>
      <c r="G868" s="19" t="str">
        <f t="shared" ca="1" si="26"/>
        <v/>
      </c>
      <c r="H868" s="18"/>
      <c r="I868" s="18"/>
      <c r="J868" s="77" t="str">
        <f t="shared" ca="1" si="27"/>
        <v/>
      </c>
      <c r="K868" s="19">
        <f>IF(A868="","",COUNTIFS(Resumen!$N$2:$N$2999,ROW(),Resumen!$V$2:$V$2999,1))</f>
        <v/>
      </c>
      <c r="L868" s="20"/>
      <c r="N8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69" spans="1:14">
      <c r="A869" s="16"/>
      <c r="B869" s="16"/>
      <c r="C869" s="17"/>
      <c r="D869" s="17"/>
      <c r="E869" s="17"/>
      <c r="F869" s="18"/>
      <c r="G869" s="19" t="str">
        <f t="shared" ca="1" si="26"/>
        <v/>
      </c>
      <c r="H869" s="18"/>
      <c r="I869" s="18"/>
      <c r="J869" s="77" t="str">
        <f t="shared" ca="1" si="27"/>
        <v/>
      </c>
      <c r="K869" s="19">
        <f>IF(A869="","",COUNTIFS(Resumen!$N$2:$N$2999,ROW(),Resumen!$V$2:$V$2999,1))</f>
        <v/>
      </c>
      <c r="L869" s="20"/>
      <c r="N8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0" spans="1:14">
      <c r="A870" s="16"/>
      <c r="B870" s="16"/>
      <c r="C870" s="17"/>
      <c r="D870" s="17"/>
      <c r="E870" s="17"/>
      <c r="F870" s="18"/>
      <c r="G870" s="19" t="str">
        <f t="shared" ca="1" si="26"/>
        <v/>
      </c>
      <c r="H870" s="18"/>
      <c r="I870" s="18"/>
      <c r="J870" s="77" t="str">
        <f t="shared" ca="1" si="27"/>
        <v/>
      </c>
      <c r="K870" s="19">
        <f>IF(A870="","",COUNTIFS(Resumen!$N$2:$N$2999,ROW(),Resumen!$V$2:$V$2999,1))</f>
        <v/>
      </c>
      <c r="L870" s="20"/>
      <c r="N8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1" spans="1:14">
      <c r="A871" s="16"/>
      <c r="B871" s="16"/>
      <c r="C871" s="17"/>
      <c r="D871" s="17"/>
      <c r="E871" s="17"/>
      <c r="F871" s="18"/>
      <c r="G871" s="19" t="str">
        <f t="shared" ca="1" si="26"/>
        <v/>
      </c>
      <c r="H871" s="18"/>
      <c r="I871" s="18"/>
      <c r="J871" s="77" t="str">
        <f t="shared" ca="1" si="27"/>
        <v/>
      </c>
      <c r="K871" s="19">
        <f>IF(A871="","",COUNTIFS(Resumen!$N$2:$N$2999,ROW(),Resumen!$V$2:$V$2999,1))</f>
        <v/>
      </c>
      <c r="L871" s="20"/>
      <c r="N8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2" spans="1:14">
      <c r="A872" s="16"/>
      <c r="B872" s="16"/>
      <c r="C872" s="17"/>
      <c r="D872" s="17"/>
      <c r="E872" s="17"/>
      <c r="F872" s="18"/>
      <c r="G872" s="19" t="str">
        <f t="shared" ca="1" si="26"/>
        <v/>
      </c>
      <c r="H872" s="18"/>
      <c r="I872" s="18"/>
      <c r="J872" s="77" t="str">
        <f t="shared" ca="1" si="27"/>
        <v/>
      </c>
      <c r="K872" s="19">
        <f>IF(A872="","",COUNTIFS(Resumen!$N$2:$N$2999,ROW(),Resumen!$V$2:$V$2999,1))</f>
        <v/>
      </c>
      <c r="L872" s="20"/>
      <c r="N8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3" spans="1:14">
      <c r="A873" s="16"/>
      <c r="B873" s="16"/>
      <c r="C873" s="17"/>
      <c r="D873" s="17"/>
      <c r="E873" s="17"/>
      <c r="F873" s="18"/>
      <c r="G873" s="19" t="str">
        <f t="shared" ca="1" si="26"/>
        <v/>
      </c>
      <c r="H873" s="18"/>
      <c r="I873" s="18"/>
      <c r="J873" s="77" t="str">
        <f t="shared" ca="1" si="27"/>
        <v/>
      </c>
      <c r="K873" s="19">
        <f>IF(A873="","",COUNTIFS(Resumen!$N$2:$N$2999,ROW(),Resumen!$V$2:$V$2999,1))</f>
        <v/>
      </c>
      <c r="L873" s="20"/>
      <c r="N8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4" spans="1:14">
      <c r="A874" s="16"/>
      <c r="B874" s="16"/>
      <c r="C874" s="17"/>
      <c r="D874" s="17"/>
      <c r="E874" s="17"/>
      <c r="F874" s="18"/>
      <c r="G874" s="19" t="str">
        <f t="shared" ca="1" si="26"/>
        <v/>
      </c>
      <c r="H874" s="18"/>
      <c r="I874" s="18"/>
      <c r="J874" s="77" t="str">
        <f t="shared" ca="1" si="27"/>
        <v/>
      </c>
      <c r="K874" s="19">
        <f>IF(A874="","",COUNTIFS(Resumen!$N$2:$N$2999,ROW(),Resumen!$V$2:$V$2999,1))</f>
        <v/>
      </c>
      <c r="L874" s="20"/>
      <c r="N8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5" spans="1:14">
      <c r="A875" s="16"/>
      <c r="B875" s="16"/>
      <c r="C875" s="17"/>
      <c r="D875" s="17"/>
      <c r="E875" s="17"/>
      <c r="F875" s="18"/>
      <c r="G875" s="19" t="str">
        <f t="shared" ca="1" si="26"/>
        <v/>
      </c>
      <c r="H875" s="18"/>
      <c r="I875" s="18"/>
      <c r="J875" s="77" t="str">
        <f t="shared" ca="1" si="27"/>
        <v/>
      </c>
      <c r="K875" s="19">
        <f>IF(A875="","",COUNTIFS(Resumen!$N$2:$N$2999,ROW(),Resumen!$V$2:$V$2999,1))</f>
        <v/>
      </c>
      <c r="L875" s="20"/>
      <c r="N8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6" spans="1:14">
      <c r="A876" s="16"/>
      <c r="B876" s="16"/>
      <c r="C876" s="17"/>
      <c r="D876" s="17"/>
      <c r="E876" s="17"/>
      <c r="F876" s="18"/>
      <c r="G876" s="19" t="str">
        <f t="shared" ca="1" si="26"/>
        <v/>
      </c>
      <c r="H876" s="18"/>
      <c r="I876" s="18"/>
      <c r="J876" s="77" t="str">
        <f t="shared" ca="1" si="27"/>
        <v/>
      </c>
      <c r="K876" s="19">
        <f>IF(A876="","",COUNTIFS(Resumen!$N$2:$N$2999,ROW(),Resumen!$V$2:$V$2999,1))</f>
        <v/>
      </c>
      <c r="L876" s="20"/>
      <c r="N8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7" spans="1:14">
      <c r="A877" s="16"/>
      <c r="B877" s="16"/>
      <c r="C877" s="17"/>
      <c r="D877" s="17"/>
      <c r="E877" s="17"/>
      <c r="F877" s="18"/>
      <c r="G877" s="19" t="str">
        <f t="shared" ca="1" si="26"/>
        <v/>
      </c>
      <c r="H877" s="18"/>
      <c r="I877" s="18"/>
      <c r="J877" s="77" t="str">
        <f t="shared" ca="1" si="27"/>
        <v/>
      </c>
      <c r="K877" s="19">
        <f>IF(A877="","",COUNTIFS(Resumen!$N$2:$N$2999,ROW(),Resumen!$V$2:$V$2999,1))</f>
        <v/>
      </c>
      <c r="L877" s="20"/>
      <c r="N8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8" spans="1:14">
      <c r="A878" s="16"/>
      <c r="B878" s="16"/>
      <c r="C878" s="17"/>
      <c r="D878" s="17"/>
      <c r="E878" s="17"/>
      <c r="F878" s="18"/>
      <c r="G878" s="19" t="str">
        <f t="shared" ca="1" si="26"/>
        <v/>
      </c>
      <c r="H878" s="18"/>
      <c r="I878" s="18"/>
      <c r="J878" s="77" t="str">
        <f t="shared" ca="1" si="27"/>
        <v/>
      </c>
      <c r="K878" s="19">
        <f>IF(A878="","",COUNTIFS(Resumen!$N$2:$N$2999,ROW(),Resumen!$V$2:$V$2999,1))</f>
        <v/>
      </c>
      <c r="L878" s="20"/>
      <c r="N8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79" spans="1:14">
      <c r="A879" s="16"/>
      <c r="B879" s="16"/>
      <c r="C879" s="17"/>
      <c r="D879" s="17"/>
      <c r="E879" s="17"/>
      <c r="F879" s="18"/>
      <c r="G879" s="19" t="str">
        <f t="shared" ca="1" si="26"/>
        <v/>
      </c>
      <c r="H879" s="18"/>
      <c r="I879" s="18"/>
      <c r="J879" s="77" t="str">
        <f t="shared" ca="1" si="27"/>
        <v/>
      </c>
      <c r="K879" s="19">
        <f>IF(A879="","",COUNTIFS(Resumen!$N$2:$N$2999,ROW(),Resumen!$V$2:$V$2999,1))</f>
        <v/>
      </c>
      <c r="L879" s="20"/>
      <c r="N8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0" spans="1:14">
      <c r="A880" s="16"/>
      <c r="B880" s="16"/>
      <c r="C880" s="17"/>
      <c r="D880" s="17"/>
      <c r="E880" s="17"/>
      <c r="F880" s="18"/>
      <c r="G880" s="19" t="str">
        <f t="shared" ca="1" si="26"/>
        <v/>
      </c>
      <c r="H880" s="18"/>
      <c r="I880" s="18"/>
      <c r="J880" s="77" t="str">
        <f t="shared" ca="1" si="27"/>
        <v/>
      </c>
      <c r="K880" s="19">
        <f>IF(A880="","",COUNTIFS(Resumen!$N$2:$N$2999,ROW(),Resumen!$V$2:$V$2999,1))</f>
        <v/>
      </c>
      <c r="L880" s="20"/>
      <c r="N8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1" spans="1:14">
      <c r="A881" s="16"/>
      <c r="B881" s="16"/>
      <c r="C881" s="17"/>
      <c r="D881" s="17"/>
      <c r="E881" s="17"/>
      <c r="F881" s="18"/>
      <c r="G881" s="19" t="str">
        <f t="shared" ca="1" si="26"/>
        <v/>
      </c>
      <c r="H881" s="18"/>
      <c r="I881" s="18"/>
      <c r="J881" s="77" t="str">
        <f t="shared" ca="1" si="27"/>
        <v/>
      </c>
      <c r="K881" s="19">
        <f>IF(A881="","",COUNTIFS(Resumen!$N$2:$N$2999,ROW(),Resumen!$V$2:$V$2999,1))</f>
        <v/>
      </c>
      <c r="L881" s="20"/>
      <c r="N8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2" spans="1:14">
      <c r="A882" s="16"/>
      <c r="B882" s="16"/>
      <c r="C882" s="17"/>
      <c r="D882" s="17"/>
      <c r="E882" s="17"/>
      <c r="F882" s="18"/>
      <c r="G882" s="19" t="str">
        <f t="shared" ca="1" si="26"/>
        <v/>
      </c>
      <c r="H882" s="18"/>
      <c r="I882" s="18"/>
      <c r="J882" s="77" t="str">
        <f t="shared" ca="1" si="27"/>
        <v/>
      </c>
      <c r="K882" s="19">
        <f>IF(A882="","",COUNTIFS(Resumen!$N$2:$N$2999,ROW(),Resumen!$V$2:$V$2999,1))</f>
        <v/>
      </c>
      <c r="L882" s="20"/>
      <c r="N8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3" spans="1:14">
      <c r="A883" s="16"/>
      <c r="B883" s="16"/>
      <c r="C883" s="17"/>
      <c r="D883" s="17"/>
      <c r="E883" s="17"/>
      <c r="F883" s="18"/>
      <c r="G883" s="19" t="str">
        <f t="shared" ca="1" si="26"/>
        <v/>
      </c>
      <c r="H883" s="18"/>
      <c r="I883" s="18"/>
      <c r="J883" s="77" t="str">
        <f t="shared" ca="1" si="27"/>
        <v/>
      </c>
      <c r="K883" s="19">
        <f>IF(A883="","",COUNTIFS(Resumen!$N$2:$N$2999,ROW(),Resumen!$V$2:$V$2999,1))</f>
        <v/>
      </c>
      <c r="L883" s="20"/>
      <c r="N8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4" spans="1:14">
      <c r="A884" s="16"/>
      <c r="B884" s="16"/>
      <c r="C884" s="17"/>
      <c r="D884" s="17"/>
      <c r="E884" s="17"/>
      <c r="F884" s="18"/>
      <c r="G884" s="19" t="str">
        <f t="shared" ca="1" si="26"/>
        <v/>
      </c>
      <c r="H884" s="18"/>
      <c r="I884" s="18"/>
      <c r="J884" s="77" t="str">
        <f t="shared" ca="1" si="27"/>
        <v/>
      </c>
      <c r="K884" s="19">
        <f>IF(A884="","",COUNTIFS(Resumen!$N$2:$N$2999,ROW(),Resumen!$V$2:$V$2999,1))</f>
        <v/>
      </c>
      <c r="L884" s="20"/>
      <c r="N8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5" spans="1:14">
      <c r="A885" s="16"/>
      <c r="B885" s="16"/>
      <c r="C885" s="17"/>
      <c r="D885" s="17"/>
      <c r="E885" s="17"/>
      <c r="F885" s="18"/>
      <c r="G885" s="19" t="str">
        <f t="shared" ca="1" si="26"/>
        <v/>
      </c>
      <c r="H885" s="18"/>
      <c r="I885" s="18"/>
      <c r="J885" s="77" t="str">
        <f t="shared" ca="1" si="27"/>
        <v/>
      </c>
      <c r="K885" s="19">
        <f>IF(A885="","",COUNTIFS(Resumen!$N$2:$N$2999,ROW(),Resumen!$V$2:$V$2999,1))</f>
        <v/>
      </c>
      <c r="L885" s="20"/>
      <c r="N8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6" spans="1:14">
      <c r="A886" s="16"/>
      <c r="B886" s="16"/>
      <c r="C886" s="17"/>
      <c r="D886" s="17"/>
      <c r="E886" s="17"/>
      <c r="F886" s="18"/>
      <c r="G886" s="19" t="str">
        <f t="shared" ca="1" si="26"/>
        <v/>
      </c>
      <c r="H886" s="18"/>
      <c r="I886" s="18"/>
      <c r="J886" s="77" t="str">
        <f t="shared" ca="1" si="27"/>
        <v/>
      </c>
      <c r="K886" s="19">
        <f>IF(A886="","",COUNTIFS(Resumen!$N$2:$N$2999,ROW(),Resumen!$V$2:$V$2999,1))</f>
        <v/>
      </c>
      <c r="L886" s="20"/>
      <c r="N8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7" spans="1:14">
      <c r="A887" s="16"/>
      <c r="B887" s="16"/>
      <c r="C887" s="17"/>
      <c r="D887" s="17"/>
      <c r="E887" s="17"/>
      <c r="F887" s="18"/>
      <c r="G887" s="19" t="str">
        <f t="shared" ca="1" si="26"/>
        <v/>
      </c>
      <c r="H887" s="18"/>
      <c r="I887" s="18"/>
      <c r="J887" s="77" t="str">
        <f t="shared" ca="1" si="27"/>
        <v/>
      </c>
      <c r="K887" s="19">
        <f>IF(A887="","",COUNTIFS(Resumen!$N$2:$N$2999,ROW(),Resumen!$V$2:$V$2999,1))</f>
        <v/>
      </c>
      <c r="L887" s="20"/>
      <c r="N8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8" spans="1:14">
      <c r="A888" s="16"/>
      <c r="B888" s="16"/>
      <c r="C888" s="17"/>
      <c r="D888" s="17"/>
      <c r="E888" s="17"/>
      <c r="F888" s="18"/>
      <c r="G888" s="19" t="str">
        <f t="shared" ca="1" si="26"/>
        <v/>
      </c>
      <c r="H888" s="18"/>
      <c r="I888" s="18"/>
      <c r="J888" s="77" t="str">
        <f t="shared" ca="1" si="27"/>
        <v/>
      </c>
      <c r="K888" s="19">
        <f>IF(A888="","",COUNTIFS(Resumen!$N$2:$N$2999,ROW(),Resumen!$V$2:$V$2999,1))</f>
        <v/>
      </c>
      <c r="L888" s="20"/>
      <c r="N8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89" spans="1:14">
      <c r="A889" s="16"/>
      <c r="B889" s="16"/>
      <c r="C889" s="17"/>
      <c r="D889" s="17"/>
      <c r="E889" s="17"/>
      <c r="F889" s="18"/>
      <c r="G889" s="19" t="str">
        <f t="shared" ca="1" si="26"/>
        <v/>
      </c>
      <c r="H889" s="18"/>
      <c r="I889" s="18"/>
      <c r="J889" s="77" t="str">
        <f t="shared" ca="1" si="27"/>
        <v/>
      </c>
      <c r="K889" s="19">
        <f>IF(A889="","",COUNTIFS(Resumen!$N$2:$N$2999,ROW(),Resumen!$V$2:$V$2999,1))</f>
        <v/>
      </c>
      <c r="L889" s="20"/>
      <c r="N8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0" spans="1:14">
      <c r="A890" s="16"/>
      <c r="B890" s="16"/>
      <c r="C890" s="17"/>
      <c r="D890" s="17"/>
      <c r="E890" s="17"/>
      <c r="F890" s="18"/>
      <c r="G890" s="19" t="str">
        <f t="shared" ca="1" si="26"/>
        <v/>
      </c>
      <c r="H890" s="18"/>
      <c r="I890" s="18"/>
      <c r="J890" s="77" t="str">
        <f t="shared" ca="1" si="27"/>
        <v/>
      </c>
      <c r="K890" s="19">
        <f>IF(A890="","",COUNTIFS(Resumen!$N$2:$N$2999,ROW(),Resumen!$V$2:$V$2999,1))</f>
        <v/>
      </c>
      <c r="L890" s="20"/>
      <c r="N8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1" spans="1:14">
      <c r="A891" s="16"/>
      <c r="B891" s="16"/>
      <c r="C891" s="17"/>
      <c r="D891" s="17"/>
      <c r="E891" s="17"/>
      <c r="F891" s="18"/>
      <c r="G891" s="19" t="str">
        <f t="shared" ca="1" si="26"/>
        <v/>
      </c>
      <c r="H891" s="18"/>
      <c r="I891" s="18"/>
      <c r="J891" s="77" t="str">
        <f t="shared" ca="1" si="27"/>
        <v/>
      </c>
      <c r="K891" s="19">
        <f>IF(A891="","",COUNTIFS(Resumen!$N$2:$N$2999,ROW(),Resumen!$V$2:$V$2999,1))</f>
        <v/>
      </c>
      <c r="L891" s="20"/>
      <c r="N8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2" spans="1:14">
      <c r="A892" s="16"/>
      <c r="B892" s="16"/>
      <c r="C892" s="17"/>
      <c r="D892" s="17"/>
      <c r="E892" s="17"/>
      <c r="F892" s="18"/>
      <c r="G892" s="19" t="str">
        <f t="shared" ca="1" si="26"/>
        <v/>
      </c>
      <c r="H892" s="18"/>
      <c r="I892" s="18"/>
      <c r="J892" s="77" t="str">
        <f t="shared" ca="1" si="27"/>
        <v/>
      </c>
      <c r="K892" s="19">
        <f>IF(A892="","",COUNTIFS(Resumen!$N$2:$N$2999,ROW(),Resumen!$V$2:$V$2999,1))</f>
        <v/>
      </c>
      <c r="L892" s="20"/>
      <c r="N8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3" spans="1:14">
      <c r="A893" s="16"/>
      <c r="B893" s="16"/>
      <c r="C893" s="17"/>
      <c r="D893" s="17"/>
      <c r="E893" s="17"/>
      <c r="F893" s="18"/>
      <c r="G893" s="19" t="str">
        <f t="shared" ca="1" si="26"/>
        <v/>
      </c>
      <c r="H893" s="18"/>
      <c r="I893" s="18"/>
      <c r="J893" s="77" t="str">
        <f t="shared" ca="1" si="27"/>
        <v/>
      </c>
      <c r="K893" s="19">
        <f>IF(A893="","",COUNTIFS(Resumen!$N$2:$N$2999,ROW(),Resumen!$V$2:$V$2999,1))</f>
        <v/>
      </c>
      <c r="L893" s="20"/>
      <c r="N8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4" spans="1:14">
      <c r="A894" s="16"/>
      <c r="B894" s="16"/>
      <c r="C894" s="17"/>
      <c r="D894" s="17"/>
      <c r="E894" s="17"/>
      <c r="F894" s="18"/>
      <c r="G894" s="19" t="str">
        <f t="shared" ca="1" si="26"/>
        <v/>
      </c>
      <c r="H894" s="18"/>
      <c r="I894" s="18"/>
      <c r="J894" s="77" t="str">
        <f t="shared" ca="1" si="27"/>
        <v/>
      </c>
      <c r="K894" s="19">
        <f>IF(A894="","",COUNTIFS(Resumen!$N$2:$N$2999,ROW(),Resumen!$V$2:$V$2999,1))</f>
        <v/>
      </c>
      <c r="L894" s="20"/>
      <c r="N8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5" spans="1:14">
      <c r="A895" s="16"/>
      <c r="B895" s="16"/>
      <c r="C895" s="17"/>
      <c r="D895" s="17"/>
      <c r="E895" s="17"/>
      <c r="F895" s="18"/>
      <c r="G895" s="19" t="str">
        <f t="shared" ca="1" si="26"/>
        <v/>
      </c>
      <c r="H895" s="18"/>
      <c r="I895" s="18"/>
      <c r="J895" s="77" t="str">
        <f t="shared" ca="1" si="27"/>
        <v/>
      </c>
      <c r="K895" s="19">
        <f>IF(A895="","",COUNTIFS(Resumen!$N$2:$N$2999,ROW(),Resumen!$V$2:$V$2999,1))</f>
        <v/>
      </c>
      <c r="L895" s="20"/>
      <c r="N8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6" spans="1:14">
      <c r="A896" s="16"/>
      <c r="B896" s="16"/>
      <c r="C896" s="17"/>
      <c r="D896" s="17"/>
      <c r="E896" s="17"/>
      <c r="F896" s="18"/>
      <c r="G896" s="19" t="str">
        <f t="shared" ca="1" si="26"/>
        <v/>
      </c>
      <c r="H896" s="18"/>
      <c r="I896" s="18"/>
      <c r="J896" s="77" t="str">
        <f t="shared" ca="1" si="27"/>
        <v/>
      </c>
      <c r="K896" s="19">
        <f>IF(A896="","",COUNTIFS(Resumen!$N$2:$N$2999,ROW(),Resumen!$V$2:$V$2999,1))</f>
        <v/>
      </c>
      <c r="L896" s="20"/>
      <c r="N8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7" spans="1:14">
      <c r="A897" s="16"/>
      <c r="B897" s="16"/>
      <c r="C897" s="17"/>
      <c r="D897" s="17"/>
      <c r="E897" s="17"/>
      <c r="F897" s="18"/>
      <c r="G897" s="19" t="str">
        <f t="shared" ca="1" si="26"/>
        <v/>
      </c>
      <c r="H897" s="18"/>
      <c r="I897" s="18"/>
      <c r="J897" s="77" t="str">
        <f t="shared" ca="1" si="27"/>
        <v/>
      </c>
      <c r="K897" s="19">
        <f>IF(A897="","",COUNTIFS(Resumen!$N$2:$N$2999,ROW(),Resumen!$V$2:$V$2999,1))</f>
        <v/>
      </c>
      <c r="L897" s="20"/>
      <c r="N8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8" spans="1:14">
      <c r="A898" s="16"/>
      <c r="B898" s="16"/>
      <c r="C898" s="17"/>
      <c r="D898" s="17"/>
      <c r="E898" s="17"/>
      <c r="F898" s="18"/>
      <c r="G898" s="19" t="str">
        <f t="shared" ref="G898:G961" ca="1" si="28">IF(F898="", "", DATEDIF(F898, TODAY(), "Y"))</f>
        <v/>
      </c>
      <c r="H898" s="18"/>
      <c r="I898" s="18"/>
      <c r="J898" s="77" t="str">
        <f t="shared" ref="J898:J961" ca="1" si="29">IFERROR(IF(ISNUMBER(INDEX(VigenciasFamilia,ROW())),INDEX(VigenciasFamilia,ROW())-TODAY(),""),"")</f>
        <v/>
      </c>
      <c r="K898" s="19">
        <f>IF(A898="","",COUNTIFS(Resumen!$N$2:$N$2999,ROW(),Resumen!$V$2:$V$2999,1))</f>
        <v/>
      </c>
      <c r="L898" s="20"/>
      <c r="N8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899" spans="1:14">
      <c r="A899" s="16"/>
      <c r="B899" s="16"/>
      <c r="C899" s="17"/>
      <c r="D899" s="17"/>
      <c r="E899" s="17"/>
      <c r="F899" s="18"/>
      <c r="G899" s="19" t="str">
        <f t="shared" ca="1" si="28"/>
        <v/>
      </c>
      <c r="H899" s="18"/>
      <c r="I899" s="18"/>
      <c r="J899" s="77" t="str">
        <f t="shared" ca="1" si="29"/>
        <v/>
      </c>
      <c r="K899" s="19">
        <f>IF(A899="","",COUNTIFS(Resumen!$N$2:$N$2999,ROW(),Resumen!$V$2:$V$2999,1))</f>
        <v/>
      </c>
      <c r="L899" s="20"/>
      <c r="N8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0" spans="1:14">
      <c r="A900" s="16"/>
      <c r="B900" s="16"/>
      <c r="C900" s="17"/>
      <c r="D900" s="17"/>
      <c r="E900" s="17"/>
      <c r="F900" s="18"/>
      <c r="G900" s="19" t="str">
        <f t="shared" ca="1" si="28"/>
        <v/>
      </c>
      <c r="H900" s="18"/>
      <c r="I900" s="18"/>
      <c r="J900" s="77" t="str">
        <f t="shared" ca="1" si="29"/>
        <v/>
      </c>
      <c r="K900" s="19">
        <f>IF(A900="","",COUNTIFS(Resumen!$N$2:$N$2999,ROW(),Resumen!$V$2:$V$2999,1))</f>
        <v/>
      </c>
      <c r="L900" s="20"/>
      <c r="N9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1" spans="1:14">
      <c r="A901" s="16"/>
      <c r="B901" s="16"/>
      <c r="C901" s="17"/>
      <c r="D901" s="17"/>
      <c r="E901" s="17"/>
      <c r="F901" s="18"/>
      <c r="G901" s="19" t="str">
        <f t="shared" ca="1" si="28"/>
        <v/>
      </c>
      <c r="H901" s="18"/>
      <c r="I901" s="18"/>
      <c r="J901" s="77" t="str">
        <f t="shared" ca="1" si="29"/>
        <v/>
      </c>
      <c r="K901" s="19">
        <f>IF(A901="","",COUNTIFS(Resumen!$N$2:$N$2999,ROW(),Resumen!$V$2:$V$2999,1))</f>
        <v/>
      </c>
      <c r="L901" s="20"/>
      <c r="N9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2" spans="1:14">
      <c r="A902" s="16"/>
      <c r="B902" s="16"/>
      <c r="C902" s="17"/>
      <c r="D902" s="17"/>
      <c r="E902" s="17"/>
      <c r="F902" s="18"/>
      <c r="G902" s="19" t="str">
        <f t="shared" ca="1" si="28"/>
        <v/>
      </c>
      <c r="H902" s="18"/>
      <c r="I902" s="18"/>
      <c r="J902" s="77" t="str">
        <f t="shared" ca="1" si="29"/>
        <v/>
      </c>
      <c r="K902" s="19">
        <f>IF(A902="","",COUNTIFS(Resumen!$N$2:$N$2999,ROW(),Resumen!$V$2:$V$2999,1))</f>
        <v/>
      </c>
      <c r="L902" s="20"/>
      <c r="N9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3" spans="1:14">
      <c r="A903" s="16"/>
      <c r="B903" s="16"/>
      <c r="C903" s="17"/>
      <c r="D903" s="17"/>
      <c r="E903" s="17"/>
      <c r="F903" s="18"/>
      <c r="G903" s="19" t="str">
        <f t="shared" ca="1" si="28"/>
        <v/>
      </c>
      <c r="H903" s="18"/>
      <c r="I903" s="18"/>
      <c r="J903" s="77" t="str">
        <f t="shared" ca="1" si="29"/>
        <v/>
      </c>
      <c r="K903" s="19">
        <f>IF(A903="","",COUNTIFS(Resumen!$N$2:$N$2999,ROW(),Resumen!$V$2:$V$2999,1))</f>
        <v/>
      </c>
      <c r="L903" s="20"/>
      <c r="N9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4" spans="1:14">
      <c r="A904" s="16"/>
      <c r="B904" s="16"/>
      <c r="C904" s="17"/>
      <c r="D904" s="17"/>
      <c r="E904" s="17"/>
      <c r="F904" s="18"/>
      <c r="G904" s="19" t="str">
        <f t="shared" ca="1" si="28"/>
        <v/>
      </c>
      <c r="H904" s="18"/>
      <c r="I904" s="18"/>
      <c r="J904" s="77" t="str">
        <f t="shared" ca="1" si="29"/>
        <v/>
      </c>
      <c r="K904" s="19">
        <f>IF(A904="","",COUNTIFS(Resumen!$N$2:$N$2999,ROW(),Resumen!$V$2:$V$2999,1))</f>
        <v/>
      </c>
      <c r="L904" s="20"/>
      <c r="N9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5" spans="1:14">
      <c r="A905" s="16"/>
      <c r="B905" s="16"/>
      <c r="C905" s="17"/>
      <c r="D905" s="17"/>
      <c r="E905" s="17"/>
      <c r="F905" s="18"/>
      <c r="G905" s="19" t="str">
        <f t="shared" ca="1" si="28"/>
        <v/>
      </c>
      <c r="H905" s="18"/>
      <c r="I905" s="18"/>
      <c r="J905" s="77" t="str">
        <f t="shared" ca="1" si="29"/>
        <v/>
      </c>
      <c r="K905" s="19">
        <f>IF(A905="","",COUNTIFS(Resumen!$N$2:$N$2999,ROW(),Resumen!$V$2:$V$2999,1))</f>
        <v/>
      </c>
      <c r="L905" s="20"/>
      <c r="N9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6" spans="1:14">
      <c r="A906" s="16"/>
      <c r="B906" s="16"/>
      <c r="C906" s="17"/>
      <c r="D906" s="17"/>
      <c r="E906" s="17"/>
      <c r="F906" s="18"/>
      <c r="G906" s="19" t="str">
        <f t="shared" ca="1" si="28"/>
        <v/>
      </c>
      <c r="H906" s="18"/>
      <c r="I906" s="18"/>
      <c r="J906" s="77" t="str">
        <f t="shared" ca="1" si="29"/>
        <v/>
      </c>
      <c r="K906" s="19">
        <f>IF(A906="","",COUNTIFS(Resumen!$N$2:$N$2999,ROW(),Resumen!$V$2:$V$2999,1))</f>
        <v/>
      </c>
      <c r="L906" s="20"/>
      <c r="N9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7" spans="1:14">
      <c r="A907" s="16"/>
      <c r="B907" s="16"/>
      <c r="C907" s="17"/>
      <c r="D907" s="17"/>
      <c r="E907" s="17"/>
      <c r="F907" s="18"/>
      <c r="G907" s="19" t="str">
        <f t="shared" ca="1" si="28"/>
        <v/>
      </c>
      <c r="H907" s="18"/>
      <c r="I907" s="18"/>
      <c r="J907" s="77" t="str">
        <f t="shared" ca="1" si="29"/>
        <v/>
      </c>
      <c r="K907" s="19">
        <f>IF(A907="","",COUNTIFS(Resumen!$N$2:$N$2999,ROW(),Resumen!$V$2:$V$2999,1))</f>
        <v/>
      </c>
      <c r="L907" s="20"/>
      <c r="N9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8" spans="1:14">
      <c r="A908" s="16"/>
      <c r="B908" s="16"/>
      <c r="C908" s="17"/>
      <c r="D908" s="17"/>
      <c r="E908" s="17"/>
      <c r="F908" s="18"/>
      <c r="G908" s="19" t="str">
        <f t="shared" ca="1" si="28"/>
        <v/>
      </c>
      <c r="H908" s="18"/>
      <c r="I908" s="18"/>
      <c r="J908" s="77" t="str">
        <f t="shared" ca="1" si="29"/>
        <v/>
      </c>
      <c r="K908" s="19">
        <f>IF(A908="","",COUNTIFS(Resumen!$N$2:$N$2999,ROW(),Resumen!$V$2:$V$2999,1))</f>
        <v/>
      </c>
      <c r="L908" s="20"/>
      <c r="N9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09" spans="1:14">
      <c r="A909" s="16"/>
      <c r="B909" s="16"/>
      <c r="C909" s="17"/>
      <c r="D909" s="17"/>
      <c r="E909" s="17"/>
      <c r="F909" s="18"/>
      <c r="G909" s="19" t="str">
        <f t="shared" ca="1" si="28"/>
        <v/>
      </c>
      <c r="H909" s="18"/>
      <c r="I909" s="18"/>
      <c r="J909" s="77" t="str">
        <f t="shared" ca="1" si="29"/>
        <v/>
      </c>
      <c r="K909" s="19">
        <f>IF(A909="","",COUNTIFS(Resumen!$N$2:$N$2999,ROW(),Resumen!$V$2:$V$2999,1))</f>
        <v/>
      </c>
      <c r="L909" s="20"/>
      <c r="N9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0" spans="1:14">
      <c r="A910" s="16"/>
      <c r="B910" s="16"/>
      <c r="C910" s="17"/>
      <c r="D910" s="17"/>
      <c r="E910" s="17"/>
      <c r="F910" s="18"/>
      <c r="G910" s="19" t="str">
        <f t="shared" ca="1" si="28"/>
        <v/>
      </c>
      <c r="H910" s="18"/>
      <c r="I910" s="18"/>
      <c r="J910" s="77" t="str">
        <f t="shared" ca="1" si="29"/>
        <v/>
      </c>
      <c r="K910" s="19">
        <f>IF(A910="","",COUNTIFS(Resumen!$N$2:$N$2999,ROW(),Resumen!$V$2:$V$2999,1))</f>
        <v/>
      </c>
      <c r="L910" s="20"/>
      <c r="N9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1" spans="1:14">
      <c r="A911" s="16"/>
      <c r="B911" s="16"/>
      <c r="C911" s="17"/>
      <c r="D911" s="17"/>
      <c r="E911" s="17"/>
      <c r="F911" s="18"/>
      <c r="G911" s="19" t="str">
        <f t="shared" ca="1" si="28"/>
        <v/>
      </c>
      <c r="H911" s="18"/>
      <c r="I911" s="18"/>
      <c r="J911" s="77" t="str">
        <f t="shared" ca="1" si="29"/>
        <v/>
      </c>
      <c r="K911" s="19">
        <f>IF(A911="","",COUNTIFS(Resumen!$N$2:$N$2999,ROW(),Resumen!$V$2:$V$2999,1))</f>
        <v/>
      </c>
      <c r="L911" s="20"/>
      <c r="N9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2" spans="1:14">
      <c r="A912" s="16"/>
      <c r="B912" s="16"/>
      <c r="C912" s="17"/>
      <c r="D912" s="17"/>
      <c r="E912" s="17"/>
      <c r="F912" s="18"/>
      <c r="G912" s="19" t="str">
        <f t="shared" ca="1" si="28"/>
        <v/>
      </c>
      <c r="H912" s="18"/>
      <c r="I912" s="18"/>
      <c r="J912" s="77" t="str">
        <f t="shared" ca="1" si="29"/>
        <v/>
      </c>
      <c r="K912" s="19">
        <f>IF(A912="","",COUNTIFS(Resumen!$N$2:$N$2999,ROW(),Resumen!$V$2:$V$2999,1))</f>
        <v/>
      </c>
      <c r="L912" s="20"/>
      <c r="N9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3" spans="1:14">
      <c r="A913" s="16"/>
      <c r="B913" s="16"/>
      <c r="C913" s="17"/>
      <c r="D913" s="17"/>
      <c r="E913" s="17"/>
      <c r="F913" s="18"/>
      <c r="G913" s="19" t="str">
        <f t="shared" ca="1" si="28"/>
        <v/>
      </c>
      <c r="H913" s="18"/>
      <c r="I913" s="18"/>
      <c r="J913" s="77" t="str">
        <f t="shared" ca="1" si="29"/>
        <v/>
      </c>
      <c r="K913" s="19">
        <f>IF(A913="","",COUNTIFS(Resumen!$N$2:$N$2999,ROW(),Resumen!$V$2:$V$2999,1))</f>
        <v/>
      </c>
      <c r="L913" s="20"/>
      <c r="N9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4" spans="1:14">
      <c r="A914" s="16"/>
      <c r="B914" s="16"/>
      <c r="C914" s="17"/>
      <c r="D914" s="17"/>
      <c r="E914" s="17"/>
      <c r="F914" s="18"/>
      <c r="G914" s="19" t="str">
        <f t="shared" ca="1" si="28"/>
        <v/>
      </c>
      <c r="H914" s="18"/>
      <c r="I914" s="18"/>
      <c r="J914" s="77" t="str">
        <f t="shared" ca="1" si="29"/>
        <v/>
      </c>
      <c r="K914" s="19">
        <f>IF(A914="","",COUNTIFS(Resumen!$N$2:$N$2999,ROW(),Resumen!$V$2:$V$2999,1))</f>
        <v/>
      </c>
      <c r="L914" s="20"/>
      <c r="N9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5" spans="1:14">
      <c r="A915" s="16"/>
      <c r="B915" s="16"/>
      <c r="C915" s="17"/>
      <c r="D915" s="17"/>
      <c r="E915" s="17"/>
      <c r="F915" s="18"/>
      <c r="G915" s="19" t="str">
        <f t="shared" ca="1" si="28"/>
        <v/>
      </c>
      <c r="H915" s="18"/>
      <c r="I915" s="18"/>
      <c r="J915" s="77" t="str">
        <f t="shared" ca="1" si="29"/>
        <v/>
      </c>
      <c r="K915" s="19">
        <f>IF(A915="","",COUNTIFS(Resumen!$N$2:$N$2999,ROW(),Resumen!$V$2:$V$2999,1))</f>
        <v/>
      </c>
      <c r="L915" s="20"/>
      <c r="N9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6" spans="1:14">
      <c r="A916" s="16"/>
      <c r="B916" s="16"/>
      <c r="C916" s="17"/>
      <c r="D916" s="17"/>
      <c r="E916" s="17"/>
      <c r="F916" s="18"/>
      <c r="G916" s="19" t="str">
        <f t="shared" ca="1" si="28"/>
        <v/>
      </c>
      <c r="H916" s="18"/>
      <c r="I916" s="18"/>
      <c r="J916" s="77" t="str">
        <f t="shared" ca="1" si="29"/>
        <v/>
      </c>
      <c r="K916" s="19">
        <f>IF(A916="","",COUNTIFS(Resumen!$N$2:$N$2999,ROW(),Resumen!$V$2:$V$2999,1))</f>
        <v/>
      </c>
      <c r="L916" s="20"/>
      <c r="N9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7" spans="1:14">
      <c r="A917" s="16"/>
      <c r="B917" s="16"/>
      <c r="C917" s="17"/>
      <c r="D917" s="17"/>
      <c r="E917" s="17"/>
      <c r="F917" s="18"/>
      <c r="G917" s="19" t="str">
        <f t="shared" ca="1" si="28"/>
        <v/>
      </c>
      <c r="H917" s="18"/>
      <c r="I917" s="18"/>
      <c r="J917" s="77" t="str">
        <f t="shared" ca="1" si="29"/>
        <v/>
      </c>
      <c r="K917" s="19">
        <f>IF(A917="","",COUNTIFS(Resumen!$N$2:$N$2999,ROW(),Resumen!$V$2:$V$2999,1))</f>
        <v/>
      </c>
      <c r="L917" s="20"/>
      <c r="N9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8" spans="1:14">
      <c r="A918" s="16"/>
      <c r="B918" s="16"/>
      <c r="C918" s="17"/>
      <c r="D918" s="17"/>
      <c r="E918" s="17"/>
      <c r="F918" s="18"/>
      <c r="G918" s="19" t="str">
        <f t="shared" ca="1" si="28"/>
        <v/>
      </c>
      <c r="H918" s="18"/>
      <c r="I918" s="18"/>
      <c r="J918" s="77" t="str">
        <f t="shared" ca="1" si="29"/>
        <v/>
      </c>
      <c r="K918" s="19">
        <f>IF(A918="","",COUNTIFS(Resumen!$N$2:$N$2999,ROW(),Resumen!$V$2:$V$2999,1))</f>
        <v/>
      </c>
      <c r="L918" s="20"/>
      <c r="N9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19" spans="1:14">
      <c r="A919" s="16"/>
      <c r="B919" s="16"/>
      <c r="C919" s="17"/>
      <c r="D919" s="17"/>
      <c r="E919" s="17"/>
      <c r="F919" s="18"/>
      <c r="G919" s="19" t="str">
        <f t="shared" ca="1" si="28"/>
        <v/>
      </c>
      <c r="H919" s="18"/>
      <c r="I919" s="18"/>
      <c r="J919" s="77" t="str">
        <f t="shared" ca="1" si="29"/>
        <v/>
      </c>
      <c r="K919" s="19">
        <f>IF(A919="","",COUNTIFS(Resumen!$N$2:$N$2999,ROW(),Resumen!$V$2:$V$2999,1))</f>
        <v/>
      </c>
      <c r="L919" s="20"/>
      <c r="N9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0" spans="1:14">
      <c r="A920" s="16"/>
      <c r="B920" s="16"/>
      <c r="C920" s="17"/>
      <c r="D920" s="17"/>
      <c r="E920" s="17"/>
      <c r="F920" s="18"/>
      <c r="G920" s="19" t="str">
        <f t="shared" ca="1" si="28"/>
        <v/>
      </c>
      <c r="H920" s="18"/>
      <c r="I920" s="18"/>
      <c r="J920" s="77" t="str">
        <f t="shared" ca="1" si="29"/>
        <v/>
      </c>
      <c r="K920" s="19">
        <f>IF(A920="","",COUNTIFS(Resumen!$N$2:$N$2999,ROW(),Resumen!$V$2:$V$2999,1))</f>
        <v/>
      </c>
      <c r="L920" s="20"/>
      <c r="N9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1" spans="1:14">
      <c r="A921" s="16"/>
      <c r="B921" s="16"/>
      <c r="C921" s="17"/>
      <c r="D921" s="17"/>
      <c r="E921" s="17"/>
      <c r="F921" s="18"/>
      <c r="G921" s="19" t="str">
        <f t="shared" ca="1" si="28"/>
        <v/>
      </c>
      <c r="H921" s="18"/>
      <c r="I921" s="18"/>
      <c r="J921" s="77" t="str">
        <f t="shared" ca="1" si="29"/>
        <v/>
      </c>
      <c r="K921" s="19">
        <f>IF(A921="","",COUNTIFS(Resumen!$N$2:$N$2999,ROW(),Resumen!$V$2:$V$2999,1))</f>
        <v/>
      </c>
      <c r="L921" s="20"/>
      <c r="N9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2" spans="1:14">
      <c r="A922" s="16"/>
      <c r="B922" s="16"/>
      <c r="C922" s="17"/>
      <c r="D922" s="17"/>
      <c r="E922" s="17"/>
      <c r="F922" s="18"/>
      <c r="G922" s="19" t="str">
        <f t="shared" ca="1" si="28"/>
        <v/>
      </c>
      <c r="H922" s="18"/>
      <c r="I922" s="18"/>
      <c r="J922" s="77" t="str">
        <f t="shared" ca="1" si="29"/>
        <v/>
      </c>
      <c r="K922" s="19">
        <f>IF(A922="","",COUNTIFS(Resumen!$N$2:$N$2999,ROW(),Resumen!$V$2:$V$2999,1))</f>
        <v/>
      </c>
      <c r="L922" s="20"/>
      <c r="N9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3" spans="1:14">
      <c r="A923" s="16"/>
      <c r="B923" s="16"/>
      <c r="C923" s="17"/>
      <c r="D923" s="17"/>
      <c r="E923" s="17"/>
      <c r="F923" s="18"/>
      <c r="G923" s="19" t="str">
        <f t="shared" ca="1" si="28"/>
        <v/>
      </c>
      <c r="H923" s="18"/>
      <c r="I923" s="18"/>
      <c r="J923" s="77" t="str">
        <f t="shared" ca="1" si="29"/>
        <v/>
      </c>
      <c r="K923" s="19">
        <f>IF(A923="","",COUNTIFS(Resumen!$N$2:$N$2999,ROW(),Resumen!$V$2:$V$2999,1))</f>
        <v/>
      </c>
      <c r="L923" s="20"/>
      <c r="N9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4" spans="1:14">
      <c r="A924" s="16"/>
      <c r="B924" s="16"/>
      <c r="C924" s="17"/>
      <c r="D924" s="17"/>
      <c r="E924" s="17"/>
      <c r="F924" s="18"/>
      <c r="G924" s="19" t="str">
        <f t="shared" ca="1" si="28"/>
        <v/>
      </c>
      <c r="H924" s="18"/>
      <c r="I924" s="18"/>
      <c r="J924" s="77" t="str">
        <f t="shared" ca="1" si="29"/>
        <v/>
      </c>
      <c r="K924" s="19">
        <f>IF(A924="","",COUNTIFS(Resumen!$N$2:$N$2999,ROW(),Resumen!$V$2:$V$2999,1))</f>
        <v/>
      </c>
      <c r="L924" s="20"/>
      <c r="N9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5" spans="1:14">
      <c r="A925" s="16"/>
      <c r="B925" s="16"/>
      <c r="C925" s="17"/>
      <c r="D925" s="17"/>
      <c r="E925" s="17"/>
      <c r="F925" s="18"/>
      <c r="G925" s="19" t="str">
        <f t="shared" ca="1" si="28"/>
        <v/>
      </c>
      <c r="H925" s="18"/>
      <c r="I925" s="18"/>
      <c r="J925" s="77" t="str">
        <f t="shared" ca="1" si="29"/>
        <v/>
      </c>
      <c r="K925" s="19">
        <f>IF(A925="","",COUNTIFS(Resumen!$N$2:$N$2999,ROW(),Resumen!$V$2:$V$2999,1))</f>
        <v/>
      </c>
      <c r="L925" s="20"/>
      <c r="N9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6" spans="1:14">
      <c r="A926" s="16"/>
      <c r="B926" s="16"/>
      <c r="C926" s="17"/>
      <c r="D926" s="17"/>
      <c r="E926" s="17"/>
      <c r="F926" s="18"/>
      <c r="G926" s="19" t="str">
        <f t="shared" ca="1" si="28"/>
        <v/>
      </c>
      <c r="H926" s="18"/>
      <c r="I926" s="18"/>
      <c r="J926" s="77" t="str">
        <f t="shared" ca="1" si="29"/>
        <v/>
      </c>
      <c r="K926" s="19">
        <f>IF(A926="","",COUNTIFS(Resumen!$N$2:$N$2999,ROW(),Resumen!$V$2:$V$2999,1))</f>
        <v/>
      </c>
      <c r="L926" s="20"/>
      <c r="N9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7" spans="1:14">
      <c r="A927" s="16"/>
      <c r="B927" s="16"/>
      <c r="C927" s="17"/>
      <c r="D927" s="17"/>
      <c r="E927" s="17"/>
      <c r="F927" s="18"/>
      <c r="G927" s="19" t="str">
        <f t="shared" ca="1" si="28"/>
        <v/>
      </c>
      <c r="H927" s="18"/>
      <c r="I927" s="18"/>
      <c r="J927" s="77" t="str">
        <f t="shared" ca="1" si="29"/>
        <v/>
      </c>
      <c r="K927" s="19">
        <f>IF(A927="","",COUNTIFS(Resumen!$N$2:$N$2999,ROW(),Resumen!$V$2:$V$2999,1))</f>
        <v/>
      </c>
      <c r="L927" s="20"/>
      <c r="N9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8" spans="1:14">
      <c r="A928" s="16"/>
      <c r="B928" s="16"/>
      <c r="C928" s="17"/>
      <c r="D928" s="17"/>
      <c r="E928" s="17"/>
      <c r="F928" s="18"/>
      <c r="G928" s="19" t="str">
        <f t="shared" ca="1" si="28"/>
        <v/>
      </c>
      <c r="H928" s="18"/>
      <c r="I928" s="18"/>
      <c r="J928" s="77" t="str">
        <f t="shared" ca="1" si="29"/>
        <v/>
      </c>
      <c r="K928" s="19">
        <f>IF(A928="","",COUNTIFS(Resumen!$N$2:$N$2999,ROW(),Resumen!$V$2:$V$2999,1))</f>
        <v/>
      </c>
      <c r="L928" s="20"/>
      <c r="N9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29" spans="1:14">
      <c r="A929" s="16"/>
      <c r="B929" s="16"/>
      <c r="C929" s="17"/>
      <c r="D929" s="17"/>
      <c r="E929" s="17"/>
      <c r="F929" s="18"/>
      <c r="G929" s="19" t="str">
        <f t="shared" ca="1" si="28"/>
        <v/>
      </c>
      <c r="H929" s="18"/>
      <c r="I929" s="18"/>
      <c r="J929" s="77" t="str">
        <f t="shared" ca="1" si="29"/>
        <v/>
      </c>
      <c r="K929" s="19">
        <f>IF(A929="","",COUNTIFS(Resumen!$N$2:$N$2999,ROW(),Resumen!$V$2:$V$2999,1))</f>
        <v/>
      </c>
      <c r="L929" s="20"/>
      <c r="N9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0" spans="1:14">
      <c r="A930" s="16"/>
      <c r="B930" s="16"/>
      <c r="C930" s="17"/>
      <c r="D930" s="17"/>
      <c r="E930" s="17"/>
      <c r="F930" s="18"/>
      <c r="G930" s="19" t="str">
        <f t="shared" ca="1" si="28"/>
        <v/>
      </c>
      <c r="H930" s="18"/>
      <c r="I930" s="18"/>
      <c r="J930" s="77" t="str">
        <f t="shared" ca="1" si="29"/>
        <v/>
      </c>
      <c r="K930" s="19">
        <f>IF(A930="","",COUNTIFS(Resumen!$N$2:$N$2999,ROW(),Resumen!$V$2:$V$2999,1))</f>
        <v/>
      </c>
      <c r="L930" s="20"/>
      <c r="N9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1" spans="1:14">
      <c r="A931" s="16"/>
      <c r="B931" s="16"/>
      <c r="C931" s="17"/>
      <c r="D931" s="17"/>
      <c r="E931" s="17"/>
      <c r="F931" s="18"/>
      <c r="G931" s="19" t="str">
        <f t="shared" ca="1" si="28"/>
        <v/>
      </c>
      <c r="H931" s="18"/>
      <c r="I931" s="18"/>
      <c r="J931" s="77" t="str">
        <f t="shared" ca="1" si="29"/>
        <v/>
      </c>
      <c r="K931" s="19">
        <f>IF(A931="","",COUNTIFS(Resumen!$N$2:$N$2999,ROW(),Resumen!$V$2:$V$2999,1))</f>
        <v/>
      </c>
      <c r="L931" s="20"/>
      <c r="N9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2" spans="1:14">
      <c r="A932" s="16"/>
      <c r="B932" s="16"/>
      <c r="C932" s="17"/>
      <c r="D932" s="17"/>
      <c r="E932" s="17"/>
      <c r="F932" s="18"/>
      <c r="G932" s="19" t="str">
        <f t="shared" ca="1" si="28"/>
        <v/>
      </c>
      <c r="H932" s="18"/>
      <c r="I932" s="18"/>
      <c r="J932" s="77" t="str">
        <f t="shared" ca="1" si="29"/>
        <v/>
      </c>
      <c r="K932" s="19">
        <f>IF(A932="","",COUNTIFS(Resumen!$N$2:$N$2999,ROW(),Resumen!$V$2:$V$2999,1))</f>
        <v/>
      </c>
      <c r="L932" s="20"/>
      <c r="N9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3" spans="1:14">
      <c r="A933" s="16"/>
      <c r="B933" s="16"/>
      <c r="C933" s="17"/>
      <c r="D933" s="17"/>
      <c r="E933" s="17"/>
      <c r="F933" s="18"/>
      <c r="G933" s="19" t="str">
        <f t="shared" ca="1" si="28"/>
        <v/>
      </c>
      <c r="H933" s="18"/>
      <c r="I933" s="18"/>
      <c r="J933" s="77" t="str">
        <f t="shared" ca="1" si="29"/>
        <v/>
      </c>
      <c r="K933" s="19">
        <f>IF(A933="","",COUNTIFS(Resumen!$N$2:$N$2999,ROW(),Resumen!$V$2:$V$2999,1))</f>
        <v/>
      </c>
      <c r="L933" s="20"/>
      <c r="N9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4" spans="1:14">
      <c r="A934" s="16"/>
      <c r="B934" s="16"/>
      <c r="C934" s="17"/>
      <c r="D934" s="17"/>
      <c r="E934" s="17"/>
      <c r="F934" s="18"/>
      <c r="G934" s="19" t="str">
        <f t="shared" ca="1" si="28"/>
        <v/>
      </c>
      <c r="H934" s="18"/>
      <c r="I934" s="18"/>
      <c r="J934" s="77" t="str">
        <f t="shared" ca="1" si="29"/>
        <v/>
      </c>
      <c r="K934" s="19">
        <f>IF(A934="","",COUNTIFS(Resumen!$N$2:$N$2999,ROW(),Resumen!$V$2:$V$2999,1))</f>
        <v/>
      </c>
      <c r="L934" s="20"/>
      <c r="N9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5" spans="1:14">
      <c r="A935" s="16"/>
      <c r="B935" s="16"/>
      <c r="C935" s="17"/>
      <c r="D935" s="17"/>
      <c r="E935" s="17"/>
      <c r="F935" s="18"/>
      <c r="G935" s="19" t="str">
        <f t="shared" ca="1" si="28"/>
        <v/>
      </c>
      <c r="H935" s="18"/>
      <c r="I935" s="18"/>
      <c r="J935" s="77" t="str">
        <f t="shared" ca="1" si="29"/>
        <v/>
      </c>
      <c r="K935" s="19">
        <f>IF(A935="","",COUNTIFS(Resumen!$N$2:$N$2999,ROW(),Resumen!$V$2:$V$2999,1))</f>
        <v/>
      </c>
      <c r="L935" s="20"/>
      <c r="N9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6" spans="1:14">
      <c r="A936" s="16"/>
      <c r="B936" s="16"/>
      <c r="C936" s="17"/>
      <c r="D936" s="17"/>
      <c r="E936" s="17"/>
      <c r="F936" s="18"/>
      <c r="G936" s="19" t="str">
        <f t="shared" ca="1" si="28"/>
        <v/>
      </c>
      <c r="H936" s="18"/>
      <c r="I936" s="18"/>
      <c r="J936" s="77" t="str">
        <f t="shared" ca="1" si="29"/>
        <v/>
      </c>
      <c r="K936" s="19">
        <f>IF(A936="","",COUNTIFS(Resumen!$N$2:$N$2999,ROW(),Resumen!$V$2:$V$2999,1))</f>
        <v/>
      </c>
      <c r="L936" s="20"/>
      <c r="N9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7" spans="1:14">
      <c r="A937" s="16"/>
      <c r="B937" s="16"/>
      <c r="C937" s="17"/>
      <c r="D937" s="17"/>
      <c r="E937" s="17"/>
      <c r="F937" s="18"/>
      <c r="G937" s="19" t="str">
        <f t="shared" ca="1" si="28"/>
        <v/>
      </c>
      <c r="H937" s="18"/>
      <c r="I937" s="18"/>
      <c r="J937" s="77" t="str">
        <f t="shared" ca="1" si="29"/>
        <v/>
      </c>
      <c r="K937" s="19">
        <f>IF(A937="","",COUNTIFS(Resumen!$N$2:$N$2999,ROW(),Resumen!$V$2:$V$2999,1))</f>
        <v/>
      </c>
      <c r="L937" s="20"/>
      <c r="N9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8" spans="1:14">
      <c r="A938" s="16"/>
      <c r="B938" s="16"/>
      <c r="C938" s="17"/>
      <c r="D938" s="17"/>
      <c r="E938" s="17"/>
      <c r="F938" s="18"/>
      <c r="G938" s="19" t="str">
        <f t="shared" ca="1" si="28"/>
        <v/>
      </c>
      <c r="H938" s="18"/>
      <c r="I938" s="18"/>
      <c r="J938" s="77" t="str">
        <f t="shared" ca="1" si="29"/>
        <v/>
      </c>
      <c r="K938" s="19">
        <f>IF(A938="","",COUNTIFS(Resumen!$N$2:$N$2999,ROW(),Resumen!$V$2:$V$2999,1))</f>
        <v/>
      </c>
      <c r="L938" s="20"/>
      <c r="N9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39" spans="1:14">
      <c r="A939" s="16"/>
      <c r="B939" s="16"/>
      <c r="C939" s="17"/>
      <c r="D939" s="17"/>
      <c r="E939" s="17"/>
      <c r="F939" s="18"/>
      <c r="G939" s="19" t="str">
        <f t="shared" ca="1" si="28"/>
        <v/>
      </c>
      <c r="H939" s="18"/>
      <c r="I939" s="18"/>
      <c r="J939" s="77" t="str">
        <f t="shared" ca="1" si="29"/>
        <v/>
      </c>
      <c r="K939" s="19">
        <f>IF(A939="","",COUNTIFS(Resumen!$N$2:$N$2999,ROW(),Resumen!$V$2:$V$2999,1))</f>
        <v/>
      </c>
      <c r="L939" s="20"/>
      <c r="N9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0" spans="1:14">
      <c r="A940" s="16"/>
      <c r="B940" s="16"/>
      <c r="C940" s="17"/>
      <c r="D940" s="17"/>
      <c r="E940" s="17"/>
      <c r="F940" s="18"/>
      <c r="G940" s="19" t="str">
        <f t="shared" ca="1" si="28"/>
        <v/>
      </c>
      <c r="H940" s="18"/>
      <c r="I940" s="18"/>
      <c r="J940" s="77" t="str">
        <f t="shared" ca="1" si="29"/>
        <v/>
      </c>
      <c r="K940" s="19">
        <f>IF(A940="","",COUNTIFS(Resumen!$N$2:$N$2999,ROW(),Resumen!$V$2:$V$2999,1))</f>
        <v/>
      </c>
      <c r="L940" s="20"/>
      <c r="N9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1" spans="1:14">
      <c r="A941" s="16"/>
      <c r="B941" s="16"/>
      <c r="C941" s="17"/>
      <c r="D941" s="17"/>
      <c r="E941" s="17"/>
      <c r="F941" s="18"/>
      <c r="G941" s="19" t="str">
        <f t="shared" ca="1" si="28"/>
        <v/>
      </c>
      <c r="H941" s="18"/>
      <c r="I941" s="18"/>
      <c r="J941" s="77" t="str">
        <f t="shared" ca="1" si="29"/>
        <v/>
      </c>
      <c r="K941" s="19">
        <f>IF(A941="","",COUNTIFS(Resumen!$N$2:$N$2999,ROW(),Resumen!$V$2:$V$2999,1))</f>
        <v/>
      </c>
      <c r="L941" s="20"/>
      <c r="N9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2" spans="1:14">
      <c r="A942" s="16"/>
      <c r="B942" s="16"/>
      <c r="C942" s="17"/>
      <c r="D942" s="17"/>
      <c r="E942" s="17"/>
      <c r="F942" s="18"/>
      <c r="G942" s="19" t="str">
        <f t="shared" ca="1" si="28"/>
        <v/>
      </c>
      <c r="H942" s="18"/>
      <c r="I942" s="18"/>
      <c r="J942" s="77" t="str">
        <f t="shared" ca="1" si="29"/>
        <v/>
      </c>
      <c r="K942" s="19">
        <f>IF(A942="","",COUNTIFS(Resumen!$N$2:$N$2999,ROW(),Resumen!$V$2:$V$2999,1))</f>
        <v/>
      </c>
      <c r="L942" s="20"/>
      <c r="N9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3" spans="1:14">
      <c r="A943" s="16"/>
      <c r="B943" s="16"/>
      <c r="C943" s="17"/>
      <c r="D943" s="17"/>
      <c r="E943" s="17"/>
      <c r="F943" s="18"/>
      <c r="G943" s="19" t="str">
        <f t="shared" ca="1" si="28"/>
        <v/>
      </c>
      <c r="H943" s="18"/>
      <c r="I943" s="18"/>
      <c r="J943" s="77" t="str">
        <f t="shared" ca="1" si="29"/>
        <v/>
      </c>
      <c r="K943" s="19">
        <f>IF(A943="","",COUNTIFS(Resumen!$N$2:$N$2999,ROW(),Resumen!$V$2:$V$2999,1))</f>
        <v/>
      </c>
      <c r="L943" s="20"/>
      <c r="N9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4" spans="1:14">
      <c r="A944" s="16"/>
      <c r="B944" s="16"/>
      <c r="C944" s="17"/>
      <c r="D944" s="17"/>
      <c r="E944" s="17"/>
      <c r="F944" s="18"/>
      <c r="G944" s="19" t="str">
        <f t="shared" ca="1" si="28"/>
        <v/>
      </c>
      <c r="H944" s="18"/>
      <c r="I944" s="18"/>
      <c r="J944" s="77" t="str">
        <f t="shared" ca="1" si="29"/>
        <v/>
      </c>
      <c r="K944" s="19">
        <f>IF(A944="","",COUNTIFS(Resumen!$N$2:$N$2999,ROW(),Resumen!$V$2:$V$2999,1))</f>
        <v/>
      </c>
      <c r="L944" s="20"/>
      <c r="N9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5" spans="1:14">
      <c r="A945" s="16"/>
      <c r="B945" s="16"/>
      <c r="C945" s="17"/>
      <c r="D945" s="17"/>
      <c r="E945" s="17"/>
      <c r="F945" s="18"/>
      <c r="G945" s="19" t="str">
        <f t="shared" ca="1" si="28"/>
        <v/>
      </c>
      <c r="H945" s="18"/>
      <c r="I945" s="18"/>
      <c r="J945" s="77" t="str">
        <f t="shared" ca="1" si="29"/>
        <v/>
      </c>
      <c r="K945" s="19">
        <f>IF(A945="","",COUNTIFS(Resumen!$N$2:$N$2999,ROW(),Resumen!$V$2:$V$2999,1))</f>
        <v/>
      </c>
      <c r="L945" s="20"/>
      <c r="N9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6" spans="1:14">
      <c r="A946" s="16"/>
      <c r="B946" s="16"/>
      <c r="C946" s="17"/>
      <c r="D946" s="17"/>
      <c r="E946" s="17"/>
      <c r="F946" s="18"/>
      <c r="G946" s="19" t="str">
        <f t="shared" ca="1" si="28"/>
        <v/>
      </c>
      <c r="H946" s="18"/>
      <c r="I946" s="18"/>
      <c r="J946" s="77" t="str">
        <f t="shared" ca="1" si="29"/>
        <v/>
      </c>
      <c r="K946" s="19">
        <f>IF(A946="","",COUNTIFS(Resumen!$N$2:$N$2999,ROW(),Resumen!$V$2:$V$2999,1))</f>
        <v/>
      </c>
      <c r="L946" s="20"/>
      <c r="N9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7" spans="1:14">
      <c r="A947" s="16"/>
      <c r="B947" s="16"/>
      <c r="C947" s="17"/>
      <c r="D947" s="17"/>
      <c r="E947" s="17"/>
      <c r="F947" s="18"/>
      <c r="G947" s="19" t="str">
        <f t="shared" ca="1" si="28"/>
        <v/>
      </c>
      <c r="H947" s="18"/>
      <c r="I947" s="18"/>
      <c r="J947" s="77" t="str">
        <f t="shared" ca="1" si="29"/>
        <v/>
      </c>
      <c r="K947" s="19">
        <f>IF(A947="","",COUNTIFS(Resumen!$N$2:$N$2999,ROW(),Resumen!$V$2:$V$2999,1))</f>
        <v/>
      </c>
      <c r="L947" s="20"/>
      <c r="N9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8" spans="1:14">
      <c r="A948" s="16"/>
      <c r="B948" s="16"/>
      <c r="C948" s="17"/>
      <c r="D948" s="17"/>
      <c r="E948" s="17"/>
      <c r="F948" s="18"/>
      <c r="G948" s="19" t="str">
        <f t="shared" ca="1" si="28"/>
        <v/>
      </c>
      <c r="H948" s="18"/>
      <c r="I948" s="18"/>
      <c r="J948" s="77" t="str">
        <f t="shared" ca="1" si="29"/>
        <v/>
      </c>
      <c r="K948" s="19">
        <f>IF(A948="","",COUNTIFS(Resumen!$N$2:$N$2999,ROW(),Resumen!$V$2:$V$2999,1))</f>
        <v/>
      </c>
      <c r="L948" s="20"/>
      <c r="N9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49" spans="1:14">
      <c r="A949" s="16"/>
      <c r="B949" s="16"/>
      <c r="C949" s="17"/>
      <c r="D949" s="17"/>
      <c r="E949" s="17"/>
      <c r="F949" s="18"/>
      <c r="G949" s="19" t="str">
        <f t="shared" ca="1" si="28"/>
        <v/>
      </c>
      <c r="H949" s="18"/>
      <c r="I949" s="18"/>
      <c r="J949" s="77" t="str">
        <f t="shared" ca="1" si="29"/>
        <v/>
      </c>
      <c r="K949" s="19">
        <f>IF(A949="","",COUNTIFS(Resumen!$N$2:$N$2999,ROW(),Resumen!$V$2:$V$2999,1))</f>
        <v/>
      </c>
      <c r="L949" s="20"/>
      <c r="N9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0" spans="1:14">
      <c r="A950" s="16"/>
      <c r="B950" s="16"/>
      <c r="C950" s="17"/>
      <c r="D950" s="17"/>
      <c r="E950" s="17"/>
      <c r="F950" s="18"/>
      <c r="G950" s="19" t="str">
        <f t="shared" ca="1" si="28"/>
        <v/>
      </c>
      <c r="H950" s="18"/>
      <c r="I950" s="18"/>
      <c r="J950" s="77" t="str">
        <f t="shared" ca="1" si="29"/>
        <v/>
      </c>
      <c r="K950" s="19">
        <f>IF(A950="","",COUNTIFS(Resumen!$N$2:$N$2999,ROW(),Resumen!$V$2:$V$2999,1))</f>
        <v/>
      </c>
      <c r="L950" s="20"/>
      <c r="N9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1" spans="1:14">
      <c r="A951" s="16"/>
      <c r="B951" s="16"/>
      <c r="C951" s="17"/>
      <c r="D951" s="17"/>
      <c r="E951" s="17"/>
      <c r="F951" s="18"/>
      <c r="G951" s="19" t="str">
        <f t="shared" ca="1" si="28"/>
        <v/>
      </c>
      <c r="H951" s="18"/>
      <c r="I951" s="18"/>
      <c r="J951" s="77" t="str">
        <f t="shared" ca="1" si="29"/>
        <v/>
      </c>
      <c r="K951" s="19">
        <f>IF(A951="","",COUNTIFS(Resumen!$N$2:$N$2999,ROW(),Resumen!$V$2:$V$2999,1))</f>
        <v/>
      </c>
      <c r="L951" s="20"/>
      <c r="N9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2" spans="1:14">
      <c r="A952" s="16"/>
      <c r="B952" s="16"/>
      <c r="C952" s="17"/>
      <c r="D952" s="17"/>
      <c r="E952" s="17"/>
      <c r="F952" s="18"/>
      <c r="G952" s="19" t="str">
        <f t="shared" ca="1" si="28"/>
        <v/>
      </c>
      <c r="H952" s="18"/>
      <c r="I952" s="18"/>
      <c r="J952" s="77" t="str">
        <f t="shared" ca="1" si="29"/>
        <v/>
      </c>
      <c r="K952" s="19">
        <f>IF(A952="","",COUNTIFS(Resumen!$N$2:$N$2999,ROW(),Resumen!$V$2:$V$2999,1))</f>
        <v/>
      </c>
      <c r="L952" s="20"/>
      <c r="N9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3" spans="1:14">
      <c r="A953" s="16"/>
      <c r="B953" s="16"/>
      <c r="C953" s="17"/>
      <c r="D953" s="17"/>
      <c r="E953" s="17"/>
      <c r="F953" s="18"/>
      <c r="G953" s="19" t="str">
        <f t="shared" ca="1" si="28"/>
        <v/>
      </c>
      <c r="H953" s="18"/>
      <c r="I953" s="18"/>
      <c r="J953" s="77" t="str">
        <f t="shared" ca="1" si="29"/>
        <v/>
      </c>
      <c r="K953" s="19">
        <f>IF(A953="","",COUNTIFS(Resumen!$N$2:$N$2999,ROW(),Resumen!$V$2:$V$2999,1))</f>
        <v/>
      </c>
      <c r="L953" s="20"/>
      <c r="N9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4" spans="1:14">
      <c r="A954" s="16"/>
      <c r="B954" s="16"/>
      <c r="C954" s="17"/>
      <c r="D954" s="17"/>
      <c r="E954" s="17"/>
      <c r="F954" s="18"/>
      <c r="G954" s="19" t="str">
        <f t="shared" ca="1" si="28"/>
        <v/>
      </c>
      <c r="H954" s="18"/>
      <c r="I954" s="18"/>
      <c r="J954" s="77" t="str">
        <f t="shared" ca="1" si="29"/>
        <v/>
      </c>
      <c r="K954" s="19">
        <f>IF(A954="","",COUNTIFS(Resumen!$N$2:$N$2999,ROW(),Resumen!$V$2:$V$2999,1))</f>
        <v/>
      </c>
      <c r="L954" s="20"/>
      <c r="N9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5" spans="1:14">
      <c r="A955" s="16"/>
      <c r="B955" s="16"/>
      <c r="C955" s="17"/>
      <c r="D955" s="17"/>
      <c r="E955" s="17"/>
      <c r="F955" s="18"/>
      <c r="G955" s="19" t="str">
        <f t="shared" ca="1" si="28"/>
        <v/>
      </c>
      <c r="H955" s="18"/>
      <c r="I955" s="18"/>
      <c r="J955" s="77" t="str">
        <f t="shared" ca="1" si="29"/>
        <v/>
      </c>
      <c r="K955" s="19">
        <f>IF(A955="","",COUNTIFS(Resumen!$N$2:$N$2999,ROW(),Resumen!$V$2:$V$2999,1))</f>
        <v/>
      </c>
      <c r="L955" s="20"/>
      <c r="N9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6" spans="1:14">
      <c r="A956" s="16"/>
      <c r="B956" s="16"/>
      <c r="C956" s="17"/>
      <c r="D956" s="17"/>
      <c r="E956" s="17"/>
      <c r="F956" s="18"/>
      <c r="G956" s="19" t="str">
        <f t="shared" ca="1" si="28"/>
        <v/>
      </c>
      <c r="H956" s="18"/>
      <c r="I956" s="18"/>
      <c r="J956" s="77" t="str">
        <f t="shared" ca="1" si="29"/>
        <v/>
      </c>
      <c r="K956" s="19">
        <f>IF(A956="","",COUNTIFS(Resumen!$N$2:$N$2999,ROW(),Resumen!$V$2:$V$2999,1))</f>
        <v/>
      </c>
      <c r="L956" s="20"/>
      <c r="N9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7" spans="1:14">
      <c r="A957" s="16"/>
      <c r="B957" s="16"/>
      <c r="C957" s="17"/>
      <c r="D957" s="17"/>
      <c r="E957" s="17"/>
      <c r="F957" s="18"/>
      <c r="G957" s="19" t="str">
        <f t="shared" ca="1" si="28"/>
        <v/>
      </c>
      <c r="H957" s="18"/>
      <c r="I957" s="18"/>
      <c r="J957" s="77" t="str">
        <f t="shared" ca="1" si="29"/>
        <v/>
      </c>
      <c r="K957" s="19">
        <f>IF(A957="","",COUNTIFS(Resumen!$N$2:$N$2999,ROW(),Resumen!$V$2:$V$2999,1))</f>
        <v/>
      </c>
      <c r="L957" s="20"/>
      <c r="N9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8" spans="1:14">
      <c r="A958" s="16"/>
      <c r="B958" s="16"/>
      <c r="C958" s="17"/>
      <c r="D958" s="17"/>
      <c r="E958" s="17"/>
      <c r="F958" s="18"/>
      <c r="G958" s="19" t="str">
        <f t="shared" ca="1" si="28"/>
        <v/>
      </c>
      <c r="H958" s="18"/>
      <c r="I958" s="18"/>
      <c r="J958" s="77" t="str">
        <f t="shared" ca="1" si="29"/>
        <v/>
      </c>
      <c r="K958" s="19">
        <f>IF(A958="","",COUNTIFS(Resumen!$N$2:$N$2999,ROW(),Resumen!$V$2:$V$2999,1))</f>
        <v/>
      </c>
      <c r="L958" s="20"/>
      <c r="N9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59" spans="1:14">
      <c r="A959" s="16"/>
      <c r="B959" s="16"/>
      <c r="C959" s="17"/>
      <c r="D959" s="17"/>
      <c r="E959" s="17"/>
      <c r="F959" s="18"/>
      <c r="G959" s="19" t="str">
        <f t="shared" ca="1" si="28"/>
        <v/>
      </c>
      <c r="H959" s="18"/>
      <c r="I959" s="18"/>
      <c r="J959" s="77" t="str">
        <f t="shared" ca="1" si="29"/>
        <v/>
      </c>
      <c r="K959" s="19">
        <f>IF(A959="","",COUNTIFS(Resumen!$N$2:$N$2999,ROW(),Resumen!$V$2:$V$2999,1))</f>
        <v/>
      </c>
      <c r="L959" s="20"/>
      <c r="N9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0" spans="1:14">
      <c r="A960" s="16"/>
      <c r="B960" s="16"/>
      <c r="C960" s="17"/>
      <c r="D960" s="17"/>
      <c r="E960" s="17"/>
      <c r="F960" s="18"/>
      <c r="G960" s="19" t="str">
        <f t="shared" ca="1" si="28"/>
        <v/>
      </c>
      <c r="H960" s="18"/>
      <c r="I960" s="18"/>
      <c r="J960" s="77" t="str">
        <f t="shared" ca="1" si="29"/>
        <v/>
      </c>
      <c r="K960" s="19">
        <f>IF(A960="","",COUNTIFS(Resumen!$N$2:$N$2999,ROW(),Resumen!$V$2:$V$2999,1))</f>
        <v/>
      </c>
      <c r="L960" s="20"/>
      <c r="N9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1" spans="1:14">
      <c r="A961" s="16"/>
      <c r="B961" s="16"/>
      <c r="C961" s="17"/>
      <c r="D961" s="17"/>
      <c r="E961" s="17"/>
      <c r="F961" s="18"/>
      <c r="G961" s="19" t="str">
        <f t="shared" ca="1" si="28"/>
        <v/>
      </c>
      <c r="H961" s="18"/>
      <c r="I961" s="18"/>
      <c r="J961" s="77" t="str">
        <f t="shared" ca="1" si="29"/>
        <v/>
      </c>
      <c r="K961" s="19">
        <f>IF(A961="","",COUNTIFS(Resumen!$N$2:$N$2999,ROW(),Resumen!$V$2:$V$2999,1))</f>
        <v/>
      </c>
      <c r="L961" s="20"/>
      <c r="N9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2" spans="1:14">
      <c r="A962" s="16"/>
      <c r="B962" s="16"/>
      <c r="C962" s="17"/>
      <c r="D962" s="17"/>
      <c r="E962" s="17"/>
      <c r="F962" s="18"/>
      <c r="G962" s="19" t="str">
        <f t="shared" ref="G962:G1025" ca="1" si="30">IF(F962="", "", DATEDIF(F962, TODAY(), "Y"))</f>
        <v/>
      </c>
      <c r="H962" s="18"/>
      <c r="I962" s="18"/>
      <c r="J962" s="77" t="str">
        <f t="shared" ref="J962:J1025" ca="1" si="31">IFERROR(IF(ISNUMBER(INDEX(VigenciasFamilia,ROW())),INDEX(VigenciasFamilia,ROW())-TODAY(),""),"")</f>
        <v/>
      </c>
      <c r="K962" s="19">
        <f>IF(A962="","",COUNTIFS(Resumen!$N$2:$N$2999,ROW(),Resumen!$V$2:$V$2999,1))</f>
        <v/>
      </c>
      <c r="L962" s="20"/>
      <c r="N9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3" spans="1:14">
      <c r="A963" s="16"/>
      <c r="B963" s="16"/>
      <c r="C963" s="17"/>
      <c r="D963" s="17"/>
      <c r="E963" s="17"/>
      <c r="F963" s="18"/>
      <c r="G963" s="19" t="str">
        <f t="shared" ca="1" si="30"/>
        <v/>
      </c>
      <c r="H963" s="18"/>
      <c r="I963" s="18"/>
      <c r="J963" s="77" t="str">
        <f t="shared" ca="1" si="31"/>
        <v/>
      </c>
      <c r="K963" s="19">
        <f>IF(A963="","",COUNTIFS(Resumen!$N$2:$N$2999,ROW(),Resumen!$V$2:$V$2999,1))</f>
        <v/>
      </c>
      <c r="L963" s="20"/>
      <c r="N9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4" spans="1:14">
      <c r="A964" s="16"/>
      <c r="B964" s="16"/>
      <c r="C964" s="17"/>
      <c r="D964" s="17"/>
      <c r="E964" s="17"/>
      <c r="F964" s="18"/>
      <c r="G964" s="19" t="str">
        <f t="shared" ca="1" si="30"/>
        <v/>
      </c>
      <c r="H964" s="18"/>
      <c r="I964" s="18"/>
      <c r="J964" s="77" t="str">
        <f t="shared" ca="1" si="31"/>
        <v/>
      </c>
      <c r="K964" s="19">
        <f>IF(A964="","",COUNTIFS(Resumen!$N$2:$N$2999,ROW(),Resumen!$V$2:$V$2999,1))</f>
        <v/>
      </c>
      <c r="L964" s="20"/>
      <c r="N9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5" spans="1:14">
      <c r="A965" s="16"/>
      <c r="B965" s="16"/>
      <c r="C965" s="17"/>
      <c r="D965" s="17"/>
      <c r="E965" s="17"/>
      <c r="F965" s="18"/>
      <c r="G965" s="19" t="str">
        <f t="shared" ca="1" si="30"/>
        <v/>
      </c>
      <c r="H965" s="18"/>
      <c r="I965" s="18"/>
      <c r="J965" s="77" t="str">
        <f t="shared" ca="1" si="31"/>
        <v/>
      </c>
      <c r="K965" s="19">
        <f>IF(A965="","",COUNTIFS(Resumen!$N$2:$N$2999,ROW(),Resumen!$V$2:$V$2999,1))</f>
        <v/>
      </c>
      <c r="L965" s="20"/>
      <c r="N9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6" spans="1:14">
      <c r="A966" s="16"/>
      <c r="B966" s="16"/>
      <c r="C966" s="17"/>
      <c r="D966" s="17"/>
      <c r="E966" s="17"/>
      <c r="F966" s="18"/>
      <c r="G966" s="19" t="str">
        <f t="shared" ca="1" si="30"/>
        <v/>
      </c>
      <c r="H966" s="18"/>
      <c r="I966" s="18"/>
      <c r="J966" s="77" t="str">
        <f t="shared" ca="1" si="31"/>
        <v/>
      </c>
      <c r="K966" s="19">
        <f>IF(A966="","",COUNTIFS(Resumen!$N$2:$N$2999,ROW(),Resumen!$V$2:$V$2999,1))</f>
        <v/>
      </c>
      <c r="L966" s="20"/>
      <c r="N9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7" spans="1:14">
      <c r="A967" s="16"/>
      <c r="B967" s="16"/>
      <c r="C967" s="17"/>
      <c r="D967" s="17"/>
      <c r="E967" s="17"/>
      <c r="F967" s="18"/>
      <c r="G967" s="19" t="str">
        <f t="shared" ca="1" si="30"/>
        <v/>
      </c>
      <c r="H967" s="18"/>
      <c r="I967" s="18"/>
      <c r="J967" s="77" t="str">
        <f t="shared" ca="1" si="31"/>
        <v/>
      </c>
      <c r="K967" s="19">
        <f>IF(A967="","",COUNTIFS(Resumen!$N$2:$N$2999,ROW(),Resumen!$V$2:$V$2999,1))</f>
        <v/>
      </c>
      <c r="L967" s="20"/>
      <c r="N9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8" spans="1:14">
      <c r="A968" s="16"/>
      <c r="B968" s="16"/>
      <c r="C968" s="17"/>
      <c r="D968" s="17"/>
      <c r="E968" s="17"/>
      <c r="F968" s="18"/>
      <c r="G968" s="19" t="str">
        <f t="shared" ca="1" si="30"/>
        <v/>
      </c>
      <c r="H968" s="18"/>
      <c r="I968" s="18"/>
      <c r="J968" s="77" t="str">
        <f t="shared" ca="1" si="31"/>
        <v/>
      </c>
      <c r="K968" s="19">
        <f>IF(A968="","",COUNTIFS(Resumen!$N$2:$N$2999,ROW(),Resumen!$V$2:$V$2999,1))</f>
        <v/>
      </c>
      <c r="L968" s="20"/>
      <c r="N9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69" spans="1:14">
      <c r="A969" s="16"/>
      <c r="B969" s="16"/>
      <c r="C969" s="17"/>
      <c r="D969" s="17"/>
      <c r="E969" s="17"/>
      <c r="F969" s="18"/>
      <c r="G969" s="19" t="str">
        <f t="shared" ca="1" si="30"/>
        <v/>
      </c>
      <c r="H969" s="18"/>
      <c r="I969" s="18"/>
      <c r="J969" s="77" t="str">
        <f t="shared" ca="1" si="31"/>
        <v/>
      </c>
      <c r="K969" s="19">
        <f>IF(A969="","",COUNTIFS(Resumen!$N$2:$N$2999,ROW(),Resumen!$V$2:$V$2999,1))</f>
        <v/>
      </c>
      <c r="L969" s="20"/>
      <c r="N9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0" spans="1:14">
      <c r="A970" s="16"/>
      <c r="B970" s="16"/>
      <c r="C970" s="17"/>
      <c r="D970" s="17"/>
      <c r="E970" s="17"/>
      <c r="F970" s="18"/>
      <c r="G970" s="19" t="str">
        <f t="shared" ca="1" si="30"/>
        <v/>
      </c>
      <c r="H970" s="18"/>
      <c r="I970" s="18"/>
      <c r="J970" s="77" t="str">
        <f t="shared" ca="1" si="31"/>
        <v/>
      </c>
      <c r="K970" s="19">
        <f>IF(A970="","",COUNTIFS(Resumen!$N$2:$N$2999,ROW(),Resumen!$V$2:$V$2999,1))</f>
        <v/>
      </c>
      <c r="L970" s="20"/>
      <c r="N9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1" spans="1:14">
      <c r="A971" s="16"/>
      <c r="B971" s="16"/>
      <c r="C971" s="17"/>
      <c r="D971" s="17"/>
      <c r="E971" s="17"/>
      <c r="F971" s="18"/>
      <c r="G971" s="19" t="str">
        <f t="shared" ca="1" si="30"/>
        <v/>
      </c>
      <c r="H971" s="18"/>
      <c r="I971" s="18"/>
      <c r="J971" s="77" t="str">
        <f t="shared" ca="1" si="31"/>
        <v/>
      </c>
      <c r="K971" s="19">
        <f>IF(A971="","",COUNTIFS(Resumen!$N$2:$N$2999,ROW(),Resumen!$V$2:$V$2999,1))</f>
        <v/>
      </c>
      <c r="L971" s="20"/>
      <c r="N9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2" spans="1:14">
      <c r="A972" s="16"/>
      <c r="B972" s="16"/>
      <c r="C972" s="17"/>
      <c r="D972" s="17"/>
      <c r="E972" s="17"/>
      <c r="F972" s="18"/>
      <c r="G972" s="19" t="str">
        <f t="shared" ca="1" si="30"/>
        <v/>
      </c>
      <c r="H972" s="18"/>
      <c r="I972" s="18"/>
      <c r="J972" s="77" t="str">
        <f t="shared" ca="1" si="31"/>
        <v/>
      </c>
      <c r="K972" s="19">
        <f>IF(A972="","",COUNTIFS(Resumen!$N$2:$N$2999,ROW(),Resumen!$V$2:$V$2999,1))</f>
        <v/>
      </c>
      <c r="L972" s="20"/>
      <c r="N9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3" spans="1:14">
      <c r="A973" s="16"/>
      <c r="B973" s="16"/>
      <c r="C973" s="17"/>
      <c r="D973" s="17"/>
      <c r="E973" s="17"/>
      <c r="F973" s="18"/>
      <c r="G973" s="19" t="str">
        <f t="shared" ca="1" si="30"/>
        <v/>
      </c>
      <c r="H973" s="18"/>
      <c r="I973" s="18"/>
      <c r="J973" s="77" t="str">
        <f t="shared" ca="1" si="31"/>
        <v/>
      </c>
      <c r="K973" s="19">
        <f>IF(A973="","",COUNTIFS(Resumen!$N$2:$N$2999,ROW(),Resumen!$V$2:$V$2999,1))</f>
        <v/>
      </c>
      <c r="L973" s="20"/>
      <c r="N9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4" spans="1:14">
      <c r="A974" s="16"/>
      <c r="B974" s="16"/>
      <c r="C974" s="17"/>
      <c r="D974" s="17"/>
      <c r="E974" s="17"/>
      <c r="F974" s="18"/>
      <c r="G974" s="19" t="str">
        <f t="shared" ca="1" si="30"/>
        <v/>
      </c>
      <c r="H974" s="18"/>
      <c r="I974" s="18"/>
      <c r="J974" s="77" t="str">
        <f t="shared" ca="1" si="31"/>
        <v/>
      </c>
      <c r="K974" s="19">
        <f>IF(A974="","",COUNTIFS(Resumen!$N$2:$N$2999,ROW(),Resumen!$V$2:$V$2999,1))</f>
        <v/>
      </c>
      <c r="L974" s="20"/>
      <c r="N9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5" spans="1:14">
      <c r="A975" s="16"/>
      <c r="B975" s="16"/>
      <c r="C975" s="17"/>
      <c r="D975" s="17"/>
      <c r="E975" s="17"/>
      <c r="F975" s="18"/>
      <c r="G975" s="19" t="str">
        <f t="shared" ca="1" si="30"/>
        <v/>
      </c>
      <c r="H975" s="18"/>
      <c r="I975" s="18"/>
      <c r="J975" s="77" t="str">
        <f t="shared" ca="1" si="31"/>
        <v/>
      </c>
      <c r="K975" s="19">
        <f>IF(A975="","",COUNTIFS(Resumen!$N$2:$N$2999,ROW(),Resumen!$V$2:$V$2999,1))</f>
        <v/>
      </c>
      <c r="L975" s="20"/>
      <c r="N9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6" spans="1:14">
      <c r="A976" s="16"/>
      <c r="B976" s="16"/>
      <c r="C976" s="17"/>
      <c r="D976" s="17"/>
      <c r="E976" s="17"/>
      <c r="F976" s="18"/>
      <c r="G976" s="19" t="str">
        <f t="shared" ca="1" si="30"/>
        <v/>
      </c>
      <c r="H976" s="18"/>
      <c r="I976" s="18"/>
      <c r="J976" s="77" t="str">
        <f t="shared" ca="1" si="31"/>
        <v/>
      </c>
      <c r="K976" s="19">
        <f>IF(A976="","",COUNTIFS(Resumen!$N$2:$N$2999,ROW(),Resumen!$V$2:$V$2999,1))</f>
        <v/>
      </c>
      <c r="L976" s="20"/>
      <c r="N9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7" spans="1:14">
      <c r="A977" s="16"/>
      <c r="B977" s="16"/>
      <c r="C977" s="17"/>
      <c r="D977" s="17"/>
      <c r="E977" s="17"/>
      <c r="F977" s="18"/>
      <c r="G977" s="19" t="str">
        <f t="shared" ca="1" si="30"/>
        <v/>
      </c>
      <c r="H977" s="18"/>
      <c r="I977" s="18"/>
      <c r="J977" s="77" t="str">
        <f t="shared" ca="1" si="31"/>
        <v/>
      </c>
      <c r="K977" s="19">
        <f>IF(A977="","",COUNTIFS(Resumen!$N$2:$N$2999,ROW(),Resumen!$V$2:$V$2999,1))</f>
        <v/>
      </c>
      <c r="L977" s="20"/>
      <c r="N9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8" spans="1:14">
      <c r="A978" s="16"/>
      <c r="B978" s="16"/>
      <c r="C978" s="17"/>
      <c r="D978" s="17"/>
      <c r="E978" s="17"/>
      <c r="F978" s="18"/>
      <c r="G978" s="19" t="str">
        <f t="shared" ca="1" si="30"/>
        <v/>
      </c>
      <c r="H978" s="18"/>
      <c r="I978" s="18"/>
      <c r="J978" s="77" t="str">
        <f t="shared" ca="1" si="31"/>
        <v/>
      </c>
      <c r="K978" s="19">
        <f>IF(A978="","",COUNTIFS(Resumen!$N$2:$N$2999,ROW(),Resumen!$V$2:$V$2999,1))</f>
        <v/>
      </c>
      <c r="L978" s="20"/>
      <c r="N9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79" spans="1:14">
      <c r="A979" s="16"/>
      <c r="B979" s="16"/>
      <c r="C979" s="17"/>
      <c r="D979" s="17"/>
      <c r="E979" s="17"/>
      <c r="F979" s="18"/>
      <c r="G979" s="19" t="str">
        <f t="shared" ca="1" si="30"/>
        <v/>
      </c>
      <c r="H979" s="18"/>
      <c r="I979" s="18"/>
      <c r="J979" s="77" t="str">
        <f t="shared" ca="1" si="31"/>
        <v/>
      </c>
      <c r="K979" s="19">
        <f>IF(A979="","",COUNTIFS(Resumen!$N$2:$N$2999,ROW(),Resumen!$V$2:$V$2999,1))</f>
        <v/>
      </c>
      <c r="L979" s="20"/>
      <c r="N9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0" spans="1:14">
      <c r="A980" s="16"/>
      <c r="B980" s="16"/>
      <c r="C980" s="17"/>
      <c r="D980" s="17"/>
      <c r="E980" s="17"/>
      <c r="F980" s="18"/>
      <c r="G980" s="19" t="str">
        <f t="shared" ca="1" si="30"/>
        <v/>
      </c>
      <c r="H980" s="18"/>
      <c r="I980" s="18"/>
      <c r="J980" s="77" t="str">
        <f t="shared" ca="1" si="31"/>
        <v/>
      </c>
      <c r="K980" s="19">
        <f>IF(A980="","",COUNTIFS(Resumen!$N$2:$N$2999,ROW(),Resumen!$V$2:$V$2999,1))</f>
        <v/>
      </c>
      <c r="L980" s="20"/>
      <c r="N9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1" spans="1:14">
      <c r="A981" s="16"/>
      <c r="B981" s="16"/>
      <c r="C981" s="17"/>
      <c r="D981" s="17"/>
      <c r="E981" s="17"/>
      <c r="F981" s="18"/>
      <c r="G981" s="19" t="str">
        <f t="shared" ca="1" si="30"/>
        <v/>
      </c>
      <c r="H981" s="18"/>
      <c r="I981" s="18"/>
      <c r="J981" s="77" t="str">
        <f t="shared" ca="1" si="31"/>
        <v/>
      </c>
      <c r="K981" s="19">
        <f>IF(A981="","",COUNTIFS(Resumen!$N$2:$N$2999,ROW(),Resumen!$V$2:$V$2999,1))</f>
        <v/>
      </c>
      <c r="L981" s="20"/>
      <c r="N9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2" spans="1:14">
      <c r="A982" s="16"/>
      <c r="B982" s="16"/>
      <c r="C982" s="17"/>
      <c r="D982" s="17"/>
      <c r="E982" s="17"/>
      <c r="F982" s="18"/>
      <c r="G982" s="19" t="str">
        <f t="shared" ca="1" si="30"/>
        <v/>
      </c>
      <c r="H982" s="18"/>
      <c r="I982" s="18"/>
      <c r="J982" s="77" t="str">
        <f t="shared" ca="1" si="31"/>
        <v/>
      </c>
      <c r="K982" s="19">
        <f>IF(A982="","",COUNTIFS(Resumen!$N$2:$N$2999,ROW(),Resumen!$V$2:$V$2999,1))</f>
        <v/>
      </c>
      <c r="L982" s="20"/>
      <c r="N9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3" spans="1:14">
      <c r="A983" s="16"/>
      <c r="B983" s="16"/>
      <c r="C983" s="17"/>
      <c r="D983" s="17"/>
      <c r="E983" s="17"/>
      <c r="F983" s="18"/>
      <c r="G983" s="19" t="str">
        <f t="shared" ca="1" si="30"/>
        <v/>
      </c>
      <c r="H983" s="18"/>
      <c r="I983" s="18"/>
      <c r="J983" s="77" t="str">
        <f t="shared" ca="1" si="31"/>
        <v/>
      </c>
      <c r="K983" s="19">
        <f>IF(A983="","",COUNTIFS(Resumen!$N$2:$N$2999,ROW(),Resumen!$V$2:$V$2999,1))</f>
        <v/>
      </c>
      <c r="L983" s="20"/>
      <c r="N9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4" spans="1:14">
      <c r="A984" s="16"/>
      <c r="B984" s="16"/>
      <c r="C984" s="17"/>
      <c r="D984" s="17"/>
      <c r="E984" s="17"/>
      <c r="F984" s="18"/>
      <c r="G984" s="19" t="str">
        <f t="shared" ca="1" si="30"/>
        <v/>
      </c>
      <c r="H984" s="18"/>
      <c r="I984" s="18"/>
      <c r="J984" s="77" t="str">
        <f t="shared" ca="1" si="31"/>
        <v/>
      </c>
      <c r="K984" s="19">
        <f>IF(A984="","",COUNTIFS(Resumen!$N$2:$N$2999,ROW(),Resumen!$V$2:$V$2999,1))</f>
        <v/>
      </c>
      <c r="L984" s="20"/>
      <c r="N9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5" spans="1:14">
      <c r="A985" s="16"/>
      <c r="B985" s="16"/>
      <c r="C985" s="17"/>
      <c r="D985" s="17"/>
      <c r="E985" s="17"/>
      <c r="F985" s="18"/>
      <c r="G985" s="19" t="str">
        <f t="shared" ca="1" si="30"/>
        <v/>
      </c>
      <c r="H985" s="18"/>
      <c r="I985" s="18"/>
      <c r="J985" s="77" t="str">
        <f t="shared" ca="1" si="31"/>
        <v/>
      </c>
      <c r="K985" s="19">
        <f>IF(A985="","",COUNTIFS(Resumen!$N$2:$N$2999,ROW(),Resumen!$V$2:$V$2999,1))</f>
        <v/>
      </c>
      <c r="L985" s="20"/>
      <c r="N9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6" spans="1:14">
      <c r="A986" s="16"/>
      <c r="B986" s="16"/>
      <c r="C986" s="17"/>
      <c r="D986" s="17"/>
      <c r="E986" s="17"/>
      <c r="F986" s="18"/>
      <c r="G986" s="19" t="str">
        <f t="shared" ca="1" si="30"/>
        <v/>
      </c>
      <c r="H986" s="18"/>
      <c r="I986" s="18"/>
      <c r="J986" s="77" t="str">
        <f t="shared" ca="1" si="31"/>
        <v/>
      </c>
      <c r="K986" s="19">
        <f>IF(A986="","",COUNTIFS(Resumen!$N$2:$N$2999,ROW(),Resumen!$V$2:$V$2999,1))</f>
        <v/>
      </c>
      <c r="L986" s="20"/>
      <c r="N9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7" spans="1:14">
      <c r="A987" s="16"/>
      <c r="B987" s="16"/>
      <c r="C987" s="17"/>
      <c r="D987" s="17"/>
      <c r="E987" s="17"/>
      <c r="F987" s="18"/>
      <c r="G987" s="19" t="str">
        <f t="shared" ca="1" si="30"/>
        <v/>
      </c>
      <c r="H987" s="18"/>
      <c r="I987" s="18"/>
      <c r="J987" s="77" t="str">
        <f t="shared" ca="1" si="31"/>
        <v/>
      </c>
      <c r="K987" s="19">
        <f>IF(A987="","",COUNTIFS(Resumen!$N$2:$N$2999,ROW(),Resumen!$V$2:$V$2999,1))</f>
        <v/>
      </c>
      <c r="L987" s="20"/>
      <c r="N9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8" spans="1:14">
      <c r="A988" s="16"/>
      <c r="B988" s="16"/>
      <c r="C988" s="17"/>
      <c r="D988" s="17"/>
      <c r="E988" s="17"/>
      <c r="F988" s="18"/>
      <c r="G988" s="19" t="str">
        <f t="shared" ca="1" si="30"/>
        <v/>
      </c>
      <c r="H988" s="18"/>
      <c r="I988" s="18"/>
      <c r="J988" s="77" t="str">
        <f t="shared" ca="1" si="31"/>
        <v/>
      </c>
      <c r="K988" s="19">
        <f>IF(A988="","",COUNTIFS(Resumen!$N$2:$N$2999,ROW(),Resumen!$V$2:$V$2999,1))</f>
        <v/>
      </c>
      <c r="L988" s="20"/>
      <c r="N9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89" spans="1:14">
      <c r="A989" s="16"/>
      <c r="B989" s="16"/>
      <c r="C989" s="17"/>
      <c r="D989" s="17"/>
      <c r="E989" s="17"/>
      <c r="F989" s="18"/>
      <c r="G989" s="19" t="str">
        <f t="shared" ca="1" si="30"/>
        <v/>
      </c>
      <c r="H989" s="18"/>
      <c r="I989" s="18"/>
      <c r="J989" s="77" t="str">
        <f t="shared" ca="1" si="31"/>
        <v/>
      </c>
      <c r="K989" s="19">
        <f>IF(A989="","",COUNTIFS(Resumen!$N$2:$N$2999,ROW(),Resumen!$V$2:$V$2999,1))</f>
        <v/>
      </c>
      <c r="L989" s="20"/>
      <c r="N9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0" spans="1:14">
      <c r="A990" s="16"/>
      <c r="B990" s="16"/>
      <c r="C990" s="17"/>
      <c r="D990" s="17"/>
      <c r="E990" s="17"/>
      <c r="F990" s="18"/>
      <c r="G990" s="19" t="str">
        <f t="shared" ca="1" si="30"/>
        <v/>
      </c>
      <c r="H990" s="18"/>
      <c r="I990" s="18"/>
      <c r="J990" s="77" t="str">
        <f t="shared" ca="1" si="31"/>
        <v/>
      </c>
      <c r="K990" s="19">
        <f>IF(A990="","",COUNTIFS(Resumen!$N$2:$N$2999,ROW(),Resumen!$V$2:$V$2999,1))</f>
        <v/>
      </c>
      <c r="L990" s="20"/>
      <c r="N9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1" spans="1:14">
      <c r="A991" s="16"/>
      <c r="B991" s="16"/>
      <c r="C991" s="17"/>
      <c r="D991" s="17"/>
      <c r="E991" s="17"/>
      <c r="F991" s="18"/>
      <c r="G991" s="19" t="str">
        <f t="shared" ca="1" si="30"/>
        <v/>
      </c>
      <c r="H991" s="18"/>
      <c r="I991" s="18"/>
      <c r="J991" s="77" t="str">
        <f t="shared" ca="1" si="31"/>
        <v/>
      </c>
      <c r="K991" s="19">
        <f>IF(A991="","",COUNTIFS(Resumen!$N$2:$N$2999,ROW(),Resumen!$V$2:$V$2999,1))</f>
        <v/>
      </c>
      <c r="L991" s="20"/>
      <c r="N9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2" spans="1:14">
      <c r="A992" s="16"/>
      <c r="B992" s="16"/>
      <c r="C992" s="17"/>
      <c r="D992" s="17"/>
      <c r="E992" s="17"/>
      <c r="F992" s="18"/>
      <c r="G992" s="19" t="str">
        <f t="shared" ca="1" si="30"/>
        <v/>
      </c>
      <c r="H992" s="18"/>
      <c r="I992" s="18"/>
      <c r="J992" s="77" t="str">
        <f t="shared" ca="1" si="31"/>
        <v/>
      </c>
      <c r="K992" s="19">
        <f>IF(A992="","",COUNTIFS(Resumen!$N$2:$N$2999,ROW(),Resumen!$V$2:$V$2999,1))</f>
        <v/>
      </c>
      <c r="L992" s="20"/>
      <c r="N9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3" spans="1:14">
      <c r="A993" s="16"/>
      <c r="B993" s="16"/>
      <c r="C993" s="17"/>
      <c r="D993" s="17"/>
      <c r="E993" s="17"/>
      <c r="F993" s="18"/>
      <c r="G993" s="19" t="str">
        <f t="shared" ca="1" si="30"/>
        <v/>
      </c>
      <c r="H993" s="18"/>
      <c r="I993" s="18"/>
      <c r="J993" s="77" t="str">
        <f t="shared" ca="1" si="31"/>
        <v/>
      </c>
      <c r="K993" s="19">
        <f>IF(A993="","",COUNTIFS(Resumen!$N$2:$N$2999,ROW(),Resumen!$V$2:$V$2999,1))</f>
        <v/>
      </c>
      <c r="L993" s="20"/>
      <c r="N9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4" spans="1:14">
      <c r="A994" s="16"/>
      <c r="B994" s="16"/>
      <c r="C994" s="17"/>
      <c r="D994" s="17"/>
      <c r="E994" s="17"/>
      <c r="F994" s="18"/>
      <c r="G994" s="19" t="str">
        <f t="shared" ca="1" si="30"/>
        <v/>
      </c>
      <c r="H994" s="18"/>
      <c r="I994" s="18"/>
      <c r="J994" s="77" t="str">
        <f t="shared" ca="1" si="31"/>
        <v/>
      </c>
      <c r="K994" s="19">
        <f>IF(A994="","",COUNTIFS(Resumen!$N$2:$N$2999,ROW(),Resumen!$V$2:$V$2999,1))</f>
        <v/>
      </c>
      <c r="L994" s="20"/>
      <c r="N9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5" spans="1:14">
      <c r="A995" s="16"/>
      <c r="B995" s="16"/>
      <c r="C995" s="17"/>
      <c r="D995" s="17"/>
      <c r="E995" s="17"/>
      <c r="F995" s="18"/>
      <c r="G995" s="19" t="str">
        <f t="shared" ca="1" si="30"/>
        <v/>
      </c>
      <c r="H995" s="18"/>
      <c r="I995" s="18"/>
      <c r="J995" s="77" t="str">
        <f t="shared" ca="1" si="31"/>
        <v/>
      </c>
      <c r="K995" s="19">
        <f>IF(A995="","",COUNTIFS(Resumen!$N$2:$N$2999,ROW(),Resumen!$V$2:$V$2999,1))</f>
        <v/>
      </c>
      <c r="L995" s="20"/>
      <c r="N9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6" spans="1:14">
      <c r="A996" s="16"/>
      <c r="B996" s="16"/>
      <c r="C996" s="17"/>
      <c r="D996" s="17"/>
      <c r="E996" s="17"/>
      <c r="F996" s="18"/>
      <c r="G996" s="19" t="str">
        <f t="shared" ca="1" si="30"/>
        <v/>
      </c>
      <c r="H996" s="18"/>
      <c r="I996" s="18"/>
      <c r="J996" s="77" t="str">
        <f t="shared" ca="1" si="31"/>
        <v/>
      </c>
      <c r="K996" s="23">
        <f>IF(A996="","",COUNTIFS(Resumen!$N$2:$N$2999,ROW(),Resumen!$V$2:$V$2999,1))</f>
        <v/>
      </c>
      <c r="L996" s="24"/>
      <c r="N9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7" spans="1:14">
      <c r="A997" s="16"/>
      <c r="B997" s="16"/>
      <c r="C997" s="17"/>
      <c r="D997" s="17"/>
      <c r="E997" s="17"/>
      <c r="F997" s="18"/>
      <c r="G997" s="19" t="str">
        <f t="shared" ca="1" si="30"/>
        <v/>
      </c>
      <c r="H997" s="18"/>
      <c r="I997" s="18"/>
      <c r="J997" s="77" t="str">
        <f t="shared" ca="1" si="31"/>
        <v/>
      </c>
      <c r="K997" s="23">
        <f>IF(A997="","",COUNTIFS(Resumen!$N$2:$N$2999,ROW(),Resumen!$V$2:$V$2999,1))</f>
        <v/>
      </c>
      <c r="L997" s="24"/>
      <c r="N9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8" spans="1:14">
      <c r="A998" s="16"/>
      <c r="B998" s="16"/>
      <c r="C998" s="17"/>
      <c r="D998" s="17"/>
      <c r="E998" s="17"/>
      <c r="F998" s="18"/>
      <c r="G998" s="19" t="str">
        <f t="shared" ca="1" si="30"/>
        <v/>
      </c>
      <c r="H998" s="18"/>
      <c r="I998" s="18"/>
      <c r="J998" s="77" t="str">
        <f t="shared" ca="1" si="31"/>
        <v/>
      </c>
      <c r="K998" s="23">
        <f>IF(A998="","",COUNTIFS(Resumen!$N$2:$N$2999,ROW(),Resumen!$V$2:$V$2999,1))</f>
        <v/>
      </c>
      <c r="L998" s="24"/>
      <c r="N9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999" spans="1:14">
      <c r="A999" s="16"/>
      <c r="B999" s="16"/>
      <c r="C999" s="17"/>
      <c r="D999" s="17"/>
      <c r="E999" s="17"/>
      <c r="F999" s="18"/>
      <c r="G999" s="19" t="str">
        <f t="shared" ca="1" si="30"/>
        <v/>
      </c>
      <c r="H999" s="18"/>
      <c r="I999" s="18"/>
      <c r="J999" s="77" t="str">
        <f t="shared" ca="1" si="31"/>
        <v/>
      </c>
      <c r="K999" s="23">
        <f>IF(A999="","",COUNTIFS(Resumen!$N$2:$N$2999,ROW(),Resumen!$V$2:$V$2999,1))</f>
        <v/>
      </c>
      <c r="L999" s="24"/>
      <c r="N9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0" spans="1:14">
      <c r="A1000" s="16"/>
      <c r="B1000" s="16"/>
      <c r="C1000" s="25"/>
      <c r="D1000" s="25"/>
      <c r="E1000" s="16"/>
      <c r="F1000" s="18"/>
      <c r="G1000" s="19" t="str">
        <f t="shared" ca="1" si="30"/>
        <v/>
      </c>
      <c r="H1000" s="18"/>
      <c r="I1000" s="18"/>
      <c r="J1000" s="77" t="str">
        <f t="shared" ca="1" si="31"/>
        <v/>
      </c>
      <c r="K1000" s="23">
        <f>IF(A1000="","",COUNTIFS(Resumen!$N$2:$N$2999,ROW(),Resumen!$V$2:$V$2999,1))</f>
        <v/>
      </c>
      <c r="L1000" s="24"/>
      <c r="N10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1" spans="1:14">
      <c r="A1001" s="16"/>
      <c r="B1001" s="16"/>
      <c r="C1001" s="25"/>
      <c r="D1001" s="25"/>
      <c r="E1001" s="16"/>
      <c r="F1001" s="18"/>
      <c r="G1001" s="19" t="str">
        <f t="shared" ca="1" si="30"/>
        <v/>
      </c>
      <c r="H1001" s="18"/>
      <c r="I1001" s="18"/>
      <c r="J1001" s="77" t="str">
        <f t="shared" ca="1" si="31"/>
        <v/>
      </c>
      <c r="K1001" s="23">
        <f>IF(A1001="","",COUNTIFS(Resumen!$N$2:$N$2999,ROW(),Resumen!$V$2:$V$2999,1))</f>
        <v/>
      </c>
      <c r="L1001" s="26"/>
      <c r="N10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2" spans="1:14">
      <c r="A1002" s="16"/>
      <c r="B1002" s="16"/>
      <c r="C1002" s="25"/>
      <c r="D1002" s="25"/>
      <c r="E1002" s="16"/>
      <c r="F1002" s="18"/>
      <c r="G1002" s="19" t="str">
        <f t="shared" ca="1" si="30"/>
        <v/>
      </c>
      <c r="H1002" s="18"/>
      <c r="I1002" s="18"/>
      <c r="J1002" s="77" t="str">
        <f t="shared" ca="1" si="31"/>
        <v/>
      </c>
      <c r="K1002" s="23">
        <f>IF(A1002="","",COUNTIFS(Resumen!$N$2:$N$2999,ROW(),Resumen!$V$2:$V$2999,1))</f>
        <v/>
      </c>
      <c r="L1002" s="26"/>
      <c r="N10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3" spans="1:14">
      <c r="A1003" s="16"/>
      <c r="B1003" s="16"/>
      <c r="C1003" s="25"/>
      <c r="D1003" s="25"/>
      <c r="E1003" s="16"/>
      <c r="F1003" s="18"/>
      <c r="G1003" s="19" t="str">
        <f t="shared" ca="1" si="30"/>
        <v/>
      </c>
      <c r="H1003" s="18"/>
      <c r="I1003" s="18"/>
      <c r="J1003" s="77" t="str">
        <f t="shared" ca="1" si="31"/>
        <v/>
      </c>
      <c r="K1003" s="23">
        <f>IF(A1003="","",COUNTIFS(Resumen!$N$2:$N$2999,ROW(),Resumen!$V$2:$V$2999,1))</f>
        <v/>
      </c>
      <c r="L1003" s="26"/>
      <c r="N10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4" spans="1:14">
      <c r="A1004" s="16"/>
      <c r="B1004" s="16"/>
      <c r="C1004" s="25"/>
      <c r="D1004" s="25"/>
      <c r="E1004" s="16"/>
      <c r="F1004" s="18"/>
      <c r="G1004" s="19" t="str">
        <f t="shared" ca="1" si="30"/>
        <v/>
      </c>
      <c r="H1004" s="18"/>
      <c r="I1004" s="18"/>
      <c r="J1004" s="77" t="str">
        <f t="shared" ca="1" si="31"/>
        <v/>
      </c>
      <c r="K1004" s="23">
        <f>IF(A1004="","",COUNTIFS(Resumen!$N$2:$N$2999,ROW(),Resumen!$V$2:$V$2999,1))</f>
        <v/>
      </c>
      <c r="L1004" s="26"/>
      <c r="N10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5" spans="1:14">
      <c r="A1005" s="16"/>
      <c r="B1005" s="16"/>
      <c r="C1005" s="25"/>
      <c r="D1005" s="25"/>
      <c r="E1005" s="16"/>
      <c r="F1005" s="18"/>
      <c r="G1005" s="19" t="str">
        <f t="shared" ca="1" si="30"/>
        <v/>
      </c>
      <c r="H1005" s="18"/>
      <c r="I1005" s="18"/>
      <c r="J1005" s="77" t="str">
        <f t="shared" ca="1" si="31"/>
        <v/>
      </c>
      <c r="K1005" s="23">
        <f>IF(A1005="","",COUNTIFS(Resumen!$N$2:$N$2999,ROW(),Resumen!$V$2:$V$2999,1))</f>
        <v/>
      </c>
      <c r="L1005" s="26"/>
      <c r="N10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6" spans="1:14">
      <c r="A1006" s="16"/>
      <c r="B1006" s="16"/>
      <c r="C1006" s="25"/>
      <c r="D1006" s="25"/>
      <c r="E1006" s="16"/>
      <c r="F1006" s="18"/>
      <c r="G1006" s="19" t="str">
        <f t="shared" ca="1" si="30"/>
        <v/>
      </c>
      <c r="H1006" s="18"/>
      <c r="I1006" s="18"/>
      <c r="J1006" s="77" t="str">
        <f t="shared" ca="1" si="31"/>
        <v/>
      </c>
      <c r="K1006" s="23">
        <f>IF(A1006="","",COUNTIFS(Resumen!$N$2:$N$2999,ROW(),Resumen!$V$2:$V$2999,1))</f>
        <v/>
      </c>
      <c r="L1006" s="26"/>
      <c r="N10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7" spans="1:14">
      <c r="A1007" s="16"/>
      <c r="B1007" s="16"/>
      <c r="C1007" s="25"/>
      <c r="D1007" s="25"/>
      <c r="E1007" s="16"/>
      <c r="F1007" s="18"/>
      <c r="G1007" s="19" t="str">
        <f t="shared" ca="1" si="30"/>
        <v/>
      </c>
      <c r="H1007" s="18"/>
      <c r="I1007" s="18"/>
      <c r="J1007" s="77" t="str">
        <f t="shared" ca="1" si="31"/>
        <v/>
      </c>
      <c r="K1007" s="23">
        <f>IF(A1007="","",COUNTIFS(Resumen!$N$2:$N$2999,ROW(),Resumen!$V$2:$V$2999,1))</f>
        <v/>
      </c>
      <c r="L1007" s="26"/>
      <c r="N10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8" spans="1:14">
      <c r="A1008" s="16"/>
      <c r="B1008" s="16"/>
      <c r="C1008" s="25"/>
      <c r="D1008" s="25"/>
      <c r="E1008" s="16"/>
      <c r="F1008" s="18"/>
      <c r="G1008" s="19" t="str">
        <f t="shared" ca="1" si="30"/>
        <v/>
      </c>
      <c r="H1008" s="18"/>
      <c r="I1008" s="18"/>
      <c r="J1008" s="77" t="str">
        <f t="shared" ca="1" si="31"/>
        <v/>
      </c>
      <c r="K1008" s="23">
        <f>IF(A1008="","",COUNTIFS(Resumen!$N$2:$N$2999,ROW(),Resumen!$V$2:$V$2999,1))</f>
        <v/>
      </c>
      <c r="L1008" s="26"/>
      <c r="N10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09" spans="1:14">
      <c r="A1009" s="16"/>
      <c r="B1009" s="16"/>
      <c r="C1009" s="25"/>
      <c r="D1009" s="25"/>
      <c r="E1009" s="16"/>
      <c r="F1009" s="18"/>
      <c r="G1009" s="19" t="str">
        <f t="shared" ca="1" si="30"/>
        <v/>
      </c>
      <c r="H1009" s="18"/>
      <c r="I1009" s="18"/>
      <c r="J1009" s="77" t="str">
        <f t="shared" ca="1" si="31"/>
        <v/>
      </c>
      <c r="K1009" s="23">
        <f>IF(A1009="","",COUNTIFS(Resumen!$N$2:$N$2999,ROW(),Resumen!$V$2:$V$2999,1))</f>
        <v/>
      </c>
      <c r="L1009" s="26"/>
      <c r="N10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0" spans="1:14">
      <c r="A1010" s="16"/>
      <c r="B1010" s="16"/>
      <c r="C1010" s="25"/>
      <c r="D1010" s="25"/>
      <c r="E1010" s="16"/>
      <c r="F1010" s="18"/>
      <c r="G1010" s="19" t="str">
        <f t="shared" ca="1" si="30"/>
        <v/>
      </c>
      <c r="H1010" s="18"/>
      <c r="I1010" s="18"/>
      <c r="J1010" s="77" t="str">
        <f t="shared" ca="1" si="31"/>
        <v/>
      </c>
      <c r="K1010" s="23">
        <f>IF(A1010="","",COUNTIFS(Resumen!$N$2:$N$2999,ROW(),Resumen!$V$2:$V$2999,1))</f>
        <v/>
      </c>
      <c r="L1010" s="26"/>
      <c r="N10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1" spans="1:14">
      <c r="A1011" s="16"/>
      <c r="B1011" s="16"/>
      <c r="C1011" s="25"/>
      <c r="D1011" s="25"/>
      <c r="E1011" s="16"/>
      <c r="F1011" s="18"/>
      <c r="G1011" s="19" t="str">
        <f t="shared" ca="1" si="30"/>
        <v/>
      </c>
      <c r="H1011" s="18"/>
      <c r="I1011" s="18"/>
      <c r="J1011" s="77" t="str">
        <f t="shared" ca="1" si="31"/>
        <v/>
      </c>
      <c r="K1011" s="23">
        <f>IF(A1011="","",COUNTIFS(Resumen!$N$2:$N$2999,ROW(),Resumen!$V$2:$V$2999,1))</f>
        <v/>
      </c>
      <c r="L1011" s="26"/>
      <c r="N10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2" spans="1:14">
      <c r="A1012" s="16"/>
      <c r="B1012" s="16"/>
      <c r="C1012" s="25"/>
      <c r="D1012" s="25"/>
      <c r="E1012" s="16"/>
      <c r="F1012" s="18"/>
      <c r="G1012" s="19" t="str">
        <f t="shared" ca="1" si="30"/>
        <v/>
      </c>
      <c r="H1012" s="18"/>
      <c r="I1012" s="18"/>
      <c r="J1012" s="77" t="str">
        <f t="shared" ca="1" si="31"/>
        <v/>
      </c>
      <c r="K1012" s="23">
        <f>IF(A1012="","",COUNTIFS(Resumen!$N$2:$N$2999,ROW(),Resumen!$V$2:$V$2999,1))</f>
        <v/>
      </c>
      <c r="L1012" s="26"/>
      <c r="N10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3" spans="1:14">
      <c r="A1013" s="16"/>
      <c r="B1013" s="16"/>
      <c r="C1013" s="25"/>
      <c r="D1013" s="25"/>
      <c r="E1013" s="16"/>
      <c r="F1013" s="18"/>
      <c r="G1013" s="19" t="str">
        <f t="shared" ca="1" si="30"/>
        <v/>
      </c>
      <c r="H1013" s="18"/>
      <c r="I1013" s="18"/>
      <c r="J1013" s="77" t="str">
        <f t="shared" ca="1" si="31"/>
        <v/>
      </c>
      <c r="K1013" s="23">
        <f>IF(A1013="","",COUNTIFS(Resumen!$N$2:$N$2999,ROW(),Resumen!$V$2:$V$2999,1))</f>
        <v/>
      </c>
      <c r="L1013" s="26"/>
      <c r="N10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4" spans="1:14">
      <c r="A1014" s="16"/>
      <c r="B1014" s="16"/>
      <c r="C1014" s="25"/>
      <c r="D1014" s="25"/>
      <c r="E1014" s="16"/>
      <c r="F1014" s="18"/>
      <c r="G1014" s="19" t="str">
        <f t="shared" ca="1" si="30"/>
        <v/>
      </c>
      <c r="H1014" s="18"/>
      <c r="I1014" s="18"/>
      <c r="J1014" s="77" t="str">
        <f t="shared" ca="1" si="31"/>
        <v/>
      </c>
      <c r="K1014" s="23">
        <f>IF(A1014="","",COUNTIFS(Resumen!$N$2:$N$2999,ROW(),Resumen!$V$2:$V$2999,1))</f>
        <v/>
      </c>
      <c r="L1014" s="26"/>
      <c r="N10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5" spans="1:14">
      <c r="A1015" s="16"/>
      <c r="B1015" s="16"/>
      <c r="C1015" s="25"/>
      <c r="D1015" s="25"/>
      <c r="E1015" s="16"/>
      <c r="F1015" s="18"/>
      <c r="G1015" s="19" t="str">
        <f t="shared" ca="1" si="30"/>
        <v/>
      </c>
      <c r="H1015" s="18"/>
      <c r="I1015" s="18"/>
      <c r="J1015" s="77" t="str">
        <f t="shared" ca="1" si="31"/>
        <v/>
      </c>
      <c r="K1015" s="23">
        <f>IF(A1015="","",COUNTIFS(Resumen!$N$2:$N$2999,ROW(),Resumen!$V$2:$V$2999,1))</f>
        <v/>
      </c>
      <c r="L1015" s="26"/>
      <c r="N10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6" spans="1:14">
      <c r="A1016" s="16"/>
      <c r="B1016" s="16"/>
      <c r="C1016" s="25"/>
      <c r="D1016" s="25"/>
      <c r="E1016" s="16"/>
      <c r="F1016" s="18"/>
      <c r="G1016" s="19" t="str">
        <f t="shared" ca="1" si="30"/>
        <v/>
      </c>
      <c r="H1016" s="18"/>
      <c r="I1016" s="18"/>
      <c r="J1016" s="77" t="str">
        <f t="shared" ca="1" si="31"/>
        <v/>
      </c>
      <c r="K1016" s="23">
        <f>IF(A1016="","",COUNTIFS(Resumen!$N$2:$N$2999,ROW(),Resumen!$V$2:$V$2999,1))</f>
        <v/>
      </c>
      <c r="L1016" s="26"/>
      <c r="N10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7" spans="1:14">
      <c r="A1017" s="16"/>
      <c r="B1017" s="16"/>
      <c r="C1017" s="25"/>
      <c r="D1017" s="25"/>
      <c r="E1017" s="16"/>
      <c r="F1017" s="18"/>
      <c r="G1017" s="19" t="str">
        <f t="shared" ca="1" si="30"/>
        <v/>
      </c>
      <c r="H1017" s="18"/>
      <c r="I1017" s="18"/>
      <c r="J1017" s="77" t="str">
        <f t="shared" ca="1" si="31"/>
        <v/>
      </c>
      <c r="K1017" s="23">
        <f>IF(A1017="","",COUNTIFS(Resumen!$N$2:$N$2999,ROW(),Resumen!$V$2:$V$2999,1))</f>
        <v/>
      </c>
      <c r="L1017" s="26"/>
      <c r="N10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8" spans="1:14">
      <c r="A1018" s="16"/>
      <c r="B1018" s="16"/>
      <c r="C1018" s="25"/>
      <c r="D1018" s="25"/>
      <c r="E1018" s="16"/>
      <c r="F1018" s="18"/>
      <c r="G1018" s="19" t="str">
        <f t="shared" ca="1" si="30"/>
        <v/>
      </c>
      <c r="H1018" s="18"/>
      <c r="I1018" s="18"/>
      <c r="J1018" s="77" t="str">
        <f t="shared" ca="1" si="31"/>
        <v/>
      </c>
      <c r="K1018" s="23">
        <f>IF(A1018="","",COUNTIFS(Resumen!$N$2:$N$2999,ROW(),Resumen!$V$2:$V$2999,1))</f>
        <v/>
      </c>
      <c r="L1018" s="26"/>
      <c r="N10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19" spans="1:14">
      <c r="A1019" s="16"/>
      <c r="B1019" s="16"/>
      <c r="C1019" s="25"/>
      <c r="D1019" s="25"/>
      <c r="E1019" s="16"/>
      <c r="F1019" s="18"/>
      <c r="G1019" s="19" t="str">
        <f t="shared" ca="1" si="30"/>
        <v/>
      </c>
      <c r="H1019" s="18"/>
      <c r="I1019" s="18"/>
      <c r="J1019" s="77" t="str">
        <f t="shared" ca="1" si="31"/>
        <v/>
      </c>
      <c r="K1019" s="23">
        <f>IF(A1019="","",COUNTIFS(Resumen!$N$2:$N$2999,ROW(),Resumen!$V$2:$V$2999,1))</f>
        <v/>
      </c>
      <c r="L1019" s="26"/>
      <c r="N10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0" spans="1:14">
      <c r="A1020" s="16"/>
      <c r="B1020" s="16"/>
      <c r="C1020" s="25"/>
      <c r="D1020" s="25"/>
      <c r="E1020" s="16"/>
      <c r="F1020" s="18"/>
      <c r="G1020" s="19" t="str">
        <f t="shared" ca="1" si="30"/>
        <v/>
      </c>
      <c r="H1020" s="18"/>
      <c r="I1020" s="18"/>
      <c r="J1020" s="77" t="str">
        <f t="shared" ca="1" si="31"/>
        <v/>
      </c>
      <c r="K1020" s="23">
        <f>IF(A1020="","",COUNTIFS(Resumen!$N$2:$N$2999,ROW(),Resumen!$V$2:$V$2999,1))</f>
        <v/>
      </c>
      <c r="L1020" s="26"/>
      <c r="N10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1" spans="1:14">
      <c r="A1021" s="16"/>
      <c r="B1021" s="16"/>
      <c r="C1021" s="25"/>
      <c r="D1021" s="25"/>
      <c r="E1021" s="16"/>
      <c r="F1021" s="18"/>
      <c r="G1021" s="19" t="str">
        <f t="shared" ca="1" si="30"/>
        <v/>
      </c>
      <c r="H1021" s="18"/>
      <c r="I1021" s="18"/>
      <c r="J1021" s="77" t="str">
        <f t="shared" ca="1" si="31"/>
        <v/>
      </c>
      <c r="K1021" s="23">
        <f>IF(A1021="","",COUNTIFS(Resumen!$N$2:$N$2999,ROW(),Resumen!$V$2:$V$2999,1))</f>
        <v/>
      </c>
      <c r="L1021" s="26"/>
      <c r="N10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2" spans="1:14">
      <c r="A1022" s="16"/>
      <c r="B1022" s="16"/>
      <c r="C1022" s="25"/>
      <c r="D1022" s="25"/>
      <c r="E1022" s="16"/>
      <c r="F1022" s="18"/>
      <c r="G1022" s="19" t="str">
        <f t="shared" ca="1" si="30"/>
        <v/>
      </c>
      <c r="H1022" s="18"/>
      <c r="I1022" s="18"/>
      <c r="J1022" s="77" t="str">
        <f t="shared" ca="1" si="31"/>
        <v/>
      </c>
      <c r="K1022" s="23">
        <f>IF(A1022="","",COUNTIFS(Resumen!$N$2:$N$2999,ROW(),Resumen!$V$2:$V$2999,1))</f>
        <v/>
      </c>
      <c r="L1022" s="26"/>
      <c r="N10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3" spans="1:14">
      <c r="A1023" s="16"/>
      <c r="B1023" s="16"/>
      <c r="C1023" s="25"/>
      <c r="D1023" s="25"/>
      <c r="E1023" s="16"/>
      <c r="F1023" s="18"/>
      <c r="G1023" s="19" t="str">
        <f t="shared" ca="1" si="30"/>
        <v/>
      </c>
      <c r="H1023" s="18"/>
      <c r="I1023" s="18"/>
      <c r="J1023" s="77" t="str">
        <f t="shared" ca="1" si="31"/>
        <v/>
      </c>
      <c r="K1023" s="23">
        <f>IF(A1023="","",COUNTIFS(Resumen!$N$2:$N$2999,ROW(),Resumen!$V$2:$V$2999,1))</f>
        <v/>
      </c>
      <c r="L1023" s="26"/>
      <c r="N10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4" spans="1:14">
      <c r="A1024" s="16"/>
      <c r="B1024" s="16"/>
      <c r="C1024" s="25"/>
      <c r="D1024" s="25"/>
      <c r="E1024" s="16"/>
      <c r="F1024" s="18"/>
      <c r="G1024" s="19" t="str">
        <f t="shared" ca="1" si="30"/>
        <v/>
      </c>
      <c r="H1024" s="18"/>
      <c r="I1024" s="18"/>
      <c r="J1024" s="77" t="str">
        <f t="shared" ca="1" si="31"/>
        <v/>
      </c>
      <c r="K1024" s="23">
        <f>IF(A1024="","",COUNTIFS(Resumen!$N$2:$N$2999,ROW(),Resumen!$V$2:$V$2999,1))</f>
        <v/>
      </c>
      <c r="L1024" s="26"/>
      <c r="N10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5" spans="1:14">
      <c r="A1025" s="16"/>
      <c r="B1025" s="16"/>
      <c r="C1025" s="25"/>
      <c r="D1025" s="25"/>
      <c r="E1025" s="16"/>
      <c r="F1025" s="18"/>
      <c r="G1025" s="19" t="str">
        <f t="shared" ca="1" si="30"/>
        <v/>
      </c>
      <c r="H1025" s="18"/>
      <c r="I1025" s="18"/>
      <c r="J1025" s="77" t="str">
        <f t="shared" ca="1" si="31"/>
        <v/>
      </c>
      <c r="K1025" s="23">
        <f>IF(A1025="","",COUNTIFS(Resumen!$N$2:$N$2999,ROW(),Resumen!$V$2:$V$2999,1))</f>
        <v/>
      </c>
      <c r="L1025" s="26"/>
      <c r="N10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6" spans="1:14">
      <c r="A1026" s="16"/>
      <c r="B1026" s="16"/>
      <c r="C1026" s="25"/>
      <c r="D1026" s="25"/>
      <c r="E1026" s="16"/>
      <c r="F1026" s="18"/>
      <c r="G1026" s="19" t="str">
        <f t="shared" ref="G1026:G1089" ca="1" si="32">IF(F1026="", "", DATEDIF(F1026, TODAY(), "Y"))</f>
        <v/>
      </c>
      <c r="H1026" s="18"/>
      <c r="I1026" s="18"/>
      <c r="J1026" s="77" t="str">
        <f t="shared" ref="J1026:J1089" ca="1" si="33">IFERROR(IF(ISNUMBER(INDEX(VigenciasFamilia,ROW())),INDEX(VigenciasFamilia,ROW())-TODAY(),""),"")</f>
        <v/>
      </c>
      <c r="K1026" s="23">
        <f>IF(A1026="","",COUNTIFS(Resumen!$N$2:$N$2999,ROW(),Resumen!$V$2:$V$2999,1))</f>
        <v/>
      </c>
      <c r="L1026" s="26"/>
      <c r="N10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7" spans="1:14">
      <c r="A1027" s="16"/>
      <c r="B1027" s="16"/>
      <c r="C1027" s="25"/>
      <c r="D1027" s="25"/>
      <c r="E1027" s="16"/>
      <c r="F1027" s="18"/>
      <c r="G1027" s="19" t="str">
        <f t="shared" ca="1" si="32"/>
        <v/>
      </c>
      <c r="H1027" s="18"/>
      <c r="I1027" s="18"/>
      <c r="J1027" s="77" t="str">
        <f t="shared" ca="1" si="33"/>
        <v/>
      </c>
      <c r="K1027" s="23">
        <f>IF(A1027="","",COUNTIFS(Resumen!$N$2:$N$2999,ROW(),Resumen!$V$2:$V$2999,1))</f>
        <v/>
      </c>
      <c r="L1027" s="26"/>
      <c r="N10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8" spans="1:14">
      <c r="A1028" s="16"/>
      <c r="B1028" s="16"/>
      <c r="C1028" s="25"/>
      <c r="D1028" s="25"/>
      <c r="E1028" s="16"/>
      <c r="F1028" s="18"/>
      <c r="G1028" s="19" t="str">
        <f t="shared" ca="1" si="32"/>
        <v/>
      </c>
      <c r="H1028" s="18"/>
      <c r="I1028" s="18"/>
      <c r="J1028" s="77" t="str">
        <f t="shared" ca="1" si="33"/>
        <v/>
      </c>
      <c r="K1028" s="23">
        <f>IF(A1028="","",COUNTIFS(Resumen!$N$2:$N$2999,ROW(),Resumen!$V$2:$V$2999,1))</f>
        <v/>
      </c>
      <c r="L1028" s="26"/>
      <c r="N10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29" spans="1:14">
      <c r="A1029" s="16"/>
      <c r="B1029" s="16"/>
      <c r="C1029" s="25"/>
      <c r="D1029" s="25"/>
      <c r="E1029" s="16"/>
      <c r="F1029" s="18"/>
      <c r="G1029" s="19" t="str">
        <f t="shared" ca="1" si="32"/>
        <v/>
      </c>
      <c r="H1029" s="18"/>
      <c r="I1029" s="18"/>
      <c r="J1029" s="77" t="str">
        <f t="shared" ca="1" si="33"/>
        <v/>
      </c>
      <c r="K1029" s="23">
        <f>IF(A1029="","",COUNTIFS(Resumen!$N$2:$N$2999,ROW(),Resumen!$V$2:$V$2999,1))</f>
        <v/>
      </c>
      <c r="L1029" s="26"/>
      <c r="N10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0" spans="1:14">
      <c r="A1030" s="16"/>
      <c r="B1030" s="16"/>
      <c r="C1030" s="25"/>
      <c r="D1030" s="25"/>
      <c r="E1030" s="16"/>
      <c r="F1030" s="18"/>
      <c r="G1030" s="19" t="str">
        <f t="shared" ca="1" si="32"/>
        <v/>
      </c>
      <c r="H1030" s="18"/>
      <c r="I1030" s="18"/>
      <c r="J1030" s="77" t="str">
        <f t="shared" ca="1" si="33"/>
        <v/>
      </c>
      <c r="K1030" s="23">
        <f>IF(A1030="","",COUNTIFS(Resumen!$N$2:$N$2999,ROW(),Resumen!$V$2:$V$2999,1))</f>
        <v/>
      </c>
      <c r="L1030" s="26"/>
      <c r="N10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1" spans="1:14">
      <c r="A1031" s="16"/>
      <c r="B1031" s="16"/>
      <c r="C1031" s="25"/>
      <c r="D1031" s="25"/>
      <c r="E1031" s="16"/>
      <c r="F1031" s="18"/>
      <c r="G1031" s="19" t="str">
        <f t="shared" ca="1" si="32"/>
        <v/>
      </c>
      <c r="H1031" s="18"/>
      <c r="I1031" s="18"/>
      <c r="J1031" s="77" t="str">
        <f t="shared" ca="1" si="33"/>
        <v/>
      </c>
      <c r="K1031" s="23">
        <f>IF(A1031="","",COUNTIFS(Resumen!$N$2:$N$2999,ROW(),Resumen!$V$2:$V$2999,1))</f>
        <v/>
      </c>
      <c r="L1031" s="26"/>
      <c r="N10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2" spans="1:14">
      <c r="A1032" s="16"/>
      <c r="B1032" s="16"/>
      <c r="C1032" s="25"/>
      <c r="D1032" s="25"/>
      <c r="E1032" s="16"/>
      <c r="F1032" s="18"/>
      <c r="G1032" s="19" t="str">
        <f t="shared" ca="1" si="32"/>
        <v/>
      </c>
      <c r="H1032" s="18"/>
      <c r="I1032" s="18"/>
      <c r="J1032" s="77" t="str">
        <f t="shared" ca="1" si="33"/>
        <v/>
      </c>
      <c r="K1032" s="23">
        <f>IF(A1032="","",COUNTIFS(Resumen!$N$2:$N$2999,ROW(),Resumen!$V$2:$V$2999,1))</f>
        <v/>
      </c>
      <c r="L1032" s="26"/>
      <c r="N10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3" spans="1:14">
      <c r="A1033" s="16"/>
      <c r="B1033" s="16"/>
      <c r="C1033" s="25"/>
      <c r="D1033" s="25"/>
      <c r="E1033" s="16"/>
      <c r="F1033" s="18"/>
      <c r="G1033" s="19" t="str">
        <f t="shared" ca="1" si="32"/>
        <v/>
      </c>
      <c r="H1033" s="18"/>
      <c r="I1033" s="18"/>
      <c r="J1033" s="77" t="str">
        <f t="shared" ca="1" si="33"/>
        <v/>
      </c>
      <c r="K1033" s="23">
        <f>IF(A1033="","",COUNTIFS(Resumen!$N$2:$N$2999,ROW(),Resumen!$V$2:$V$2999,1))</f>
        <v/>
      </c>
      <c r="L1033" s="26"/>
      <c r="N10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4" spans="1:14">
      <c r="A1034" s="16"/>
      <c r="B1034" s="16"/>
      <c r="C1034" s="25"/>
      <c r="D1034" s="25"/>
      <c r="E1034" s="16"/>
      <c r="F1034" s="18"/>
      <c r="G1034" s="19" t="str">
        <f t="shared" ca="1" si="32"/>
        <v/>
      </c>
      <c r="H1034" s="18"/>
      <c r="I1034" s="18"/>
      <c r="J1034" s="77" t="str">
        <f t="shared" ca="1" si="33"/>
        <v/>
      </c>
      <c r="K1034" s="23">
        <f>IF(A1034="","",COUNTIFS(Resumen!$N$2:$N$2999,ROW(),Resumen!$V$2:$V$2999,1))</f>
        <v/>
      </c>
      <c r="L1034" s="26"/>
      <c r="N10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5" spans="1:14">
      <c r="A1035" s="16"/>
      <c r="B1035" s="16"/>
      <c r="C1035" s="25"/>
      <c r="D1035" s="25"/>
      <c r="E1035" s="16"/>
      <c r="F1035" s="18"/>
      <c r="G1035" s="19" t="str">
        <f t="shared" ca="1" si="32"/>
        <v/>
      </c>
      <c r="H1035" s="18"/>
      <c r="I1035" s="18"/>
      <c r="J1035" s="77" t="str">
        <f t="shared" ca="1" si="33"/>
        <v/>
      </c>
      <c r="K1035" s="23">
        <f>IF(A1035="","",COUNTIFS(Resumen!$N$2:$N$2999,ROW(),Resumen!$V$2:$V$2999,1))</f>
        <v/>
      </c>
      <c r="L1035" s="26"/>
      <c r="N10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6" spans="1:14">
      <c r="A1036" s="16"/>
      <c r="B1036" s="16"/>
      <c r="C1036" s="25"/>
      <c r="D1036" s="25"/>
      <c r="E1036" s="16"/>
      <c r="F1036" s="18"/>
      <c r="G1036" s="19" t="str">
        <f t="shared" ca="1" si="32"/>
        <v/>
      </c>
      <c r="H1036" s="18"/>
      <c r="I1036" s="18"/>
      <c r="J1036" s="77" t="str">
        <f t="shared" ca="1" si="33"/>
        <v/>
      </c>
      <c r="K1036" s="23">
        <f>IF(A1036="","",COUNTIFS(Resumen!$N$2:$N$2999,ROW(),Resumen!$V$2:$V$2999,1))</f>
        <v/>
      </c>
      <c r="L1036" s="26"/>
      <c r="N10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7" spans="1:14">
      <c r="A1037" s="16"/>
      <c r="B1037" s="16"/>
      <c r="C1037" s="25"/>
      <c r="D1037" s="25"/>
      <c r="E1037" s="16"/>
      <c r="F1037" s="18"/>
      <c r="G1037" s="19" t="str">
        <f t="shared" ca="1" si="32"/>
        <v/>
      </c>
      <c r="H1037" s="18"/>
      <c r="I1037" s="18"/>
      <c r="J1037" s="77" t="str">
        <f t="shared" ca="1" si="33"/>
        <v/>
      </c>
      <c r="K1037" s="23">
        <f>IF(A1037="","",COUNTIFS(Resumen!$N$2:$N$2999,ROW(),Resumen!$V$2:$V$2999,1))</f>
        <v/>
      </c>
      <c r="L1037" s="26"/>
      <c r="N10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8" spans="1:14">
      <c r="A1038" s="16"/>
      <c r="B1038" s="16"/>
      <c r="C1038" s="25"/>
      <c r="D1038" s="25"/>
      <c r="E1038" s="16"/>
      <c r="F1038" s="18"/>
      <c r="G1038" s="19" t="str">
        <f t="shared" ca="1" si="32"/>
        <v/>
      </c>
      <c r="H1038" s="18"/>
      <c r="I1038" s="18"/>
      <c r="J1038" s="77" t="str">
        <f t="shared" ca="1" si="33"/>
        <v/>
      </c>
      <c r="K1038" s="23">
        <f>IF(A1038="","",COUNTIFS(Resumen!$N$2:$N$2999,ROW(),Resumen!$V$2:$V$2999,1))</f>
        <v/>
      </c>
      <c r="L1038" s="26"/>
      <c r="N10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39" spans="1:14">
      <c r="A1039" s="16"/>
      <c r="B1039" s="16"/>
      <c r="C1039" s="25"/>
      <c r="D1039" s="25"/>
      <c r="E1039" s="16"/>
      <c r="F1039" s="18"/>
      <c r="G1039" s="19" t="str">
        <f t="shared" ca="1" si="32"/>
        <v/>
      </c>
      <c r="H1039" s="18"/>
      <c r="I1039" s="18"/>
      <c r="J1039" s="77" t="str">
        <f t="shared" ca="1" si="33"/>
        <v/>
      </c>
      <c r="K1039" s="23">
        <f>IF(A1039="","",COUNTIFS(Resumen!$N$2:$N$2999,ROW(),Resumen!$V$2:$V$2999,1))</f>
        <v/>
      </c>
      <c r="L1039" s="26"/>
      <c r="N10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0" spans="1:14">
      <c r="A1040" s="16"/>
      <c r="B1040" s="16"/>
      <c r="C1040" s="25"/>
      <c r="D1040" s="25"/>
      <c r="E1040" s="16"/>
      <c r="F1040" s="18"/>
      <c r="G1040" s="19" t="str">
        <f t="shared" ca="1" si="32"/>
        <v/>
      </c>
      <c r="H1040" s="18"/>
      <c r="I1040" s="18"/>
      <c r="J1040" s="77" t="str">
        <f t="shared" ca="1" si="33"/>
        <v/>
      </c>
      <c r="K1040" s="23">
        <f>IF(A1040="","",COUNTIFS(Resumen!$N$2:$N$2999,ROW(),Resumen!$V$2:$V$2999,1))</f>
        <v/>
      </c>
      <c r="L1040" s="26"/>
      <c r="N10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1" spans="1:14">
      <c r="A1041" s="16"/>
      <c r="B1041" s="16"/>
      <c r="C1041" s="25"/>
      <c r="D1041" s="25"/>
      <c r="E1041" s="16"/>
      <c r="F1041" s="18"/>
      <c r="G1041" s="19" t="str">
        <f t="shared" ca="1" si="32"/>
        <v/>
      </c>
      <c r="H1041" s="18"/>
      <c r="I1041" s="18"/>
      <c r="J1041" s="77" t="str">
        <f t="shared" ca="1" si="33"/>
        <v/>
      </c>
      <c r="K1041" s="23">
        <f>IF(A1041="","",COUNTIFS(Resumen!$N$2:$N$2999,ROW(),Resumen!$V$2:$V$2999,1))</f>
        <v/>
      </c>
      <c r="L1041" s="26"/>
      <c r="N10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2" spans="1:14">
      <c r="A1042" s="16"/>
      <c r="B1042" s="16"/>
      <c r="C1042" s="25"/>
      <c r="D1042" s="25"/>
      <c r="E1042" s="16"/>
      <c r="F1042" s="18"/>
      <c r="G1042" s="19" t="str">
        <f t="shared" ca="1" si="32"/>
        <v/>
      </c>
      <c r="H1042" s="18"/>
      <c r="I1042" s="18"/>
      <c r="J1042" s="77" t="str">
        <f t="shared" ca="1" si="33"/>
        <v/>
      </c>
      <c r="K1042" s="23">
        <f>IF(A1042="","",COUNTIFS(Resumen!$N$2:$N$2999,ROW(),Resumen!$V$2:$V$2999,1))</f>
        <v/>
      </c>
      <c r="L1042" s="26"/>
      <c r="N10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3" spans="1:14">
      <c r="A1043" s="16"/>
      <c r="B1043" s="16"/>
      <c r="C1043" s="25"/>
      <c r="D1043" s="25"/>
      <c r="E1043" s="16"/>
      <c r="F1043" s="18"/>
      <c r="G1043" s="19" t="str">
        <f t="shared" ca="1" si="32"/>
        <v/>
      </c>
      <c r="H1043" s="18"/>
      <c r="I1043" s="18"/>
      <c r="J1043" s="77" t="str">
        <f t="shared" ca="1" si="33"/>
        <v/>
      </c>
      <c r="K1043" s="23">
        <f>IF(A1043="","",COUNTIFS(Resumen!$N$2:$N$2999,ROW(),Resumen!$V$2:$V$2999,1))</f>
        <v/>
      </c>
      <c r="L1043" s="26"/>
      <c r="N10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4" spans="1:14">
      <c r="A1044" s="16"/>
      <c r="B1044" s="16"/>
      <c r="C1044" s="25"/>
      <c r="D1044" s="25"/>
      <c r="E1044" s="16"/>
      <c r="F1044" s="18"/>
      <c r="G1044" s="19" t="str">
        <f t="shared" ca="1" si="32"/>
        <v/>
      </c>
      <c r="H1044" s="18"/>
      <c r="I1044" s="18"/>
      <c r="J1044" s="77" t="str">
        <f t="shared" ca="1" si="33"/>
        <v/>
      </c>
      <c r="K1044" s="23">
        <f>IF(A1044="","",COUNTIFS(Resumen!$N$2:$N$2999,ROW(),Resumen!$V$2:$V$2999,1))</f>
        <v/>
      </c>
      <c r="L1044" s="26"/>
      <c r="N10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5" spans="1:14">
      <c r="A1045" s="16"/>
      <c r="B1045" s="16"/>
      <c r="C1045" s="25"/>
      <c r="D1045" s="25"/>
      <c r="E1045" s="16"/>
      <c r="F1045" s="18"/>
      <c r="G1045" s="19" t="str">
        <f t="shared" ca="1" si="32"/>
        <v/>
      </c>
      <c r="H1045" s="18"/>
      <c r="I1045" s="18"/>
      <c r="J1045" s="77" t="str">
        <f t="shared" ca="1" si="33"/>
        <v/>
      </c>
      <c r="K1045" s="23">
        <f>IF(A1045="","",COUNTIFS(Resumen!$N$2:$N$2999,ROW(),Resumen!$V$2:$V$2999,1))</f>
        <v/>
      </c>
      <c r="L1045" s="26"/>
      <c r="N10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6" spans="1:14">
      <c r="A1046" s="16"/>
      <c r="B1046" s="16"/>
      <c r="C1046" s="25"/>
      <c r="D1046" s="25"/>
      <c r="E1046" s="16"/>
      <c r="F1046" s="18"/>
      <c r="G1046" s="19" t="str">
        <f t="shared" ca="1" si="32"/>
        <v/>
      </c>
      <c r="H1046" s="18"/>
      <c r="I1046" s="18"/>
      <c r="J1046" s="77" t="str">
        <f t="shared" ca="1" si="33"/>
        <v/>
      </c>
      <c r="K1046" s="23">
        <f>IF(A1046="","",COUNTIFS(Resumen!$N$2:$N$2999,ROW(),Resumen!$V$2:$V$2999,1))</f>
        <v/>
      </c>
      <c r="L1046" s="26"/>
      <c r="N10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7" spans="1:14">
      <c r="A1047" s="16"/>
      <c r="B1047" s="16"/>
      <c r="C1047" s="25"/>
      <c r="D1047" s="25"/>
      <c r="E1047" s="16"/>
      <c r="F1047" s="18"/>
      <c r="G1047" s="19" t="str">
        <f t="shared" ca="1" si="32"/>
        <v/>
      </c>
      <c r="H1047" s="18"/>
      <c r="I1047" s="18"/>
      <c r="J1047" s="77" t="str">
        <f t="shared" ca="1" si="33"/>
        <v/>
      </c>
      <c r="K1047" s="23">
        <f>IF(A1047="","",COUNTIFS(Resumen!$N$2:$N$2999,ROW(),Resumen!$V$2:$V$2999,1))</f>
        <v/>
      </c>
      <c r="L1047" s="26"/>
      <c r="N10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8" spans="1:14">
      <c r="A1048" s="16"/>
      <c r="B1048" s="16"/>
      <c r="C1048" s="25"/>
      <c r="D1048" s="25"/>
      <c r="E1048" s="16"/>
      <c r="F1048" s="18"/>
      <c r="G1048" s="19" t="str">
        <f t="shared" ca="1" si="32"/>
        <v/>
      </c>
      <c r="H1048" s="18"/>
      <c r="I1048" s="18"/>
      <c r="J1048" s="77" t="str">
        <f t="shared" ca="1" si="33"/>
        <v/>
      </c>
      <c r="K1048" s="23">
        <f>IF(A1048="","",COUNTIFS(Resumen!$N$2:$N$2999,ROW(),Resumen!$V$2:$V$2999,1))</f>
        <v/>
      </c>
      <c r="L1048" s="26"/>
      <c r="N10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49" spans="1:14">
      <c r="A1049" s="16"/>
      <c r="B1049" s="16"/>
      <c r="C1049" s="25"/>
      <c r="D1049" s="25"/>
      <c r="E1049" s="16"/>
      <c r="F1049" s="18"/>
      <c r="G1049" s="19" t="str">
        <f t="shared" ca="1" si="32"/>
        <v/>
      </c>
      <c r="H1049" s="18"/>
      <c r="I1049" s="18"/>
      <c r="J1049" s="77" t="str">
        <f t="shared" ca="1" si="33"/>
        <v/>
      </c>
      <c r="K1049" s="23">
        <f>IF(A1049="","",COUNTIFS(Resumen!$N$2:$N$2999,ROW(),Resumen!$V$2:$V$2999,1))</f>
        <v/>
      </c>
      <c r="L1049" s="26"/>
      <c r="N10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0" spans="1:14">
      <c r="A1050" s="16"/>
      <c r="B1050" s="16"/>
      <c r="C1050" s="25"/>
      <c r="D1050" s="25"/>
      <c r="E1050" s="16"/>
      <c r="F1050" s="18"/>
      <c r="G1050" s="19" t="str">
        <f t="shared" ca="1" si="32"/>
        <v/>
      </c>
      <c r="H1050" s="18"/>
      <c r="I1050" s="18"/>
      <c r="J1050" s="77" t="str">
        <f t="shared" ca="1" si="33"/>
        <v/>
      </c>
      <c r="K1050" s="23">
        <f>IF(A1050="","",COUNTIFS(Resumen!$N$2:$N$2999,ROW(),Resumen!$V$2:$V$2999,1))</f>
        <v/>
      </c>
      <c r="L1050" s="26"/>
      <c r="N10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1" spans="1:14">
      <c r="A1051" s="16"/>
      <c r="B1051" s="16"/>
      <c r="C1051" s="25"/>
      <c r="D1051" s="25"/>
      <c r="E1051" s="16"/>
      <c r="F1051" s="18"/>
      <c r="G1051" s="19" t="str">
        <f t="shared" ca="1" si="32"/>
        <v/>
      </c>
      <c r="H1051" s="18"/>
      <c r="I1051" s="18"/>
      <c r="J1051" s="77" t="str">
        <f t="shared" ca="1" si="33"/>
        <v/>
      </c>
      <c r="K1051" s="23">
        <f>IF(A1051="","",COUNTIFS(Resumen!$N$2:$N$2999,ROW(),Resumen!$V$2:$V$2999,1))</f>
        <v/>
      </c>
      <c r="L1051" s="26"/>
      <c r="N10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2" spans="1:14">
      <c r="A1052" s="16"/>
      <c r="B1052" s="16"/>
      <c r="C1052" s="25"/>
      <c r="D1052" s="25"/>
      <c r="E1052" s="16"/>
      <c r="F1052" s="18"/>
      <c r="G1052" s="19" t="str">
        <f t="shared" ca="1" si="32"/>
        <v/>
      </c>
      <c r="H1052" s="18"/>
      <c r="I1052" s="18"/>
      <c r="J1052" s="77" t="str">
        <f t="shared" ca="1" si="33"/>
        <v/>
      </c>
      <c r="K1052" s="23">
        <f>IF(A1052="","",COUNTIFS(Resumen!$N$2:$N$2999,ROW(),Resumen!$V$2:$V$2999,1))</f>
        <v/>
      </c>
      <c r="L1052" s="26"/>
      <c r="N10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3" spans="1:14">
      <c r="A1053" s="16"/>
      <c r="B1053" s="16"/>
      <c r="C1053" s="25"/>
      <c r="D1053" s="25"/>
      <c r="E1053" s="16"/>
      <c r="F1053" s="18"/>
      <c r="G1053" s="19" t="str">
        <f t="shared" ca="1" si="32"/>
        <v/>
      </c>
      <c r="H1053" s="18"/>
      <c r="I1053" s="18"/>
      <c r="J1053" s="77" t="str">
        <f t="shared" ca="1" si="33"/>
        <v/>
      </c>
      <c r="K1053" s="23">
        <f>IF(A1053="","",COUNTIFS(Resumen!$N$2:$N$2999,ROW(),Resumen!$V$2:$V$2999,1))</f>
        <v/>
      </c>
      <c r="L1053" s="26"/>
      <c r="N10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4" spans="1:14">
      <c r="A1054" s="16"/>
      <c r="B1054" s="16"/>
      <c r="C1054" s="25"/>
      <c r="D1054" s="25"/>
      <c r="E1054" s="16"/>
      <c r="F1054" s="18"/>
      <c r="G1054" s="19" t="str">
        <f t="shared" ca="1" si="32"/>
        <v/>
      </c>
      <c r="H1054" s="18"/>
      <c r="I1054" s="18"/>
      <c r="J1054" s="77" t="str">
        <f t="shared" ca="1" si="33"/>
        <v/>
      </c>
      <c r="K1054" s="23">
        <f>IF(A1054="","",COUNTIFS(Resumen!$N$2:$N$2999,ROW(),Resumen!$V$2:$V$2999,1))</f>
        <v/>
      </c>
      <c r="L1054" s="26"/>
      <c r="N10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5" spans="1:14">
      <c r="A1055" s="16"/>
      <c r="B1055" s="16"/>
      <c r="C1055" s="25"/>
      <c r="D1055" s="25"/>
      <c r="E1055" s="16"/>
      <c r="F1055" s="18"/>
      <c r="G1055" s="19" t="str">
        <f t="shared" ca="1" si="32"/>
        <v/>
      </c>
      <c r="H1055" s="18"/>
      <c r="I1055" s="18"/>
      <c r="J1055" s="77" t="str">
        <f t="shared" ca="1" si="33"/>
        <v/>
      </c>
      <c r="K1055" s="23">
        <f>IF(A1055="","",COUNTIFS(Resumen!$N$2:$N$2999,ROW(),Resumen!$V$2:$V$2999,1))</f>
        <v/>
      </c>
      <c r="L1055" s="26"/>
      <c r="N10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6" spans="1:14">
      <c r="A1056" s="16"/>
      <c r="B1056" s="16"/>
      <c r="C1056" s="25"/>
      <c r="D1056" s="25"/>
      <c r="E1056" s="16"/>
      <c r="F1056" s="18"/>
      <c r="G1056" s="19" t="str">
        <f t="shared" ca="1" si="32"/>
        <v/>
      </c>
      <c r="H1056" s="18"/>
      <c r="I1056" s="18"/>
      <c r="J1056" s="77" t="str">
        <f t="shared" ca="1" si="33"/>
        <v/>
      </c>
      <c r="K1056" s="23">
        <f>IF(A1056="","",COUNTIFS(Resumen!$N$2:$N$2999,ROW(),Resumen!$V$2:$V$2999,1))</f>
        <v/>
      </c>
      <c r="L1056" s="26"/>
      <c r="N10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7" spans="1:14">
      <c r="A1057" s="16"/>
      <c r="B1057" s="16"/>
      <c r="C1057" s="25"/>
      <c r="D1057" s="25"/>
      <c r="E1057" s="16"/>
      <c r="F1057" s="18"/>
      <c r="G1057" s="19" t="str">
        <f t="shared" ca="1" si="32"/>
        <v/>
      </c>
      <c r="H1057" s="18"/>
      <c r="I1057" s="18"/>
      <c r="J1057" s="77" t="str">
        <f t="shared" ca="1" si="33"/>
        <v/>
      </c>
      <c r="K1057" s="23">
        <f>IF(A1057="","",COUNTIFS(Resumen!$N$2:$N$2999,ROW(),Resumen!$V$2:$V$2999,1))</f>
        <v/>
      </c>
      <c r="L1057" s="26"/>
      <c r="N10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8" spans="1:14">
      <c r="A1058" s="16"/>
      <c r="B1058" s="16"/>
      <c r="C1058" s="25"/>
      <c r="D1058" s="25"/>
      <c r="E1058" s="16"/>
      <c r="F1058" s="18"/>
      <c r="G1058" s="19" t="str">
        <f t="shared" ca="1" si="32"/>
        <v/>
      </c>
      <c r="H1058" s="18"/>
      <c r="I1058" s="18"/>
      <c r="J1058" s="77" t="str">
        <f t="shared" ca="1" si="33"/>
        <v/>
      </c>
      <c r="K1058" s="23">
        <f>IF(A1058="","",COUNTIFS(Resumen!$N$2:$N$2999,ROW(),Resumen!$V$2:$V$2999,1))</f>
        <v/>
      </c>
      <c r="L1058" s="26"/>
      <c r="N10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59" spans="1:14">
      <c r="A1059" s="16"/>
      <c r="B1059" s="16"/>
      <c r="C1059" s="25"/>
      <c r="D1059" s="25"/>
      <c r="E1059" s="16"/>
      <c r="F1059" s="18"/>
      <c r="G1059" s="19" t="str">
        <f t="shared" ca="1" si="32"/>
        <v/>
      </c>
      <c r="H1059" s="18"/>
      <c r="I1059" s="18"/>
      <c r="J1059" s="77" t="str">
        <f t="shared" ca="1" si="33"/>
        <v/>
      </c>
      <c r="K1059" s="23">
        <f>IF(A1059="","",COUNTIFS(Resumen!$N$2:$N$2999,ROW(),Resumen!$V$2:$V$2999,1))</f>
        <v/>
      </c>
      <c r="L1059" s="26"/>
      <c r="N10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0" spans="1:14">
      <c r="A1060" s="16"/>
      <c r="B1060" s="16"/>
      <c r="C1060" s="25"/>
      <c r="D1060" s="25"/>
      <c r="E1060" s="16"/>
      <c r="F1060" s="18"/>
      <c r="G1060" s="19" t="str">
        <f t="shared" ca="1" si="32"/>
        <v/>
      </c>
      <c r="H1060" s="18"/>
      <c r="I1060" s="18"/>
      <c r="J1060" s="77" t="str">
        <f t="shared" ca="1" si="33"/>
        <v/>
      </c>
      <c r="K1060" s="23">
        <f>IF(A1060="","",COUNTIFS(Resumen!$N$2:$N$2999,ROW(),Resumen!$V$2:$V$2999,1))</f>
        <v/>
      </c>
      <c r="L1060" s="26"/>
      <c r="N10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1" spans="1:14">
      <c r="A1061" s="16"/>
      <c r="B1061" s="16"/>
      <c r="C1061" s="25"/>
      <c r="D1061" s="25"/>
      <c r="E1061" s="16"/>
      <c r="F1061" s="18"/>
      <c r="G1061" s="19" t="str">
        <f t="shared" ca="1" si="32"/>
        <v/>
      </c>
      <c r="H1061" s="18"/>
      <c r="I1061" s="18"/>
      <c r="J1061" s="77" t="str">
        <f t="shared" ca="1" si="33"/>
        <v/>
      </c>
      <c r="K1061" s="23">
        <f>IF(A1061="","",COUNTIFS(Resumen!$N$2:$N$2999,ROW(),Resumen!$V$2:$V$2999,1))</f>
        <v/>
      </c>
      <c r="L1061" s="26"/>
      <c r="N10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2" spans="1:14">
      <c r="A1062" s="16"/>
      <c r="B1062" s="16"/>
      <c r="C1062" s="25"/>
      <c r="D1062" s="25"/>
      <c r="E1062" s="16"/>
      <c r="F1062" s="18"/>
      <c r="G1062" s="19" t="str">
        <f t="shared" ca="1" si="32"/>
        <v/>
      </c>
      <c r="H1062" s="18"/>
      <c r="I1062" s="18"/>
      <c r="J1062" s="77" t="str">
        <f t="shared" ca="1" si="33"/>
        <v/>
      </c>
      <c r="K1062" s="23">
        <f>IF(A1062="","",COUNTIFS(Resumen!$N$2:$N$2999,ROW(),Resumen!$V$2:$V$2999,1))</f>
        <v/>
      </c>
      <c r="L1062" s="26"/>
      <c r="N10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3" spans="1:14">
      <c r="A1063" s="16"/>
      <c r="B1063" s="16"/>
      <c r="C1063" s="25"/>
      <c r="D1063" s="25"/>
      <c r="E1063" s="16"/>
      <c r="F1063" s="18"/>
      <c r="G1063" s="19" t="str">
        <f t="shared" ca="1" si="32"/>
        <v/>
      </c>
      <c r="H1063" s="18"/>
      <c r="I1063" s="18"/>
      <c r="J1063" s="77" t="str">
        <f t="shared" ca="1" si="33"/>
        <v/>
      </c>
      <c r="K1063" s="23">
        <f>IF(A1063="","",COUNTIFS(Resumen!$N$2:$N$2999,ROW(),Resumen!$V$2:$V$2999,1))</f>
        <v/>
      </c>
      <c r="L1063" s="26"/>
      <c r="N10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4" spans="1:14">
      <c r="A1064" s="16"/>
      <c r="B1064" s="16"/>
      <c r="C1064" s="25"/>
      <c r="D1064" s="25"/>
      <c r="E1064" s="16"/>
      <c r="F1064" s="18"/>
      <c r="G1064" s="19" t="str">
        <f t="shared" ca="1" si="32"/>
        <v/>
      </c>
      <c r="H1064" s="18"/>
      <c r="I1064" s="18"/>
      <c r="J1064" s="77" t="str">
        <f t="shared" ca="1" si="33"/>
        <v/>
      </c>
      <c r="K1064" s="23">
        <f>IF(A1064="","",COUNTIFS(Resumen!$N$2:$N$2999,ROW(),Resumen!$V$2:$V$2999,1))</f>
        <v/>
      </c>
      <c r="L1064" s="26"/>
      <c r="N10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5" spans="1:14">
      <c r="A1065" s="16"/>
      <c r="B1065" s="16"/>
      <c r="C1065" s="25"/>
      <c r="D1065" s="25"/>
      <c r="E1065" s="16"/>
      <c r="F1065" s="18"/>
      <c r="G1065" s="19" t="str">
        <f t="shared" ca="1" si="32"/>
        <v/>
      </c>
      <c r="H1065" s="18"/>
      <c r="I1065" s="18"/>
      <c r="J1065" s="77" t="str">
        <f t="shared" ca="1" si="33"/>
        <v/>
      </c>
      <c r="K1065" s="23">
        <f>IF(A1065="","",COUNTIFS(Resumen!$N$2:$N$2999,ROW(),Resumen!$V$2:$V$2999,1))</f>
        <v/>
      </c>
      <c r="L1065" s="26"/>
      <c r="N10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6" spans="1:14">
      <c r="A1066" s="16"/>
      <c r="B1066" s="16"/>
      <c r="C1066" s="25"/>
      <c r="D1066" s="25"/>
      <c r="E1066" s="16"/>
      <c r="F1066" s="18"/>
      <c r="G1066" s="19" t="str">
        <f t="shared" ca="1" si="32"/>
        <v/>
      </c>
      <c r="H1066" s="18"/>
      <c r="I1066" s="18"/>
      <c r="J1066" s="77" t="str">
        <f t="shared" ca="1" si="33"/>
        <v/>
      </c>
      <c r="K1066" s="23">
        <f>IF(A1066="","",COUNTIFS(Resumen!$N$2:$N$2999,ROW(),Resumen!$V$2:$V$2999,1))</f>
        <v/>
      </c>
      <c r="L1066" s="26"/>
      <c r="N10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7" spans="1:14">
      <c r="A1067" s="16"/>
      <c r="B1067" s="16"/>
      <c r="C1067" s="25"/>
      <c r="D1067" s="25"/>
      <c r="E1067" s="16"/>
      <c r="F1067" s="18"/>
      <c r="G1067" s="19" t="str">
        <f t="shared" ca="1" si="32"/>
        <v/>
      </c>
      <c r="H1067" s="18"/>
      <c r="I1067" s="18"/>
      <c r="J1067" s="77" t="str">
        <f t="shared" ca="1" si="33"/>
        <v/>
      </c>
      <c r="K1067" s="23">
        <f>IF(A1067="","",COUNTIFS(Resumen!$N$2:$N$2999,ROW(),Resumen!$V$2:$V$2999,1))</f>
        <v/>
      </c>
      <c r="L1067" s="26"/>
      <c r="N10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8" spans="1:14">
      <c r="A1068" s="16"/>
      <c r="B1068" s="16"/>
      <c r="C1068" s="25"/>
      <c r="D1068" s="25"/>
      <c r="E1068" s="16"/>
      <c r="F1068" s="18"/>
      <c r="G1068" s="19" t="str">
        <f t="shared" ca="1" si="32"/>
        <v/>
      </c>
      <c r="H1068" s="18"/>
      <c r="I1068" s="18"/>
      <c r="J1068" s="77" t="str">
        <f t="shared" ca="1" si="33"/>
        <v/>
      </c>
      <c r="K1068" s="23">
        <f>IF(A1068="","",COUNTIFS(Resumen!$N$2:$N$2999,ROW(),Resumen!$V$2:$V$2999,1))</f>
        <v/>
      </c>
      <c r="L1068" s="26"/>
      <c r="N10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69" spans="1:14">
      <c r="A1069" s="16"/>
      <c r="B1069" s="16"/>
      <c r="C1069" s="25"/>
      <c r="D1069" s="25"/>
      <c r="E1069" s="16"/>
      <c r="F1069" s="18"/>
      <c r="G1069" s="19" t="str">
        <f t="shared" ca="1" si="32"/>
        <v/>
      </c>
      <c r="H1069" s="18"/>
      <c r="I1069" s="18"/>
      <c r="J1069" s="77" t="str">
        <f t="shared" ca="1" si="33"/>
        <v/>
      </c>
      <c r="K1069" s="23">
        <f>IF(A1069="","",COUNTIFS(Resumen!$N$2:$N$2999,ROW(),Resumen!$V$2:$V$2999,1))</f>
        <v/>
      </c>
      <c r="L1069" s="26"/>
      <c r="N10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0" spans="1:14">
      <c r="A1070" s="16"/>
      <c r="B1070" s="16"/>
      <c r="C1070" s="25"/>
      <c r="D1070" s="25"/>
      <c r="E1070" s="16"/>
      <c r="F1070" s="18"/>
      <c r="G1070" s="19" t="str">
        <f t="shared" ca="1" si="32"/>
        <v/>
      </c>
      <c r="H1070" s="18"/>
      <c r="I1070" s="18"/>
      <c r="J1070" s="77" t="str">
        <f t="shared" ca="1" si="33"/>
        <v/>
      </c>
      <c r="K1070" s="23">
        <f>IF(A1070="","",COUNTIFS(Resumen!$N$2:$N$2999,ROW(),Resumen!$V$2:$V$2999,1))</f>
        <v/>
      </c>
      <c r="L1070" s="26"/>
      <c r="N10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1" spans="1:14">
      <c r="A1071" s="16"/>
      <c r="B1071" s="16"/>
      <c r="C1071" s="25"/>
      <c r="D1071" s="25"/>
      <c r="E1071" s="16"/>
      <c r="F1071" s="18"/>
      <c r="G1071" s="19" t="str">
        <f t="shared" ca="1" si="32"/>
        <v/>
      </c>
      <c r="H1071" s="18"/>
      <c r="I1071" s="18"/>
      <c r="J1071" s="77" t="str">
        <f t="shared" ca="1" si="33"/>
        <v/>
      </c>
      <c r="K1071" s="23">
        <f>IF(A1071="","",COUNTIFS(Resumen!$N$2:$N$2999,ROW(),Resumen!$V$2:$V$2999,1))</f>
        <v/>
      </c>
      <c r="L1071" s="26"/>
      <c r="N10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2" spans="1:14">
      <c r="A1072" s="16"/>
      <c r="B1072" s="16"/>
      <c r="C1072" s="25"/>
      <c r="D1072" s="25"/>
      <c r="E1072" s="16"/>
      <c r="F1072" s="18"/>
      <c r="G1072" s="19" t="str">
        <f t="shared" ca="1" si="32"/>
        <v/>
      </c>
      <c r="H1072" s="18"/>
      <c r="I1072" s="18"/>
      <c r="J1072" s="77" t="str">
        <f t="shared" ca="1" si="33"/>
        <v/>
      </c>
      <c r="K1072" s="23">
        <f>IF(A1072="","",COUNTIFS(Resumen!$N$2:$N$2999,ROW(),Resumen!$V$2:$V$2999,1))</f>
        <v/>
      </c>
      <c r="L1072" s="26"/>
      <c r="N10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3" spans="1:14">
      <c r="A1073" s="16"/>
      <c r="B1073" s="16"/>
      <c r="C1073" s="25"/>
      <c r="D1073" s="25"/>
      <c r="E1073" s="16"/>
      <c r="F1073" s="18"/>
      <c r="G1073" s="19" t="str">
        <f t="shared" ca="1" si="32"/>
        <v/>
      </c>
      <c r="H1073" s="18"/>
      <c r="I1073" s="18"/>
      <c r="J1073" s="77" t="str">
        <f t="shared" ca="1" si="33"/>
        <v/>
      </c>
      <c r="K1073" s="23">
        <f>IF(A1073="","",COUNTIFS(Resumen!$N$2:$N$2999,ROW(),Resumen!$V$2:$V$2999,1))</f>
        <v/>
      </c>
      <c r="L1073" s="26"/>
      <c r="N10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4" spans="1:14">
      <c r="A1074" s="16"/>
      <c r="B1074" s="16"/>
      <c r="C1074" s="25"/>
      <c r="D1074" s="25"/>
      <c r="E1074" s="16"/>
      <c r="F1074" s="18"/>
      <c r="G1074" s="19" t="str">
        <f t="shared" ca="1" si="32"/>
        <v/>
      </c>
      <c r="H1074" s="18"/>
      <c r="I1074" s="18"/>
      <c r="J1074" s="77" t="str">
        <f t="shared" ca="1" si="33"/>
        <v/>
      </c>
      <c r="K1074" s="23">
        <f>IF(A1074="","",COUNTIFS(Resumen!$N$2:$N$2999,ROW(),Resumen!$V$2:$V$2999,1))</f>
        <v/>
      </c>
      <c r="L1074" s="26"/>
      <c r="N10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5" spans="1:14">
      <c r="A1075" s="16"/>
      <c r="B1075" s="16"/>
      <c r="C1075" s="25"/>
      <c r="D1075" s="25"/>
      <c r="E1075" s="16"/>
      <c r="F1075" s="18"/>
      <c r="G1075" s="19" t="str">
        <f t="shared" ca="1" si="32"/>
        <v/>
      </c>
      <c r="H1075" s="18"/>
      <c r="I1075" s="18"/>
      <c r="J1075" s="77" t="str">
        <f t="shared" ca="1" si="33"/>
        <v/>
      </c>
      <c r="K1075" s="23">
        <f>IF(A1075="","",COUNTIFS(Resumen!$N$2:$N$2999,ROW(),Resumen!$V$2:$V$2999,1))</f>
        <v/>
      </c>
      <c r="L1075" s="26"/>
      <c r="N10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6" spans="1:14">
      <c r="A1076" s="16"/>
      <c r="B1076" s="16"/>
      <c r="C1076" s="25"/>
      <c r="D1076" s="25"/>
      <c r="E1076" s="16"/>
      <c r="F1076" s="18"/>
      <c r="G1076" s="19" t="str">
        <f t="shared" ca="1" si="32"/>
        <v/>
      </c>
      <c r="H1076" s="18"/>
      <c r="I1076" s="18"/>
      <c r="J1076" s="77" t="str">
        <f t="shared" ca="1" si="33"/>
        <v/>
      </c>
      <c r="K1076" s="23">
        <f>IF(A1076="","",COUNTIFS(Resumen!$N$2:$N$2999,ROW(),Resumen!$V$2:$V$2999,1))</f>
        <v/>
      </c>
      <c r="L1076" s="26"/>
      <c r="N10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7" spans="1:14">
      <c r="A1077" s="16"/>
      <c r="B1077" s="16"/>
      <c r="C1077" s="25"/>
      <c r="D1077" s="25"/>
      <c r="E1077" s="16"/>
      <c r="F1077" s="18"/>
      <c r="G1077" s="19" t="str">
        <f t="shared" ca="1" si="32"/>
        <v/>
      </c>
      <c r="H1077" s="18"/>
      <c r="I1077" s="18"/>
      <c r="J1077" s="77" t="str">
        <f t="shared" ca="1" si="33"/>
        <v/>
      </c>
      <c r="K1077" s="23">
        <f>IF(A1077="","",COUNTIFS(Resumen!$N$2:$N$2999,ROW(),Resumen!$V$2:$V$2999,1))</f>
        <v/>
      </c>
      <c r="L1077" s="26"/>
      <c r="N10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8" spans="1:14">
      <c r="A1078" s="16"/>
      <c r="B1078" s="16"/>
      <c r="C1078" s="25"/>
      <c r="D1078" s="25"/>
      <c r="E1078" s="16"/>
      <c r="F1078" s="18"/>
      <c r="G1078" s="19" t="str">
        <f t="shared" ca="1" si="32"/>
        <v/>
      </c>
      <c r="H1078" s="18"/>
      <c r="I1078" s="18"/>
      <c r="J1078" s="77" t="str">
        <f t="shared" ca="1" si="33"/>
        <v/>
      </c>
      <c r="K1078" s="23">
        <f>IF(A1078="","",COUNTIFS(Resumen!$N$2:$N$2999,ROW(),Resumen!$V$2:$V$2999,1))</f>
        <v/>
      </c>
      <c r="L1078" s="26"/>
      <c r="N10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79" spans="1:14">
      <c r="A1079" s="16"/>
      <c r="B1079" s="16"/>
      <c r="C1079" s="25"/>
      <c r="D1079" s="25"/>
      <c r="E1079" s="16"/>
      <c r="F1079" s="18"/>
      <c r="G1079" s="19" t="str">
        <f t="shared" ca="1" si="32"/>
        <v/>
      </c>
      <c r="H1079" s="18"/>
      <c r="I1079" s="18"/>
      <c r="J1079" s="77" t="str">
        <f t="shared" ca="1" si="33"/>
        <v/>
      </c>
      <c r="K1079" s="23">
        <f>IF(A1079="","",COUNTIFS(Resumen!$N$2:$N$2999,ROW(),Resumen!$V$2:$V$2999,1))</f>
        <v/>
      </c>
      <c r="L1079" s="26"/>
      <c r="N10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0" spans="1:14">
      <c r="A1080" s="16"/>
      <c r="B1080" s="16"/>
      <c r="C1080" s="25"/>
      <c r="D1080" s="25"/>
      <c r="E1080" s="16"/>
      <c r="F1080" s="18"/>
      <c r="G1080" s="19" t="str">
        <f t="shared" ca="1" si="32"/>
        <v/>
      </c>
      <c r="H1080" s="18"/>
      <c r="I1080" s="18"/>
      <c r="J1080" s="77" t="str">
        <f t="shared" ca="1" si="33"/>
        <v/>
      </c>
      <c r="K1080" s="23">
        <f>IF(A1080="","",COUNTIFS(Resumen!$N$2:$N$2999,ROW(),Resumen!$V$2:$V$2999,1))</f>
        <v/>
      </c>
      <c r="L1080" s="26"/>
      <c r="N10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1" spans="1:14">
      <c r="A1081" s="16"/>
      <c r="B1081" s="16"/>
      <c r="C1081" s="25"/>
      <c r="D1081" s="25"/>
      <c r="E1081" s="16"/>
      <c r="F1081" s="18"/>
      <c r="G1081" s="19" t="str">
        <f t="shared" ca="1" si="32"/>
        <v/>
      </c>
      <c r="H1081" s="18"/>
      <c r="I1081" s="18"/>
      <c r="J1081" s="77" t="str">
        <f t="shared" ca="1" si="33"/>
        <v/>
      </c>
      <c r="K1081" s="23">
        <f>IF(A1081="","",COUNTIFS(Resumen!$N$2:$N$2999,ROW(),Resumen!$V$2:$V$2999,1))</f>
        <v/>
      </c>
      <c r="L1081" s="26"/>
      <c r="N10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2" spans="1:14">
      <c r="A1082" s="16"/>
      <c r="B1082" s="16"/>
      <c r="C1082" s="25"/>
      <c r="D1082" s="25"/>
      <c r="E1082" s="16"/>
      <c r="F1082" s="18"/>
      <c r="G1082" s="19" t="str">
        <f t="shared" ca="1" si="32"/>
        <v/>
      </c>
      <c r="H1082" s="18"/>
      <c r="I1082" s="18"/>
      <c r="J1082" s="77" t="str">
        <f t="shared" ca="1" si="33"/>
        <v/>
      </c>
      <c r="K1082" s="23">
        <f>IF(A1082="","",COUNTIFS(Resumen!$N$2:$N$2999,ROW(),Resumen!$V$2:$V$2999,1))</f>
        <v/>
      </c>
      <c r="L1082" s="26"/>
      <c r="N10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3" spans="1:14">
      <c r="A1083" s="16"/>
      <c r="B1083" s="16"/>
      <c r="C1083" s="25"/>
      <c r="D1083" s="25"/>
      <c r="E1083" s="16"/>
      <c r="F1083" s="18"/>
      <c r="G1083" s="19" t="str">
        <f t="shared" ca="1" si="32"/>
        <v/>
      </c>
      <c r="H1083" s="18"/>
      <c r="I1083" s="18"/>
      <c r="J1083" s="77" t="str">
        <f t="shared" ca="1" si="33"/>
        <v/>
      </c>
      <c r="K1083" s="23">
        <f>IF(A1083="","",COUNTIFS(Resumen!$N$2:$N$2999,ROW(),Resumen!$V$2:$V$2999,1))</f>
        <v/>
      </c>
      <c r="L1083" s="26"/>
      <c r="N10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4" spans="1:14">
      <c r="A1084" s="16"/>
      <c r="B1084" s="16"/>
      <c r="C1084" s="25"/>
      <c r="D1084" s="25"/>
      <c r="E1084" s="16"/>
      <c r="F1084" s="18"/>
      <c r="G1084" s="19" t="str">
        <f t="shared" ca="1" si="32"/>
        <v/>
      </c>
      <c r="H1084" s="18"/>
      <c r="I1084" s="18"/>
      <c r="J1084" s="77" t="str">
        <f t="shared" ca="1" si="33"/>
        <v/>
      </c>
      <c r="K1084" s="23">
        <f>IF(A1084="","",COUNTIFS(Resumen!$N$2:$N$2999,ROW(),Resumen!$V$2:$V$2999,1))</f>
        <v/>
      </c>
      <c r="L1084" s="26"/>
      <c r="N10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5" spans="1:14">
      <c r="A1085" s="16"/>
      <c r="B1085" s="16"/>
      <c r="C1085" s="25"/>
      <c r="D1085" s="25"/>
      <c r="E1085" s="16"/>
      <c r="F1085" s="18"/>
      <c r="G1085" s="19" t="str">
        <f t="shared" ca="1" si="32"/>
        <v/>
      </c>
      <c r="H1085" s="18"/>
      <c r="I1085" s="18"/>
      <c r="J1085" s="77" t="str">
        <f t="shared" ca="1" si="33"/>
        <v/>
      </c>
      <c r="K1085" s="23">
        <f>IF(A1085="","",COUNTIFS(Resumen!$N$2:$N$2999,ROW(),Resumen!$V$2:$V$2999,1))</f>
        <v/>
      </c>
      <c r="L1085" s="26"/>
      <c r="N10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6" spans="1:14">
      <c r="A1086" s="16"/>
      <c r="B1086" s="16"/>
      <c r="C1086" s="25"/>
      <c r="D1086" s="25"/>
      <c r="E1086" s="16"/>
      <c r="F1086" s="18"/>
      <c r="G1086" s="19" t="str">
        <f t="shared" ca="1" si="32"/>
        <v/>
      </c>
      <c r="H1086" s="18"/>
      <c r="I1086" s="18"/>
      <c r="J1086" s="77" t="str">
        <f t="shared" ca="1" si="33"/>
        <v/>
      </c>
      <c r="K1086" s="23">
        <f>IF(A1086="","",COUNTIFS(Resumen!$N$2:$N$2999,ROW(),Resumen!$V$2:$V$2999,1))</f>
        <v/>
      </c>
      <c r="L1086" s="26"/>
      <c r="N10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7" spans="1:14">
      <c r="A1087" s="16"/>
      <c r="B1087" s="16"/>
      <c r="C1087" s="25"/>
      <c r="D1087" s="25"/>
      <c r="E1087" s="16"/>
      <c r="F1087" s="18"/>
      <c r="G1087" s="19" t="str">
        <f t="shared" ca="1" si="32"/>
        <v/>
      </c>
      <c r="H1087" s="18"/>
      <c r="I1087" s="18"/>
      <c r="J1087" s="77" t="str">
        <f t="shared" ca="1" si="33"/>
        <v/>
      </c>
      <c r="K1087" s="23">
        <f>IF(A1087="","",COUNTIFS(Resumen!$N$2:$N$2999,ROW(),Resumen!$V$2:$V$2999,1))</f>
        <v/>
      </c>
      <c r="L1087" s="26"/>
      <c r="N10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8" spans="1:14">
      <c r="A1088" s="16"/>
      <c r="B1088" s="16"/>
      <c r="C1088" s="25"/>
      <c r="D1088" s="25"/>
      <c r="E1088" s="16"/>
      <c r="F1088" s="18"/>
      <c r="G1088" s="19" t="str">
        <f t="shared" ca="1" si="32"/>
        <v/>
      </c>
      <c r="H1088" s="18"/>
      <c r="I1088" s="18"/>
      <c r="J1088" s="77" t="str">
        <f t="shared" ca="1" si="33"/>
        <v/>
      </c>
      <c r="K1088" s="23">
        <f>IF(A1088="","",COUNTIFS(Resumen!$N$2:$N$2999,ROW(),Resumen!$V$2:$V$2999,1))</f>
        <v/>
      </c>
      <c r="L1088" s="26"/>
      <c r="N10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89" spans="1:14">
      <c r="A1089" s="16"/>
      <c r="B1089" s="16"/>
      <c r="C1089" s="25"/>
      <c r="D1089" s="25"/>
      <c r="E1089" s="16"/>
      <c r="F1089" s="18"/>
      <c r="G1089" s="19" t="str">
        <f t="shared" ca="1" si="32"/>
        <v/>
      </c>
      <c r="H1089" s="18"/>
      <c r="I1089" s="18"/>
      <c r="J1089" s="77" t="str">
        <f t="shared" ca="1" si="33"/>
        <v/>
      </c>
      <c r="K1089" s="23">
        <f>IF(A1089="","",COUNTIFS(Resumen!$N$2:$N$2999,ROW(),Resumen!$V$2:$V$2999,1))</f>
        <v/>
      </c>
      <c r="L1089" s="26"/>
      <c r="N10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0" spans="1:14">
      <c r="A1090" s="16"/>
      <c r="B1090" s="16"/>
      <c r="C1090" s="25"/>
      <c r="D1090" s="25"/>
      <c r="E1090" s="16"/>
      <c r="F1090" s="18"/>
      <c r="G1090" s="19" t="str">
        <f t="shared" ref="G1090:G1153" ca="1" si="34">IF(F1090="", "", DATEDIF(F1090, TODAY(), "Y"))</f>
        <v/>
      </c>
      <c r="H1090" s="18"/>
      <c r="I1090" s="18"/>
      <c r="J1090" s="77" t="str">
        <f t="shared" ref="J1090:J1153" ca="1" si="35">IFERROR(IF(ISNUMBER(INDEX(VigenciasFamilia,ROW())),INDEX(VigenciasFamilia,ROW())-TODAY(),""),"")</f>
        <v/>
      </c>
      <c r="K1090" s="23">
        <f>IF(A1090="","",COUNTIFS(Resumen!$N$2:$N$2999,ROW(),Resumen!$V$2:$V$2999,1))</f>
        <v/>
      </c>
      <c r="L1090" s="26"/>
      <c r="N10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1" spans="1:14">
      <c r="A1091" s="16"/>
      <c r="B1091" s="16"/>
      <c r="C1091" s="25"/>
      <c r="D1091" s="25"/>
      <c r="E1091" s="16"/>
      <c r="F1091" s="18"/>
      <c r="G1091" s="19" t="str">
        <f t="shared" ca="1" si="34"/>
        <v/>
      </c>
      <c r="H1091" s="18"/>
      <c r="I1091" s="18"/>
      <c r="J1091" s="77" t="str">
        <f t="shared" ca="1" si="35"/>
        <v/>
      </c>
      <c r="K1091" s="23">
        <f>IF(A1091="","",COUNTIFS(Resumen!$N$2:$N$2999,ROW(),Resumen!$V$2:$V$2999,1))</f>
        <v/>
      </c>
      <c r="L1091" s="26"/>
      <c r="N10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2" spans="1:14">
      <c r="A1092" s="16"/>
      <c r="B1092" s="16"/>
      <c r="C1092" s="25"/>
      <c r="D1092" s="25"/>
      <c r="E1092" s="16"/>
      <c r="F1092" s="18"/>
      <c r="G1092" s="19" t="str">
        <f t="shared" ca="1" si="34"/>
        <v/>
      </c>
      <c r="H1092" s="18"/>
      <c r="I1092" s="18"/>
      <c r="J1092" s="77" t="str">
        <f t="shared" ca="1" si="35"/>
        <v/>
      </c>
      <c r="K1092" s="23">
        <f>IF(A1092="","",COUNTIFS(Resumen!$N$2:$N$2999,ROW(),Resumen!$V$2:$V$2999,1))</f>
        <v/>
      </c>
      <c r="L1092" s="26"/>
      <c r="N10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3" spans="1:14">
      <c r="A1093" s="16"/>
      <c r="B1093" s="16"/>
      <c r="C1093" s="25"/>
      <c r="D1093" s="25"/>
      <c r="E1093" s="16"/>
      <c r="F1093" s="18"/>
      <c r="G1093" s="19" t="str">
        <f t="shared" ca="1" si="34"/>
        <v/>
      </c>
      <c r="H1093" s="18"/>
      <c r="I1093" s="18"/>
      <c r="J1093" s="77" t="str">
        <f t="shared" ca="1" si="35"/>
        <v/>
      </c>
      <c r="K1093" s="23">
        <f>IF(A1093="","",COUNTIFS(Resumen!$N$2:$N$2999,ROW(),Resumen!$V$2:$V$2999,1))</f>
        <v/>
      </c>
      <c r="L1093" s="26"/>
      <c r="N10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4" spans="1:14">
      <c r="A1094" s="16"/>
      <c r="B1094" s="16"/>
      <c r="C1094" s="25"/>
      <c r="D1094" s="25"/>
      <c r="E1094" s="16"/>
      <c r="F1094" s="18"/>
      <c r="G1094" s="19" t="str">
        <f t="shared" ca="1" si="34"/>
        <v/>
      </c>
      <c r="H1094" s="18"/>
      <c r="I1094" s="18"/>
      <c r="J1094" s="77" t="str">
        <f t="shared" ca="1" si="35"/>
        <v/>
      </c>
      <c r="K1094" s="23">
        <f>IF(A1094="","",COUNTIFS(Resumen!$N$2:$N$2999,ROW(),Resumen!$V$2:$V$2999,1))</f>
        <v/>
      </c>
      <c r="L1094" s="26"/>
      <c r="N10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5" spans="1:14">
      <c r="A1095" s="16"/>
      <c r="B1095" s="16"/>
      <c r="C1095" s="25"/>
      <c r="D1095" s="25"/>
      <c r="E1095" s="16"/>
      <c r="F1095" s="18"/>
      <c r="G1095" s="19" t="str">
        <f t="shared" ca="1" si="34"/>
        <v/>
      </c>
      <c r="H1095" s="18"/>
      <c r="I1095" s="18"/>
      <c r="J1095" s="77" t="str">
        <f t="shared" ca="1" si="35"/>
        <v/>
      </c>
      <c r="K1095" s="23">
        <f>IF(A1095="","",COUNTIFS(Resumen!$N$2:$N$2999,ROW(),Resumen!$V$2:$V$2999,1))</f>
        <v/>
      </c>
      <c r="L1095" s="26"/>
      <c r="N10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6" spans="1:14">
      <c r="A1096" s="16"/>
      <c r="B1096" s="16"/>
      <c r="C1096" s="25"/>
      <c r="D1096" s="25"/>
      <c r="E1096" s="16"/>
      <c r="F1096" s="18"/>
      <c r="G1096" s="19" t="str">
        <f t="shared" ca="1" si="34"/>
        <v/>
      </c>
      <c r="H1096" s="18"/>
      <c r="I1096" s="18"/>
      <c r="J1096" s="77" t="str">
        <f t="shared" ca="1" si="35"/>
        <v/>
      </c>
      <c r="K1096" s="23">
        <f>IF(A1096="","",COUNTIFS(Resumen!$N$2:$N$2999,ROW(),Resumen!$V$2:$V$2999,1))</f>
        <v/>
      </c>
      <c r="L1096" s="26"/>
      <c r="N10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7" spans="1:14">
      <c r="A1097" s="16"/>
      <c r="B1097" s="16"/>
      <c r="C1097" s="25"/>
      <c r="D1097" s="25"/>
      <c r="E1097" s="16"/>
      <c r="F1097" s="18"/>
      <c r="G1097" s="19" t="str">
        <f t="shared" ca="1" si="34"/>
        <v/>
      </c>
      <c r="H1097" s="18"/>
      <c r="I1097" s="18"/>
      <c r="J1097" s="77" t="str">
        <f t="shared" ca="1" si="35"/>
        <v/>
      </c>
      <c r="K1097" s="23">
        <f>IF(A1097="","",COUNTIFS(Resumen!$N$2:$N$2999,ROW(),Resumen!$V$2:$V$2999,1))</f>
        <v/>
      </c>
      <c r="L1097" s="26"/>
      <c r="N10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8" spans="1:14">
      <c r="A1098" s="16"/>
      <c r="B1098" s="16"/>
      <c r="C1098" s="25"/>
      <c r="D1098" s="25"/>
      <c r="E1098" s="16"/>
      <c r="F1098" s="18"/>
      <c r="G1098" s="19" t="str">
        <f t="shared" ca="1" si="34"/>
        <v/>
      </c>
      <c r="H1098" s="18"/>
      <c r="I1098" s="18"/>
      <c r="J1098" s="77" t="str">
        <f t="shared" ca="1" si="35"/>
        <v/>
      </c>
      <c r="K1098" s="23">
        <f>IF(A1098="","",COUNTIFS(Resumen!$N$2:$N$2999,ROW(),Resumen!$V$2:$V$2999,1))</f>
        <v/>
      </c>
      <c r="L1098" s="26"/>
      <c r="N10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099" spans="1:14">
      <c r="A1099" s="16"/>
      <c r="B1099" s="16"/>
      <c r="C1099" s="25"/>
      <c r="D1099" s="25"/>
      <c r="E1099" s="16"/>
      <c r="F1099" s="18"/>
      <c r="G1099" s="19" t="str">
        <f t="shared" ca="1" si="34"/>
        <v/>
      </c>
      <c r="H1099" s="18"/>
      <c r="I1099" s="18"/>
      <c r="J1099" s="77" t="str">
        <f t="shared" ca="1" si="35"/>
        <v/>
      </c>
      <c r="K1099" s="23">
        <f>IF(A1099="","",COUNTIFS(Resumen!$N$2:$N$2999,ROW(),Resumen!$V$2:$V$2999,1))</f>
        <v/>
      </c>
      <c r="L1099" s="26"/>
      <c r="N10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0" spans="1:14">
      <c r="A1100" s="16"/>
      <c r="B1100" s="16"/>
      <c r="C1100" s="25"/>
      <c r="D1100" s="25"/>
      <c r="E1100" s="16"/>
      <c r="F1100" s="18"/>
      <c r="G1100" s="19" t="str">
        <f t="shared" ca="1" si="34"/>
        <v/>
      </c>
      <c r="H1100" s="18"/>
      <c r="I1100" s="18"/>
      <c r="J1100" s="77" t="str">
        <f t="shared" ca="1" si="35"/>
        <v/>
      </c>
      <c r="K1100" s="23">
        <f>IF(A1100="","",COUNTIFS(Resumen!$N$2:$N$2999,ROW(),Resumen!$V$2:$V$2999,1))</f>
        <v/>
      </c>
      <c r="L1100" s="26"/>
      <c r="N11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1" spans="1:14">
      <c r="A1101" s="16"/>
      <c r="B1101" s="16"/>
      <c r="C1101" s="25"/>
      <c r="D1101" s="25"/>
      <c r="E1101" s="16"/>
      <c r="F1101" s="18"/>
      <c r="G1101" s="19" t="str">
        <f t="shared" ca="1" si="34"/>
        <v/>
      </c>
      <c r="H1101" s="18"/>
      <c r="I1101" s="18"/>
      <c r="J1101" s="77" t="str">
        <f t="shared" ca="1" si="35"/>
        <v/>
      </c>
      <c r="K1101" s="23">
        <f>IF(A1101="","",COUNTIFS(Resumen!$N$2:$N$2999,ROW(),Resumen!$V$2:$V$2999,1))</f>
        <v/>
      </c>
      <c r="L1101" s="26"/>
      <c r="N11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2" spans="1:14">
      <c r="A1102" s="16"/>
      <c r="B1102" s="16"/>
      <c r="C1102" s="25"/>
      <c r="D1102" s="25"/>
      <c r="E1102" s="16"/>
      <c r="F1102" s="18"/>
      <c r="G1102" s="19" t="str">
        <f t="shared" ca="1" si="34"/>
        <v/>
      </c>
      <c r="H1102" s="18"/>
      <c r="I1102" s="18"/>
      <c r="J1102" s="77" t="str">
        <f t="shared" ca="1" si="35"/>
        <v/>
      </c>
      <c r="K1102" s="23">
        <f>IF(A1102="","",COUNTIFS(Resumen!$N$2:$N$2999,ROW(),Resumen!$V$2:$V$2999,1))</f>
        <v/>
      </c>
      <c r="L1102" s="26"/>
      <c r="N11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3" spans="1:14">
      <c r="A1103" s="16"/>
      <c r="B1103" s="16"/>
      <c r="C1103" s="25"/>
      <c r="D1103" s="25"/>
      <c r="E1103" s="16"/>
      <c r="F1103" s="18"/>
      <c r="G1103" s="19" t="str">
        <f t="shared" ca="1" si="34"/>
        <v/>
      </c>
      <c r="H1103" s="18"/>
      <c r="I1103" s="18"/>
      <c r="J1103" s="77" t="str">
        <f t="shared" ca="1" si="35"/>
        <v/>
      </c>
      <c r="K1103" s="23">
        <f>IF(A1103="","",COUNTIFS(Resumen!$N$2:$N$2999,ROW(),Resumen!$V$2:$V$2999,1))</f>
        <v/>
      </c>
      <c r="L1103" s="26"/>
      <c r="N11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4" spans="1:14">
      <c r="A1104" s="16"/>
      <c r="B1104" s="16"/>
      <c r="C1104" s="25"/>
      <c r="D1104" s="25"/>
      <c r="E1104" s="16"/>
      <c r="F1104" s="18"/>
      <c r="G1104" s="19" t="str">
        <f t="shared" ca="1" si="34"/>
        <v/>
      </c>
      <c r="H1104" s="18"/>
      <c r="I1104" s="18"/>
      <c r="J1104" s="77" t="str">
        <f t="shared" ca="1" si="35"/>
        <v/>
      </c>
      <c r="K1104" s="23">
        <f>IF(A1104="","",COUNTIFS(Resumen!$N$2:$N$2999,ROW(),Resumen!$V$2:$V$2999,1))</f>
        <v/>
      </c>
      <c r="L1104" s="26"/>
      <c r="N11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5" spans="1:14">
      <c r="A1105" s="16"/>
      <c r="B1105" s="16"/>
      <c r="C1105" s="25"/>
      <c r="D1105" s="25"/>
      <c r="E1105" s="16"/>
      <c r="F1105" s="18"/>
      <c r="G1105" s="19" t="str">
        <f t="shared" ca="1" si="34"/>
        <v/>
      </c>
      <c r="H1105" s="18"/>
      <c r="I1105" s="18"/>
      <c r="J1105" s="77" t="str">
        <f t="shared" ca="1" si="35"/>
        <v/>
      </c>
      <c r="K1105" s="23">
        <f>IF(A1105="","",COUNTIFS(Resumen!$N$2:$N$2999,ROW(),Resumen!$V$2:$V$2999,1))</f>
        <v/>
      </c>
      <c r="L1105" s="26"/>
      <c r="N11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6" spans="1:14">
      <c r="A1106" s="16"/>
      <c r="B1106" s="16"/>
      <c r="C1106" s="25"/>
      <c r="D1106" s="25"/>
      <c r="E1106" s="16"/>
      <c r="F1106" s="18"/>
      <c r="G1106" s="19" t="str">
        <f t="shared" ca="1" si="34"/>
        <v/>
      </c>
      <c r="H1106" s="18"/>
      <c r="I1106" s="18"/>
      <c r="J1106" s="77" t="str">
        <f t="shared" ca="1" si="35"/>
        <v/>
      </c>
      <c r="K1106" s="23">
        <f>IF(A1106="","",COUNTIFS(Resumen!$N$2:$N$2999,ROW(),Resumen!$V$2:$V$2999,1))</f>
        <v/>
      </c>
      <c r="L1106" s="26"/>
      <c r="N11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7" spans="1:14">
      <c r="A1107" s="16"/>
      <c r="B1107" s="16"/>
      <c r="C1107" s="25"/>
      <c r="D1107" s="25"/>
      <c r="E1107" s="16"/>
      <c r="F1107" s="18"/>
      <c r="G1107" s="19" t="str">
        <f t="shared" ca="1" si="34"/>
        <v/>
      </c>
      <c r="H1107" s="18"/>
      <c r="I1107" s="18"/>
      <c r="J1107" s="77" t="str">
        <f t="shared" ca="1" si="35"/>
        <v/>
      </c>
      <c r="K1107" s="23">
        <f>IF(A1107="","",COUNTIFS(Resumen!$N$2:$N$2999,ROW(),Resumen!$V$2:$V$2999,1))</f>
        <v/>
      </c>
      <c r="L1107" s="26"/>
      <c r="N11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8" spans="1:14">
      <c r="A1108" s="16"/>
      <c r="B1108" s="16"/>
      <c r="C1108" s="25"/>
      <c r="D1108" s="25"/>
      <c r="E1108" s="16"/>
      <c r="F1108" s="18"/>
      <c r="G1108" s="19" t="str">
        <f t="shared" ca="1" si="34"/>
        <v/>
      </c>
      <c r="H1108" s="18"/>
      <c r="I1108" s="18"/>
      <c r="J1108" s="77" t="str">
        <f t="shared" ca="1" si="35"/>
        <v/>
      </c>
      <c r="K1108" s="23">
        <f>IF(A1108="","",COUNTIFS(Resumen!$N$2:$N$2999,ROW(),Resumen!$V$2:$V$2999,1))</f>
        <v/>
      </c>
      <c r="L1108" s="26"/>
      <c r="N11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09" spans="1:14">
      <c r="A1109" s="16"/>
      <c r="B1109" s="16"/>
      <c r="C1109" s="25"/>
      <c r="D1109" s="25"/>
      <c r="E1109" s="16"/>
      <c r="F1109" s="18"/>
      <c r="G1109" s="19" t="str">
        <f t="shared" ca="1" si="34"/>
        <v/>
      </c>
      <c r="H1109" s="18"/>
      <c r="I1109" s="18"/>
      <c r="J1109" s="77" t="str">
        <f t="shared" ca="1" si="35"/>
        <v/>
      </c>
      <c r="K1109" s="23">
        <f>IF(A1109="","",COUNTIFS(Resumen!$N$2:$N$2999,ROW(),Resumen!$V$2:$V$2999,1))</f>
        <v/>
      </c>
      <c r="L1109" s="26"/>
      <c r="N11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0" spans="1:14">
      <c r="A1110" s="16"/>
      <c r="B1110" s="16"/>
      <c r="C1110" s="25"/>
      <c r="D1110" s="25"/>
      <c r="E1110" s="16"/>
      <c r="F1110" s="18"/>
      <c r="G1110" s="19" t="str">
        <f t="shared" ca="1" si="34"/>
        <v/>
      </c>
      <c r="H1110" s="18"/>
      <c r="I1110" s="18"/>
      <c r="J1110" s="77" t="str">
        <f t="shared" ca="1" si="35"/>
        <v/>
      </c>
      <c r="K1110" s="23">
        <f>IF(A1110="","",COUNTIFS(Resumen!$N$2:$N$2999,ROW(),Resumen!$V$2:$V$2999,1))</f>
        <v/>
      </c>
      <c r="L1110" s="26"/>
      <c r="N11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1" spans="1:14">
      <c r="A1111" s="16"/>
      <c r="B1111" s="16"/>
      <c r="C1111" s="25"/>
      <c r="D1111" s="25"/>
      <c r="E1111" s="16"/>
      <c r="F1111" s="18"/>
      <c r="G1111" s="19" t="str">
        <f t="shared" ca="1" si="34"/>
        <v/>
      </c>
      <c r="H1111" s="18"/>
      <c r="I1111" s="18"/>
      <c r="J1111" s="77" t="str">
        <f t="shared" ca="1" si="35"/>
        <v/>
      </c>
      <c r="K1111" s="23">
        <f>IF(A1111="","",COUNTIFS(Resumen!$N$2:$N$2999,ROW(),Resumen!$V$2:$V$2999,1))</f>
        <v/>
      </c>
      <c r="L1111" s="26"/>
      <c r="N11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2" spans="1:14">
      <c r="A1112" s="16"/>
      <c r="B1112" s="16"/>
      <c r="C1112" s="25"/>
      <c r="D1112" s="25"/>
      <c r="E1112" s="16"/>
      <c r="F1112" s="18"/>
      <c r="G1112" s="19" t="str">
        <f t="shared" ca="1" si="34"/>
        <v/>
      </c>
      <c r="H1112" s="18"/>
      <c r="I1112" s="18"/>
      <c r="J1112" s="77" t="str">
        <f t="shared" ca="1" si="35"/>
        <v/>
      </c>
      <c r="K1112" s="23">
        <f>IF(A1112="","",COUNTIFS(Resumen!$N$2:$N$2999,ROW(),Resumen!$V$2:$V$2999,1))</f>
        <v/>
      </c>
      <c r="L1112" s="26"/>
      <c r="N11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3" spans="1:14">
      <c r="A1113" s="16"/>
      <c r="B1113" s="16"/>
      <c r="C1113" s="25"/>
      <c r="D1113" s="25"/>
      <c r="E1113" s="16"/>
      <c r="F1113" s="18"/>
      <c r="G1113" s="19" t="str">
        <f t="shared" ca="1" si="34"/>
        <v/>
      </c>
      <c r="H1113" s="18"/>
      <c r="I1113" s="18"/>
      <c r="J1113" s="77" t="str">
        <f t="shared" ca="1" si="35"/>
        <v/>
      </c>
      <c r="K1113" s="23">
        <f>IF(A1113="","",COUNTIFS(Resumen!$N$2:$N$2999,ROW(),Resumen!$V$2:$V$2999,1))</f>
        <v/>
      </c>
      <c r="L1113" s="26"/>
      <c r="N11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4" spans="1:14">
      <c r="A1114" s="16"/>
      <c r="B1114" s="16"/>
      <c r="C1114" s="25"/>
      <c r="D1114" s="25"/>
      <c r="E1114" s="16"/>
      <c r="F1114" s="18"/>
      <c r="G1114" s="19" t="str">
        <f t="shared" ca="1" si="34"/>
        <v/>
      </c>
      <c r="H1114" s="18"/>
      <c r="I1114" s="18"/>
      <c r="J1114" s="77" t="str">
        <f t="shared" ca="1" si="35"/>
        <v/>
      </c>
      <c r="K1114" s="23">
        <f>IF(A1114="","",COUNTIFS(Resumen!$N$2:$N$2999,ROW(),Resumen!$V$2:$V$2999,1))</f>
        <v/>
      </c>
      <c r="L1114" s="26"/>
      <c r="N11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5" spans="1:14">
      <c r="A1115" s="16"/>
      <c r="B1115" s="16"/>
      <c r="C1115" s="25"/>
      <c r="D1115" s="25"/>
      <c r="E1115" s="16"/>
      <c r="F1115" s="18"/>
      <c r="G1115" s="19" t="str">
        <f t="shared" ca="1" si="34"/>
        <v/>
      </c>
      <c r="H1115" s="18"/>
      <c r="I1115" s="18"/>
      <c r="J1115" s="77" t="str">
        <f t="shared" ca="1" si="35"/>
        <v/>
      </c>
      <c r="K1115" s="23">
        <f>IF(A1115="","",COUNTIFS(Resumen!$N$2:$N$2999,ROW(),Resumen!$V$2:$V$2999,1))</f>
        <v/>
      </c>
      <c r="L1115" s="26"/>
      <c r="N11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6" spans="1:14">
      <c r="A1116" s="16"/>
      <c r="B1116" s="16"/>
      <c r="C1116" s="25"/>
      <c r="D1116" s="25"/>
      <c r="E1116" s="16"/>
      <c r="F1116" s="18"/>
      <c r="G1116" s="19" t="str">
        <f t="shared" ca="1" si="34"/>
        <v/>
      </c>
      <c r="H1116" s="18"/>
      <c r="I1116" s="18"/>
      <c r="J1116" s="77" t="str">
        <f t="shared" ca="1" si="35"/>
        <v/>
      </c>
      <c r="K1116" s="23">
        <f>IF(A1116="","",COUNTIFS(Resumen!$N$2:$N$2999,ROW(),Resumen!$V$2:$V$2999,1))</f>
        <v/>
      </c>
      <c r="L1116" s="26"/>
      <c r="N11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7" spans="1:14">
      <c r="A1117" s="16"/>
      <c r="B1117" s="16"/>
      <c r="C1117" s="25"/>
      <c r="D1117" s="25"/>
      <c r="E1117" s="16"/>
      <c r="F1117" s="18"/>
      <c r="G1117" s="19" t="str">
        <f t="shared" ca="1" si="34"/>
        <v/>
      </c>
      <c r="H1117" s="18"/>
      <c r="I1117" s="18"/>
      <c r="J1117" s="77" t="str">
        <f t="shared" ca="1" si="35"/>
        <v/>
      </c>
      <c r="K1117" s="23">
        <f>IF(A1117="","",COUNTIFS(Resumen!$N$2:$N$2999,ROW(),Resumen!$V$2:$V$2999,1))</f>
        <v/>
      </c>
      <c r="L1117" s="26"/>
      <c r="N11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8" spans="1:14">
      <c r="A1118" s="16"/>
      <c r="B1118" s="16"/>
      <c r="C1118" s="25"/>
      <c r="D1118" s="25"/>
      <c r="E1118" s="16"/>
      <c r="F1118" s="18"/>
      <c r="G1118" s="19" t="str">
        <f t="shared" ca="1" si="34"/>
        <v/>
      </c>
      <c r="H1118" s="18"/>
      <c r="I1118" s="18"/>
      <c r="J1118" s="77" t="str">
        <f t="shared" ca="1" si="35"/>
        <v/>
      </c>
      <c r="K1118" s="23">
        <f>IF(A1118="","",COUNTIFS(Resumen!$N$2:$N$2999,ROW(),Resumen!$V$2:$V$2999,1))</f>
        <v/>
      </c>
      <c r="L1118" s="26"/>
      <c r="N11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19" spans="1:14">
      <c r="A1119" s="16"/>
      <c r="B1119" s="16"/>
      <c r="C1119" s="25"/>
      <c r="D1119" s="25"/>
      <c r="E1119" s="16"/>
      <c r="F1119" s="18"/>
      <c r="G1119" s="19" t="str">
        <f t="shared" ca="1" si="34"/>
        <v/>
      </c>
      <c r="H1119" s="18"/>
      <c r="I1119" s="18"/>
      <c r="J1119" s="77" t="str">
        <f t="shared" ca="1" si="35"/>
        <v/>
      </c>
      <c r="K1119" s="23">
        <f>IF(A1119="","",COUNTIFS(Resumen!$N$2:$N$2999,ROW(),Resumen!$V$2:$V$2999,1))</f>
        <v/>
      </c>
      <c r="L1119" s="26"/>
      <c r="N11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0" spans="1:14">
      <c r="A1120" s="16"/>
      <c r="B1120" s="16"/>
      <c r="C1120" s="25"/>
      <c r="D1120" s="25"/>
      <c r="E1120" s="16"/>
      <c r="F1120" s="18"/>
      <c r="G1120" s="19" t="str">
        <f t="shared" ca="1" si="34"/>
        <v/>
      </c>
      <c r="H1120" s="18"/>
      <c r="I1120" s="18"/>
      <c r="J1120" s="77" t="str">
        <f t="shared" ca="1" si="35"/>
        <v/>
      </c>
      <c r="K1120" s="23">
        <f>IF(A1120="","",COUNTIFS(Resumen!$N$2:$N$2999,ROW(),Resumen!$V$2:$V$2999,1))</f>
        <v/>
      </c>
      <c r="L1120" s="26"/>
      <c r="N11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1" spans="1:14">
      <c r="A1121" s="16"/>
      <c r="B1121" s="16"/>
      <c r="C1121" s="25"/>
      <c r="D1121" s="25"/>
      <c r="E1121" s="16"/>
      <c r="F1121" s="18"/>
      <c r="G1121" s="19" t="str">
        <f t="shared" ca="1" si="34"/>
        <v/>
      </c>
      <c r="H1121" s="18"/>
      <c r="I1121" s="18"/>
      <c r="J1121" s="77" t="str">
        <f t="shared" ca="1" si="35"/>
        <v/>
      </c>
      <c r="K1121" s="23">
        <f>IF(A1121="","",COUNTIFS(Resumen!$N$2:$N$2999,ROW(),Resumen!$V$2:$V$2999,1))</f>
        <v/>
      </c>
      <c r="L1121" s="26"/>
      <c r="N11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2" spans="1:14">
      <c r="A1122" s="16"/>
      <c r="B1122" s="16"/>
      <c r="C1122" s="25"/>
      <c r="D1122" s="25"/>
      <c r="E1122" s="16"/>
      <c r="F1122" s="18"/>
      <c r="G1122" s="19" t="str">
        <f t="shared" ca="1" si="34"/>
        <v/>
      </c>
      <c r="H1122" s="18"/>
      <c r="I1122" s="18"/>
      <c r="J1122" s="77" t="str">
        <f t="shared" ca="1" si="35"/>
        <v/>
      </c>
      <c r="K1122" s="23">
        <f>IF(A1122="","",COUNTIFS(Resumen!$N$2:$N$2999,ROW(),Resumen!$V$2:$V$2999,1))</f>
        <v/>
      </c>
      <c r="L1122" s="26"/>
      <c r="N11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3" spans="1:14">
      <c r="A1123" s="16"/>
      <c r="B1123" s="16"/>
      <c r="C1123" s="25"/>
      <c r="D1123" s="25"/>
      <c r="E1123" s="16"/>
      <c r="F1123" s="18"/>
      <c r="G1123" s="19" t="str">
        <f t="shared" ca="1" si="34"/>
        <v/>
      </c>
      <c r="H1123" s="18"/>
      <c r="I1123" s="18"/>
      <c r="J1123" s="77" t="str">
        <f t="shared" ca="1" si="35"/>
        <v/>
      </c>
      <c r="K1123" s="23">
        <f>IF(A1123="","",COUNTIFS(Resumen!$N$2:$N$2999,ROW(),Resumen!$V$2:$V$2999,1))</f>
        <v/>
      </c>
      <c r="L1123" s="26"/>
      <c r="N11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4" spans="1:14">
      <c r="A1124" s="16"/>
      <c r="B1124" s="16"/>
      <c r="C1124" s="25"/>
      <c r="D1124" s="25"/>
      <c r="E1124" s="16"/>
      <c r="F1124" s="18"/>
      <c r="G1124" s="19" t="str">
        <f t="shared" ca="1" si="34"/>
        <v/>
      </c>
      <c r="H1124" s="18"/>
      <c r="I1124" s="18"/>
      <c r="J1124" s="77" t="str">
        <f t="shared" ca="1" si="35"/>
        <v/>
      </c>
      <c r="K1124" s="23">
        <f>IF(A1124="","",COUNTIFS(Resumen!$N$2:$N$2999,ROW(),Resumen!$V$2:$V$2999,1))</f>
        <v/>
      </c>
      <c r="L1124" s="26"/>
      <c r="N11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5" spans="1:14">
      <c r="A1125" s="16"/>
      <c r="B1125" s="16"/>
      <c r="C1125" s="25"/>
      <c r="D1125" s="25"/>
      <c r="E1125" s="16"/>
      <c r="F1125" s="18"/>
      <c r="G1125" s="19" t="str">
        <f t="shared" ca="1" si="34"/>
        <v/>
      </c>
      <c r="H1125" s="18"/>
      <c r="I1125" s="18"/>
      <c r="J1125" s="77" t="str">
        <f t="shared" ca="1" si="35"/>
        <v/>
      </c>
      <c r="K1125" s="23">
        <f>IF(A1125="","",COUNTIFS(Resumen!$N$2:$N$2999,ROW(),Resumen!$V$2:$V$2999,1))</f>
        <v/>
      </c>
      <c r="L1125" s="26"/>
      <c r="N11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6" spans="1:14">
      <c r="A1126" s="16"/>
      <c r="B1126" s="16"/>
      <c r="C1126" s="25"/>
      <c r="D1126" s="25"/>
      <c r="E1126" s="16"/>
      <c r="F1126" s="18"/>
      <c r="G1126" s="19" t="str">
        <f t="shared" ca="1" si="34"/>
        <v/>
      </c>
      <c r="H1126" s="18"/>
      <c r="I1126" s="18"/>
      <c r="J1126" s="77" t="str">
        <f t="shared" ca="1" si="35"/>
        <v/>
      </c>
      <c r="K1126" s="23">
        <f>IF(A1126="","",COUNTIFS(Resumen!$N$2:$N$2999,ROW(),Resumen!$V$2:$V$2999,1))</f>
        <v/>
      </c>
      <c r="L1126" s="26"/>
      <c r="N11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7" spans="1:14">
      <c r="A1127" s="16"/>
      <c r="B1127" s="16"/>
      <c r="C1127" s="25"/>
      <c r="D1127" s="25"/>
      <c r="E1127" s="16"/>
      <c r="F1127" s="18"/>
      <c r="G1127" s="19" t="str">
        <f t="shared" ca="1" si="34"/>
        <v/>
      </c>
      <c r="H1127" s="18"/>
      <c r="I1127" s="18"/>
      <c r="J1127" s="77" t="str">
        <f t="shared" ca="1" si="35"/>
        <v/>
      </c>
      <c r="K1127" s="23">
        <f>IF(A1127="","",COUNTIFS(Resumen!$N$2:$N$2999,ROW(),Resumen!$V$2:$V$2999,1))</f>
        <v/>
      </c>
      <c r="L1127" s="26"/>
      <c r="N11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8" spans="1:14">
      <c r="A1128" s="16"/>
      <c r="B1128" s="16"/>
      <c r="C1128" s="25"/>
      <c r="D1128" s="25"/>
      <c r="E1128" s="16"/>
      <c r="F1128" s="18"/>
      <c r="G1128" s="19" t="str">
        <f t="shared" ca="1" si="34"/>
        <v/>
      </c>
      <c r="H1128" s="18"/>
      <c r="I1128" s="18"/>
      <c r="J1128" s="77" t="str">
        <f t="shared" ca="1" si="35"/>
        <v/>
      </c>
      <c r="K1128" s="23">
        <f>IF(A1128="","",COUNTIFS(Resumen!$N$2:$N$2999,ROW(),Resumen!$V$2:$V$2999,1))</f>
        <v/>
      </c>
      <c r="L1128" s="26"/>
      <c r="N11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29" spans="1:14">
      <c r="A1129" s="16"/>
      <c r="B1129" s="16"/>
      <c r="C1129" s="25"/>
      <c r="D1129" s="25"/>
      <c r="E1129" s="16"/>
      <c r="F1129" s="18"/>
      <c r="G1129" s="19" t="str">
        <f t="shared" ca="1" si="34"/>
        <v/>
      </c>
      <c r="H1129" s="18"/>
      <c r="I1129" s="18"/>
      <c r="J1129" s="77" t="str">
        <f t="shared" ca="1" si="35"/>
        <v/>
      </c>
      <c r="K1129" s="23">
        <f>IF(A1129="","",COUNTIFS(Resumen!$N$2:$N$2999,ROW(),Resumen!$V$2:$V$2999,1))</f>
        <v/>
      </c>
      <c r="L1129" s="26"/>
      <c r="N11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0" spans="1:14">
      <c r="A1130" s="16"/>
      <c r="B1130" s="16"/>
      <c r="C1130" s="25"/>
      <c r="D1130" s="25"/>
      <c r="E1130" s="16"/>
      <c r="F1130" s="18"/>
      <c r="G1130" s="19" t="str">
        <f t="shared" ca="1" si="34"/>
        <v/>
      </c>
      <c r="H1130" s="18"/>
      <c r="I1130" s="18"/>
      <c r="J1130" s="77" t="str">
        <f t="shared" ca="1" si="35"/>
        <v/>
      </c>
      <c r="K1130" s="23">
        <f>IF(A1130="","",COUNTIFS(Resumen!$N$2:$N$2999,ROW(),Resumen!$V$2:$V$2999,1))</f>
        <v/>
      </c>
      <c r="L1130" s="26"/>
      <c r="N11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1" spans="1:14">
      <c r="A1131" s="16"/>
      <c r="B1131" s="16"/>
      <c r="C1131" s="25"/>
      <c r="D1131" s="25"/>
      <c r="E1131" s="16"/>
      <c r="F1131" s="18"/>
      <c r="G1131" s="19" t="str">
        <f t="shared" ca="1" si="34"/>
        <v/>
      </c>
      <c r="H1131" s="18"/>
      <c r="I1131" s="18"/>
      <c r="J1131" s="77" t="str">
        <f t="shared" ca="1" si="35"/>
        <v/>
      </c>
      <c r="K1131" s="23">
        <f>IF(A1131="","",COUNTIFS(Resumen!$N$2:$N$2999,ROW(),Resumen!$V$2:$V$2999,1))</f>
        <v/>
      </c>
      <c r="L1131" s="26"/>
      <c r="N11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2" spans="1:14">
      <c r="A1132" s="16"/>
      <c r="B1132" s="16"/>
      <c r="C1132" s="25"/>
      <c r="D1132" s="25"/>
      <c r="E1132" s="16"/>
      <c r="F1132" s="18"/>
      <c r="G1132" s="19" t="str">
        <f t="shared" ca="1" si="34"/>
        <v/>
      </c>
      <c r="H1132" s="18"/>
      <c r="I1132" s="18"/>
      <c r="J1132" s="77" t="str">
        <f t="shared" ca="1" si="35"/>
        <v/>
      </c>
      <c r="K1132" s="23">
        <f>IF(A1132="","",COUNTIFS(Resumen!$N$2:$N$2999,ROW(),Resumen!$V$2:$V$2999,1))</f>
        <v/>
      </c>
      <c r="L1132" s="26"/>
      <c r="N11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3" spans="1:14">
      <c r="A1133" s="16"/>
      <c r="B1133" s="16"/>
      <c r="C1133" s="25"/>
      <c r="D1133" s="25"/>
      <c r="E1133" s="16"/>
      <c r="F1133" s="18"/>
      <c r="G1133" s="19" t="str">
        <f t="shared" ca="1" si="34"/>
        <v/>
      </c>
      <c r="H1133" s="18"/>
      <c r="I1133" s="18"/>
      <c r="J1133" s="77" t="str">
        <f t="shared" ca="1" si="35"/>
        <v/>
      </c>
      <c r="K1133" s="23">
        <f>IF(A1133="","",COUNTIFS(Resumen!$N$2:$N$2999,ROW(),Resumen!$V$2:$V$2999,1))</f>
        <v/>
      </c>
      <c r="L1133" s="26"/>
      <c r="N11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4" spans="1:14">
      <c r="A1134" s="16"/>
      <c r="B1134" s="16"/>
      <c r="C1134" s="25"/>
      <c r="D1134" s="25"/>
      <c r="E1134" s="16"/>
      <c r="F1134" s="18"/>
      <c r="G1134" s="19" t="str">
        <f t="shared" ca="1" si="34"/>
        <v/>
      </c>
      <c r="H1134" s="18"/>
      <c r="I1134" s="18"/>
      <c r="J1134" s="77" t="str">
        <f t="shared" ca="1" si="35"/>
        <v/>
      </c>
      <c r="K1134" s="23">
        <f>IF(A1134="","",COUNTIFS(Resumen!$N$2:$N$2999,ROW(),Resumen!$V$2:$V$2999,1))</f>
        <v/>
      </c>
      <c r="L1134" s="26"/>
      <c r="N11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5" spans="1:14">
      <c r="A1135" s="16"/>
      <c r="B1135" s="16"/>
      <c r="C1135" s="25"/>
      <c r="D1135" s="25"/>
      <c r="E1135" s="16"/>
      <c r="F1135" s="18"/>
      <c r="G1135" s="19" t="str">
        <f t="shared" ca="1" si="34"/>
        <v/>
      </c>
      <c r="H1135" s="18"/>
      <c r="I1135" s="18"/>
      <c r="J1135" s="77" t="str">
        <f t="shared" ca="1" si="35"/>
        <v/>
      </c>
      <c r="K1135" s="23">
        <f>IF(A1135="","",COUNTIFS(Resumen!$N$2:$N$2999,ROW(),Resumen!$V$2:$V$2999,1))</f>
        <v/>
      </c>
      <c r="L1135" s="26"/>
      <c r="N11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6" spans="1:14">
      <c r="A1136" s="16"/>
      <c r="B1136" s="16"/>
      <c r="C1136" s="25"/>
      <c r="D1136" s="25"/>
      <c r="E1136" s="16"/>
      <c r="F1136" s="18"/>
      <c r="G1136" s="19" t="str">
        <f t="shared" ca="1" si="34"/>
        <v/>
      </c>
      <c r="H1136" s="18"/>
      <c r="I1136" s="18"/>
      <c r="J1136" s="77" t="str">
        <f t="shared" ca="1" si="35"/>
        <v/>
      </c>
      <c r="K1136" s="23">
        <f>IF(A1136="","",COUNTIFS(Resumen!$N$2:$N$2999,ROW(),Resumen!$V$2:$V$2999,1))</f>
        <v/>
      </c>
      <c r="L1136" s="26"/>
      <c r="N11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7" spans="1:14">
      <c r="A1137" s="16"/>
      <c r="B1137" s="16"/>
      <c r="C1137" s="25"/>
      <c r="D1137" s="25"/>
      <c r="E1137" s="16"/>
      <c r="F1137" s="18"/>
      <c r="G1137" s="19" t="str">
        <f t="shared" ca="1" si="34"/>
        <v/>
      </c>
      <c r="H1137" s="18"/>
      <c r="I1137" s="18"/>
      <c r="J1137" s="77" t="str">
        <f t="shared" ca="1" si="35"/>
        <v/>
      </c>
      <c r="K1137" s="23">
        <f>IF(A1137="","",COUNTIFS(Resumen!$N$2:$N$2999,ROW(),Resumen!$V$2:$V$2999,1))</f>
        <v/>
      </c>
      <c r="L1137" s="26"/>
      <c r="N11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8" spans="1:14">
      <c r="A1138" s="16"/>
      <c r="B1138" s="16"/>
      <c r="C1138" s="25"/>
      <c r="D1138" s="25"/>
      <c r="E1138" s="16"/>
      <c r="F1138" s="18"/>
      <c r="G1138" s="19" t="str">
        <f t="shared" ca="1" si="34"/>
        <v/>
      </c>
      <c r="H1138" s="18"/>
      <c r="I1138" s="18"/>
      <c r="J1138" s="77" t="str">
        <f t="shared" ca="1" si="35"/>
        <v/>
      </c>
      <c r="K1138" s="23">
        <f>IF(A1138="","",COUNTIFS(Resumen!$N$2:$N$2999,ROW(),Resumen!$V$2:$V$2999,1))</f>
        <v/>
      </c>
      <c r="L1138" s="26"/>
      <c r="N11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39" spans="1:14">
      <c r="A1139" s="16"/>
      <c r="B1139" s="16"/>
      <c r="C1139" s="25"/>
      <c r="D1139" s="25"/>
      <c r="E1139" s="16"/>
      <c r="F1139" s="18"/>
      <c r="G1139" s="19" t="str">
        <f t="shared" ca="1" si="34"/>
        <v/>
      </c>
      <c r="H1139" s="18"/>
      <c r="I1139" s="18"/>
      <c r="J1139" s="77" t="str">
        <f t="shared" ca="1" si="35"/>
        <v/>
      </c>
      <c r="K1139" s="23">
        <f>IF(A1139="","",COUNTIFS(Resumen!$N$2:$N$2999,ROW(),Resumen!$V$2:$V$2999,1))</f>
        <v/>
      </c>
      <c r="L1139" s="26"/>
      <c r="N11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0" spans="1:14">
      <c r="A1140" s="16"/>
      <c r="B1140" s="16"/>
      <c r="C1140" s="25"/>
      <c r="D1140" s="25"/>
      <c r="E1140" s="16"/>
      <c r="F1140" s="18"/>
      <c r="G1140" s="19" t="str">
        <f t="shared" ca="1" si="34"/>
        <v/>
      </c>
      <c r="H1140" s="18"/>
      <c r="I1140" s="18"/>
      <c r="J1140" s="77" t="str">
        <f t="shared" ca="1" si="35"/>
        <v/>
      </c>
      <c r="K1140" s="23">
        <f>IF(A1140="","",COUNTIFS(Resumen!$N$2:$N$2999,ROW(),Resumen!$V$2:$V$2999,1))</f>
        <v/>
      </c>
      <c r="L1140" s="26"/>
      <c r="N11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1" spans="1:14">
      <c r="A1141" s="16"/>
      <c r="B1141" s="16"/>
      <c r="C1141" s="25"/>
      <c r="D1141" s="25"/>
      <c r="E1141" s="16"/>
      <c r="F1141" s="18"/>
      <c r="G1141" s="19" t="str">
        <f t="shared" ca="1" si="34"/>
        <v/>
      </c>
      <c r="H1141" s="18"/>
      <c r="I1141" s="18"/>
      <c r="J1141" s="77" t="str">
        <f t="shared" ca="1" si="35"/>
        <v/>
      </c>
      <c r="K1141" s="23">
        <f>IF(A1141="","",COUNTIFS(Resumen!$N$2:$N$2999,ROW(),Resumen!$V$2:$V$2999,1))</f>
        <v/>
      </c>
      <c r="L1141" s="26"/>
      <c r="N11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2" spans="1:14">
      <c r="A1142" s="16"/>
      <c r="B1142" s="16"/>
      <c r="C1142" s="25"/>
      <c r="D1142" s="25"/>
      <c r="E1142" s="16"/>
      <c r="F1142" s="18"/>
      <c r="G1142" s="19" t="str">
        <f t="shared" ca="1" si="34"/>
        <v/>
      </c>
      <c r="H1142" s="18"/>
      <c r="I1142" s="18"/>
      <c r="J1142" s="77" t="str">
        <f t="shared" ca="1" si="35"/>
        <v/>
      </c>
      <c r="K1142" s="23">
        <f>IF(A1142="","",COUNTIFS(Resumen!$N$2:$N$2999,ROW(),Resumen!$V$2:$V$2999,1))</f>
        <v/>
      </c>
      <c r="L1142" s="26"/>
      <c r="N11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3" spans="1:14">
      <c r="A1143" s="16"/>
      <c r="B1143" s="16"/>
      <c r="C1143" s="25"/>
      <c r="D1143" s="25"/>
      <c r="E1143" s="16"/>
      <c r="F1143" s="18"/>
      <c r="G1143" s="19" t="str">
        <f t="shared" ca="1" si="34"/>
        <v/>
      </c>
      <c r="H1143" s="18"/>
      <c r="I1143" s="18"/>
      <c r="J1143" s="77" t="str">
        <f t="shared" ca="1" si="35"/>
        <v/>
      </c>
      <c r="K1143" s="23">
        <f>IF(A1143="","",COUNTIFS(Resumen!$N$2:$N$2999,ROW(),Resumen!$V$2:$V$2999,1))</f>
        <v/>
      </c>
      <c r="L1143" s="26"/>
      <c r="N11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4" spans="1:14">
      <c r="A1144" s="16"/>
      <c r="B1144" s="16"/>
      <c r="C1144" s="25"/>
      <c r="D1144" s="25"/>
      <c r="E1144" s="16"/>
      <c r="F1144" s="18"/>
      <c r="G1144" s="19" t="str">
        <f t="shared" ca="1" si="34"/>
        <v/>
      </c>
      <c r="H1144" s="18"/>
      <c r="I1144" s="18"/>
      <c r="J1144" s="77" t="str">
        <f t="shared" ca="1" si="35"/>
        <v/>
      </c>
      <c r="K1144" s="23">
        <f>IF(A1144="","",COUNTIFS(Resumen!$N$2:$N$2999,ROW(),Resumen!$V$2:$V$2999,1))</f>
        <v/>
      </c>
      <c r="L1144" s="26"/>
      <c r="N11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5" spans="1:14">
      <c r="A1145" s="16"/>
      <c r="B1145" s="16"/>
      <c r="C1145" s="25"/>
      <c r="D1145" s="25"/>
      <c r="E1145" s="16"/>
      <c r="F1145" s="18"/>
      <c r="G1145" s="19" t="str">
        <f t="shared" ca="1" si="34"/>
        <v/>
      </c>
      <c r="H1145" s="18"/>
      <c r="I1145" s="18"/>
      <c r="J1145" s="77" t="str">
        <f t="shared" ca="1" si="35"/>
        <v/>
      </c>
      <c r="K1145" s="23">
        <f>IF(A1145="","",COUNTIFS(Resumen!$N$2:$N$2999,ROW(),Resumen!$V$2:$V$2999,1))</f>
        <v/>
      </c>
      <c r="L1145" s="26"/>
      <c r="N11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6" spans="1:14">
      <c r="A1146" s="16"/>
      <c r="B1146" s="16"/>
      <c r="C1146" s="25"/>
      <c r="D1146" s="25"/>
      <c r="E1146" s="16"/>
      <c r="F1146" s="18"/>
      <c r="G1146" s="19" t="str">
        <f t="shared" ca="1" si="34"/>
        <v/>
      </c>
      <c r="H1146" s="18"/>
      <c r="I1146" s="18"/>
      <c r="J1146" s="77" t="str">
        <f t="shared" ca="1" si="35"/>
        <v/>
      </c>
      <c r="K1146" s="23">
        <f>IF(A1146="","",COUNTIFS(Resumen!$N$2:$N$2999,ROW(),Resumen!$V$2:$V$2999,1))</f>
        <v/>
      </c>
      <c r="L1146" s="26"/>
      <c r="N11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7" spans="1:14">
      <c r="A1147" s="16"/>
      <c r="B1147" s="16"/>
      <c r="C1147" s="25"/>
      <c r="D1147" s="25"/>
      <c r="E1147" s="16"/>
      <c r="F1147" s="18"/>
      <c r="G1147" s="19" t="str">
        <f t="shared" ca="1" si="34"/>
        <v/>
      </c>
      <c r="H1147" s="18"/>
      <c r="I1147" s="18"/>
      <c r="J1147" s="77" t="str">
        <f t="shared" ca="1" si="35"/>
        <v/>
      </c>
      <c r="K1147" s="23">
        <f>IF(A1147="","",COUNTIFS(Resumen!$N$2:$N$2999,ROW(),Resumen!$V$2:$V$2999,1))</f>
        <v/>
      </c>
      <c r="L1147" s="26"/>
      <c r="N11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8" spans="1:14">
      <c r="A1148" s="16"/>
      <c r="B1148" s="16"/>
      <c r="C1148" s="25"/>
      <c r="D1148" s="25"/>
      <c r="E1148" s="16"/>
      <c r="F1148" s="18"/>
      <c r="G1148" s="19" t="str">
        <f t="shared" ca="1" si="34"/>
        <v/>
      </c>
      <c r="H1148" s="18"/>
      <c r="I1148" s="18"/>
      <c r="J1148" s="77" t="str">
        <f t="shared" ca="1" si="35"/>
        <v/>
      </c>
      <c r="K1148" s="23">
        <f>IF(A1148="","",COUNTIFS(Resumen!$N$2:$N$2999,ROW(),Resumen!$V$2:$V$2999,1))</f>
        <v/>
      </c>
      <c r="L1148" s="26"/>
      <c r="N11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49" spans="1:14">
      <c r="A1149" s="16"/>
      <c r="B1149" s="16"/>
      <c r="C1149" s="25"/>
      <c r="D1149" s="25"/>
      <c r="E1149" s="16"/>
      <c r="F1149" s="18"/>
      <c r="G1149" s="19" t="str">
        <f t="shared" ca="1" si="34"/>
        <v/>
      </c>
      <c r="H1149" s="18"/>
      <c r="I1149" s="18"/>
      <c r="J1149" s="77" t="str">
        <f t="shared" ca="1" si="35"/>
        <v/>
      </c>
      <c r="K1149" s="23">
        <f>IF(A1149="","",COUNTIFS(Resumen!$N$2:$N$2999,ROW(),Resumen!$V$2:$V$2999,1))</f>
        <v/>
      </c>
      <c r="L1149" s="26"/>
      <c r="N11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0" spans="1:14">
      <c r="A1150" s="16"/>
      <c r="B1150" s="16"/>
      <c r="C1150" s="25"/>
      <c r="D1150" s="25"/>
      <c r="E1150" s="16"/>
      <c r="F1150" s="18"/>
      <c r="G1150" s="19" t="str">
        <f t="shared" ca="1" si="34"/>
        <v/>
      </c>
      <c r="H1150" s="18"/>
      <c r="I1150" s="18"/>
      <c r="J1150" s="77" t="str">
        <f t="shared" ca="1" si="35"/>
        <v/>
      </c>
      <c r="K1150" s="23">
        <f>IF(A1150="","",COUNTIFS(Resumen!$N$2:$N$2999,ROW(),Resumen!$V$2:$V$2999,1))</f>
        <v/>
      </c>
      <c r="L1150" s="26"/>
      <c r="N11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1" spans="1:14">
      <c r="A1151" s="16"/>
      <c r="B1151" s="16"/>
      <c r="C1151" s="25"/>
      <c r="D1151" s="25"/>
      <c r="E1151" s="16"/>
      <c r="F1151" s="18"/>
      <c r="G1151" s="19" t="str">
        <f t="shared" ca="1" si="34"/>
        <v/>
      </c>
      <c r="H1151" s="18"/>
      <c r="I1151" s="18"/>
      <c r="J1151" s="77" t="str">
        <f t="shared" ca="1" si="35"/>
        <v/>
      </c>
      <c r="K1151" s="23">
        <f>IF(A1151="","",COUNTIFS(Resumen!$N$2:$N$2999,ROW(),Resumen!$V$2:$V$2999,1))</f>
        <v/>
      </c>
      <c r="L1151" s="26"/>
      <c r="N11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2" spans="1:14">
      <c r="A1152" s="16"/>
      <c r="B1152" s="16"/>
      <c r="C1152" s="25"/>
      <c r="D1152" s="25"/>
      <c r="E1152" s="16"/>
      <c r="F1152" s="18"/>
      <c r="G1152" s="19" t="str">
        <f t="shared" ca="1" si="34"/>
        <v/>
      </c>
      <c r="H1152" s="18"/>
      <c r="I1152" s="18"/>
      <c r="J1152" s="77" t="str">
        <f t="shared" ca="1" si="35"/>
        <v/>
      </c>
      <c r="K1152" s="23">
        <f>IF(A1152="","",COUNTIFS(Resumen!$N$2:$N$2999,ROW(),Resumen!$V$2:$V$2999,1))</f>
        <v/>
      </c>
      <c r="L1152" s="26"/>
      <c r="N11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3" spans="1:14">
      <c r="A1153" s="16"/>
      <c r="B1153" s="16"/>
      <c r="C1153" s="25"/>
      <c r="D1153" s="25"/>
      <c r="E1153" s="16"/>
      <c r="F1153" s="18"/>
      <c r="G1153" s="19" t="str">
        <f t="shared" ca="1" si="34"/>
        <v/>
      </c>
      <c r="H1153" s="18"/>
      <c r="I1153" s="18"/>
      <c r="J1153" s="77" t="str">
        <f t="shared" ca="1" si="35"/>
        <v/>
      </c>
      <c r="K1153" s="23">
        <f>IF(A1153="","",COUNTIFS(Resumen!$N$2:$N$2999,ROW(),Resumen!$V$2:$V$2999,1))</f>
        <v/>
      </c>
      <c r="L1153" s="26"/>
      <c r="N11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4" spans="1:14">
      <c r="A1154" s="16"/>
      <c r="B1154" s="16"/>
      <c r="C1154" s="25"/>
      <c r="D1154" s="25"/>
      <c r="E1154" s="16"/>
      <c r="F1154" s="18"/>
      <c r="G1154" s="19" t="str">
        <f t="shared" ref="G1154:G1217" ca="1" si="36">IF(F1154="", "", DATEDIF(F1154, TODAY(), "Y"))</f>
        <v/>
      </c>
      <c r="H1154" s="18"/>
      <c r="I1154" s="18"/>
      <c r="J1154" s="77" t="str">
        <f t="shared" ref="J1154:J1217" ca="1" si="37">IFERROR(IF(ISNUMBER(INDEX(VigenciasFamilia,ROW())),INDEX(VigenciasFamilia,ROW())-TODAY(),""),"")</f>
        <v/>
      </c>
      <c r="K1154" s="23">
        <f>IF(A1154="","",COUNTIFS(Resumen!$N$2:$N$2999,ROW(),Resumen!$V$2:$V$2999,1))</f>
        <v/>
      </c>
      <c r="L1154" s="26"/>
      <c r="N11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5" spans="1:14">
      <c r="A1155" s="16"/>
      <c r="B1155" s="16"/>
      <c r="C1155" s="25"/>
      <c r="D1155" s="25"/>
      <c r="E1155" s="16"/>
      <c r="F1155" s="18"/>
      <c r="G1155" s="19" t="str">
        <f t="shared" ca="1" si="36"/>
        <v/>
      </c>
      <c r="H1155" s="18"/>
      <c r="I1155" s="18"/>
      <c r="J1155" s="77" t="str">
        <f t="shared" ca="1" si="37"/>
        <v/>
      </c>
      <c r="K1155" s="23">
        <f>IF(A1155="","",COUNTIFS(Resumen!$N$2:$N$2999,ROW(),Resumen!$V$2:$V$2999,1))</f>
        <v/>
      </c>
      <c r="L1155" s="26"/>
      <c r="N11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6" spans="1:14">
      <c r="A1156" s="16"/>
      <c r="B1156" s="16"/>
      <c r="C1156" s="25"/>
      <c r="D1156" s="25"/>
      <c r="E1156" s="16"/>
      <c r="F1156" s="18"/>
      <c r="G1156" s="19" t="str">
        <f t="shared" ca="1" si="36"/>
        <v/>
      </c>
      <c r="H1156" s="18"/>
      <c r="I1156" s="18"/>
      <c r="J1156" s="77" t="str">
        <f t="shared" ca="1" si="37"/>
        <v/>
      </c>
      <c r="K1156" s="23">
        <f>IF(A1156="","",COUNTIFS(Resumen!$N$2:$N$2999,ROW(),Resumen!$V$2:$V$2999,1))</f>
        <v/>
      </c>
      <c r="L1156" s="26"/>
      <c r="N11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7" spans="1:14">
      <c r="A1157" s="16"/>
      <c r="B1157" s="16"/>
      <c r="C1157" s="25"/>
      <c r="D1157" s="25"/>
      <c r="E1157" s="16"/>
      <c r="F1157" s="18"/>
      <c r="G1157" s="19" t="str">
        <f t="shared" ca="1" si="36"/>
        <v/>
      </c>
      <c r="H1157" s="18"/>
      <c r="I1157" s="18"/>
      <c r="J1157" s="77" t="str">
        <f t="shared" ca="1" si="37"/>
        <v/>
      </c>
      <c r="K1157" s="23">
        <f>IF(A1157="","",COUNTIFS(Resumen!$N$2:$N$2999,ROW(),Resumen!$V$2:$V$2999,1))</f>
        <v/>
      </c>
      <c r="L1157" s="26"/>
      <c r="N11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8" spans="1:14">
      <c r="A1158" s="16"/>
      <c r="B1158" s="16"/>
      <c r="C1158" s="25"/>
      <c r="D1158" s="25"/>
      <c r="E1158" s="16"/>
      <c r="F1158" s="18"/>
      <c r="G1158" s="19" t="str">
        <f t="shared" ca="1" si="36"/>
        <v/>
      </c>
      <c r="H1158" s="18"/>
      <c r="I1158" s="18"/>
      <c r="J1158" s="77" t="str">
        <f t="shared" ca="1" si="37"/>
        <v/>
      </c>
      <c r="K1158" s="23">
        <f>IF(A1158="","",COUNTIFS(Resumen!$N$2:$N$2999,ROW(),Resumen!$V$2:$V$2999,1))</f>
        <v/>
      </c>
      <c r="L1158" s="26"/>
      <c r="N11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59" spans="1:14">
      <c r="A1159" s="16"/>
      <c r="B1159" s="16"/>
      <c r="C1159" s="25"/>
      <c r="D1159" s="25"/>
      <c r="E1159" s="16"/>
      <c r="F1159" s="18"/>
      <c r="G1159" s="19" t="str">
        <f t="shared" ca="1" si="36"/>
        <v/>
      </c>
      <c r="H1159" s="18"/>
      <c r="I1159" s="18"/>
      <c r="J1159" s="77" t="str">
        <f t="shared" ca="1" si="37"/>
        <v/>
      </c>
      <c r="K1159" s="23">
        <f>IF(A1159="","",COUNTIFS(Resumen!$N$2:$N$2999,ROW(),Resumen!$V$2:$V$2999,1))</f>
        <v/>
      </c>
      <c r="L1159" s="26"/>
      <c r="N11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0" spans="1:14">
      <c r="A1160" s="16"/>
      <c r="B1160" s="16"/>
      <c r="C1160" s="25"/>
      <c r="D1160" s="25"/>
      <c r="E1160" s="16"/>
      <c r="F1160" s="18"/>
      <c r="G1160" s="19" t="str">
        <f t="shared" ca="1" si="36"/>
        <v/>
      </c>
      <c r="H1160" s="18"/>
      <c r="I1160" s="18"/>
      <c r="J1160" s="77" t="str">
        <f t="shared" ca="1" si="37"/>
        <v/>
      </c>
      <c r="K1160" s="23">
        <f>IF(A1160="","",COUNTIFS(Resumen!$N$2:$N$2999,ROW(),Resumen!$V$2:$V$2999,1))</f>
        <v/>
      </c>
      <c r="L1160" s="26"/>
      <c r="N11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1" spans="1:14">
      <c r="A1161" s="16"/>
      <c r="B1161" s="16"/>
      <c r="C1161" s="25"/>
      <c r="D1161" s="25"/>
      <c r="E1161" s="16"/>
      <c r="F1161" s="18"/>
      <c r="G1161" s="19" t="str">
        <f t="shared" ca="1" si="36"/>
        <v/>
      </c>
      <c r="H1161" s="18"/>
      <c r="I1161" s="18"/>
      <c r="J1161" s="77" t="str">
        <f t="shared" ca="1" si="37"/>
        <v/>
      </c>
      <c r="K1161" s="23">
        <f>IF(A1161="","",COUNTIFS(Resumen!$N$2:$N$2999,ROW(),Resumen!$V$2:$V$2999,1))</f>
        <v/>
      </c>
      <c r="L1161" s="26"/>
      <c r="N11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2" spans="1:14">
      <c r="A1162" s="16"/>
      <c r="B1162" s="16"/>
      <c r="C1162" s="25"/>
      <c r="D1162" s="25"/>
      <c r="E1162" s="16"/>
      <c r="F1162" s="18"/>
      <c r="G1162" s="19" t="str">
        <f t="shared" ca="1" si="36"/>
        <v/>
      </c>
      <c r="H1162" s="18"/>
      <c r="I1162" s="18"/>
      <c r="J1162" s="77" t="str">
        <f t="shared" ca="1" si="37"/>
        <v/>
      </c>
      <c r="K1162" s="23">
        <f>IF(A1162="","",COUNTIFS(Resumen!$N$2:$N$2999,ROW(),Resumen!$V$2:$V$2999,1))</f>
        <v/>
      </c>
      <c r="L1162" s="26"/>
      <c r="N11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3" spans="1:14">
      <c r="A1163" s="16"/>
      <c r="B1163" s="16"/>
      <c r="C1163" s="25"/>
      <c r="D1163" s="25"/>
      <c r="E1163" s="16"/>
      <c r="F1163" s="18"/>
      <c r="G1163" s="19" t="str">
        <f t="shared" ca="1" si="36"/>
        <v/>
      </c>
      <c r="H1163" s="18"/>
      <c r="I1163" s="18"/>
      <c r="J1163" s="77" t="str">
        <f t="shared" ca="1" si="37"/>
        <v/>
      </c>
      <c r="K1163" s="23">
        <f>IF(A1163="","",COUNTIFS(Resumen!$N$2:$N$2999,ROW(),Resumen!$V$2:$V$2999,1))</f>
        <v/>
      </c>
      <c r="L1163" s="26"/>
      <c r="N11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4" spans="1:14">
      <c r="A1164" s="16"/>
      <c r="B1164" s="16"/>
      <c r="C1164" s="25"/>
      <c r="D1164" s="25"/>
      <c r="E1164" s="16"/>
      <c r="F1164" s="18"/>
      <c r="G1164" s="19" t="str">
        <f t="shared" ca="1" si="36"/>
        <v/>
      </c>
      <c r="H1164" s="18"/>
      <c r="I1164" s="18"/>
      <c r="J1164" s="77" t="str">
        <f t="shared" ca="1" si="37"/>
        <v/>
      </c>
      <c r="K1164" s="23">
        <f>IF(A1164="","",COUNTIFS(Resumen!$N$2:$N$2999,ROW(),Resumen!$V$2:$V$2999,1))</f>
        <v/>
      </c>
      <c r="L1164" s="26"/>
      <c r="N11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5" spans="1:14">
      <c r="A1165" s="16"/>
      <c r="B1165" s="16"/>
      <c r="C1165" s="25"/>
      <c r="D1165" s="25"/>
      <c r="E1165" s="16"/>
      <c r="F1165" s="18"/>
      <c r="G1165" s="19" t="str">
        <f t="shared" ca="1" si="36"/>
        <v/>
      </c>
      <c r="H1165" s="18"/>
      <c r="I1165" s="18"/>
      <c r="J1165" s="77" t="str">
        <f t="shared" ca="1" si="37"/>
        <v/>
      </c>
      <c r="K1165" s="23">
        <f>IF(A1165="","",COUNTIFS(Resumen!$N$2:$N$2999,ROW(),Resumen!$V$2:$V$2999,1))</f>
        <v/>
      </c>
      <c r="L1165" s="26"/>
      <c r="N11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6" spans="1:14">
      <c r="A1166" s="16"/>
      <c r="B1166" s="16"/>
      <c r="C1166" s="25"/>
      <c r="D1166" s="25"/>
      <c r="E1166" s="16"/>
      <c r="F1166" s="18"/>
      <c r="G1166" s="19" t="str">
        <f t="shared" ca="1" si="36"/>
        <v/>
      </c>
      <c r="H1166" s="18"/>
      <c r="I1166" s="18"/>
      <c r="J1166" s="77" t="str">
        <f t="shared" ca="1" si="37"/>
        <v/>
      </c>
      <c r="K1166" s="23">
        <f>IF(A1166="","",COUNTIFS(Resumen!$N$2:$N$2999,ROW(),Resumen!$V$2:$V$2999,1))</f>
        <v/>
      </c>
      <c r="L1166" s="26"/>
      <c r="N11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7" spans="1:14">
      <c r="A1167" s="16"/>
      <c r="B1167" s="16"/>
      <c r="C1167" s="25"/>
      <c r="D1167" s="25"/>
      <c r="E1167" s="16"/>
      <c r="F1167" s="18"/>
      <c r="G1167" s="19" t="str">
        <f t="shared" ca="1" si="36"/>
        <v/>
      </c>
      <c r="H1167" s="18"/>
      <c r="I1167" s="18"/>
      <c r="J1167" s="77" t="str">
        <f t="shared" ca="1" si="37"/>
        <v/>
      </c>
      <c r="K1167" s="23">
        <f>IF(A1167="","",COUNTIFS(Resumen!$N$2:$N$2999,ROW(),Resumen!$V$2:$V$2999,1))</f>
        <v/>
      </c>
      <c r="L1167" s="26"/>
      <c r="N11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8" spans="1:14">
      <c r="A1168" s="16"/>
      <c r="B1168" s="16"/>
      <c r="C1168" s="25"/>
      <c r="D1168" s="25"/>
      <c r="E1168" s="16"/>
      <c r="F1168" s="18"/>
      <c r="G1168" s="19" t="str">
        <f t="shared" ca="1" si="36"/>
        <v/>
      </c>
      <c r="H1168" s="18"/>
      <c r="I1168" s="18"/>
      <c r="J1168" s="77" t="str">
        <f t="shared" ca="1" si="37"/>
        <v/>
      </c>
      <c r="K1168" s="23">
        <f>IF(A1168="","",COUNTIFS(Resumen!$N$2:$N$2999,ROW(),Resumen!$V$2:$V$2999,1))</f>
        <v/>
      </c>
      <c r="L1168" s="26"/>
      <c r="N11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69" spans="1:14">
      <c r="A1169" s="16"/>
      <c r="B1169" s="16"/>
      <c r="C1169" s="25"/>
      <c r="D1169" s="25"/>
      <c r="E1169" s="16"/>
      <c r="F1169" s="18"/>
      <c r="G1169" s="19" t="str">
        <f t="shared" ca="1" si="36"/>
        <v/>
      </c>
      <c r="H1169" s="18"/>
      <c r="I1169" s="18"/>
      <c r="J1169" s="77" t="str">
        <f t="shared" ca="1" si="37"/>
        <v/>
      </c>
      <c r="K1169" s="23">
        <f>IF(A1169="","",COUNTIFS(Resumen!$N$2:$N$2999,ROW(),Resumen!$V$2:$V$2999,1))</f>
        <v/>
      </c>
      <c r="L1169" s="26"/>
      <c r="N11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0" spans="1:14">
      <c r="A1170" s="16"/>
      <c r="B1170" s="16"/>
      <c r="C1170" s="25"/>
      <c r="D1170" s="25"/>
      <c r="E1170" s="16"/>
      <c r="F1170" s="18"/>
      <c r="G1170" s="19" t="str">
        <f t="shared" ca="1" si="36"/>
        <v/>
      </c>
      <c r="H1170" s="18"/>
      <c r="I1170" s="18"/>
      <c r="J1170" s="77" t="str">
        <f t="shared" ca="1" si="37"/>
        <v/>
      </c>
      <c r="K1170" s="23">
        <f>IF(A1170="","",COUNTIFS(Resumen!$N$2:$N$2999,ROW(),Resumen!$V$2:$V$2999,1))</f>
        <v/>
      </c>
      <c r="L1170" s="26"/>
      <c r="N11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1" spans="1:14">
      <c r="A1171" s="16"/>
      <c r="B1171" s="16"/>
      <c r="C1171" s="25"/>
      <c r="D1171" s="25"/>
      <c r="E1171" s="16"/>
      <c r="F1171" s="18"/>
      <c r="G1171" s="19" t="str">
        <f t="shared" ca="1" si="36"/>
        <v/>
      </c>
      <c r="H1171" s="18"/>
      <c r="I1171" s="18"/>
      <c r="J1171" s="77" t="str">
        <f t="shared" ca="1" si="37"/>
        <v/>
      </c>
      <c r="K1171" s="23">
        <f>IF(A1171="","",COUNTIFS(Resumen!$N$2:$N$2999,ROW(),Resumen!$V$2:$V$2999,1))</f>
        <v/>
      </c>
      <c r="L1171" s="26"/>
      <c r="N11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2" spans="1:14">
      <c r="A1172" s="16"/>
      <c r="B1172" s="16"/>
      <c r="C1172" s="25"/>
      <c r="D1172" s="25"/>
      <c r="E1172" s="16"/>
      <c r="F1172" s="18"/>
      <c r="G1172" s="19" t="str">
        <f t="shared" ca="1" si="36"/>
        <v/>
      </c>
      <c r="H1172" s="18"/>
      <c r="I1172" s="18"/>
      <c r="J1172" s="77" t="str">
        <f t="shared" ca="1" si="37"/>
        <v/>
      </c>
      <c r="K1172" s="23">
        <f>IF(A1172="","",COUNTIFS(Resumen!$N$2:$N$2999,ROW(),Resumen!$V$2:$V$2999,1))</f>
        <v/>
      </c>
      <c r="L1172" s="26"/>
      <c r="N11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3" spans="1:14">
      <c r="A1173" s="16"/>
      <c r="B1173" s="16"/>
      <c r="C1173" s="25"/>
      <c r="D1173" s="25"/>
      <c r="E1173" s="16"/>
      <c r="F1173" s="18"/>
      <c r="G1173" s="19" t="str">
        <f t="shared" ca="1" si="36"/>
        <v/>
      </c>
      <c r="H1173" s="18"/>
      <c r="I1173" s="18"/>
      <c r="J1173" s="77" t="str">
        <f t="shared" ca="1" si="37"/>
        <v/>
      </c>
      <c r="K1173" s="23">
        <f>IF(A1173="","",COUNTIFS(Resumen!$N$2:$N$2999,ROW(),Resumen!$V$2:$V$2999,1))</f>
        <v/>
      </c>
      <c r="L1173" s="26"/>
      <c r="N11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4" spans="1:14">
      <c r="A1174" s="16"/>
      <c r="B1174" s="16"/>
      <c r="C1174" s="25"/>
      <c r="D1174" s="25"/>
      <c r="E1174" s="16"/>
      <c r="F1174" s="18"/>
      <c r="G1174" s="19" t="str">
        <f t="shared" ca="1" si="36"/>
        <v/>
      </c>
      <c r="H1174" s="18"/>
      <c r="I1174" s="18"/>
      <c r="J1174" s="77" t="str">
        <f t="shared" ca="1" si="37"/>
        <v/>
      </c>
      <c r="K1174" s="23">
        <f>IF(A1174="","",COUNTIFS(Resumen!$N$2:$N$2999,ROW(),Resumen!$V$2:$V$2999,1))</f>
        <v/>
      </c>
      <c r="L1174" s="26"/>
      <c r="N11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5" spans="1:14">
      <c r="A1175" s="16"/>
      <c r="B1175" s="16"/>
      <c r="C1175" s="25"/>
      <c r="D1175" s="25"/>
      <c r="E1175" s="16"/>
      <c r="F1175" s="18"/>
      <c r="G1175" s="19" t="str">
        <f t="shared" ca="1" si="36"/>
        <v/>
      </c>
      <c r="H1175" s="18"/>
      <c r="I1175" s="18"/>
      <c r="J1175" s="77" t="str">
        <f t="shared" ca="1" si="37"/>
        <v/>
      </c>
      <c r="K1175" s="23">
        <f>IF(A1175="","",COUNTIFS(Resumen!$N$2:$N$2999,ROW(),Resumen!$V$2:$V$2999,1))</f>
        <v/>
      </c>
      <c r="L1175" s="26"/>
      <c r="N11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6" spans="1:14">
      <c r="A1176" s="16"/>
      <c r="B1176" s="16"/>
      <c r="C1176" s="25"/>
      <c r="D1176" s="25"/>
      <c r="E1176" s="16"/>
      <c r="F1176" s="18"/>
      <c r="G1176" s="19" t="str">
        <f t="shared" ca="1" si="36"/>
        <v/>
      </c>
      <c r="H1176" s="18"/>
      <c r="I1176" s="18"/>
      <c r="J1176" s="77" t="str">
        <f t="shared" ca="1" si="37"/>
        <v/>
      </c>
      <c r="K1176" s="23">
        <f>IF(A1176="","",COUNTIFS(Resumen!$N$2:$N$2999,ROW(),Resumen!$V$2:$V$2999,1))</f>
        <v/>
      </c>
      <c r="L1176" s="26"/>
      <c r="N11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7" spans="1:14">
      <c r="A1177" s="16"/>
      <c r="B1177" s="16"/>
      <c r="C1177" s="25"/>
      <c r="D1177" s="25"/>
      <c r="E1177" s="16"/>
      <c r="F1177" s="18"/>
      <c r="G1177" s="19" t="str">
        <f t="shared" ca="1" si="36"/>
        <v/>
      </c>
      <c r="H1177" s="18"/>
      <c r="I1177" s="18"/>
      <c r="J1177" s="77" t="str">
        <f t="shared" ca="1" si="37"/>
        <v/>
      </c>
      <c r="K1177" s="23">
        <f>IF(A1177="","",COUNTIFS(Resumen!$N$2:$N$2999,ROW(),Resumen!$V$2:$V$2999,1))</f>
        <v/>
      </c>
      <c r="L1177" s="26"/>
      <c r="N11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8" spans="1:14">
      <c r="A1178" s="16"/>
      <c r="B1178" s="16"/>
      <c r="C1178" s="25"/>
      <c r="D1178" s="25"/>
      <c r="E1178" s="16"/>
      <c r="F1178" s="18"/>
      <c r="G1178" s="19" t="str">
        <f t="shared" ca="1" si="36"/>
        <v/>
      </c>
      <c r="H1178" s="18"/>
      <c r="I1178" s="18"/>
      <c r="J1178" s="77" t="str">
        <f t="shared" ca="1" si="37"/>
        <v/>
      </c>
      <c r="K1178" s="23">
        <f>IF(A1178="","",COUNTIFS(Resumen!$N$2:$N$2999,ROW(),Resumen!$V$2:$V$2999,1))</f>
        <v/>
      </c>
      <c r="L1178" s="26"/>
      <c r="N11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79" spans="1:14">
      <c r="A1179" s="16"/>
      <c r="B1179" s="16"/>
      <c r="C1179" s="25"/>
      <c r="D1179" s="25"/>
      <c r="E1179" s="16"/>
      <c r="F1179" s="18"/>
      <c r="G1179" s="19" t="str">
        <f t="shared" ca="1" si="36"/>
        <v/>
      </c>
      <c r="H1179" s="18"/>
      <c r="I1179" s="18"/>
      <c r="J1179" s="77" t="str">
        <f t="shared" ca="1" si="37"/>
        <v/>
      </c>
      <c r="K1179" s="23">
        <f>IF(A1179="","",COUNTIFS(Resumen!$N$2:$N$2999,ROW(),Resumen!$V$2:$V$2999,1))</f>
        <v/>
      </c>
      <c r="L1179" s="26"/>
      <c r="N11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0" spans="1:14">
      <c r="A1180" s="16"/>
      <c r="B1180" s="16"/>
      <c r="C1180" s="25"/>
      <c r="D1180" s="25"/>
      <c r="E1180" s="16"/>
      <c r="F1180" s="18"/>
      <c r="G1180" s="19" t="str">
        <f t="shared" ca="1" si="36"/>
        <v/>
      </c>
      <c r="H1180" s="18"/>
      <c r="I1180" s="18"/>
      <c r="J1180" s="77" t="str">
        <f t="shared" ca="1" si="37"/>
        <v/>
      </c>
      <c r="K1180" s="23">
        <f>IF(A1180="","",COUNTIFS(Resumen!$N$2:$N$2999,ROW(),Resumen!$V$2:$V$2999,1))</f>
        <v/>
      </c>
      <c r="L1180" s="26"/>
      <c r="N11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1" spans="1:14">
      <c r="A1181" s="16"/>
      <c r="B1181" s="16"/>
      <c r="C1181" s="25"/>
      <c r="D1181" s="25"/>
      <c r="E1181" s="16"/>
      <c r="F1181" s="18"/>
      <c r="G1181" s="19" t="str">
        <f t="shared" ca="1" si="36"/>
        <v/>
      </c>
      <c r="H1181" s="18"/>
      <c r="I1181" s="18"/>
      <c r="J1181" s="77" t="str">
        <f t="shared" ca="1" si="37"/>
        <v/>
      </c>
      <c r="K1181" s="23">
        <f>IF(A1181="","",COUNTIFS(Resumen!$N$2:$N$2999,ROW(),Resumen!$V$2:$V$2999,1))</f>
        <v/>
      </c>
      <c r="L1181" s="26"/>
      <c r="N11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2" spans="1:14">
      <c r="A1182" s="16"/>
      <c r="B1182" s="16"/>
      <c r="C1182" s="25"/>
      <c r="D1182" s="25"/>
      <c r="E1182" s="16"/>
      <c r="F1182" s="18"/>
      <c r="G1182" s="19" t="str">
        <f t="shared" ca="1" si="36"/>
        <v/>
      </c>
      <c r="H1182" s="18"/>
      <c r="I1182" s="18"/>
      <c r="J1182" s="77" t="str">
        <f t="shared" ca="1" si="37"/>
        <v/>
      </c>
      <c r="K1182" s="23">
        <f>IF(A1182="","",COUNTIFS(Resumen!$N$2:$N$2999,ROW(),Resumen!$V$2:$V$2999,1))</f>
        <v/>
      </c>
      <c r="L1182" s="26"/>
      <c r="N11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3" spans="1:14">
      <c r="A1183" s="16"/>
      <c r="B1183" s="16"/>
      <c r="C1183" s="25"/>
      <c r="D1183" s="25"/>
      <c r="E1183" s="16"/>
      <c r="F1183" s="18"/>
      <c r="G1183" s="19" t="str">
        <f t="shared" ca="1" si="36"/>
        <v/>
      </c>
      <c r="H1183" s="18"/>
      <c r="I1183" s="18"/>
      <c r="J1183" s="77" t="str">
        <f t="shared" ca="1" si="37"/>
        <v/>
      </c>
      <c r="K1183" s="23">
        <f>IF(A1183="","",COUNTIFS(Resumen!$N$2:$N$2999,ROW(),Resumen!$V$2:$V$2999,1))</f>
        <v/>
      </c>
      <c r="L1183" s="26"/>
      <c r="N11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4" spans="1:14">
      <c r="A1184" s="16"/>
      <c r="B1184" s="16"/>
      <c r="C1184" s="25"/>
      <c r="D1184" s="25"/>
      <c r="E1184" s="16"/>
      <c r="F1184" s="18"/>
      <c r="G1184" s="19" t="str">
        <f t="shared" ca="1" si="36"/>
        <v/>
      </c>
      <c r="H1184" s="18"/>
      <c r="I1184" s="18"/>
      <c r="J1184" s="77" t="str">
        <f t="shared" ca="1" si="37"/>
        <v/>
      </c>
      <c r="K1184" s="23">
        <f>IF(A1184="","",COUNTIFS(Resumen!$N$2:$N$2999,ROW(),Resumen!$V$2:$V$2999,1))</f>
        <v/>
      </c>
      <c r="L1184" s="26"/>
      <c r="N11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5" spans="1:14">
      <c r="A1185" s="16"/>
      <c r="B1185" s="16"/>
      <c r="C1185" s="25"/>
      <c r="D1185" s="25"/>
      <c r="E1185" s="16"/>
      <c r="F1185" s="18"/>
      <c r="G1185" s="19" t="str">
        <f t="shared" ca="1" si="36"/>
        <v/>
      </c>
      <c r="H1185" s="18"/>
      <c r="I1185" s="18"/>
      <c r="J1185" s="77" t="str">
        <f t="shared" ca="1" si="37"/>
        <v/>
      </c>
      <c r="K1185" s="23">
        <f>IF(A1185="","",COUNTIFS(Resumen!$N$2:$N$2999,ROW(),Resumen!$V$2:$V$2999,1))</f>
        <v/>
      </c>
      <c r="L1185" s="26"/>
      <c r="N11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6" spans="1:14">
      <c r="A1186" s="16"/>
      <c r="B1186" s="16"/>
      <c r="C1186" s="25"/>
      <c r="D1186" s="25"/>
      <c r="E1186" s="16"/>
      <c r="F1186" s="18"/>
      <c r="G1186" s="19" t="str">
        <f t="shared" ca="1" si="36"/>
        <v/>
      </c>
      <c r="H1186" s="18"/>
      <c r="I1186" s="18"/>
      <c r="J1186" s="77" t="str">
        <f t="shared" ca="1" si="37"/>
        <v/>
      </c>
      <c r="K1186" s="23">
        <f>IF(A1186="","",COUNTIFS(Resumen!$N$2:$N$2999,ROW(),Resumen!$V$2:$V$2999,1))</f>
        <v/>
      </c>
      <c r="L1186" s="26"/>
      <c r="N11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7" spans="1:14">
      <c r="A1187" s="16"/>
      <c r="B1187" s="16"/>
      <c r="C1187" s="25"/>
      <c r="D1187" s="25"/>
      <c r="E1187" s="16"/>
      <c r="F1187" s="18"/>
      <c r="G1187" s="19" t="str">
        <f t="shared" ca="1" si="36"/>
        <v/>
      </c>
      <c r="H1187" s="18"/>
      <c r="I1187" s="18"/>
      <c r="J1187" s="77" t="str">
        <f t="shared" ca="1" si="37"/>
        <v/>
      </c>
      <c r="K1187" s="23">
        <f>IF(A1187="","",COUNTIFS(Resumen!$N$2:$N$2999,ROW(),Resumen!$V$2:$V$2999,1))</f>
        <v/>
      </c>
      <c r="L1187" s="26"/>
      <c r="N11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8" spans="1:14">
      <c r="A1188" s="16"/>
      <c r="B1188" s="16"/>
      <c r="C1188" s="25"/>
      <c r="D1188" s="25"/>
      <c r="E1188" s="16"/>
      <c r="F1188" s="18"/>
      <c r="G1188" s="19" t="str">
        <f t="shared" ca="1" si="36"/>
        <v/>
      </c>
      <c r="H1188" s="18"/>
      <c r="I1188" s="18"/>
      <c r="J1188" s="77" t="str">
        <f t="shared" ca="1" si="37"/>
        <v/>
      </c>
      <c r="K1188" s="23">
        <f>IF(A1188="","",COUNTIFS(Resumen!$N$2:$N$2999,ROW(),Resumen!$V$2:$V$2999,1))</f>
        <v/>
      </c>
      <c r="L1188" s="26"/>
      <c r="N11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89" spans="1:14">
      <c r="A1189" s="16"/>
      <c r="B1189" s="16"/>
      <c r="C1189" s="25"/>
      <c r="D1189" s="25"/>
      <c r="E1189" s="16"/>
      <c r="F1189" s="18"/>
      <c r="G1189" s="19" t="str">
        <f t="shared" ca="1" si="36"/>
        <v/>
      </c>
      <c r="H1189" s="18"/>
      <c r="I1189" s="18"/>
      <c r="J1189" s="77" t="str">
        <f t="shared" ca="1" si="37"/>
        <v/>
      </c>
      <c r="K1189" s="23">
        <f>IF(A1189="","",COUNTIFS(Resumen!$N$2:$N$2999,ROW(),Resumen!$V$2:$V$2999,1))</f>
        <v/>
      </c>
      <c r="L1189" s="26"/>
      <c r="N11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0" spans="1:14">
      <c r="A1190" s="16"/>
      <c r="B1190" s="16"/>
      <c r="C1190" s="25"/>
      <c r="D1190" s="25"/>
      <c r="E1190" s="16"/>
      <c r="F1190" s="18"/>
      <c r="G1190" s="19" t="str">
        <f t="shared" ca="1" si="36"/>
        <v/>
      </c>
      <c r="H1190" s="18"/>
      <c r="I1190" s="18"/>
      <c r="J1190" s="77" t="str">
        <f t="shared" ca="1" si="37"/>
        <v/>
      </c>
      <c r="K1190" s="23">
        <f>IF(A1190="","",COUNTIFS(Resumen!$N$2:$N$2999,ROW(),Resumen!$V$2:$V$2999,1))</f>
        <v/>
      </c>
      <c r="L1190" s="26"/>
      <c r="N11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1" spans="1:14">
      <c r="A1191" s="16"/>
      <c r="B1191" s="16"/>
      <c r="C1191" s="25"/>
      <c r="D1191" s="25"/>
      <c r="E1191" s="16"/>
      <c r="F1191" s="18"/>
      <c r="G1191" s="19" t="str">
        <f t="shared" ca="1" si="36"/>
        <v/>
      </c>
      <c r="H1191" s="18"/>
      <c r="I1191" s="18"/>
      <c r="J1191" s="77" t="str">
        <f t="shared" ca="1" si="37"/>
        <v/>
      </c>
      <c r="K1191" s="23">
        <f>IF(A1191="","",COUNTIFS(Resumen!$N$2:$N$2999,ROW(),Resumen!$V$2:$V$2999,1))</f>
        <v/>
      </c>
      <c r="L1191" s="26"/>
      <c r="N11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2" spans="1:14">
      <c r="A1192" s="16"/>
      <c r="B1192" s="16"/>
      <c r="C1192" s="25"/>
      <c r="D1192" s="25"/>
      <c r="E1192" s="16"/>
      <c r="F1192" s="18"/>
      <c r="G1192" s="19" t="str">
        <f t="shared" ca="1" si="36"/>
        <v/>
      </c>
      <c r="H1192" s="18"/>
      <c r="I1192" s="18"/>
      <c r="J1192" s="77" t="str">
        <f t="shared" ca="1" si="37"/>
        <v/>
      </c>
      <c r="K1192" s="23">
        <f>IF(A1192="","",COUNTIFS(Resumen!$N$2:$N$2999,ROW(),Resumen!$V$2:$V$2999,1))</f>
        <v/>
      </c>
      <c r="L1192" s="26"/>
      <c r="N11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3" spans="1:14">
      <c r="A1193" s="16"/>
      <c r="B1193" s="16"/>
      <c r="C1193" s="25"/>
      <c r="D1193" s="25"/>
      <c r="E1193" s="16"/>
      <c r="F1193" s="18"/>
      <c r="G1193" s="19" t="str">
        <f t="shared" ca="1" si="36"/>
        <v/>
      </c>
      <c r="H1193" s="18"/>
      <c r="I1193" s="18"/>
      <c r="J1193" s="77" t="str">
        <f t="shared" ca="1" si="37"/>
        <v/>
      </c>
      <c r="K1193" s="23">
        <f>IF(A1193="","",COUNTIFS(Resumen!$N$2:$N$2999,ROW(),Resumen!$V$2:$V$2999,1))</f>
        <v/>
      </c>
      <c r="L1193" s="26"/>
      <c r="N11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4" spans="1:14">
      <c r="A1194" s="16"/>
      <c r="B1194" s="16"/>
      <c r="C1194" s="25"/>
      <c r="D1194" s="25"/>
      <c r="E1194" s="16"/>
      <c r="F1194" s="18"/>
      <c r="G1194" s="19" t="str">
        <f t="shared" ca="1" si="36"/>
        <v/>
      </c>
      <c r="H1194" s="18"/>
      <c r="I1194" s="18"/>
      <c r="J1194" s="77" t="str">
        <f t="shared" ca="1" si="37"/>
        <v/>
      </c>
      <c r="K1194" s="23">
        <f>IF(A1194="","",COUNTIFS(Resumen!$N$2:$N$2999,ROW(),Resumen!$V$2:$V$2999,1))</f>
        <v/>
      </c>
      <c r="L1194" s="26"/>
      <c r="N11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5" spans="1:14">
      <c r="A1195" s="16"/>
      <c r="B1195" s="16"/>
      <c r="C1195" s="25"/>
      <c r="D1195" s="25"/>
      <c r="E1195" s="16"/>
      <c r="F1195" s="18"/>
      <c r="G1195" s="19" t="str">
        <f t="shared" ca="1" si="36"/>
        <v/>
      </c>
      <c r="H1195" s="18"/>
      <c r="I1195" s="18"/>
      <c r="J1195" s="77" t="str">
        <f t="shared" ca="1" si="37"/>
        <v/>
      </c>
      <c r="K1195" s="23">
        <f>IF(A1195="","",COUNTIFS(Resumen!$N$2:$N$2999,ROW(),Resumen!$V$2:$V$2999,1))</f>
        <v/>
      </c>
      <c r="L1195" s="26"/>
      <c r="N11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6" spans="1:14">
      <c r="A1196" s="16"/>
      <c r="B1196" s="16"/>
      <c r="C1196" s="25"/>
      <c r="D1196" s="25"/>
      <c r="E1196" s="16"/>
      <c r="F1196" s="18"/>
      <c r="G1196" s="19" t="str">
        <f t="shared" ca="1" si="36"/>
        <v/>
      </c>
      <c r="H1196" s="18"/>
      <c r="I1196" s="18"/>
      <c r="J1196" s="77" t="str">
        <f t="shared" ca="1" si="37"/>
        <v/>
      </c>
      <c r="K1196" s="23">
        <f>IF(A1196="","",COUNTIFS(Resumen!$N$2:$N$2999,ROW(),Resumen!$V$2:$V$2999,1))</f>
        <v/>
      </c>
      <c r="L1196" s="26"/>
      <c r="N11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7" spans="1:14">
      <c r="A1197" s="16"/>
      <c r="B1197" s="16"/>
      <c r="C1197" s="25"/>
      <c r="D1197" s="25"/>
      <c r="E1197" s="16"/>
      <c r="F1197" s="18"/>
      <c r="G1197" s="19" t="str">
        <f t="shared" ca="1" si="36"/>
        <v/>
      </c>
      <c r="H1197" s="18"/>
      <c r="I1197" s="18"/>
      <c r="J1197" s="77" t="str">
        <f t="shared" ca="1" si="37"/>
        <v/>
      </c>
      <c r="K1197" s="23">
        <f>IF(A1197="","",COUNTIFS(Resumen!$N$2:$N$2999,ROW(),Resumen!$V$2:$V$2999,1))</f>
        <v/>
      </c>
      <c r="L1197" s="26"/>
      <c r="N11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8" spans="1:14">
      <c r="A1198" s="16"/>
      <c r="B1198" s="16"/>
      <c r="C1198" s="25"/>
      <c r="D1198" s="25"/>
      <c r="E1198" s="16"/>
      <c r="F1198" s="18"/>
      <c r="G1198" s="19" t="str">
        <f t="shared" ca="1" si="36"/>
        <v/>
      </c>
      <c r="H1198" s="18"/>
      <c r="I1198" s="18"/>
      <c r="J1198" s="77" t="str">
        <f t="shared" ca="1" si="37"/>
        <v/>
      </c>
      <c r="K1198" s="23">
        <f>IF(A1198="","",COUNTIFS(Resumen!$N$2:$N$2999,ROW(),Resumen!$V$2:$V$2999,1))</f>
        <v/>
      </c>
      <c r="L1198" s="26"/>
      <c r="N11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199" spans="1:14">
      <c r="A1199" s="16"/>
      <c r="B1199" s="16"/>
      <c r="C1199" s="25"/>
      <c r="D1199" s="25"/>
      <c r="E1199" s="16"/>
      <c r="F1199" s="18"/>
      <c r="G1199" s="19" t="str">
        <f t="shared" ca="1" si="36"/>
        <v/>
      </c>
      <c r="H1199" s="18"/>
      <c r="I1199" s="18"/>
      <c r="J1199" s="77" t="str">
        <f t="shared" ca="1" si="37"/>
        <v/>
      </c>
      <c r="K1199" s="23">
        <f>IF(A1199="","",COUNTIFS(Resumen!$N$2:$N$2999,ROW(),Resumen!$V$2:$V$2999,1))</f>
        <v/>
      </c>
      <c r="L1199" s="26"/>
      <c r="N11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0" spans="1:14">
      <c r="A1200" s="16"/>
      <c r="B1200" s="16"/>
      <c r="C1200" s="25"/>
      <c r="D1200" s="25"/>
      <c r="E1200" s="16"/>
      <c r="F1200" s="18"/>
      <c r="G1200" s="19" t="str">
        <f t="shared" ca="1" si="36"/>
        <v/>
      </c>
      <c r="H1200" s="18"/>
      <c r="I1200" s="18"/>
      <c r="J1200" s="77" t="str">
        <f t="shared" ca="1" si="37"/>
        <v/>
      </c>
      <c r="K1200" s="23">
        <f>IF(A1200="","",COUNTIFS(Resumen!$N$2:$N$2999,ROW(),Resumen!$V$2:$V$2999,1))</f>
        <v/>
      </c>
      <c r="L1200" s="26"/>
      <c r="N12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1" spans="1:14">
      <c r="A1201" s="16"/>
      <c r="B1201" s="16"/>
      <c r="C1201" s="25"/>
      <c r="D1201" s="25"/>
      <c r="E1201" s="16"/>
      <c r="F1201" s="18"/>
      <c r="G1201" s="19" t="str">
        <f t="shared" ca="1" si="36"/>
        <v/>
      </c>
      <c r="H1201" s="18"/>
      <c r="I1201" s="18"/>
      <c r="J1201" s="77" t="str">
        <f t="shared" ca="1" si="37"/>
        <v/>
      </c>
      <c r="K1201" s="23">
        <f>IF(A1201="","",COUNTIFS(Resumen!$N$2:$N$2999,ROW(),Resumen!$V$2:$V$2999,1))</f>
        <v/>
      </c>
      <c r="L1201" s="26"/>
      <c r="N12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2" spans="1:14">
      <c r="A1202" s="16"/>
      <c r="B1202" s="16"/>
      <c r="C1202" s="25"/>
      <c r="D1202" s="25"/>
      <c r="E1202" s="16"/>
      <c r="F1202" s="18"/>
      <c r="G1202" s="19" t="str">
        <f t="shared" ca="1" si="36"/>
        <v/>
      </c>
      <c r="H1202" s="18"/>
      <c r="I1202" s="18"/>
      <c r="J1202" s="77" t="str">
        <f t="shared" ca="1" si="37"/>
        <v/>
      </c>
      <c r="K1202" s="23">
        <f>IF(A1202="","",COUNTIFS(Resumen!$N$2:$N$2999,ROW(),Resumen!$V$2:$V$2999,1))</f>
        <v/>
      </c>
      <c r="L1202" s="26"/>
      <c r="N12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3" spans="1:14">
      <c r="A1203" s="16"/>
      <c r="B1203" s="16"/>
      <c r="C1203" s="25"/>
      <c r="D1203" s="25"/>
      <c r="E1203" s="16"/>
      <c r="F1203" s="18"/>
      <c r="G1203" s="19" t="str">
        <f t="shared" ca="1" si="36"/>
        <v/>
      </c>
      <c r="H1203" s="18"/>
      <c r="I1203" s="18"/>
      <c r="J1203" s="77" t="str">
        <f t="shared" ca="1" si="37"/>
        <v/>
      </c>
      <c r="K1203" s="23">
        <f>IF(A1203="","",COUNTIFS(Resumen!$N$2:$N$2999,ROW(),Resumen!$V$2:$V$2999,1))</f>
        <v/>
      </c>
      <c r="L1203" s="26"/>
      <c r="N12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4" spans="1:14">
      <c r="A1204" s="16"/>
      <c r="B1204" s="16"/>
      <c r="C1204" s="25"/>
      <c r="D1204" s="25"/>
      <c r="E1204" s="16"/>
      <c r="F1204" s="18"/>
      <c r="G1204" s="19" t="str">
        <f t="shared" ca="1" si="36"/>
        <v/>
      </c>
      <c r="H1204" s="18"/>
      <c r="I1204" s="18"/>
      <c r="J1204" s="77" t="str">
        <f t="shared" ca="1" si="37"/>
        <v/>
      </c>
      <c r="K1204" s="23">
        <f>IF(A1204="","",COUNTIFS(Resumen!$N$2:$N$2999,ROW(),Resumen!$V$2:$V$2999,1))</f>
        <v/>
      </c>
      <c r="L1204" s="26"/>
      <c r="N12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5" spans="1:14">
      <c r="A1205" s="16"/>
      <c r="B1205" s="16"/>
      <c r="C1205" s="25"/>
      <c r="D1205" s="25"/>
      <c r="E1205" s="16"/>
      <c r="F1205" s="18"/>
      <c r="G1205" s="19" t="str">
        <f t="shared" ca="1" si="36"/>
        <v/>
      </c>
      <c r="H1205" s="18"/>
      <c r="I1205" s="18"/>
      <c r="J1205" s="77" t="str">
        <f t="shared" ca="1" si="37"/>
        <v/>
      </c>
      <c r="K1205" s="23">
        <f>IF(A1205="","",COUNTIFS(Resumen!$N$2:$N$2999,ROW(),Resumen!$V$2:$V$2999,1))</f>
        <v/>
      </c>
      <c r="L1205" s="26"/>
      <c r="N12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6" spans="1:14">
      <c r="A1206" s="16"/>
      <c r="B1206" s="16"/>
      <c r="C1206" s="25"/>
      <c r="D1206" s="25"/>
      <c r="E1206" s="16"/>
      <c r="F1206" s="18"/>
      <c r="G1206" s="19" t="str">
        <f t="shared" ca="1" si="36"/>
        <v/>
      </c>
      <c r="H1206" s="18"/>
      <c r="I1206" s="18"/>
      <c r="J1206" s="77" t="str">
        <f t="shared" ca="1" si="37"/>
        <v/>
      </c>
      <c r="K1206" s="23">
        <f>IF(A1206="","",COUNTIFS(Resumen!$N$2:$N$2999,ROW(),Resumen!$V$2:$V$2999,1))</f>
        <v/>
      </c>
      <c r="L1206" s="26"/>
      <c r="N12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7" spans="1:14">
      <c r="A1207" s="16"/>
      <c r="B1207" s="16"/>
      <c r="C1207" s="25"/>
      <c r="D1207" s="25"/>
      <c r="E1207" s="16"/>
      <c r="F1207" s="18"/>
      <c r="G1207" s="19" t="str">
        <f t="shared" ca="1" si="36"/>
        <v/>
      </c>
      <c r="H1207" s="18"/>
      <c r="I1207" s="18"/>
      <c r="J1207" s="77" t="str">
        <f t="shared" ca="1" si="37"/>
        <v/>
      </c>
      <c r="K1207" s="23">
        <f>IF(A1207="","",COUNTIFS(Resumen!$N$2:$N$2999,ROW(),Resumen!$V$2:$V$2999,1))</f>
        <v/>
      </c>
      <c r="L1207" s="26"/>
      <c r="N12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8" spans="1:14">
      <c r="A1208" s="16"/>
      <c r="B1208" s="16"/>
      <c r="C1208" s="25"/>
      <c r="D1208" s="25"/>
      <c r="E1208" s="16"/>
      <c r="F1208" s="18"/>
      <c r="G1208" s="19" t="str">
        <f t="shared" ca="1" si="36"/>
        <v/>
      </c>
      <c r="H1208" s="18"/>
      <c r="I1208" s="18"/>
      <c r="J1208" s="77" t="str">
        <f t="shared" ca="1" si="37"/>
        <v/>
      </c>
      <c r="K1208" s="23">
        <f>IF(A1208="","",COUNTIFS(Resumen!$N$2:$N$2999,ROW(),Resumen!$V$2:$V$2999,1))</f>
        <v/>
      </c>
      <c r="L1208" s="26"/>
      <c r="N12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09" spans="1:14">
      <c r="A1209" s="16"/>
      <c r="B1209" s="16"/>
      <c r="C1209" s="25"/>
      <c r="D1209" s="25"/>
      <c r="E1209" s="16"/>
      <c r="F1209" s="18"/>
      <c r="G1209" s="19" t="str">
        <f t="shared" ca="1" si="36"/>
        <v/>
      </c>
      <c r="H1209" s="18"/>
      <c r="I1209" s="18"/>
      <c r="J1209" s="77" t="str">
        <f t="shared" ca="1" si="37"/>
        <v/>
      </c>
      <c r="K1209" s="23">
        <f>IF(A1209="","",COUNTIFS(Resumen!$N$2:$N$2999,ROW(),Resumen!$V$2:$V$2999,1))</f>
        <v/>
      </c>
      <c r="L1209" s="26"/>
      <c r="N12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0" spans="1:14">
      <c r="A1210" s="16"/>
      <c r="B1210" s="16"/>
      <c r="C1210" s="25"/>
      <c r="D1210" s="25"/>
      <c r="E1210" s="16"/>
      <c r="F1210" s="18"/>
      <c r="G1210" s="19" t="str">
        <f t="shared" ca="1" si="36"/>
        <v/>
      </c>
      <c r="H1210" s="18"/>
      <c r="I1210" s="18"/>
      <c r="J1210" s="77" t="str">
        <f t="shared" ca="1" si="37"/>
        <v/>
      </c>
      <c r="K1210" s="23">
        <f>IF(A1210="","",COUNTIFS(Resumen!$N$2:$N$2999,ROW(),Resumen!$V$2:$V$2999,1))</f>
        <v/>
      </c>
      <c r="L1210" s="26"/>
      <c r="N12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1" spans="1:14">
      <c r="A1211" s="16"/>
      <c r="B1211" s="16"/>
      <c r="C1211" s="25"/>
      <c r="D1211" s="25"/>
      <c r="E1211" s="16"/>
      <c r="F1211" s="18"/>
      <c r="G1211" s="19" t="str">
        <f t="shared" ca="1" si="36"/>
        <v/>
      </c>
      <c r="H1211" s="18"/>
      <c r="I1211" s="18"/>
      <c r="J1211" s="77" t="str">
        <f t="shared" ca="1" si="37"/>
        <v/>
      </c>
      <c r="K1211" s="23">
        <f>IF(A1211="","",COUNTIFS(Resumen!$N$2:$N$2999,ROW(),Resumen!$V$2:$V$2999,1))</f>
        <v/>
      </c>
      <c r="L1211" s="26"/>
      <c r="N12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2" spans="1:14">
      <c r="A1212" s="16"/>
      <c r="B1212" s="16"/>
      <c r="C1212" s="25"/>
      <c r="D1212" s="25"/>
      <c r="E1212" s="16"/>
      <c r="F1212" s="18"/>
      <c r="G1212" s="19" t="str">
        <f t="shared" ca="1" si="36"/>
        <v/>
      </c>
      <c r="H1212" s="18"/>
      <c r="I1212" s="18"/>
      <c r="J1212" s="77" t="str">
        <f t="shared" ca="1" si="37"/>
        <v/>
      </c>
      <c r="K1212" s="23">
        <f>IF(A1212="","",COUNTIFS(Resumen!$N$2:$N$2999,ROW(),Resumen!$V$2:$V$2999,1))</f>
        <v/>
      </c>
      <c r="L1212" s="26"/>
      <c r="N12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3" spans="1:14">
      <c r="A1213" s="16"/>
      <c r="B1213" s="16"/>
      <c r="C1213" s="25"/>
      <c r="D1213" s="25"/>
      <c r="E1213" s="16"/>
      <c r="F1213" s="18"/>
      <c r="G1213" s="19" t="str">
        <f t="shared" ca="1" si="36"/>
        <v/>
      </c>
      <c r="H1213" s="18"/>
      <c r="I1213" s="18"/>
      <c r="J1213" s="77" t="str">
        <f t="shared" ca="1" si="37"/>
        <v/>
      </c>
      <c r="K1213" s="23">
        <f>IF(A1213="","",COUNTIFS(Resumen!$N$2:$N$2999,ROW(),Resumen!$V$2:$V$2999,1))</f>
        <v/>
      </c>
      <c r="L1213" s="26"/>
      <c r="N12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4" spans="1:14">
      <c r="A1214" s="16"/>
      <c r="B1214" s="16"/>
      <c r="C1214" s="25"/>
      <c r="D1214" s="25"/>
      <c r="E1214" s="16"/>
      <c r="F1214" s="18"/>
      <c r="G1214" s="19" t="str">
        <f t="shared" ca="1" si="36"/>
        <v/>
      </c>
      <c r="H1214" s="18"/>
      <c r="I1214" s="18"/>
      <c r="J1214" s="77" t="str">
        <f t="shared" ca="1" si="37"/>
        <v/>
      </c>
      <c r="K1214" s="23">
        <f>IF(A1214="","",COUNTIFS(Resumen!$N$2:$N$2999,ROW(),Resumen!$V$2:$V$2999,1))</f>
        <v/>
      </c>
      <c r="L1214" s="26"/>
      <c r="N12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5" spans="1:14">
      <c r="A1215" s="16"/>
      <c r="B1215" s="16"/>
      <c r="C1215" s="25"/>
      <c r="D1215" s="25"/>
      <c r="E1215" s="16"/>
      <c r="F1215" s="18"/>
      <c r="G1215" s="19" t="str">
        <f t="shared" ca="1" si="36"/>
        <v/>
      </c>
      <c r="H1215" s="18"/>
      <c r="I1215" s="18"/>
      <c r="J1215" s="77" t="str">
        <f t="shared" ca="1" si="37"/>
        <v/>
      </c>
      <c r="K1215" s="23">
        <f>IF(A1215="","",COUNTIFS(Resumen!$N$2:$N$2999,ROW(),Resumen!$V$2:$V$2999,1))</f>
        <v/>
      </c>
      <c r="L1215" s="26"/>
      <c r="N12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6" spans="1:14">
      <c r="A1216" s="16"/>
      <c r="B1216" s="16"/>
      <c r="C1216" s="25"/>
      <c r="D1216" s="25"/>
      <c r="E1216" s="16"/>
      <c r="F1216" s="18"/>
      <c r="G1216" s="19" t="str">
        <f t="shared" ca="1" si="36"/>
        <v/>
      </c>
      <c r="H1216" s="18"/>
      <c r="I1216" s="18"/>
      <c r="J1216" s="77" t="str">
        <f t="shared" ca="1" si="37"/>
        <v/>
      </c>
      <c r="K1216" s="23">
        <f>IF(A1216="","",COUNTIFS(Resumen!$N$2:$N$2999,ROW(),Resumen!$V$2:$V$2999,1))</f>
        <v/>
      </c>
      <c r="L1216" s="26"/>
      <c r="N12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7" spans="1:14">
      <c r="A1217" s="16"/>
      <c r="B1217" s="16"/>
      <c r="C1217" s="25"/>
      <c r="D1217" s="25"/>
      <c r="E1217" s="16"/>
      <c r="F1217" s="18"/>
      <c r="G1217" s="19" t="str">
        <f t="shared" ca="1" si="36"/>
        <v/>
      </c>
      <c r="H1217" s="18"/>
      <c r="I1217" s="18"/>
      <c r="J1217" s="77" t="str">
        <f t="shared" ca="1" si="37"/>
        <v/>
      </c>
      <c r="K1217" s="23">
        <f>IF(A1217="","",COUNTIFS(Resumen!$N$2:$N$2999,ROW(),Resumen!$V$2:$V$2999,1))</f>
        <v/>
      </c>
      <c r="L1217" s="26"/>
      <c r="N12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8" spans="1:14">
      <c r="A1218" s="16"/>
      <c r="B1218" s="16"/>
      <c r="C1218" s="25"/>
      <c r="D1218" s="25"/>
      <c r="E1218" s="16"/>
      <c r="F1218" s="18"/>
      <c r="G1218" s="19" t="str">
        <f t="shared" ref="G1218:G1281" ca="1" si="38">IF(F1218="", "", DATEDIF(F1218, TODAY(), "Y"))</f>
        <v/>
      </c>
      <c r="H1218" s="18"/>
      <c r="I1218" s="18"/>
      <c r="J1218" s="77" t="str">
        <f t="shared" ref="J1218:J1281" ca="1" si="39">IFERROR(IF(ISNUMBER(INDEX(VigenciasFamilia,ROW())),INDEX(VigenciasFamilia,ROW())-TODAY(),""),"")</f>
        <v/>
      </c>
      <c r="K1218" s="23">
        <f>IF(A1218="","",COUNTIFS(Resumen!$N$2:$N$2999,ROW(),Resumen!$V$2:$V$2999,1))</f>
        <v/>
      </c>
      <c r="L1218" s="26"/>
      <c r="N12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19" spans="1:14">
      <c r="A1219" s="16"/>
      <c r="B1219" s="16"/>
      <c r="C1219" s="25"/>
      <c r="D1219" s="25"/>
      <c r="E1219" s="16"/>
      <c r="F1219" s="18"/>
      <c r="G1219" s="19" t="str">
        <f t="shared" ca="1" si="38"/>
        <v/>
      </c>
      <c r="H1219" s="18"/>
      <c r="I1219" s="18"/>
      <c r="J1219" s="77" t="str">
        <f t="shared" ca="1" si="39"/>
        <v/>
      </c>
      <c r="K1219" s="23">
        <f>IF(A1219="","",COUNTIFS(Resumen!$N$2:$N$2999,ROW(),Resumen!$V$2:$V$2999,1))</f>
        <v/>
      </c>
      <c r="L1219" s="26"/>
      <c r="N12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0" spans="1:14">
      <c r="A1220" s="16"/>
      <c r="B1220" s="16"/>
      <c r="C1220" s="25"/>
      <c r="D1220" s="25"/>
      <c r="E1220" s="16"/>
      <c r="F1220" s="18"/>
      <c r="G1220" s="19" t="str">
        <f t="shared" ca="1" si="38"/>
        <v/>
      </c>
      <c r="H1220" s="18"/>
      <c r="I1220" s="18"/>
      <c r="J1220" s="77" t="str">
        <f t="shared" ca="1" si="39"/>
        <v/>
      </c>
      <c r="K1220" s="23">
        <f>IF(A1220="","",COUNTIFS(Resumen!$N$2:$N$2999,ROW(),Resumen!$V$2:$V$2999,1))</f>
        <v/>
      </c>
      <c r="L1220" s="26"/>
      <c r="N12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1" spans="1:14">
      <c r="A1221" s="16"/>
      <c r="B1221" s="16"/>
      <c r="C1221" s="25"/>
      <c r="D1221" s="25"/>
      <c r="E1221" s="16"/>
      <c r="F1221" s="18"/>
      <c r="G1221" s="19" t="str">
        <f t="shared" ca="1" si="38"/>
        <v/>
      </c>
      <c r="H1221" s="18"/>
      <c r="I1221" s="18"/>
      <c r="J1221" s="77" t="str">
        <f t="shared" ca="1" si="39"/>
        <v/>
      </c>
      <c r="K1221" s="23">
        <f>IF(A1221="","",COUNTIFS(Resumen!$N$2:$N$2999,ROW(),Resumen!$V$2:$V$2999,1))</f>
        <v/>
      </c>
      <c r="L1221" s="26"/>
      <c r="N12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2" spans="1:14">
      <c r="A1222" s="16"/>
      <c r="B1222" s="16"/>
      <c r="C1222" s="25"/>
      <c r="D1222" s="25"/>
      <c r="E1222" s="16"/>
      <c r="F1222" s="18"/>
      <c r="G1222" s="19" t="str">
        <f t="shared" ca="1" si="38"/>
        <v/>
      </c>
      <c r="H1222" s="18"/>
      <c r="I1222" s="18"/>
      <c r="J1222" s="77" t="str">
        <f t="shared" ca="1" si="39"/>
        <v/>
      </c>
      <c r="K1222" s="23">
        <f>IF(A1222="","",COUNTIFS(Resumen!$N$2:$N$2999,ROW(),Resumen!$V$2:$V$2999,1))</f>
        <v/>
      </c>
      <c r="L1222" s="26"/>
      <c r="N12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3" spans="1:14">
      <c r="A1223" s="16"/>
      <c r="B1223" s="16"/>
      <c r="C1223" s="25"/>
      <c r="D1223" s="25"/>
      <c r="E1223" s="16"/>
      <c r="F1223" s="18"/>
      <c r="G1223" s="19" t="str">
        <f t="shared" ca="1" si="38"/>
        <v/>
      </c>
      <c r="H1223" s="18"/>
      <c r="I1223" s="18"/>
      <c r="J1223" s="77" t="str">
        <f t="shared" ca="1" si="39"/>
        <v/>
      </c>
      <c r="K1223" s="23">
        <f>IF(A1223="","",COUNTIFS(Resumen!$N$2:$N$2999,ROW(),Resumen!$V$2:$V$2999,1))</f>
        <v/>
      </c>
      <c r="L1223" s="26"/>
      <c r="N12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4" spans="1:14">
      <c r="A1224" s="16"/>
      <c r="B1224" s="16"/>
      <c r="C1224" s="25"/>
      <c r="D1224" s="25"/>
      <c r="E1224" s="16"/>
      <c r="F1224" s="18"/>
      <c r="G1224" s="19" t="str">
        <f t="shared" ca="1" si="38"/>
        <v/>
      </c>
      <c r="H1224" s="18"/>
      <c r="I1224" s="18"/>
      <c r="J1224" s="77" t="str">
        <f t="shared" ca="1" si="39"/>
        <v/>
      </c>
      <c r="K1224" s="23">
        <f>IF(A1224="","",COUNTIFS(Resumen!$N$2:$N$2999,ROW(),Resumen!$V$2:$V$2999,1))</f>
        <v/>
      </c>
      <c r="L1224" s="26"/>
      <c r="N12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5" spans="1:14">
      <c r="A1225" s="16"/>
      <c r="B1225" s="16"/>
      <c r="C1225" s="25"/>
      <c r="D1225" s="25"/>
      <c r="E1225" s="16"/>
      <c r="F1225" s="18"/>
      <c r="G1225" s="19" t="str">
        <f t="shared" ca="1" si="38"/>
        <v/>
      </c>
      <c r="H1225" s="18"/>
      <c r="I1225" s="18"/>
      <c r="J1225" s="77" t="str">
        <f t="shared" ca="1" si="39"/>
        <v/>
      </c>
      <c r="K1225" s="23">
        <f>IF(A1225="","",COUNTIFS(Resumen!$N$2:$N$2999,ROW(),Resumen!$V$2:$V$2999,1))</f>
        <v/>
      </c>
      <c r="L1225" s="26"/>
      <c r="N12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6" spans="1:14">
      <c r="A1226" s="16"/>
      <c r="B1226" s="16"/>
      <c r="C1226" s="25"/>
      <c r="D1226" s="25"/>
      <c r="E1226" s="16"/>
      <c r="F1226" s="18"/>
      <c r="G1226" s="19" t="str">
        <f t="shared" ca="1" si="38"/>
        <v/>
      </c>
      <c r="H1226" s="18"/>
      <c r="I1226" s="18"/>
      <c r="J1226" s="77" t="str">
        <f t="shared" ca="1" si="39"/>
        <v/>
      </c>
      <c r="K1226" s="23">
        <f>IF(A1226="","",COUNTIFS(Resumen!$N$2:$N$2999,ROW(),Resumen!$V$2:$V$2999,1))</f>
        <v/>
      </c>
      <c r="L1226" s="26"/>
      <c r="N12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7" spans="1:14">
      <c r="A1227" s="16"/>
      <c r="B1227" s="16"/>
      <c r="C1227" s="25"/>
      <c r="D1227" s="25"/>
      <c r="E1227" s="16"/>
      <c r="F1227" s="18"/>
      <c r="G1227" s="19" t="str">
        <f t="shared" ca="1" si="38"/>
        <v/>
      </c>
      <c r="H1227" s="18"/>
      <c r="I1227" s="18"/>
      <c r="J1227" s="77" t="str">
        <f t="shared" ca="1" si="39"/>
        <v/>
      </c>
      <c r="K1227" s="23">
        <f>IF(A1227="","",COUNTIFS(Resumen!$N$2:$N$2999,ROW(),Resumen!$V$2:$V$2999,1))</f>
        <v/>
      </c>
      <c r="L1227" s="26"/>
      <c r="N12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8" spans="1:14">
      <c r="A1228" s="16"/>
      <c r="B1228" s="16"/>
      <c r="C1228" s="25"/>
      <c r="D1228" s="25"/>
      <c r="E1228" s="16"/>
      <c r="F1228" s="18"/>
      <c r="G1228" s="19" t="str">
        <f t="shared" ca="1" si="38"/>
        <v/>
      </c>
      <c r="H1228" s="18"/>
      <c r="I1228" s="18"/>
      <c r="J1228" s="77" t="str">
        <f t="shared" ca="1" si="39"/>
        <v/>
      </c>
      <c r="K1228" s="23">
        <f>IF(A1228="","",COUNTIFS(Resumen!$N$2:$N$2999,ROW(),Resumen!$V$2:$V$2999,1))</f>
        <v/>
      </c>
      <c r="L1228" s="26"/>
      <c r="N12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29" spans="1:14">
      <c r="A1229" s="16"/>
      <c r="B1229" s="16"/>
      <c r="C1229" s="25"/>
      <c r="D1229" s="25"/>
      <c r="E1229" s="16"/>
      <c r="F1229" s="18"/>
      <c r="G1229" s="19" t="str">
        <f t="shared" ca="1" si="38"/>
        <v/>
      </c>
      <c r="H1229" s="18"/>
      <c r="I1229" s="18"/>
      <c r="J1229" s="77" t="str">
        <f t="shared" ca="1" si="39"/>
        <v/>
      </c>
      <c r="K1229" s="23">
        <f>IF(A1229="","",COUNTIFS(Resumen!$N$2:$N$2999,ROW(),Resumen!$V$2:$V$2999,1))</f>
        <v/>
      </c>
      <c r="L1229" s="26"/>
      <c r="N12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0" spans="1:14">
      <c r="A1230" s="16"/>
      <c r="B1230" s="16"/>
      <c r="C1230" s="25"/>
      <c r="D1230" s="25"/>
      <c r="E1230" s="16"/>
      <c r="F1230" s="18"/>
      <c r="G1230" s="19" t="str">
        <f t="shared" ca="1" si="38"/>
        <v/>
      </c>
      <c r="H1230" s="18"/>
      <c r="I1230" s="18"/>
      <c r="J1230" s="77" t="str">
        <f t="shared" ca="1" si="39"/>
        <v/>
      </c>
      <c r="K1230" s="23">
        <f>IF(A1230="","",COUNTIFS(Resumen!$N$2:$N$2999,ROW(),Resumen!$V$2:$V$2999,1))</f>
        <v/>
      </c>
      <c r="L1230" s="26"/>
      <c r="N12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1" spans="1:14">
      <c r="A1231" s="16"/>
      <c r="B1231" s="16"/>
      <c r="C1231" s="25"/>
      <c r="D1231" s="25"/>
      <c r="E1231" s="16"/>
      <c r="F1231" s="18"/>
      <c r="G1231" s="19" t="str">
        <f t="shared" ca="1" si="38"/>
        <v/>
      </c>
      <c r="H1231" s="18"/>
      <c r="I1231" s="18"/>
      <c r="J1231" s="77" t="str">
        <f t="shared" ca="1" si="39"/>
        <v/>
      </c>
      <c r="K1231" s="23">
        <f>IF(A1231="","",COUNTIFS(Resumen!$N$2:$N$2999,ROW(),Resumen!$V$2:$V$2999,1))</f>
        <v/>
      </c>
      <c r="L1231" s="26"/>
      <c r="N12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2" spans="1:14">
      <c r="A1232" s="16"/>
      <c r="B1232" s="16"/>
      <c r="C1232" s="25"/>
      <c r="D1232" s="25"/>
      <c r="E1232" s="16"/>
      <c r="F1232" s="18"/>
      <c r="G1232" s="19" t="str">
        <f t="shared" ca="1" si="38"/>
        <v/>
      </c>
      <c r="H1232" s="18"/>
      <c r="I1232" s="18"/>
      <c r="J1232" s="77" t="str">
        <f t="shared" ca="1" si="39"/>
        <v/>
      </c>
      <c r="K1232" s="23">
        <f>IF(A1232="","",COUNTIFS(Resumen!$N$2:$N$2999,ROW(),Resumen!$V$2:$V$2999,1))</f>
        <v/>
      </c>
      <c r="L1232" s="26"/>
      <c r="N12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3" spans="1:14">
      <c r="A1233" s="16"/>
      <c r="B1233" s="16"/>
      <c r="C1233" s="25"/>
      <c r="D1233" s="25"/>
      <c r="E1233" s="16"/>
      <c r="F1233" s="18"/>
      <c r="G1233" s="19" t="str">
        <f t="shared" ca="1" si="38"/>
        <v/>
      </c>
      <c r="H1233" s="18"/>
      <c r="I1233" s="18"/>
      <c r="J1233" s="77" t="str">
        <f t="shared" ca="1" si="39"/>
        <v/>
      </c>
      <c r="K1233" s="23">
        <f>IF(A1233="","",COUNTIFS(Resumen!$N$2:$N$2999,ROW(),Resumen!$V$2:$V$2999,1))</f>
        <v/>
      </c>
      <c r="L1233" s="26"/>
      <c r="N12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4" spans="1:14">
      <c r="A1234" s="16"/>
      <c r="B1234" s="16"/>
      <c r="C1234" s="25"/>
      <c r="D1234" s="25"/>
      <c r="E1234" s="16"/>
      <c r="F1234" s="18"/>
      <c r="G1234" s="19" t="str">
        <f t="shared" ca="1" si="38"/>
        <v/>
      </c>
      <c r="H1234" s="18"/>
      <c r="I1234" s="18"/>
      <c r="J1234" s="77" t="str">
        <f t="shared" ca="1" si="39"/>
        <v/>
      </c>
      <c r="K1234" s="23">
        <f>IF(A1234="","",COUNTIFS(Resumen!$N$2:$N$2999,ROW(),Resumen!$V$2:$V$2999,1))</f>
        <v/>
      </c>
      <c r="L1234" s="26"/>
      <c r="N12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5" spans="1:14">
      <c r="A1235" s="16"/>
      <c r="B1235" s="16"/>
      <c r="C1235" s="25"/>
      <c r="D1235" s="25"/>
      <c r="E1235" s="16"/>
      <c r="F1235" s="18"/>
      <c r="G1235" s="19" t="str">
        <f t="shared" ca="1" si="38"/>
        <v/>
      </c>
      <c r="H1235" s="18"/>
      <c r="I1235" s="18"/>
      <c r="J1235" s="77" t="str">
        <f t="shared" ca="1" si="39"/>
        <v/>
      </c>
      <c r="K1235" s="23">
        <f>IF(A1235="","",COUNTIFS(Resumen!$N$2:$N$2999,ROW(),Resumen!$V$2:$V$2999,1))</f>
        <v/>
      </c>
      <c r="L1235" s="26"/>
      <c r="N12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6" spans="1:14">
      <c r="A1236" s="16"/>
      <c r="B1236" s="16"/>
      <c r="C1236" s="25"/>
      <c r="D1236" s="25"/>
      <c r="E1236" s="16"/>
      <c r="F1236" s="18"/>
      <c r="G1236" s="19" t="str">
        <f t="shared" ca="1" si="38"/>
        <v/>
      </c>
      <c r="H1236" s="18"/>
      <c r="I1236" s="18"/>
      <c r="J1236" s="77" t="str">
        <f t="shared" ca="1" si="39"/>
        <v/>
      </c>
      <c r="K1236" s="23">
        <f>IF(A1236="","",COUNTIFS(Resumen!$N$2:$N$2999,ROW(),Resumen!$V$2:$V$2999,1))</f>
        <v/>
      </c>
      <c r="L1236" s="26"/>
      <c r="N12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7" spans="1:14">
      <c r="A1237" s="16"/>
      <c r="B1237" s="16"/>
      <c r="C1237" s="25"/>
      <c r="D1237" s="25"/>
      <c r="E1237" s="16"/>
      <c r="F1237" s="18"/>
      <c r="G1237" s="19" t="str">
        <f t="shared" ca="1" si="38"/>
        <v/>
      </c>
      <c r="H1237" s="18"/>
      <c r="I1237" s="18"/>
      <c r="J1237" s="77" t="str">
        <f t="shared" ca="1" si="39"/>
        <v/>
      </c>
      <c r="K1237" s="23">
        <f>IF(A1237="","",COUNTIFS(Resumen!$N$2:$N$2999,ROW(),Resumen!$V$2:$V$2999,1))</f>
        <v/>
      </c>
      <c r="L1237" s="26"/>
      <c r="N12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8" spans="1:14">
      <c r="A1238" s="16"/>
      <c r="B1238" s="16"/>
      <c r="C1238" s="25"/>
      <c r="D1238" s="25"/>
      <c r="E1238" s="16"/>
      <c r="F1238" s="18"/>
      <c r="G1238" s="19" t="str">
        <f t="shared" ca="1" si="38"/>
        <v/>
      </c>
      <c r="H1238" s="18"/>
      <c r="I1238" s="18"/>
      <c r="J1238" s="77" t="str">
        <f t="shared" ca="1" si="39"/>
        <v/>
      </c>
      <c r="K1238" s="23">
        <f>IF(A1238="","",COUNTIFS(Resumen!$N$2:$N$2999,ROW(),Resumen!$V$2:$V$2999,1))</f>
        <v/>
      </c>
      <c r="L1238" s="26"/>
      <c r="N12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39" spans="1:14">
      <c r="A1239" s="16"/>
      <c r="B1239" s="16"/>
      <c r="C1239" s="25"/>
      <c r="D1239" s="25"/>
      <c r="E1239" s="16"/>
      <c r="F1239" s="18"/>
      <c r="G1239" s="19" t="str">
        <f t="shared" ca="1" si="38"/>
        <v/>
      </c>
      <c r="H1239" s="18"/>
      <c r="I1239" s="18"/>
      <c r="J1239" s="77" t="str">
        <f t="shared" ca="1" si="39"/>
        <v/>
      </c>
      <c r="K1239" s="23">
        <f>IF(A1239="","",COUNTIFS(Resumen!$N$2:$N$2999,ROW(),Resumen!$V$2:$V$2999,1))</f>
        <v/>
      </c>
      <c r="L1239" s="26"/>
      <c r="N12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0" spans="1:14">
      <c r="A1240" s="16"/>
      <c r="B1240" s="16"/>
      <c r="C1240" s="25"/>
      <c r="D1240" s="25"/>
      <c r="E1240" s="16"/>
      <c r="F1240" s="18"/>
      <c r="G1240" s="19" t="str">
        <f t="shared" ca="1" si="38"/>
        <v/>
      </c>
      <c r="H1240" s="18"/>
      <c r="I1240" s="18"/>
      <c r="J1240" s="77" t="str">
        <f t="shared" ca="1" si="39"/>
        <v/>
      </c>
      <c r="K1240" s="23">
        <f>IF(A1240="","",COUNTIFS(Resumen!$N$2:$N$2999,ROW(),Resumen!$V$2:$V$2999,1))</f>
        <v/>
      </c>
      <c r="L1240" s="26"/>
      <c r="N12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1" spans="1:14">
      <c r="A1241" s="16"/>
      <c r="B1241" s="16"/>
      <c r="C1241" s="25"/>
      <c r="D1241" s="25"/>
      <c r="E1241" s="16"/>
      <c r="F1241" s="18"/>
      <c r="G1241" s="19" t="str">
        <f t="shared" ca="1" si="38"/>
        <v/>
      </c>
      <c r="H1241" s="18"/>
      <c r="I1241" s="18"/>
      <c r="J1241" s="77" t="str">
        <f t="shared" ca="1" si="39"/>
        <v/>
      </c>
      <c r="K1241" s="23">
        <f>IF(A1241="","",COUNTIFS(Resumen!$N$2:$N$2999,ROW(),Resumen!$V$2:$V$2999,1))</f>
        <v/>
      </c>
      <c r="L1241" s="26"/>
      <c r="N12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2" spans="1:14">
      <c r="A1242" s="16"/>
      <c r="B1242" s="16"/>
      <c r="C1242" s="25"/>
      <c r="D1242" s="25"/>
      <c r="E1242" s="16"/>
      <c r="F1242" s="18"/>
      <c r="G1242" s="19" t="str">
        <f t="shared" ca="1" si="38"/>
        <v/>
      </c>
      <c r="H1242" s="18"/>
      <c r="I1242" s="18"/>
      <c r="J1242" s="77" t="str">
        <f t="shared" ca="1" si="39"/>
        <v/>
      </c>
      <c r="K1242" s="23">
        <f>IF(A1242="","",COUNTIFS(Resumen!$N$2:$N$2999,ROW(),Resumen!$V$2:$V$2999,1))</f>
        <v/>
      </c>
      <c r="L1242" s="26"/>
      <c r="N12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3" spans="1:14">
      <c r="A1243" s="16"/>
      <c r="B1243" s="16"/>
      <c r="C1243" s="25"/>
      <c r="D1243" s="25"/>
      <c r="E1243" s="16"/>
      <c r="F1243" s="18"/>
      <c r="G1243" s="19" t="str">
        <f t="shared" ca="1" si="38"/>
        <v/>
      </c>
      <c r="H1243" s="18"/>
      <c r="I1243" s="18"/>
      <c r="J1243" s="77" t="str">
        <f t="shared" ca="1" si="39"/>
        <v/>
      </c>
      <c r="K1243" s="23">
        <f>IF(A1243="","",COUNTIFS(Resumen!$N$2:$N$2999,ROW(),Resumen!$V$2:$V$2999,1))</f>
        <v/>
      </c>
      <c r="L1243" s="26"/>
      <c r="N12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4" spans="1:14">
      <c r="A1244" s="16"/>
      <c r="B1244" s="16"/>
      <c r="C1244" s="25"/>
      <c r="D1244" s="25"/>
      <c r="E1244" s="16"/>
      <c r="F1244" s="18"/>
      <c r="G1244" s="19" t="str">
        <f t="shared" ca="1" si="38"/>
        <v/>
      </c>
      <c r="H1244" s="18"/>
      <c r="I1244" s="18"/>
      <c r="J1244" s="77" t="str">
        <f t="shared" ca="1" si="39"/>
        <v/>
      </c>
      <c r="K1244" s="23">
        <f>IF(A1244="","",COUNTIFS(Resumen!$N$2:$N$2999,ROW(),Resumen!$V$2:$V$2999,1))</f>
        <v/>
      </c>
      <c r="L1244" s="26"/>
      <c r="N12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5" spans="1:14">
      <c r="A1245" s="16"/>
      <c r="B1245" s="16"/>
      <c r="C1245" s="25"/>
      <c r="D1245" s="25"/>
      <c r="E1245" s="16"/>
      <c r="F1245" s="18"/>
      <c r="G1245" s="19" t="str">
        <f t="shared" ca="1" si="38"/>
        <v/>
      </c>
      <c r="H1245" s="18"/>
      <c r="I1245" s="18"/>
      <c r="J1245" s="77" t="str">
        <f t="shared" ca="1" si="39"/>
        <v/>
      </c>
      <c r="K1245" s="23">
        <f>IF(A1245="","",COUNTIFS(Resumen!$N$2:$N$2999,ROW(),Resumen!$V$2:$V$2999,1))</f>
        <v/>
      </c>
      <c r="L1245" s="26"/>
      <c r="N12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6" spans="1:14">
      <c r="A1246" s="16"/>
      <c r="B1246" s="16"/>
      <c r="C1246" s="25"/>
      <c r="D1246" s="25"/>
      <c r="E1246" s="16"/>
      <c r="F1246" s="18"/>
      <c r="G1246" s="19" t="str">
        <f t="shared" ca="1" si="38"/>
        <v/>
      </c>
      <c r="H1246" s="18"/>
      <c r="I1246" s="18"/>
      <c r="J1246" s="77" t="str">
        <f t="shared" ca="1" si="39"/>
        <v/>
      </c>
      <c r="K1246" s="23">
        <f>IF(A1246="","",COUNTIFS(Resumen!$N$2:$N$2999,ROW(),Resumen!$V$2:$V$2999,1))</f>
        <v/>
      </c>
      <c r="L1246" s="26"/>
      <c r="N12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7" spans="1:14">
      <c r="A1247" s="16"/>
      <c r="B1247" s="16"/>
      <c r="C1247" s="25"/>
      <c r="D1247" s="25"/>
      <c r="E1247" s="16"/>
      <c r="F1247" s="18"/>
      <c r="G1247" s="19" t="str">
        <f t="shared" ca="1" si="38"/>
        <v/>
      </c>
      <c r="H1247" s="18"/>
      <c r="I1247" s="18"/>
      <c r="J1247" s="77" t="str">
        <f t="shared" ca="1" si="39"/>
        <v/>
      </c>
      <c r="K1247" s="23">
        <f>IF(A1247="","",COUNTIFS(Resumen!$N$2:$N$2999,ROW(),Resumen!$V$2:$V$2999,1))</f>
        <v/>
      </c>
      <c r="L1247" s="26"/>
      <c r="N12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8" spans="1:14">
      <c r="A1248" s="16"/>
      <c r="B1248" s="16"/>
      <c r="C1248" s="25"/>
      <c r="D1248" s="25"/>
      <c r="E1248" s="16"/>
      <c r="F1248" s="18"/>
      <c r="G1248" s="19" t="str">
        <f t="shared" ca="1" si="38"/>
        <v/>
      </c>
      <c r="H1248" s="18"/>
      <c r="I1248" s="18"/>
      <c r="J1248" s="77" t="str">
        <f t="shared" ca="1" si="39"/>
        <v/>
      </c>
      <c r="K1248" s="23">
        <f>IF(A1248="","",COUNTIFS(Resumen!$N$2:$N$2999,ROW(),Resumen!$V$2:$V$2999,1))</f>
        <v/>
      </c>
      <c r="L1248" s="26"/>
      <c r="N12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49" spans="1:14">
      <c r="A1249" s="16"/>
      <c r="B1249" s="16"/>
      <c r="C1249" s="25"/>
      <c r="D1249" s="25"/>
      <c r="E1249" s="16"/>
      <c r="F1249" s="18"/>
      <c r="G1249" s="19" t="str">
        <f t="shared" ca="1" si="38"/>
        <v/>
      </c>
      <c r="H1249" s="18"/>
      <c r="I1249" s="18"/>
      <c r="J1249" s="77" t="str">
        <f t="shared" ca="1" si="39"/>
        <v/>
      </c>
      <c r="K1249" s="23">
        <f>IF(A1249="","",COUNTIFS(Resumen!$N$2:$N$2999,ROW(),Resumen!$V$2:$V$2999,1))</f>
        <v/>
      </c>
      <c r="L1249" s="26"/>
      <c r="N12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0" spans="1:14">
      <c r="A1250" s="16"/>
      <c r="B1250" s="16"/>
      <c r="C1250" s="25"/>
      <c r="D1250" s="25"/>
      <c r="E1250" s="16"/>
      <c r="F1250" s="18"/>
      <c r="G1250" s="19" t="str">
        <f t="shared" ca="1" si="38"/>
        <v/>
      </c>
      <c r="H1250" s="18"/>
      <c r="I1250" s="18"/>
      <c r="J1250" s="77" t="str">
        <f t="shared" ca="1" si="39"/>
        <v/>
      </c>
      <c r="K1250" s="23">
        <f>IF(A1250="","",COUNTIFS(Resumen!$N$2:$N$2999,ROW(),Resumen!$V$2:$V$2999,1))</f>
        <v/>
      </c>
      <c r="L1250" s="26"/>
      <c r="N12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1" spans="1:14">
      <c r="A1251" s="16"/>
      <c r="B1251" s="16"/>
      <c r="C1251" s="25"/>
      <c r="D1251" s="25"/>
      <c r="E1251" s="16"/>
      <c r="F1251" s="18"/>
      <c r="G1251" s="19" t="str">
        <f t="shared" ca="1" si="38"/>
        <v/>
      </c>
      <c r="H1251" s="18"/>
      <c r="I1251" s="18"/>
      <c r="J1251" s="77" t="str">
        <f t="shared" ca="1" si="39"/>
        <v/>
      </c>
      <c r="K1251" s="23">
        <f>IF(A1251="","",COUNTIFS(Resumen!$N$2:$N$2999,ROW(),Resumen!$V$2:$V$2999,1))</f>
        <v/>
      </c>
      <c r="L1251" s="26"/>
      <c r="N12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2" spans="1:14">
      <c r="A1252" s="16"/>
      <c r="B1252" s="16"/>
      <c r="C1252" s="25"/>
      <c r="D1252" s="25"/>
      <c r="E1252" s="16"/>
      <c r="F1252" s="18"/>
      <c r="G1252" s="19" t="str">
        <f t="shared" ca="1" si="38"/>
        <v/>
      </c>
      <c r="H1252" s="18"/>
      <c r="I1252" s="18"/>
      <c r="J1252" s="77" t="str">
        <f t="shared" ca="1" si="39"/>
        <v/>
      </c>
      <c r="K1252" s="23">
        <f>IF(A1252="","",COUNTIFS(Resumen!$N$2:$N$2999,ROW(),Resumen!$V$2:$V$2999,1))</f>
        <v/>
      </c>
      <c r="L1252" s="26"/>
      <c r="N12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3" spans="1:14">
      <c r="A1253" s="16"/>
      <c r="B1253" s="16"/>
      <c r="C1253" s="25"/>
      <c r="D1253" s="25"/>
      <c r="E1253" s="16"/>
      <c r="F1253" s="18"/>
      <c r="G1253" s="19" t="str">
        <f t="shared" ca="1" si="38"/>
        <v/>
      </c>
      <c r="H1253" s="18"/>
      <c r="I1253" s="18"/>
      <c r="J1253" s="77" t="str">
        <f t="shared" ca="1" si="39"/>
        <v/>
      </c>
      <c r="K1253" s="23">
        <f>IF(A1253="","",COUNTIFS(Resumen!$N$2:$N$2999,ROW(),Resumen!$V$2:$V$2999,1))</f>
        <v/>
      </c>
      <c r="L1253" s="26"/>
      <c r="N12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4" spans="1:14">
      <c r="A1254" s="16"/>
      <c r="B1254" s="16"/>
      <c r="C1254" s="25"/>
      <c r="D1254" s="25"/>
      <c r="E1254" s="16"/>
      <c r="F1254" s="18"/>
      <c r="G1254" s="19" t="str">
        <f t="shared" ca="1" si="38"/>
        <v/>
      </c>
      <c r="H1254" s="18"/>
      <c r="I1254" s="18"/>
      <c r="J1254" s="77" t="str">
        <f t="shared" ca="1" si="39"/>
        <v/>
      </c>
      <c r="K1254" s="23">
        <f>IF(A1254="","",COUNTIFS(Resumen!$N$2:$N$2999,ROW(),Resumen!$V$2:$V$2999,1))</f>
        <v/>
      </c>
      <c r="L1254" s="26"/>
      <c r="N12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5" spans="1:14">
      <c r="A1255" s="16"/>
      <c r="B1255" s="16"/>
      <c r="C1255" s="25"/>
      <c r="D1255" s="25"/>
      <c r="E1255" s="16"/>
      <c r="F1255" s="18"/>
      <c r="G1255" s="19" t="str">
        <f t="shared" ca="1" si="38"/>
        <v/>
      </c>
      <c r="H1255" s="18"/>
      <c r="I1255" s="18"/>
      <c r="J1255" s="77" t="str">
        <f t="shared" ca="1" si="39"/>
        <v/>
      </c>
      <c r="K1255" s="23">
        <f>IF(A1255="","",COUNTIFS(Resumen!$N$2:$N$2999,ROW(),Resumen!$V$2:$V$2999,1))</f>
        <v/>
      </c>
      <c r="L1255" s="26"/>
      <c r="N12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6" spans="1:14">
      <c r="A1256" s="16"/>
      <c r="B1256" s="16"/>
      <c r="C1256" s="25"/>
      <c r="D1256" s="25"/>
      <c r="E1256" s="16"/>
      <c r="F1256" s="18"/>
      <c r="G1256" s="19" t="str">
        <f t="shared" ca="1" si="38"/>
        <v/>
      </c>
      <c r="H1256" s="18"/>
      <c r="I1256" s="18"/>
      <c r="J1256" s="77" t="str">
        <f t="shared" ca="1" si="39"/>
        <v/>
      </c>
      <c r="K1256" s="23">
        <f>IF(A1256="","",COUNTIFS(Resumen!$N$2:$N$2999,ROW(),Resumen!$V$2:$V$2999,1))</f>
        <v/>
      </c>
      <c r="L1256" s="26"/>
      <c r="N12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7" spans="1:14">
      <c r="A1257" s="16"/>
      <c r="B1257" s="16"/>
      <c r="C1257" s="25"/>
      <c r="D1257" s="25"/>
      <c r="E1257" s="16"/>
      <c r="F1257" s="18"/>
      <c r="G1257" s="19" t="str">
        <f t="shared" ca="1" si="38"/>
        <v/>
      </c>
      <c r="H1257" s="18"/>
      <c r="I1257" s="18"/>
      <c r="J1257" s="77" t="str">
        <f t="shared" ca="1" si="39"/>
        <v/>
      </c>
      <c r="K1257" s="23">
        <f>IF(A1257="","",COUNTIFS(Resumen!$N$2:$N$2999,ROW(),Resumen!$V$2:$V$2999,1))</f>
        <v/>
      </c>
      <c r="L1257" s="26"/>
      <c r="N12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8" spans="1:14">
      <c r="A1258" s="16"/>
      <c r="B1258" s="16"/>
      <c r="C1258" s="25"/>
      <c r="D1258" s="25"/>
      <c r="E1258" s="16"/>
      <c r="F1258" s="18"/>
      <c r="G1258" s="19" t="str">
        <f t="shared" ca="1" si="38"/>
        <v/>
      </c>
      <c r="H1258" s="18"/>
      <c r="I1258" s="18"/>
      <c r="J1258" s="77" t="str">
        <f t="shared" ca="1" si="39"/>
        <v/>
      </c>
      <c r="K1258" s="23">
        <f>IF(A1258="","",COUNTIFS(Resumen!$N$2:$N$2999,ROW(),Resumen!$V$2:$V$2999,1))</f>
        <v/>
      </c>
      <c r="L1258" s="26"/>
      <c r="N12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59" spans="1:14">
      <c r="A1259" s="16"/>
      <c r="B1259" s="16"/>
      <c r="C1259" s="25"/>
      <c r="D1259" s="25"/>
      <c r="E1259" s="16"/>
      <c r="F1259" s="18"/>
      <c r="G1259" s="19" t="str">
        <f t="shared" ca="1" si="38"/>
        <v/>
      </c>
      <c r="H1259" s="18"/>
      <c r="I1259" s="18"/>
      <c r="J1259" s="77" t="str">
        <f t="shared" ca="1" si="39"/>
        <v/>
      </c>
      <c r="K1259" s="23">
        <f>IF(A1259="","",COUNTIFS(Resumen!$N$2:$N$2999,ROW(),Resumen!$V$2:$V$2999,1))</f>
        <v/>
      </c>
      <c r="L1259" s="26"/>
      <c r="N12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0" spans="1:14">
      <c r="A1260" s="16"/>
      <c r="B1260" s="16"/>
      <c r="C1260" s="25"/>
      <c r="D1260" s="25"/>
      <c r="E1260" s="16"/>
      <c r="F1260" s="18"/>
      <c r="G1260" s="19" t="str">
        <f t="shared" ca="1" si="38"/>
        <v/>
      </c>
      <c r="H1260" s="18"/>
      <c r="I1260" s="18"/>
      <c r="J1260" s="77" t="str">
        <f t="shared" ca="1" si="39"/>
        <v/>
      </c>
      <c r="K1260" s="23">
        <f>IF(A1260="","",COUNTIFS(Resumen!$N$2:$N$2999,ROW(),Resumen!$V$2:$V$2999,1))</f>
        <v/>
      </c>
      <c r="L1260" s="26"/>
      <c r="N12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1" spans="1:14">
      <c r="A1261" s="16"/>
      <c r="B1261" s="16"/>
      <c r="C1261" s="25"/>
      <c r="D1261" s="25"/>
      <c r="E1261" s="16"/>
      <c r="F1261" s="18"/>
      <c r="G1261" s="19" t="str">
        <f t="shared" ca="1" si="38"/>
        <v/>
      </c>
      <c r="H1261" s="18"/>
      <c r="I1261" s="18"/>
      <c r="J1261" s="77" t="str">
        <f t="shared" ca="1" si="39"/>
        <v/>
      </c>
      <c r="K1261" s="23">
        <f>IF(A1261="","",COUNTIFS(Resumen!$N$2:$N$2999,ROW(),Resumen!$V$2:$V$2999,1))</f>
        <v/>
      </c>
      <c r="L1261" s="26"/>
      <c r="N12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2" spans="1:14">
      <c r="A1262" s="16"/>
      <c r="B1262" s="16"/>
      <c r="C1262" s="25"/>
      <c r="D1262" s="25"/>
      <c r="E1262" s="16"/>
      <c r="F1262" s="18"/>
      <c r="G1262" s="19" t="str">
        <f t="shared" ca="1" si="38"/>
        <v/>
      </c>
      <c r="H1262" s="18"/>
      <c r="I1262" s="18"/>
      <c r="J1262" s="77" t="str">
        <f t="shared" ca="1" si="39"/>
        <v/>
      </c>
      <c r="K1262" s="23">
        <f>IF(A1262="","",COUNTIFS(Resumen!$N$2:$N$2999,ROW(),Resumen!$V$2:$V$2999,1))</f>
        <v/>
      </c>
      <c r="L1262" s="26"/>
      <c r="N12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3" spans="1:14">
      <c r="A1263" s="16"/>
      <c r="B1263" s="16"/>
      <c r="C1263" s="25"/>
      <c r="D1263" s="25"/>
      <c r="E1263" s="16"/>
      <c r="F1263" s="18"/>
      <c r="G1263" s="19" t="str">
        <f t="shared" ca="1" si="38"/>
        <v/>
      </c>
      <c r="H1263" s="18"/>
      <c r="I1263" s="18"/>
      <c r="J1263" s="77" t="str">
        <f t="shared" ca="1" si="39"/>
        <v/>
      </c>
      <c r="K1263" s="23">
        <f>IF(A1263="","",COUNTIFS(Resumen!$N$2:$N$2999,ROW(),Resumen!$V$2:$V$2999,1))</f>
        <v/>
      </c>
      <c r="L1263" s="26"/>
      <c r="N12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4" spans="1:14">
      <c r="A1264" s="16"/>
      <c r="B1264" s="16"/>
      <c r="C1264" s="25"/>
      <c r="D1264" s="25"/>
      <c r="E1264" s="16"/>
      <c r="F1264" s="18"/>
      <c r="G1264" s="19" t="str">
        <f t="shared" ca="1" si="38"/>
        <v/>
      </c>
      <c r="H1264" s="18"/>
      <c r="I1264" s="18"/>
      <c r="J1264" s="77" t="str">
        <f t="shared" ca="1" si="39"/>
        <v/>
      </c>
      <c r="K1264" s="23">
        <f>IF(A1264="","",COUNTIFS(Resumen!$N$2:$N$2999,ROW(),Resumen!$V$2:$V$2999,1))</f>
        <v/>
      </c>
      <c r="L1264" s="26"/>
      <c r="N12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5" spans="1:14">
      <c r="A1265" s="16"/>
      <c r="B1265" s="16"/>
      <c r="C1265" s="25"/>
      <c r="D1265" s="25"/>
      <c r="E1265" s="16"/>
      <c r="F1265" s="18"/>
      <c r="G1265" s="19" t="str">
        <f t="shared" ca="1" si="38"/>
        <v/>
      </c>
      <c r="H1265" s="18"/>
      <c r="I1265" s="18"/>
      <c r="J1265" s="77" t="str">
        <f t="shared" ca="1" si="39"/>
        <v/>
      </c>
      <c r="K1265" s="23">
        <f>IF(A1265="","",COUNTIFS(Resumen!$N$2:$N$2999,ROW(),Resumen!$V$2:$V$2999,1))</f>
        <v/>
      </c>
      <c r="L1265" s="26"/>
      <c r="N12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6" spans="1:14">
      <c r="A1266" s="16"/>
      <c r="B1266" s="16"/>
      <c r="C1266" s="25"/>
      <c r="D1266" s="25"/>
      <c r="E1266" s="16"/>
      <c r="F1266" s="18"/>
      <c r="G1266" s="19" t="str">
        <f t="shared" ca="1" si="38"/>
        <v/>
      </c>
      <c r="H1266" s="18"/>
      <c r="I1266" s="18"/>
      <c r="J1266" s="77" t="str">
        <f t="shared" ca="1" si="39"/>
        <v/>
      </c>
      <c r="K1266" s="23">
        <f>IF(A1266="","",COUNTIFS(Resumen!$N$2:$N$2999,ROW(),Resumen!$V$2:$V$2999,1))</f>
        <v/>
      </c>
      <c r="L1266" s="26"/>
      <c r="N12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7" spans="1:14">
      <c r="A1267" s="16"/>
      <c r="B1267" s="16"/>
      <c r="C1267" s="25"/>
      <c r="D1267" s="25"/>
      <c r="E1267" s="16"/>
      <c r="F1267" s="18"/>
      <c r="G1267" s="19" t="str">
        <f t="shared" ca="1" si="38"/>
        <v/>
      </c>
      <c r="H1267" s="18"/>
      <c r="I1267" s="18"/>
      <c r="J1267" s="77" t="str">
        <f t="shared" ca="1" si="39"/>
        <v/>
      </c>
      <c r="K1267" s="23">
        <f>IF(A1267="","",COUNTIFS(Resumen!$N$2:$N$2999,ROW(),Resumen!$V$2:$V$2999,1))</f>
        <v/>
      </c>
      <c r="L1267" s="26"/>
      <c r="N12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8" spans="1:14">
      <c r="A1268" s="16"/>
      <c r="B1268" s="16"/>
      <c r="C1268" s="25"/>
      <c r="D1268" s="25"/>
      <c r="E1268" s="16"/>
      <c r="F1268" s="18"/>
      <c r="G1268" s="19" t="str">
        <f t="shared" ca="1" si="38"/>
        <v/>
      </c>
      <c r="H1268" s="18"/>
      <c r="I1268" s="18"/>
      <c r="J1268" s="77" t="str">
        <f t="shared" ca="1" si="39"/>
        <v/>
      </c>
      <c r="K1268" s="23">
        <f>IF(A1268="","",COUNTIFS(Resumen!$N$2:$N$2999,ROW(),Resumen!$V$2:$V$2999,1))</f>
        <v/>
      </c>
      <c r="L1268" s="26"/>
      <c r="N12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69" spans="1:14">
      <c r="A1269" s="16"/>
      <c r="B1269" s="16"/>
      <c r="C1269" s="25"/>
      <c r="D1269" s="25"/>
      <c r="E1269" s="16"/>
      <c r="F1269" s="18"/>
      <c r="G1269" s="19" t="str">
        <f t="shared" ca="1" si="38"/>
        <v/>
      </c>
      <c r="H1269" s="18"/>
      <c r="I1269" s="18"/>
      <c r="J1269" s="77" t="str">
        <f t="shared" ca="1" si="39"/>
        <v/>
      </c>
      <c r="K1269" s="23">
        <f>IF(A1269="","",COUNTIFS(Resumen!$N$2:$N$2999,ROW(),Resumen!$V$2:$V$2999,1))</f>
        <v/>
      </c>
      <c r="L1269" s="26"/>
      <c r="N12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0" spans="1:14">
      <c r="A1270" s="16"/>
      <c r="B1270" s="16"/>
      <c r="C1270" s="25"/>
      <c r="D1270" s="25"/>
      <c r="E1270" s="16"/>
      <c r="F1270" s="18"/>
      <c r="G1270" s="19" t="str">
        <f t="shared" ca="1" si="38"/>
        <v/>
      </c>
      <c r="H1270" s="18"/>
      <c r="I1270" s="18"/>
      <c r="J1270" s="77" t="str">
        <f t="shared" ca="1" si="39"/>
        <v/>
      </c>
      <c r="K1270" s="23">
        <f>IF(A1270="","",COUNTIFS(Resumen!$N$2:$N$2999,ROW(),Resumen!$V$2:$V$2999,1))</f>
        <v/>
      </c>
      <c r="L1270" s="26"/>
      <c r="N12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1" spans="1:14">
      <c r="A1271" s="16"/>
      <c r="B1271" s="16"/>
      <c r="C1271" s="25"/>
      <c r="D1271" s="25"/>
      <c r="E1271" s="16"/>
      <c r="F1271" s="18"/>
      <c r="G1271" s="19" t="str">
        <f t="shared" ca="1" si="38"/>
        <v/>
      </c>
      <c r="H1271" s="18"/>
      <c r="I1271" s="18"/>
      <c r="J1271" s="77" t="str">
        <f t="shared" ca="1" si="39"/>
        <v/>
      </c>
      <c r="K1271" s="23">
        <f>IF(A1271="","",COUNTIFS(Resumen!$N$2:$N$2999,ROW(),Resumen!$V$2:$V$2999,1))</f>
        <v/>
      </c>
      <c r="L1271" s="26"/>
      <c r="N12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2" spans="1:14">
      <c r="A1272" s="16"/>
      <c r="B1272" s="16"/>
      <c r="C1272" s="25"/>
      <c r="D1272" s="25"/>
      <c r="E1272" s="16"/>
      <c r="F1272" s="18"/>
      <c r="G1272" s="19" t="str">
        <f t="shared" ca="1" si="38"/>
        <v/>
      </c>
      <c r="H1272" s="18"/>
      <c r="I1272" s="18"/>
      <c r="J1272" s="77" t="str">
        <f t="shared" ca="1" si="39"/>
        <v/>
      </c>
      <c r="K1272" s="23">
        <f>IF(A1272="","",COUNTIFS(Resumen!$N$2:$N$2999,ROW(),Resumen!$V$2:$V$2999,1))</f>
        <v/>
      </c>
      <c r="L1272" s="26"/>
      <c r="N12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3" spans="1:14">
      <c r="A1273" s="16"/>
      <c r="B1273" s="16"/>
      <c r="C1273" s="25"/>
      <c r="D1273" s="25"/>
      <c r="E1273" s="16"/>
      <c r="F1273" s="18"/>
      <c r="G1273" s="19" t="str">
        <f t="shared" ca="1" si="38"/>
        <v/>
      </c>
      <c r="H1273" s="18"/>
      <c r="I1273" s="18"/>
      <c r="J1273" s="77" t="str">
        <f t="shared" ca="1" si="39"/>
        <v/>
      </c>
      <c r="K1273" s="23">
        <f>IF(A1273="","",COUNTIFS(Resumen!$N$2:$N$2999,ROW(),Resumen!$V$2:$V$2999,1))</f>
        <v/>
      </c>
      <c r="L1273" s="26"/>
      <c r="N12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4" spans="1:14">
      <c r="A1274" s="16"/>
      <c r="B1274" s="16"/>
      <c r="C1274" s="25"/>
      <c r="D1274" s="25"/>
      <c r="E1274" s="16"/>
      <c r="F1274" s="18"/>
      <c r="G1274" s="19" t="str">
        <f t="shared" ca="1" si="38"/>
        <v/>
      </c>
      <c r="H1274" s="18"/>
      <c r="I1274" s="18"/>
      <c r="J1274" s="77" t="str">
        <f t="shared" ca="1" si="39"/>
        <v/>
      </c>
      <c r="K1274" s="23">
        <f>IF(A1274="","",COUNTIFS(Resumen!$N$2:$N$2999,ROW(),Resumen!$V$2:$V$2999,1))</f>
        <v/>
      </c>
      <c r="L1274" s="26"/>
      <c r="N12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5" spans="1:14">
      <c r="A1275" s="16"/>
      <c r="B1275" s="16"/>
      <c r="C1275" s="25"/>
      <c r="D1275" s="25"/>
      <c r="E1275" s="16"/>
      <c r="F1275" s="18"/>
      <c r="G1275" s="19" t="str">
        <f t="shared" ca="1" si="38"/>
        <v/>
      </c>
      <c r="H1275" s="18"/>
      <c r="I1275" s="18"/>
      <c r="J1275" s="77" t="str">
        <f t="shared" ca="1" si="39"/>
        <v/>
      </c>
      <c r="K1275" s="23">
        <f>IF(A1275="","",COUNTIFS(Resumen!$N$2:$N$2999,ROW(),Resumen!$V$2:$V$2999,1))</f>
        <v/>
      </c>
      <c r="L1275" s="26"/>
      <c r="N12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6" spans="1:14">
      <c r="A1276" s="16"/>
      <c r="B1276" s="16"/>
      <c r="C1276" s="25"/>
      <c r="D1276" s="25"/>
      <c r="E1276" s="16"/>
      <c r="F1276" s="18"/>
      <c r="G1276" s="19" t="str">
        <f t="shared" ca="1" si="38"/>
        <v/>
      </c>
      <c r="H1276" s="18"/>
      <c r="I1276" s="18"/>
      <c r="J1276" s="77" t="str">
        <f t="shared" ca="1" si="39"/>
        <v/>
      </c>
      <c r="K1276" s="23">
        <f>IF(A1276="","",COUNTIFS(Resumen!$N$2:$N$2999,ROW(),Resumen!$V$2:$V$2999,1))</f>
        <v/>
      </c>
      <c r="L1276" s="26"/>
      <c r="N12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7" spans="1:14">
      <c r="A1277" s="16"/>
      <c r="B1277" s="16"/>
      <c r="C1277" s="25"/>
      <c r="D1277" s="25"/>
      <c r="E1277" s="16"/>
      <c r="F1277" s="18"/>
      <c r="G1277" s="19" t="str">
        <f t="shared" ca="1" si="38"/>
        <v/>
      </c>
      <c r="H1277" s="18"/>
      <c r="I1277" s="18"/>
      <c r="J1277" s="77" t="str">
        <f t="shared" ca="1" si="39"/>
        <v/>
      </c>
      <c r="K1277" s="23">
        <f>IF(A1277="","",COUNTIFS(Resumen!$N$2:$N$2999,ROW(),Resumen!$V$2:$V$2999,1))</f>
        <v/>
      </c>
      <c r="L1277" s="26"/>
      <c r="N12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8" spans="1:14">
      <c r="A1278" s="16"/>
      <c r="B1278" s="16"/>
      <c r="C1278" s="25"/>
      <c r="D1278" s="25"/>
      <c r="E1278" s="16"/>
      <c r="F1278" s="18"/>
      <c r="G1278" s="19" t="str">
        <f t="shared" ca="1" si="38"/>
        <v/>
      </c>
      <c r="H1278" s="18"/>
      <c r="I1278" s="18"/>
      <c r="J1278" s="77" t="str">
        <f t="shared" ca="1" si="39"/>
        <v/>
      </c>
      <c r="K1278" s="23">
        <f>IF(A1278="","",COUNTIFS(Resumen!$N$2:$N$2999,ROW(),Resumen!$V$2:$V$2999,1))</f>
        <v/>
      </c>
      <c r="L1278" s="26"/>
      <c r="N12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79" spans="1:14">
      <c r="A1279" s="16"/>
      <c r="B1279" s="16"/>
      <c r="C1279" s="25"/>
      <c r="D1279" s="25"/>
      <c r="E1279" s="16"/>
      <c r="F1279" s="18"/>
      <c r="G1279" s="19" t="str">
        <f t="shared" ca="1" si="38"/>
        <v/>
      </c>
      <c r="H1279" s="18"/>
      <c r="I1279" s="18"/>
      <c r="J1279" s="77" t="str">
        <f t="shared" ca="1" si="39"/>
        <v/>
      </c>
      <c r="K1279" s="23">
        <f>IF(A1279="","",COUNTIFS(Resumen!$N$2:$N$2999,ROW(),Resumen!$V$2:$V$2999,1))</f>
        <v/>
      </c>
      <c r="L1279" s="26"/>
      <c r="N12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0" spans="1:14">
      <c r="A1280" s="16"/>
      <c r="B1280" s="16"/>
      <c r="C1280" s="25"/>
      <c r="D1280" s="25"/>
      <c r="E1280" s="16"/>
      <c r="F1280" s="18"/>
      <c r="G1280" s="19" t="str">
        <f t="shared" ca="1" si="38"/>
        <v/>
      </c>
      <c r="H1280" s="18"/>
      <c r="I1280" s="18"/>
      <c r="J1280" s="77" t="str">
        <f t="shared" ca="1" si="39"/>
        <v/>
      </c>
      <c r="K1280" s="23">
        <f>IF(A1280="","",COUNTIFS(Resumen!$N$2:$N$2999,ROW(),Resumen!$V$2:$V$2999,1))</f>
        <v/>
      </c>
      <c r="L1280" s="26"/>
      <c r="N12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1" spans="1:14">
      <c r="A1281" s="16"/>
      <c r="B1281" s="16"/>
      <c r="C1281" s="25"/>
      <c r="D1281" s="25"/>
      <c r="E1281" s="16"/>
      <c r="F1281" s="18"/>
      <c r="G1281" s="19" t="str">
        <f t="shared" ca="1" si="38"/>
        <v/>
      </c>
      <c r="H1281" s="18"/>
      <c r="I1281" s="18"/>
      <c r="J1281" s="77" t="str">
        <f t="shared" ca="1" si="39"/>
        <v/>
      </c>
      <c r="K1281" s="23">
        <f>IF(A1281="","",COUNTIFS(Resumen!$N$2:$N$2999,ROW(),Resumen!$V$2:$V$2999,1))</f>
        <v/>
      </c>
      <c r="L1281" s="26"/>
      <c r="N12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2" spans="1:14">
      <c r="A1282" s="16"/>
      <c r="B1282" s="16"/>
      <c r="C1282" s="25"/>
      <c r="D1282" s="25"/>
      <c r="E1282" s="16"/>
      <c r="F1282" s="18"/>
      <c r="G1282" s="19" t="str">
        <f t="shared" ref="G1282:G1345" ca="1" si="40">IF(F1282="", "", DATEDIF(F1282, TODAY(), "Y"))</f>
        <v/>
      </c>
      <c r="H1282" s="18"/>
      <c r="I1282" s="18"/>
      <c r="J1282" s="77" t="str">
        <f t="shared" ref="J1282:J1345" ca="1" si="41">IFERROR(IF(ISNUMBER(INDEX(VigenciasFamilia,ROW())),INDEX(VigenciasFamilia,ROW())-TODAY(),""),"")</f>
        <v/>
      </c>
      <c r="K1282" s="23">
        <f>IF(A1282="","",COUNTIFS(Resumen!$N$2:$N$2999,ROW(),Resumen!$V$2:$V$2999,1))</f>
        <v/>
      </c>
      <c r="L1282" s="26"/>
      <c r="N12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3" spans="1:14">
      <c r="A1283" s="16"/>
      <c r="B1283" s="16"/>
      <c r="C1283" s="25"/>
      <c r="D1283" s="25"/>
      <c r="E1283" s="16"/>
      <c r="F1283" s="18"/>
      <c r="G1283" s="19" t="str">
        <f t="shared" ca="1" si="40"/>
        <v/>
      </c>
      <c r="H1283" s="18"/>
      <c r="I1283" s="18"/>
      <c r="J1283" s="77" t="str">
        <f t="shared" ca="1" si="41"/>
        <v/>
      </c>
      <c r="K1283" s="23">
        <f>IF(A1283="","",COUNTIFS(Resumen!$N$2:$N$2999,ROW(),Resumen!$V$2:$V$2999,1))</f>
        <v/>
      </c>
      <c r="L1283" s="26"/>
      <c r="N12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4" spans="1:14">
      <c r="A1284" s="16"/>
      <c r="B1284" s="16"/>
      <c r="C1284" s="25"/>
      <c r="D1284" s="25"/>
      <c r="E1284" s="16"/>
      <c r="F1284" s="18"/>
      <c r="G1284" s="19" t="str">
        <f t="shared" ca="1" si="40"/>
        <v/>
      </c>
      <c r="H1284" s="18"/>
      <c r="I1284" s="18"/>
      <c r="J1284" s="77" t="str">
        <f t="shared" ca="1" si="41"/>
        <v/>
      </c>
      <c r="K1284" s="23">
        <f>IF(A1284="","",COUNTIFS(Resumen!$N$2:$N$2999,ROW(),Resumen!$V$2:$V$2999,1))</f>
        <v/>
      </c>
      <c r="L1284" s="26"/>
      <c r="N12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5" spans="1:14">
      <c r="A1285" s="16"/>
      <c r="B1285" s="16"/>
      <c r="C1285" s="25"/>
      <c r="D1285" s="25"/>
      <c r="E1285" s="16"/>
      <c r="F1285" s="18"/>
      <c r="G1285" s="19" t="str">
        <f t="shared" ca="1" si="40"/>
        <v/>
      </c>
      <c r="H1285" s="18"/>
      <c r="I1285" s="18"/>
      <c r="J1285" s="77" t="str">
        <f t="shared" ca="1" si="41"/>
        <v/>
      </c>
      <c r="K1285" s="23">
        <f>IF(A1285="","",COUNTIFS(Resumen!$N$2:$N$2999,ROW(),Resumen!$V$2:$V$2999,1))</f>
        <v/>
      </c>
      <c r="L1285" s="26"/>
      <c r="N12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6" spans="1:14">
      <c r="A1286" s="16"/>
      <c r="B1286" s="16"/>
      <c r="C1286" s="25"/>
      <c r="D1286" s="25"/>
      <c r="E1286" s="16"/>
      <c r="F1286" s="18"/>
      <c r="G1286" s="19" t="str">
        <f t="shared" ca="1" si="40"/>
        <v/>
      </c>
      <c r="H1286" s="18"/>
      <c r="I1286" s="18"/>
      <c r="J1286" s="77" t="str">
        <f t="shared" ca="1" si="41"/>
        <v/>
      </c>
      <c r="K1286" s="23">
        <f>IF(A1286="","",COUNTIFS(Resumen!$N$2:$N$2999,ROW(),Resumen!$V$2:$V$2999,1))</f>
        <v/>
      </c>
      <c r="L1286" s="26"/>
      <c r="N12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7" spans="1:14">
      <c r="A1287" s="16"/>
      <c r="B1287" s="16"/>
      <c r="C1287" s="25"/>
      <c r="D1287" s="25"/>
      <c r="E1287" s="16"/>
      <c r="F1287" s="18"/>
      <c r="G1287" s="19" t="str">
        <f t="shared" ca="1" si="40"/>
        <v/>
      </c>
      <c r="H1287" s="18"/>
      <c r="I1287" s="18"/>
      <c r="J1287" s="77" t="str">
        <f t="shared" ca="1" si="41"/>
        <v/>
      </c>
      <c r="K1287" s="23">
        <f>IF(A1287="","",COUNTIFS(Resumen!$N$2:$N$2999,ROW(),Resumen!$V$2:$V$2999,1))</f>
        <v/>
      </c>
      <c r="L1287" s="26"/>
      <c r="N12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8" spans="1:14">
      <c r="A1288" s="16"/>
      <c r="B1288" s="16"/>
      <c r="C1288" s="25"/>
      <c r="D1288" s="25"/>
      <c r="E1288" s="16"/>
      <c r="F1288" s="18"/>
      <c r="G1288" s="19" t="str">
        <f t="shared" ca="1" si="40"/>
        <v/>
      </c>
      <c r="H1288" s="18"/>
      <c r="I1288" s="18"/>
      <c r="J1288" s="77" t="str">
        <f t="shared" ca="1" si="41"/>
        <v/>
      </c>
      <c r="K1288" s="23">
        <f>IF(A1288="","",COUNTIFS(Resumen!$N$2:$N$2999,ROW(),Resumen!$V$2:$V$2999,1))</f>
        <v/>
      </c>
      <c r="L1288" s="26"/>
      <c r="N12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89" spans="1:14">
      <c r="A1289" s="16"/>
      <c r="B1289" s="16"/>
      <c r="C1289" s="25"/>
      <c r="D1289" s="25"/>
      <c r="E1289" s="16"/>
      <c r="F1289" s="18"/>
      <c r="G1289" s="19" t="str">
        <f t="shared" ca="1" si="40"/>
        <v/>
      </c>
      <c r="H1289" s="18"/>
      <c r="I1289" s="18"/>
      <c r="J1289" s="77" t="str">
        <f t="shared" ca="1" si="41"/>
        <v/>
      </c>
      <c r="K1289" s="23">
        <f>IF(A1289="","",COUNTIFS(Resumen!$N$2:$N$2999,ROW(),Resumen!$V$2:$V$2999,1))</f>
        <v/>
      </c>
      <c r="L1289" s="26"/>
      <c r="N12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0" spans="1:14">
      <c r="A1290" s="16"/>
      <c r="B1290" s="16"/>
      <c r="C1290" s="25"/>
      <c r="D1290" s="25"/>
      <c r="E1290" s="16"/>
      <c r="F1290" s="18"/>
      <c r="G1290" s="19" t="str">
        <f t="shared" ca="1" si="40"/>
        <v/>
      </c>
      <c r="H1290" s="18"/>
      <c r="I1290" s="18"/>
      <c r="J1290" s="77" t="str">
        <f t="shared" ca="1" si="41"/>
        <v/>
      </c>
      <c r="K1290" s="23">
        <f>IF(A1290="","",COUNTIFS(Resumen!$N$2:$N$2999,ROW(),Resumen!$V$2:$V$2999,1))</f>
        <v/>
      </c>
      <c r="L1290" s="26"/>
      <c r="N12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1" spans="1:14">
      <c r="A1291" s="16"/>
      <c r="B1291" s="16"/>
      <c r="C1291" s="25"/>
      <c r="D1291" s="25"/>
      <c r="E1291" s="16"/>
      <c r="F1291" s="18"/>
      <c r="G1291" s="19" t="str">
        <f t="shared" ca="1" si="40"/>
        <v/>
      </c>
      <c r="H1291" s="18"/>
      <c r="I1291" s="18"/>
      <c r="J1291" s="77" t="str">
        <f t="shared" ca="1" si="41"/>
        <v/>
      </c>
      <c r="K1291" s="23">
        <f>IF(A1291="","",COUNTIFS(Resumen!$N$2:$N$2999,ROW(),Resumen!$V$2:$V$2999,1))</f>
        <v/>
      </c>
      <c r="L1291" s="26"/>
      <c r="N12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2" spans="1:14">
      <c r="A1292" s="16"/>
      <c r="B1292" s="16"/>
      <c r="C1292" s="25"/>
      <c r="D1292" s="25"/>
      <c r="E1292" s="16"/>
      <c r="F1292" s="18"/>
      <c r="G1292" s="19" t="str">
        <f t="shared" ca="1" si="40"/>
        <v/>
      </c>
      <c r="H1292" s="18"/>
      <c r="I1292" s="18"/>
      <c r="J1292" s="77" t="str">
        <f t="shared" ca="1" si="41"/>
        <v/>
      </c>
      <c r="K1292" s="23">
        <f>IF(A1292="","",COUNTIFS(Resumen!$N$2:$N$2999,ROW(),Resumen!$V$2:$V$2999,1))</f>
        <v/>
      </c>
      <c r="L1292" s="26"/>
      <c r="N12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3" spans="1:14">
      <c r="A1293" s="16"/>
      <c r="B1293" s="16"/>
      <c r="C1293" s="25"/>
      <c r="D1293" s="25"/>
      <c r="E1293" s="16"/>
      <c r="F1293" s="18"/>
      <c r="G1293" s="19" t="str">
        <f t="shared" ca="1" si="40"/>
        <v/>
      </c>
      <c r="H1293" s="18"/>
      <c r="I1293" s="18"/>
      <c r="J1293" s="77" t="str">
        <f t="shared" ca="1" si="41"/>
        <v/>
      </c>
      <c r="K1293" s="23">
        <f>IF(A1293="","",COUNTIFS(Resumen!$N$2:$N$2999,ROW(),Resumen!$V$2:$V$2999,1))</f>
        <v/>
      </c>
      <c r="L1293" s="26"/>
      <c r="N12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4" spans="1:14">
      <c r="A1294" s="16"/>
      <c r="B1294" s="16"/>
      <c r="C1294" s="25"/>
      <c r="D1294" s="25"/>
      <c r="E1294" s="16"/>
      <c r="F1294" s="18"/>
      <c r="G1294" s="19" t="str">
        <f t="shared" ca="1" si="40"/>
        <v/>
      </c>
      <c r="H1294" s="18"/>
      <c r="I1294" s="18"/>
      <c r="J1294" s="77" t="str">
        <f t="shared" ca="1" si="41"/>
        <v/>
      </c>
      <c r="K1294" s="23">
        <f>IF(A1294="","",COUNTIFS(Resumen!$N$2:$N$2999,ROW(),Resumen!$V$2:$V$2999,1))</f>
        <v/>
      </c>
      <c r="L1294" s="26"/>
      <c r="N12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5" spans="1:14">
      <c r="A1295" s="16"/>
      <c r="B1295" s="16"/>
      <c r="C1295" s="25"/>
      <c r="D1295" s="25"/>
      <c r="E1295" s="16"/>
      <c r="F1295" s="18"/>
      <c r="G1295" s="19" t="str">
        <f t="shared" ca="1" si="40"/>
        <v/>
      </c>
      <c r="H1295" s="18"/>
      <c r="I1295" s="18"/>
      <c r="J1295" s="77" t="str">
        <f t="shared" ca="1" si="41"/>
        <v/>
      </c>
      <c r="K1295" s="23">
        <f>IF(A1295="","",COUNTIFS(Resumen!$N$2:$N$2999,ROW(),Resumen!$V$2:$V$2999,1))</f>
        <v/>
      </c>
      <c r="L1295" s="26"/>
      <c r="N12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6" spans="1:14">
      <c r="A1296" s="16"/>
      <c r="B1296" s="16"/>
      <c r="C1296" s="25"/>
      <c r="D1296" s="25"/>
      <c r="E1296" s="16"/>
      <c r="F1296" s="18"/>
      <c r="G1296" s="19" t="str">
        <f t="shared" ca="1" si="40"/>
        <v/>
      </c>
      <c r="H1296" s="18"/>
      <c r="I1296" s="18"/>
      <c r="J1296" s="77" t="str">
        <f t="shared" ca="1" si="41"/>
        <v/>
      </c>
      <c r="K1296" s="23">
        <f>IF(A1296="","",COUNTIFS(Resumen!$N$2:$N$2999,ROW(),Resumen!$V$2:$V$2999,1))</f>
        <v/>
      </c>
      <c r="L1296" s="26"/>
      <c r="N12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7" spans="1:14">
      <c r="A1297" s="16"/>
      <c r="B1297" s="16"/>
      <c r="C1297" s="25"/>
      <c r="D1297" s="25"/>
      <c r="E1297" s="16"/>
      <c r="F1297" s="18"/>
      <c r="G1297" s="19" t="str">
        <f t="shared" ca="1" si="40"/>
        <v/>
      </c>
      <c r="H1297" s="18"/>
      <c r="I1297" s="18"/>
      <c r="J1297" s="77" t="str">
        <f t="shared" ca="1" si="41"/>
        <v/>
      </c>
      <c r="K1297" s="23">
        <f>IF(A1297="","",COUNTIFS(Resumen!$N$2:$N$2999,ROW(),Resumen!$V$2:$V$2999,1))</f>
        <v/>
      </c>
      <c r="L1297" s="26"/>
      <c r="N12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8" spans="1:14">
      <c r="A1298" s="16"/>
      <c r="B1298" s="16"/>
      <c r="C1298" s="25"/>
      <c r="D1298" s="25"/>
      <c r="E1298" s="16"/>
      <c r="F1298" s="18"/>
      <c r="G1298" s="19" t="str">
        <f t="shared" ca="1" si="40"/>
        <v/>
      </c>
      <c r="H1298" s="18"/>
      <c r="I1298" s="18"/>
      <c r="J1298" s="77" t="str">
        <f t="shared" ca="1" si="41"/>
        <v/>
      </c>
      <c r="K1298" s="23">
        <f>IF(A1298="","",COUNTIFS(Resumen!$N$2:$N$2999,ROW(),Resumen!$V$2:$V$2999,1))</f>
        <v/>
      </c>
      <c r="L1298" s="26"/>
      <c r="N12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299" spans="1:14">
      <c r="A1299" s="16"/>
      <c r="B1299" s="16"/>
      <c r="C1299" s="25"/>
      <c r="D1299" s="25"/>
      <c r="E1299" s="16"/>
      <c r="F1299" s="18"/>
      <c r="G1299" s="19" t="str">
        <f t="shared" ca="1" si="40"/>
        <v/>
      </c>
      <c r="H1299" s="18"/>
      <c r="I1299" s="18"/>
      <c r="J1299" s="77" t="str">
        <f t="shared" ca="1" si="41"/>
        <v/>
      </c>
      <c r="K1299" s="23">
        <f>IF(A1299="","",COUNTIFS(Resumen!$N$2:$N$2999,ROW(),Resumen!$V$2:$V$2999,1))</f>
        <v/>
      </c>
      <c r="L1299" s="26"/>
      <c r="N12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0" spans="1:14">
      <c r="A1300" s="16"/>
      <c r="B1300" s="16"/>
      <c r="C1300" s="25"/>
      <c r="D1300" s="25"/>
      <c r="E1300" s="16"/>
      <c r="F1300" s="18"/>
      <c r="G1300" s="19" t="str">
        <f t="shared" ca="1" si="40"/>
        <v/>
      </c>
      <c r="H1300" s="18"/>
      <c r="I1300" s="18"/>
      <c r="J1300" s="77" t="str">
        <f t="shared" ca="1" si="41"/>
        <v/>
      </c>
      <c r="K1300" s="23">
        <f>IF(A1300="","",COUNTIFS(Resumen!$N$2:$N$2999,ROW(),Resumen!$V$2:$V$2999,1))</f>
        <v/>
      </c>
      <c r="L1300" s="26"/>
      <c r="N13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1" spans="1:14">
      <c r="A1301" s="16"/>
      <c r="B1301" s="16"/>
      <c r="C1301" s="25"/>
      <c r="D1301" s="25"/>
      <c r="E1301" s="16"/>
      <c r="F1301" s="18"/>
      <c r="G1301" s="19" t="str">
        <f t="shared" ca="1" si="40"/>
        <v/>
      </c>
      <c r="H1301" s="18"/>
      <c r="I1301" s="18"/>
      <c r="J1301" s="77" t="str">
        <f t="shared" ca="1" si="41"/>
        <v/>
      </c>
      <c r="K1301" s="23">
        <f>IF(A1301="","",COUNTIFS(Resumen!$N$2:$N$2999,ROW(),Resumen!$V$2:$V$2999,1))</f>
        <v/>
      </c>
      <c r="L1301" s="26"/>
      <c r="N13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2" spans="1:14">
      <c r="A1302" s="16"/>
      <c r="B1302" s="16"/>
      <c r="C1302" s="25"/>
      <c r="D1302" s="25"/>
      <c r="E1302" s="16"/>
      <c r="F1302" s="18"/>
      <c r="G1302" s="19" t="str">
        <f t="shared" ca="1" si="40"/>
        <v/>
      </c>
      <c r="H1302" s="18"/>
      <c r="I1302" s="18"/>
      <c r="J1302" s="77" t="str">
        <f t="shared" ca="1" si="41"/>
        <v/>
      </c>
      <c r="K1302" s="23">
        <f>IF(A1302="","",COUNTIFS(Resumen!$N$2:$N$2999,ROW(),Resumen!$V$2:$V$2999,1))</f>
        <v/>
      </c>
      <c r="L1302" s="26"/>
      <c r="N13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3" spans="1:14">
      <c r="A1303" s="16"/>
      <c r="B1303" s="16"/>
      <c r="C1303" s="25"/>
      <c r="D1303" s="25"/>
      <c r="E1303" s="16"/>
      <c r="F1303" s="18"/>
      <c r="G1303" s="19" t="str">
        <f t="shared" ca="1" si="40"/>
        <v/>
      </c>
      <c r="H1303" s="18"/>
      <c r="I1303" s="18"/>
      <c r="J1303" s="77" t="str">
        <f t="shared" ca="1" si="41"/>
        <v/>
      </c>
      <c r="K1303" s="23">
        <f>IF(A1303="","",COUNTIFS(Resumen!$N$2:$N$2999,ROW(),Resumen!$V$2:$V$2999,1))</f>
        <v/>
      </c>
      <c r="L1303" s="26"/>
      <c r="N13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4" spans="1:14">
      <c r="A1304" s="16"/>
      <c r="B1304" s="16"/>
      <c r="C1304" s="25"/>
      <c r="D1304" s="25"/>
      <c r="E1304" s="16"/>
      <c r="F1304" s="18"/>
      <c r="G1304" s="19" t="str">
        <f t="shared" ca="1" si="40"/>
        <v/>
      </c>
      <c r="H1304" s="18"/>
      <c r="I1304" s="18"/>
      <c r="J1304" s="77" t="str">
        <f t="shared" ca="1" si="41"/>
        <v/>
      </c>
      <c r="K1304" s="23">
        <f>IF(A1304="","",COUNTIFS(Resumen!$N$2:$N$2999,ROW(),Resumen!$V$2:$V$2999,1))</f>
        <v/>
      </c>
      <c r="L1304" s="26"/>
      <c r="N13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5" spans="1:14">
      <c r="A1305" s="16"/>
      <c r="B1305" s="16"/>
      <c r="C1305" s="25"/>
      <c r="D1305" s="25"/>
      <c r="E1305" s="16"/>
      <c r="F1305" s="18"/>
      <c r="G1305" s="19" t="str">
        <f t="shared" ca="1" si="40"/>
        <v/>
      </c>
      <c r="H1305" s="18"/>
      <c r="I1305" s="18"/>
      <c r="J1305" s="77" t="str">
        <f t="shared" ca="1" si="41"/>
        <v/>
      </c>
      <c r="K1305" s="23">
        <f>IF(A1305="","",COUNTIFS(Resumen!$N$2:$N$2999,ROW(),Resumen!$V$2:$V$2999,1))</f>
        <v/>
      </c>
      <c r="L1305" s="26"/>
      <c r="N13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6" spans="1:14">
      <c r="A1306" s="16"/>
      <c r="B1306" s="16"/>
      <c r="C1306" s="25"/>
      <c r="D1306" s="25"/>
      <c r="E1306" s="16"/>
      <c r="F1306" s="18"/>
      <c r="G1306" s="19" t="str">
        <f t="shared" ca="1" si="40"/>
        <v/>
      </c>
      <c r="H1306" s="18"/>
      <c r="I1306" s="18"/>
      <c r="J1306" s="77" t="str">
        <f t="shared" ca="1" si="41"/>
        <v/>
      </c>
      <c r="K1306" s="23">
        <f>IF(A1306="","",COUNTIFS(Resumen!$N$2:$N$2999,ROW(),Resumen!$V$2:$V$2999,1))</f>
        <v/>
      </c>
      <c r="L1306" s="26"/>
      <c r="N13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7" spans="1:14">
      <c r="A1307" s="16"/>
      <c r="B1307" s="16"/>
      <c r="C1307" s="25"/>
      <c r="D1307" s="25"/>
      <c r="E1307" s="16"/>
      <c r="F1307" s="18"/>
      <c r="G1307" s="19" t="str">
        <f t="shared" ca="1" si="40"/>
        <v/>
      </c>
      <c r="H1307" s="18"/>
      <c r="I1307" s="18"/>
      <c r="J1307" s="77" t="str">
        <f t="shared" ca="1" si="41"/>
        <v/>
      </c>
      <c r="K1307" s="23">
        <f>IF(A1307="","",COUNTIFS(Resumen!$N$2:$N$2999,ROW(),Resumen!$V$2:$V$2999,1))</f>
        <v/>
      </c>
      <c r="L1307" s="26"/>
      <c r="N13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8" spans="1:14">
      <c r="A1308" s="16"/>
      <c r="B1308" s="16"/>
      <c r="C1308" s="25"/>
      <c r="D1308" s="25"/>
      <c r="E1308" s="16"/>
      <c r="F1308" s="18"/>
      <c r="G1308" s="19" t="str">
        <f t="shared" ca="1" si="40"/>
        <v/>
      </c>
      <c r="H1308" s="18"/>
      <c r="I1308" s="18"/>
      <c r="J1308" s="77" t="str">
        <f t="shared" ca="1" si="41"/>
        <v/>
      </c>
      <c r="K1308" s="23">
        <f>IF(A1308="","",COUNTIFS(Resumen!$N$2:$N$2999,ROW(),Resumen!$V$2:$V$2999,1))</f>
        <v/>
      </c>
      <c r="L1308" s="26"/>
      <c r="N13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09" spans="1:14">
      <c r="A1309" s="16"/>
      <c r="B1309" s="16"/>
      <c r="C1309" s="25"/>
      <c r="D1309" s="25"/>
      <c r="E1309" s="16"/>
      <c r="F1309" s="18"/>
      <c r="G1309" s="19" t="str">
        <f t="shared" ca="1" si="40"/>
        <v/>
      </c>
      <c r="H1309" s="18"/>
      <c r="I1309" s="18"/>
      <c r="J1309" s="77" t="str">
        <f t="shared" ca="1" si="41"/>
        <v/>
      </c>
      <c r="K1309" s="23">
        <f>IF(A1309="","",COUNTIFS(Resumen!$N$2:$N$2999,ROW(),Resumen!$V$2:$V$2999,1))</f>
        <v/>
      </c>
      <c r="L1309" s="26"/>
      <c r="N13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0" spans="1:14">
      <c r="A1310" s="16"/>
      <c r="B1310" s="16"/>
      <c r="C1310" s="25"/>
      <c r="D1310" s="25"/>
      <c r="E1310" s="16"/>
      <c r="F1310" s="18"/>
      <c r="G1310" s="19" t="str">
        <f t="shared" ca="1" si="40"/>
        <v/>
      </c>
      <c r="H1310" s="18"/>
      <c r="I1310" s="18"/>
      <c r="J1310" s="77" t="str">
        <f t="shared" ca="1" si="41"/>
        <v/>
      </c>
      <c r="K1310" s="23">
        <f>IF(A1310="","",COUNTIFS(Resumen!$N$2:$N$2999,ROW(),Resumen!$V$2:$V$2999,1))</f>
        <v/>
      </c>
      <c r="L1310" s="26"/>
      <c r="N13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1" spans="1:14">
      <c r="A1311" s="16"/>
      <c r="B1311" s="16"/>
      <c r="C1311" s="25"/>
      <c r="D1311" s="25"/>
      <c r="E1311" s="16"/>
      <c r="F1311" s="18"/>
      <c r="G1311" s="19" t="str">
        <f t="shared" ca="1" si="40"/>
        <v/>
      </c>
      <c r="H1311" s="18"/>
      <c r="I1311" s="18"/>
      <c r="J1311" s="77" t="str">
        <f t="shared" ca="1" si="41"/>
        <v/>
      </c>
      <c r="K1311" s="23">
        <f>IF(A1311="","",COUNTIFS(Resumen!$N$2:$N$2999,ROW(),Resumen!$V$2:$V$2999,1))</f>
        <v/>
      </c>
      <c r="L1311" s="26"/>
      <c r="N13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2" spans="1:14">
      <c r="A1312" s="16"/>
      <c r="B1312" s="16"/>
      <c r="C1312" s="25"/>
      <c r="D1312" s="25"/>
      <c r="E1312" s="16"/>
      <c r="F1312" s="18"/>
      <c r="G1312" s="19" t="str">
        <f t="shared" ca="1" si="40"/>
        <v/>
      </c>
      <c r="H1312" s="18"/>
      <c r="I1312" s="18"/>
      <c r="J1312" s="77" t="str">
        <f t="shared" ca="1" si="41"/>
        <v/>
      </c>
      <c r="K1312" s="23">
        <f>IF(A1312="","",COUNTIFS(Resumen!$N$2:$N$2999,ROW(),Resumen!$V$2:$V$2999,1))</f>
        <v/>
      </c>
      <c r="L1312" s="26"/>
      <c r="N13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3" spans="1:14">
      <c r="A1313" s="16"/>
      <c r="B1313" s="16"/>
      <c r="C1313" s="25"/>
      <c r="D1313" s="25"/>
      <c r="E1313" s="16"/>
      <c r="F1313" s="18"/>
      <c r="G1313" s="19" t="str">
        <f t="shared" ca="1" si="40"/>
        <v/>
      </c>
      <c r="H1313" s="18"/>
      <c r="I1313" s="18"/>
      <c r="J1313" s="77" t="str">
        <f t="shared" ca="1" si="41"/>
        <v/>
      </c>
      <c r="K1313" s="23">
        <f>IF(A1313="","",COUNTIFS(Resumen!$N$2:$N$2999,ROW(),Resumen!$V$2:$V$2999,1))</f>
        <v/>
      </c>
      <c r="L1313" s="26"/>
      <c r="N13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4" spans="1:14">
      <c r="A1314" s="16"/>
      <c r="B1314" s="16"/>
      <c r="C1314" s="25"/>
      <c r="D1314" s="25"/>
      <c r="E1314" s="16"/>
      <c r="F1314" s="18"/>
      <c r="G1314" s="19" t="str">
        <f t="shared" ca="1" si="40"/>
        <v/>
      </c>
      <c r="H1314" s="18"/>
      <c r="I1314" s="18"/>
      <c r="J1314" s="77" t="str">
        <f t="shared" ca="1" si="41"/>
        <v/>
      </c>
      <c r="K1314" s="23">
        <f>IF(A1314="","",COUNTIFS(Resumen!$N$2:$N$2999,ROW(),Resumen!$V$2:$V$2999,1))</f>
        <v/>
      </c>
      <c r="L1314" s="26"/>
      <c r="N13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5" spans="1:14">
      <c r="A1315" s="16"/>
      <c r="B1315" s="16"/>
      <c r="C1315" s="25"/>
      <c r="D1315" s="25"/>
      <c r="E1315" s="16"/>
      <c r="F1315" s="18"/>
      <c r="G1315" s="19" t="str">
        <f t="shared" ca="1" si="40"/>
        <v/>
      </c>
      <c r="H1315" s="18"/>
      <c r="I1315" s="18"/>
      <c r="J1315" s="77" t="str">
        <f t="shared" ca="1" si="41"/>
        <v/>
      </c>
      <c r="K1315" s="23">
        <f>IF(A1315="","",COUNTIFS(Resumen!$N$2:$N$2999,ROW(),Resumen!$V$2:$V$2999,1))</f>
        <v/>
      </c>
      <c r="L1315" s="26"/>
      <c r="N13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6" spans="1:14">
      <c r="A1316" s="16"/>
      <c r="B1316" s="16"/>
      <c r="C1316" s="25"/>
      <c r="D1316" s="25"/>
      <c r="E1316" s="16"/>
      <c r="F1316" s="18"/>
      <c r="G1316" s="19" t="str">
        <f t="shared" ca="1" si="40"/>
        <v/>
      </c>
      <c r="H1316" s="18"/>
      <c r="I1316" s="18"/>
      <c r="J1316" s="77" t="str">
        <f t="shared" ca="1" si="41"/>
        <v/>
      </c>
      <c r="K1316" s="23">
        <f>IF(A1316="","",COUNTIFS(Resumen!$N$2:$N$2999,ROW(),Resumen!$V$2:$V$2999,1))</f>
        <v/>
      </c>
      <c r="L1316" s="26"/>
      <c r="N13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7" spans="1:14">
      <c r="A1317" s="16"/>
      <c r="B1317" s="16"/>
      <c r="C1317" s="25"/>
      <c r="D1317" s="25"/>
      <c r="E1317" s="16"/>
      <c r="F1317" s="18"/>
      <c r="G1317" s="19" t="str">
        <f t="shared" ca="1" si="40"/>
        <v/>
      </c>
      <c r="H1317" s="18"/>
      <c r="I1317" s="18"/>
      <c r="J1317" s="77" t="str">
        <f t="shared" ca="1" si="41"/>
        <v/>
      </c>
      <c r="K1317" s="23">
        <f>IF(A1317="","",COUNTIFS(Resumen!$N$2:$N$2999,ROW(),Resumen!$V$2:$V$2999,1))</f>
        <v/>
      </c>
      <c r="L1317" s="26"/>
      <c r="N13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8" spans="1:14">
      <c r="A1318" s="16"/>
      <c r="B1318" s="16"/>
      <c r="C1318" s="25"/>
      <c r="D1318" s="25"/>
      <c r="E1318" s="16"/>
      <c r="F1318" s="18"/>
      <c r="G1318" s="19" t="str">
        <f t="shared" ca="1" si="40"/>
        <v/>
      </c>
      <c r="H1318" s="18"/>
      <c r="I1318" s="18"/>
      <c r="J1318" s="77" t="str">
        <f t="shared" ca="1" si="41"/>
        <v/>
      </c>
      <c r="K1318" s="23">
        <f>IF(A1318="","",COUNTIFS(Resumen!$N$2:$N$2999,ROW(),Resumen!$V$2:$V$2999,1))</f>
        <v/>
      </c>
      <c r="L1318" s="26"/>
      <c r="N13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19" spans="1:14">
      <c r="A1319" s="16"/>
      <c r="B1319" s="16"/>
      <c r="C1319" s="25"/>
      <c r="D1319" s="25"/>
      <c r="E1319" s="16"/>
      <c r="F1319" s="18"/>
      <c r="G1319" s="19" t="str">
        <f t="shared" ca="1" si="40"/>
        <v/>
      </c>
      <c r="H1319" s="18"/>
      <c r="I1319" s="18"/>
      <c r="J1319" s="77" t="str">
        <f t="shared" ca="1" si="41"/>
        <v/>
      </c>
      <c r="K1319" s="23">
        <f>IF(A1319="","",COUNTIFS(Resumen!$N$2:$N$2999,ROW(),Resumen!$V$2:$V$2999,1))</f>
        <v/>
      </c>
      <c r="L1319" s="26"/>
      <c r="N13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0" spans="1:14">
      <c r="A1320" s="16"/>
      <c r="B1320" s="16"/>
      <c r="C1320" s="25"/>
      <c r="D1320" s="25"/>
      <c r="E1320" s="16"/>
      <c r="F1320" s="18"/>
      <c r="G1320" s="19" t="str">
        <f t="shared" ca="1" si="40"/>
        <v/>
      </c>
      <c r="H1320" s="18"/>
      <c r="I1320" s="18"/>
      <c r="J1320" s="77" t="str">
        <f t="shared" ca="1" si="41"/>
        <v/>
      </c>
      <c r="K1320" s="23">
        <f>IF(A1320="","",COUNTIFS(Resumen!$N$2:$N$2999,ROW(),Resumen!$V$2:$V$2999,1))</f>
        <v/>
      </c>
      <c r="L1320" s="26"/>
      <c r="N13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1" spans="1:14">
      <c r="A1321" s="16"/>
      <c r="B1321" s="16"/>
      <c r="C1321" s="25"/>
      <c r="D1321" s="25"/>
      <c r="E1321" s="16"/>
      <c r="F1321" s="18"/>
      <c r="G1321" s="19" t="str">
        <f t="shared" ca="1" si="40"/>
        <v/>
      </c>
      <c r="H1321" s="18"/>
      <c r="I1321" s="18"/>
      <c r="J1321" s="77" t="str">
        <f t="shared" ca="1" si="41"/>
        <v/>
      </c>
      <c r="K1321" s="23">
        <f>IF(A1321="","",COUNTIFS(Resumen!$N$2:$N$2999,ROW(),Resumen!$V$2:$V$2999,1))</f>
        <v/>
      </c>
      <c r="L1321" s="26"/>
      <c r="N13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2" spans="1:14">
      <c r="A1322" s="16"/>
      <c r="B1322" s="16"/>
      <c r="C1322" s="25"/>
      <c r="D1322" s="25"/>
      <c r="E1322" s="16"/>
      <c r="F1322" s="18"/>
      <c r="G1322" s="19" t="str">
        <f t="shared" ca="1" si="40"/>
        <v/>
      </c>
      <c r="H1322" s="18"/>
      <c r="I1322" s="18"/>
      <c r="J1322" s="77" t="str">
        <f t="shared" ca="1" si="41"/>
        <v/>
      </c>
      <c r="K1322" s="23">
        <f>IF(A1322="","",COUNTIFS(Resumen!$N$2:$N$2999,ROW(),Resumen!$V$2:$V$2999,1))</f>
        <v/>
      </c>
      <c r="L1322" s="26"/>
      <c r="N13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3" spans="1:14">
      <c r="A1323" s="16"/>
      <c r="B1323" s="16"/>
      <c r="C1323" s="25"/>
      <c r="D1323" s="25"/>
      <c r="E1323" s="16"/>
      <c r="F1323" s="18"/>
      <c r="G1323" s="19" t="str">
        <f t="shared" ca="1" si="40"/>
        <v/>
      </c>
      <c r="H1323" s="18"/>
      <c r="I1323" s="18"/>
      <c r="J1323" s="77" t="str">
        <f t="shared" ca="1" si="41"/>
        <v/>
      </c>
      <c r="K1323" s="23">
        <f>IF(A1323="","",COUNTIFS(Resumen!$N$2:$N$2999,ROW(),Resumen!$V$2:$V$2999,1))</f>
        <v/>
      </c>
      <c r="L1323" s="26"/>
      <c r="N13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4" spans="1:14">
      <c r="A1324" s="16"/>
      <c r="B1324" s="16"/>
      <c r="C1324" s="25"/>
      <c r="D1324" s="25"/>
      <c r="E1324" s="16"/>
      <c r="F1324" s="18"/>
      <c r="G1324" s="19" t="str">
        <f t="shared" ca="1" si="40"/>
        <v/>
      </c>
      <c r="H1324" s="18"/>
      <c r="I1324" s="18"/>
      <c r="J1324" s="77" t="str">
        <f t="shared" ca="1" si="41"/>
        <v/>
      </c>
      <c r="K1324" s="23">
        <f>IF(A1324="","",COUNTIFS(Resumen!$N$2:$N$2999,ROW(),Resumen!$V$2:$V$2999,1))</f>
        <v/>
      </c>
      <c r="L1324" s="26"/>
      <c r="N13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5" spans="1:14">
      <c r="A1325" s="16"/>
      <c r="B1325" s="16"/>
      <c r="C1325" s="25"/>
      <c r="D1325" s="25"/>
      <c r="E1325" s="16"/>
      <c r="F1325" s="18"/>
      <c r="G1325" s="19" t="str">
        <f t="shared" ca="1" si="40"/>
        <v/>
      </c>
      <c r="H1325" s="18"/>
      <c r="I1325" s="18"/>
      <c r="J1325" s="77" t="str">
        <f t="shared" ca="1" si="41"/>
        <v/>
      </c>
      <c r="K1325" s="23">
        <f>IF(A1325="","",COUNTIFS(Resumen!$N$2:$N$2999,ROW(),Resumen!$V$2:$V$2999,1))</f>
        <v/>
      </c>
      <c r="L1325" s="26"/>
      <c r="N13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6" spans="1:14">
      <c r="A1326" s="16"/>
      <c r="B1326" s="16"/>
      <c r="C1326" s="25"/>
      <c r="D1326" s="25"/>
      <c r="E1326" s="16"/>
      <c r="F1326" s="18"/>
      <c r="G1326" s="19" t="str">
        <f t="shared" ca="1" si="40"/>
        <v/>
      </c>
      <c r="H1326" s="18"/>
      <c r="I1326" s="18"/>
      <c r="J1326" s="77" t="str">
        <f t="shared" ca="1" si="41"/>
        <v/>
      </c>
      <c r="K1326" s="23">
        <f>IF(A1326="","",COUNTIFS(Resumen!$N$2:$N$2999,ROW(),Resumen!$V$2:$V$2999,1))</f>
        <v/>
      </c>
      <c r="L1326" s="26"/>
      <c r="N13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7" spans="1:14">
      <c r="A1327" s="16"/>
      <c r="B1327" s="16"/>
      <c r="C1327" s="25"/>
      <c r="D1327" s="25"/>
      <c r="E1327" s="16"/>
      <c r="F1327" s="18"/>
      <c r="G1327" s="19" t="str">
        <f t="shared" ca="1" si="40"/>
        <v/>
      </c>
      <c r="H1327" s="18"/>
      <c r="I1327" s="18"/>
      <c r="J1327" s="77" t="str">
        <f t="shared" ca="1" si="41"/>
        <v/>
      </c>
      <c r="K1327" s="23">
        <f>IF(A1327="","",COUNTIFS(Resumen!$N$2:$N$2999,ROW(),Resumen!$V$2:$V$2999,1))</f>
        <v/>
      </c>
      <c r="L1327" s="26"/>
      <c r="N13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8" spans="1:14">
      <c r="A1328" s="16"/>
      <c r="B1328" s="16"/>
      <c r="C1328" s="25"/>
      <c r="D1328" s="25"/>
      <c r="E1328" s="16"/>
      <c r="F1328" s="18"/>
      <c r="G1328" s="19" t="str">
        <f t="shared" ca="1" si="40"/>
        <v/>
      </c>
      <c r="H1328" s="18"/>
      <c r="I1328" s="18"/>
      <c r="J1328" s="77" t="str">
        <f t="shared" ca="1" si="41"/>
        <v/>
      </c>
      <c r="K1328" s="23">
        <f>IF(A1328="","",COUNTIFS(Resumen!$N$2:$N$2999,ROW(),Resumen!$V$2:$V$2999,1))</f>
        <v/>
      </c>
      <c r="L1328" s="26"/>
      <c r="N13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29" spans="1:14">
      <c r="A1329" s="16"/>
      <c r="B1329" s="16"/>
      <c r="C1329" s="25"/>
      <c r="D1329" s="25"/>
      <c r="E1329" s="16"/>
      <c r="F1329" s="18"/>
      <c r="G1329" s="19" t="str">
        <f t="shared" ca="1" si="40"/>
        <v/>
      </c>
      <c r="H1329" s="18"/>
      <c r="I1329" s="18"/>
      <c r="J1329" s="77" t="str">
        <f t="shared" ca="1" si="41"/>
        <v/>
      </c>
      <c r="K1329" s="23">
        <f>IF(A1329="","",COUNTIFS(Resumen!$N$2:$N$2999,ROW(),Resumen!$V$2:$V$2999,1))</f>
        <v/>
      </c>
      <c r="L1329" s="26"/>
      <c r="N13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0" spans="1:14">
      <c r="A1330" s="16"/>
      <c r="B1330" s="16"/>
      <c r="C1330" s="25"/>
      <c r="D1330" s="25"/>
      <c r="E1330" s="16"/>
      <c r="F1330" s="18"/>
      <c r="G1330" s="19" t="str">
        <f t="shared" ca="1" si="40"/>
        <v/>
      </c>
      <c r="H1330" s="18"/>
      <c r="I1330" s="18"/>
      <c r="J1330" s="77" t="str">
        <f t="shared" ca="1" si="41"/>
        <v/>
      </c>
      <c r="K1330" s="23">
        <f>IF(A1330="","",COUNTIFS(Resumen!$N$2:$N$2999,ROW(),Resumen!$V$2:$V$2999,1))</f>
        <v/>
      </c>
      <c r="L1330" s="26"/>
      <c r="N13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1" spans="1:14">
      <c r="A1331" s="16"/>
      <c r="B1331" s="16"/>
      <c r="C1331" s="25"/>
      <c r="D1331" s="25"/>
      <c r="E1331" s="16"/>
      <c r="F1331" s="18"/>
      <c r="G1331" s="19" t="str">
        <f t="shared" ca="1" si="40"/>
        <v/>
      </c>
      <c r="H1331" s="18"/>
      <c r="I1331" s="18"/>
      <c r="J1331" s="77" t="str">
        <f t="shared" ca="1" si="41"/>
        <v/>
      </c>
      <c r="K1331" s="23">
        <f>IF(A1331="","",COUNTIFS(Resumen!$N$2:$N$2999,ROW(),Resumen!$V$2:$V$2999,1))</f>
        <v/>
      </c>
      <c r="L1331" s="26"/>
      <c r="N13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2" spans="1:14">
      <c r="A1332" s="16"/>
      <c r="B1332" s="16"/>
      <c r="C1332" s="25"/>
      <c r="D1332" s="25"/>
      <c r="E1332" s="16"/>
      <c r="F1332" s="18"/>
      <c r="G1332" s="19" t="str">
        <f t="shared" ca="1" si="40"/>
        <v/>
      </c>
      <c r="H1332" s="18"/>
      <c r="I1332" s="18"/>
      <c r="J1332" s="77" t="str">
        <f t="shared" ca="1" si="41"/>
        <v/>
      </c>
      <c r="K1332" s="23">
        <f>IF(A1332="","",COUNTIFS(Resumen!$N$2:$N$2999,ROW(),Resumen!$V$2:$V$2999,1))</f>
        <v/>
      </c>
      <c r="L1332" s="26"/>
      <c r="N13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3" spans="1:14">
      <c r="A1333" s="16"/>
      <c r="B1333" s="16"/>
      <c r="C1333" s="25"/>
      <c r="D1333" s="25"/>
      <c r="E1333" s="16"/>
      <c r="F1333" s="18"/>
      <c r="G1333" s="19" t="str">
        <f t="shared" ca="1" si="40"/>
        <v/>
      </c>
      <c r="H1333" s="18"/>
      <c r="I1333" s="18"/>
      <c r="J1333" s="77" t="str">
        <f t="shared" ca="1" si="41"/>
        <v/>
      </c>
      <c r="K1333" s="23">
        <f>IF(A1333="","",COUNTIFS(Resumen!$N$2:$N$2999,ROW(),Resumen!$V$2:$V$2999,1))</f>
        <v/>
      </c>
      <c r="L1333" s="26"/>
      <c r="N13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4" spans="1:14">
      <c r="A1334" s="16"/>
      <c r="B1334" s="16"/>
      <c r="C1334" s="25"/>
      <c r="D1334" s="25"/>
      <c r="E1334" s="16"/>
      <c r="F1334" s="18"/>
      <c r="G1334" s="19" t="str">
        <f t="shared" ca="1" si="40"/>
        <v/>
      </c>
      <c r="H1334" s="18"/>
      <c r="I1334" s="18"/>
      <c r="J1334" s="77" t="str">
        <f t="shared" ca="1" si="41"/>
        <v/>
      </c>
      <c r="K1334" s="23">
        <f>IF(A1334="","",COUNTIFS(Resumen!$N$2:$N$2999,ROW(),Resumen!$V$2:$V$2999,1))</f>
        <v/>
      </c>
      <c r="L1334" s="26"/>
      <c r="N13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5" spans="1:14">
      <c r="A1335" s="16"/>
      <c r="B1335" s="16"/>
      <c r="C1335" s="25"/>
      <c r="D1335" s="25"/>
      <c r="E1335" s="16"/>
      <c r="F1335" s="18"/>
      <c r="G1335" s="19" t="str">
        <f t="shared" ca="1" si="40"/>
        <v/>
      </c>
      <c r="H1335" s="18"/>
      <c r="I1335" s="18"/>
      <c r="J1335" s="77" t="str">
        <f t="shared" ca="1" si="41"/>
        <v/>
      </c>
      <c r="K1335" s="23">
        <f>IF(A1335="","",COUNTIFS(Resumen!$N$2:$N$2999,ROW(),Resumen!$V$2:$V$2999,1))</f>
        <v/>
      </c>
      <c r="L1335" s="26"/>
      <c r="N13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6" spans="1:14">
      <c r="A1336" s="16"/>
      <c r="B1336" s="16"/>
      <c r="C1336" s="25"/>
      <c r="D1336" s="25"/>
      <c r="E1336" s="16"/>
      <c r="F1336" s="18"/>
      <c r="G1336" s="19" t="str">
        <f t="shared" ca="1" si="40"/>
        <v/>
      </c>
      <c r="H1336" s="18"/>
      <c r="I1336" s="18"/>
      <c r="J1336" s="77" t="str">
        <f t="shared" ca="1" si="41"/>
        <v/>
      </c>
      <c r="K1336" s="23">
        <f>IF(A1336="","",COUNTIFS(Resumen!$N$2:$N$2999,ROW(),Resumen!$V$2:$V$2999,1))</f>
        <v/>
      </c>
      <c r="L1336" s="26"/>
      <c r="N13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7" spans="1:14">
      <c r="A1337" s="16"/>
      <c r="B1337" s="16"/>
      <c r="C1337" s="25"/>
      <c r="D1337" s="25"/>
      <c r="E1337" s="16"/>
      <c r="F1337" s="18"/>
      <c r="G1337" s="19" t="str">
        <f t="shared" ca="1" si="40"/>
        <v/>
      </c>
      <c r="H1337" s="18"/>
      <c r="I1337" s="18"/>
      <c r="J1337" s="77" t="str">
        <f t="shared" ca="1" si="41"/>
        <v/>
      </c>
      <c r="K1337" s="23">
        <f>IF(A1337="","",COUNTIFS(Resumen!$N$2:$N$2999,ROW(),Resumen!$V$2:$V$2999,1))</f>
        <v/>
      </c>
      <c r="L1337" s="26"/>
      <c r="N13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8" spans="1:14">
      <c r="A1338" s="16"/>
      <c r="B1338" s="16"/>
      <c r="C1338" s="25"/>
      <c r="D1338" s="25"/>
      <c r="E1338" s="16"/>
      <c r="F1338" s="18"/>
      <c r="G1338" s="19" t="str">
        <f t="shared" ca="1" si="40"/>
        <v/>
      </c>
      <c r="H1338" s="18"/>
      <c r="I1338" s="18"/>
      <c r="J1338" s="77" t="str">
        <f t="shared" ca="1" si="41"/>
        <v/>
      </c>
      <c r="K1338" s="23">
        <f>IF(A1338="","",COUNTIFS(Resumen!$N$2:$N$2999,ROW(),Resumen!$V$2:$V$2999,1))</f>
        <v/>
      </c>
      <c r="L1338" s="26"/>
      <c r="N13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39" spans="1:14">
      <c r="A1339" s="16"/>
      <c r="B1339" s="16"/>
      <c r="C1339" s="25"/>
      <c r="D1339" s="25"/>
      <c r="E1339" s="16"/>
      <c r="F1339" s="18"/>
      <c r="G1339" s="19" t="str">
        <f t="shared" ca="1" si="40"/>
        <v/>
      </c>
      <c r="H1339" s="18"/>
      <c r="I1339" s="18"/>
      <c r="J1339" s="77" t="str">
        <f t="shared" ca="1" si="41"/>
        <v/>
      </c>
      <c r="K1339" s="23">
        <f>IF(A1339="","",COUNTIFS(Resumen!$N$2:$N$2999,ROW(),Resumen!$V$2:$V$2999,1))</f>
        <v/>
      </c>
      <c r="L1339" s="26"/>
      <c r="N13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0" spans="1:14">
      <c r="A1340" s="16"/>
      <c r="B1340" s="16"/>
      <c r="C1340" s="25"/>
      <c r="D1340" s="25"/>
      <c r="E1340" s="16"/>
      <c r="F1340" s="18"/>
      <c r="G1340" s="19" t="str">
        <f t="shared" ca="1" si="40"/>
        <v/>
      </c>
      <c r="H1340" s="18"/>
      <c r="I1340" s="18"/>
      <c r="J1340" s="77" t="str">
        <f t="shared" ca="1" si="41"/>
        <v/>
      </c>
      <c r="K1340" s="23">
        <f>IF(A1340="","",COUNTIFS(Resumen!$N$2:$N$2999,ROW(),Resumen!$V$2:$V$2999,1))</f>
        <v/>
      </c>
      <c r="L1340" s="26"/>
      <c r="N13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1" spans="1:14">
      <c r="A1341" s="16"/>
      <c r="B1341" s="16"/>
      <c r="C1341" s="25"/>
      <c r="D1341" s="25"/>
      <c r="E1341" s="16"/>
      <c r="F1341" s="18"/>
      <c r="G1341" s="19" t="str">
        <f t="shared" ca="1" si="40"/>
        <v/>
      </c>
      <c r="H1341" s="18"/>
      <c r="I1341" s="18"/>
      <c r="J1341" s="77" t="str">
        <f t="shared" ca="1" si="41"/>
        <v/>
      </c>
      <c r="K1341" s="23">
        <f>IF(A1341="","",COUNTIFS(Resumen!$N$2:$N$2999,ROW(),Resumen!$V$2:$V$2999,1))</f>
        <v/>
      </c>
      <c r="L1341" s="26"/>
      <c r="N13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2" spans="1:14">
      <c r="A1342" s="16"/>
      <c r="B1342" s="16"/>
      <c r="C1342" s="25"/>
      <c r="D1342" s="25"/>
      <c r="E1342" s="16"/>
      <c r="F1342" s="18"/>
      <c r="G1342" s="19" t="str">
        <f t="shared" ca="1" si="40"/>
        <v/>
      </c>
      <c r="H1342" s="18"/>
      <c r="I1342" s="18"/>
      <c r="J1342" s="77" t="str">
        <f t="shared" ca="1" si="41"/>
        <v/>
      </c>
      <c r="K1342" s="23">
        <f>IF(A1342="","",COUNTIFS(Resumen!$N$2:$N$2999,ROW(),Resumen!$V$2:$V$2999,1))</f>
        <v/>
      </c>
      <c r="L1342" s="26"/>
      <c r="N13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3" spans="1:14">
      <c r="A1343" s="16"/>
      <c r="B1343" s="16"/>
      <c r="C1343" s="25"/>
      <c r="D1343" s="25"/>
      <c r="E1343" s="16"/>
      <c r="F1343" s="18"/>
      <c r="G1343" s="19" t="str">
        <f t="shared" ca="1" si="40"/>
        <v/>
      </c>
      <c r="H1343" s="18"/>
      <c r="I1343" s="18"/>
      <c r="J1343" s="77" t="str">
        <f t="shared" ca="1" si="41"/>
        <v/>
      </c>
      <c r="K1343" s="23">
        <f>IF(A1343="","",COUNTIFS(Resumen!$N$2:$N$2999,ROW(),Resumen!$V$2:$V$2999,1))</f>
        <v/>
      </c>
      <c r="L1343" s="26"/>
      <c r="N13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4" spans="1:14">
      <c r="A1344" s="16"/>
      <c r="B1344" s="16"/>
      <c r="C1344" s="25"/>
      <c r="D1344" s="25"/>
      <c r="E1344" s="16"/>
      <c r="F1344" s="18"/>
      <c r="G1344" s="19" t="str">
        <f t="shared" ca="1" si="40"/>
        <v/>
      </c>
      <c r="H1344" s="18"/>
      <c r="I1344" s="18"/>
      <c r="J1344" s="77" t="str">
        <f t="shared" ca="1" si="41"/>
        <v/>
      </c>
      <c r="K1344" s="23">
        <f>IF(A1344="","",COUNTIFS(Resumen!$N$2:$N$2999,ROW(),Resumen!$V$2:$V$2999,1))</f>
        <v/>
      </c>
      <c r="L1344" s="26"/>
      <c r="N13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5" spans="1:14">
      <c r="A1345" s="16"/>
      <c r="B1345" s="16"/>
      <c r="C1345" s="25"/>
      <c r="D1345" s="25"/>
      <c r="E1345" s="16"/>
      <c r="F1345" s="18"/>
      <c r="G1345" s="19" t="str">
        <f t="shared" ca="1" si="40"/>
        <v/>
      </c>
      <c r="H1345" s="18"/>
      <c r="I1345" s="18"/>
      <c r="J1345" s="77" t="str">
        <f t="shared" ca="1" si="41"/>
        <v/>
      </c>
      <c r="K1345" s="23">
        <f>IF(A1345="","",COUNTIFS(Resumen!$N$2:$N$2999,ROW(),Resumen!$V$2:$V$2999,1))</f>
        <v/>
      </c>
      <c r="L1345" s="26"/>
      <c r="N13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6" spans="1:14">
      <c r="A1346" s="16"/>
      <c r="B1346" s="16"/>
      <c r="C1346" s="25"/>
      <c r="D1346" s="25"/>
      <c r="E1346" s="16"/>
      <c r="F1346" s="18"/>
      <c r="G1346" s="19" t="str">
        <f t="shared" ref="G1346:G1409" ca="1" si="42">IF(F1346="", "", DATEDIF(F1346, TODAY(), "Y"))</f>
        <v/>
      </c>
      <c r="H1346" s="18"/>
      <c r="I1346" s="18"/>
      <c r="J1346" s="77" t="str">
        <f t="shared" ref="J1346:J1409" ca="1" si="43">IFERROR(IF(ISNUMBER(INDEX(VigenciasFamilia,ROW())),INDEX(VigenciasFamilia,ROW())-TODAY(),""),"")</f>
        <v/>
      </c>
      <c r="K1346" s="23">
        <f>IF(A1346="","",COUNTIFS(Resumen!$N$2:$N$2999,ROW(),Resumen!$V$2:$V$2999,1))</f>
        <v/>
      </c>
      <c r="L1346" s="26"/>
      <c r="N13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7" spans="1:14">
      <c r="A1347" s="16"/>
      <c r="B1347" s="16"/>
      <c r="C1347" s="25"/>
      <c r="D1347" s="25"/>
      <c r="E1347" s="16"/>
      <c r="F1347" s="18"/>
      <c r="G1347" s="19" t="str">
        <f t="shared" ca="1" si="42"/>
        <v/>
      </c>
      <c r="H1347" s="18"/>
      <c r="I1347" s="18"/>
      <c r="J1347" s="77" t="str">
        <f t="shared" ca="1" si="43"/>
        <v/>
      </c>
      <c r="K1347" s="23">
        <f>IF(A1347="","",COUNTIFS(Resumen!$N$2:$N$2999,ROW(),Resumen!$V$2:$V$2999,1))</f>
        <v/>
      </c>
      <c r="L1347" s="26"/>
      <c r="N13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8" spans="1:14">
      <c r="A1348" s="16"/>
      <c r="B1348" s="16"/>
      <c r="C1348" s="25"/>
      <c r="D1348" s="25"/>
      <c r="E1348" s="16"/>
      <c r="F1348" s="18"/>
      <c r="G1348" s="19" t="str">
        <f t="shared" ca="1" si="42"/>
        <v/>
      </c>
      <c r="H1348" s="18"/>
      <c r="I1348" s="18"/>
      <c r="J1348" s="77" t="str">
        <f t="shared" ca="1" si="43"/>
        <v/>
      </c>
      <c r="K1348" s="23">
        <f>IF(A1348="","",COUNTIFS(Resumen!$N$2:$N$2999,ROW(),Resumen!$V$2:$V$2999,1))</f>
        <v/>
      </c>
      <c r="L1348" s="26"/>
      <c r="N13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49" spans="1:14">
      <c r="A1349" s="16"/>
      <c r="B1349" s="16"/>
      <c r="C1349" s="25"/>
      <c r="D1349" s="25"/>
      <c r="E1349" s="16"/>
      <c r="F1349" s="18"/>
      <c r="G1349" s="19" t="str">
        <f t="shared" ca="1" si="42"/>
        <v/>
      </c>
      <c r="H1349" s="18"/>
      <c r="I1349" s="18"/>
      <c r="J1349" s="77" t="str">
        <f t="shared" ca="1" si="43"/>
        <v/>
      </c>
      <c r="K1349" s="23">
        <f>IF(A1349="","",COUNTIFS(Resumen!$N$2:$N$2999,ROW(),Resumen!$V$2:$V$2999,1))</f>
        <v/>
      </c>
      <c r="L1349" s="26"/>
      <c r="N13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0" spans="1:14">
      <c r="A1350" s="16"/>
      <c r="B1350" s="16"/>
      <c r="C1350" s="25"/>
      <c r="D1350" s="25"/>
      <c r="E1350" s="16"/>
      <c r="F1350" s="18"/>
      <c r="G1350" s="19" t="str">
        <f t="shared" ca="1" si="42"/>
        <v/>
      </c>
      <c r="H1350" s="18"/>
      <c r="I1350" s="18"/>
      <c r="J1350" s="77" t="str">
        <f t="shared" ca="1" si="43"/>
        <v/>
      </c>
      <c r="K1350" s="23">
        <f>IF(A1350="","",COUNTIFS(Resumen!$N$2:$N$2999,ROW(),Resumen!$V$2:$V$2999,1))</f>
        <v/>
      </c>
      <c r="L1350" s="26"/>
      <c r="N13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1" spans="1:14">
      <c r="A1351" s="16"/>
      <c r="B1351" s="16"/>
      <c r="C1351" s="25"/>
      <c r="D1351" s="25"/>
      <c r="E1351" s="16"/>
      <c r="F1351" s="18"/>
      <c r="G1351" s="19" t="str">
        <f t="shared" ca="1" si="42"/>
        <v/>
      </c>
      <c r="H1351" s="18"/>
      <c r="I1351" s="18"/>
      <c r="J1351" s="77" t="str">
        <f t="shared" ca="1" si="43"/>
        <v/>
      </c>
      <c r="K1351" s="23">
        <f>IF(A1351="","",COUNTIFS(Resumen!$N$2:$N$2999,ROW(),Resumen!$V$2:$V$2999,1))</f>
        <v/>
      </c>
      <c r="L1351" s="26"/>
      <c r="N13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2" spans="1:14">
      <c r="A1352" s="16"/>
      <c r="B1352" s="16"/>
      <c r="C1352" s="25"/>
      <c r="D1352" s="25"/>
      <c r="E1352" s="16"/>
      <c r="F1352" s="18"/>
      <c r="G1352" s="19" t="str">
        <f t="shared" ca="1" si="42"/>
        <v/>
      </c>
      <c r="H1352" s="18"/>
      <c r="I1352" s="18"/>
      <c r="J1352" s="77" t="str">
        <f t="shared" ca="1" si="43"/>
        <v/>
      </c>
      <c r="K1352" s="23">
        <f>IF(A1352="","",COUNTIFS(Resumen!$N$2:$N$2999,ROW(),Resumen!$V$2:$V$2999,1))</f>
        <v/>
      </c>
      <c r="L1352" s="26"/>
      <c r="N13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3" spans="1:14">
      <c r="A1353" s="16"/>
      <c r="B1353" s="16"/>
      <c r="C1353" s="25"/>
      <c r="D1353" s="25"/>
      <c r="E1353" s="16"/>
      <c r="F1353" s="18"/>
      <c r="G1353" s="19" t="str">
        <f t="shared" ca="1" si="42"/>
        <v/>
      </c>
      <c r="H1353" s="18"/>
      <c r="I1353" s="18"/>
      <c r="J1353" s="77" t="str">
        <f t="shared" ca="1" si="43"/>
        <v/>
      </c>
      <c r="K1353" s="23">
        <f>IF(A1353="","",COUNTIFS(Resumen!$N$2:$N$2999,ROW(),Resumen!$V$2:$V$2999,1))</f>
        <v/>
      </c>
      <c r="L1353" s="26"/>
      <c r="N13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4" spans="1:14">
      <c r="A1354" s="16"/>
      <c r="B1354" s="16"/>
      <c r="C1354" s="25"/>
      <c r="D1354" s="25"/>
      <c r="E1354" s="16"/>
      <c r="F1354" s="18"/>
      <c r="G1354" s="19" t="str">
        <f t="shared" ca="1" si="42"/>
        <v/>
      </c>
      <c r="H1354" s="18"/>
      <c r="I1354" s="18"/>
      <c r="J1354" s="77" t="str">
        <f t="shared" ca="1" si="43"/>
        <v/>
      </c>
      <c r="K1354" s="23">
        <f>IF(A1354="","",COUNTIFS(Resumen!$N$2:$N$2999,ROW(),Resumen!$V$2:$V$2999,1))</f>
        <v/>
      </c>
      <c r="L1354" s="26"/>
      <c r="N13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5" spans="1:14">
      <c r="A1355" s="16"/>
      <c r="B1355" s="16"/>
      <c r="C1355" s="25"/>
      <c r="D1355" s="25"/>
      <c r="E1355" s="16"/>
      <c r="F1355" s="18"/>
      <c r="G1355" s="19" t="str">
        <f t="shared" ca="1" si="42"/>
        <v/>
      </c>
      <c r="H1355" s="18"/>
      <c r="I1355" s="18"/>
      <c r="J1355" s="77" t="str">
        <f t="shared" ca="1" si="43"/>
        <v/>
      </c>
      <c r="K1355" s="23">
        <f>IF(A1355="","",COUNTIFS(Resumen!$N$2:$N$2999,ROW(),Resumen!$V$2:$V$2999,1))</f>
        <v/>
      </c>
      <c r="L1355" s="26"/>
      <c r="N13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6" spans="1:14">
      <c r="A1356" s="16"/>
      <c r="B1356" s="16"/>
      <c r="C1356" s="25"/>
      <c r="D1356" s="25"/>
      <c r="E1356" s="16"/>
      <c r="F1356" s="18"/>
      <c r="G1356" s="19" t="str">
        <f t="shared" ca="1" si="42"/>
        <v/>
      </c>
      <c r="H1356" s="18"/>
      <c r="I1356" s="18"/>
      <c r="J1356" s="77" t="str">
        <f t="shared" ca="1" si="43"/>
        <v/>
      </c>
      <c r="K1356" s="23">
        <f>IF(A1356="","",COUNTIFS(Resumen!$N$2:$N$2999,ROW(),Resumen!$V$2:$V$2999,1))</f>
        <v/>
      </c>
      <c r="L1356" s="26"/>
      <c r="N13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7" spans="1:14">
      <c r="A1357" s="16"/>
      <c r="B1357" s="16"/>
      <c r="C1357" s="25"/>
      <c r="D1357" s="25"/>
      <c r="E1357" s="16"/>
      <c r="F1357" s="18"/>
      <c r="G1357" s="19" t="str">
        <f t="shared" ca="1" si="42"/>
        <v/>
      </c>
      <c r="H1357" s="18"/>
      <c r="I1357" s="18"/>
      <c r="J1357" s="77" t="str">
        <f t="shared" ca="1" si="43"/>
        <v/>
      </c>
      <c r="K1357" s="23">
        <f>IF(A1357="","",COUNTIFS(Resumen!$N$2:$N$2999,ROW(),Resumen!$V$2:$V$2999,1))</f>
        <v/>
      </c>
      <c r="L1357" s="26"/>
      <c r="N13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8" spans="1:14">
      <c r="A1358" s="16"/>
      <c r="B1358" s="16"/>
      <c r="C1358" s="25"/>
      <c r="D1358" s="25"/>
      <c r="E1358" s="16"/>
      <c r="F1358" s="18"/>
      <c r="G1358" s="19" t="str">
        <f t="shared" ca="1" si="42"/>
        <v/>
      </c>
      <c r="H1358" s="18"/>
      <c r="I1358" s="18"/>
      <c r="J1358" s="77" t="str">
        <f t="shared" ca="1" si="43"/>
        <v/>
      </c>
      <c r="K1358" s="23">
        <f>IF(A1358="","",COUNTIFS(Resumen!$N$2:$N$2999,ROW(),Resumen!$V$2:$V$2999,1))</f>
        <v/>
      </c>
      <c r="L1358" s="26"/>
      <c r="N13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59" spans="1:14">
      <c r="A1359" s="16"/>
      <c r="B1359" s="16"/>
      <c r="C1359" s="25"/>
      <c r="D1359" s="25"/>
      <c r="E1359" s="16"/>
      <c r="F1359" s="18"/>
      <c r="G1359" s="19" t="str">
        <f t="shared" ca="1" si="42"/>
        <v/>
      </c>
      <c r="H1359" s="18"/>
      <c r="I1359" s="18"/>
      <c r="J1359" s="77" t="str">
        <f t="shared" ca="1" si="43"/>
        <v/>
      </c>
      <c r="K1359" s="23">
        <f>IF(A1359="","",COUNTIFS(Resumen!$N$2:$N$2999,ROW(),Resumen!$V$2:$V$2999,1))</f>
        <v/>
      </c>
      <c r="L1359" s="26"/>
      <c r="N13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0" spans="1:14">
      <c r="A1360" s="16"/>
      <c r="B1360" s="16"/>
      <c r="C1360" s="25"/>
      <c r="D1360" s="25"/>
      <c r="E1360" s="16"/>
      <c r="F1360" s="18"/>
      <c r="G1360" s="19" t="str">
        <f t="shared" ca="1" si="42"/>
        <v/>
      </c>
      <c r="H1360" s="18"/>
      <c r="I1360" s="18"/>
      <c r="J1360" s="77" t="str">
        <f t="shared" ca="1" si="43"/>
        <v/>
      </c>
      <c r="K1360" s="23">
        <f>IF(A1360="","",COUNTIFS(Resumen!$N$2:$N$2999,ROW(),Resumen!$V$2:$V$2999,1))</f>
        <v/>
      </c>
      <c r="L1360" s="26"/>
      <c r="N13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1" spans="1:14">
      <c r="A1361" s="16"/>
      <c r="B1361" s="16"/>
      <c r="C1361" s="25"/>
      <c r="D1361" s="25"/>
      <c r="E1361" s="16"/>
      <c r="F1361" s="18"/>
      <c r="G1361" s="19" t="str">
        <f t="shared" ca="1" si="42"/>
        <v/>
      </c>
      <c r="H1361" s="18"/>
      <c r="I1361" s="18"/>
      <c r="J1361" s="77" t="str">
        <f t="shared" ca="1" si="43"/>
        <v/>
      </c>
      <c r="K1361" s="23">
        <f>IF(A1361="","",COUNTIFS(Resumen!$N$2:$N$2999,ROW(),Resumen!$V$2:$V$2999,1))</f>
        <v/>
      </c>
      <c r="L1361" s="26"/>
      <c r="N13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2" spans="1:14">
      <c r="A1362" s="16"/>
      <c r="B1362" s="16"/>
      <c r="C1362" s="25"/>
      <c r="D1362" s="25"/>
      <c r="E1362" s="16"/>
      <c r="F1362" s="18"/>
      <c r="G1362" s="19" t="str">
        <f t="shared" ca="1" si="42"/>
        <v/>
      </c>
      <c r="H1362" s="18"/>
      <c r="I1362" s="18"/>
      <c r="J1362" s="77" t="str">
        <f t="shared" ca="1" si="43"/>
        <v/>
      </c>
      <c r="K1362" s="23">
        <f>IF(A1362="","",COUNTIFS(Resumen!$N$2:$N$2999,ROW(),Resumen!$V$2:$V$2999,1))</f>
        <v/>
      </c>
      <c r="L1362" s="26"/>
      <c r="N13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3" spans="1:14">
      <c r="A1363" s="16"/>
      <c r="B1363" s="16"/>
      <c r="C1363" s="25"/>
      <c r="D1363" s="25"/>
      <c r="E1363" s="16"/>
      <c r="F1363" s="18"/>
      <c r="G1363" s="19" t="str">
        <f t="shared" ca="1" si="42"/>
        <v/>
      </c>
      <c r="H1363" s="18"/>
      <c r="I1363" s="18"/>
      <c r="J1363" s="77" t="str">
        <f t="shared" ca="1" si="43"/>
        <v/>
      </c>
      <c r="K1363" s="23">
        <f>IF(A1363="","",COUNTIFS(Resumen!$N$2:$N$2999,ROW(),Resumen!$V$2:$V$2999,1))</f>
        <v/>
      </c>
      <c r="L1363" s="26"/>
      <c r="N13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4" spans="1:14">
      <c r="A1364" s="16"/>
      <c r="B1364" s="16"/>
      <c r="C1364" s="25"/>
      <c r="D1364" s="25"/>
      <c r="E1364" s="16"/>
      <c r="F1364" s="18"/>
      <c r="G1364" s="19" t="str">
        <f t="shared" ca="1" si="42"/>
        <v/>
      </c>
      <c r="H1364" s="18"/>
      <c r="I1364" s="18"/>
      <c r="J1364" s="77" t="str">
        <f t="shared" ca="1" si="43"/>
        <v/>
      </c>
      <c r="K1364" s="23">
        <f>IF(A1364="","",COUNTIFS(Resumen!$N$2:$N$2999,ROW(),Resumen!$V$2:$V$2999,1))</f>
        <v/>
      </c>
      <c r="L1364" s="26"/>
      <c r="N13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5" spans="1:14">
      <c r="A1365" s="16"/>
      <c r="B1365" s="16"/>
      <c r="C1365" s="25"/>
      <c r="D1365" s="25"/>
      <c r="E1365" s="16"/>
      <c r="F1365" s="18"/>
      <c r="G1365" s="19" t="str">
        <f t="shared" ca="1" si="42"/>
        <v/>
      </c>
      <c r="H1365" s="18"/>
      <c r="I1365" s="18"/>
      <c r="J1365" s="77" t="str">
        <f t="shared" ca="1" si="43"/>
        <v/>
      </c>
      <c r="K1365" s="23">
        <f>IF(A1365="","",COUNTIFS(Resumen!$N$2:$N$2999,ROW(),Resumen!$V$2:$V$2999,1))</f>
        <v/>
      </c>
      <c r="L1365" s="26"/>
      <c r="N13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6" spans="1:14">
      <c r="A1366" s="16"/>
      <c r="B1366" s="16"/>
      <c r="C1366" s="25"/>
      <c r="D1366" s="25"/>
      <c r="E1366" s="16"/>
      <c r="F1366" s="18"/>
      <c r="G1366" s="19" t="str">
        <f t="shared" ca="1" si="42"/>
        <v/>
      </c>
      <c r="H1366" s="18"/>
      <c r="I1366" s="18"/>
      <c r="J1366" s="77" t="str">
        <f t="shared" ca="1" si="43"/>
        <v/>
      </c>
      <c r="K1366" s="23">
        <f>IF(A1366="","",COUNTIFS(Resumen!$N$2:$N$2999,ROW(),Resumen!$V$2:$V$2999,1))</f>
        <v/>
      </c>
      <c r="L1366" s="26"/>
      <c r="N13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7" spans="1:14">
      <c r="A1367" s="16"/>
      <c r="B1367" s="16"/>
      <c r="C1367" s="25"/>
      <c r="D1367" s="25"/>
      <c r="E1367" s="16"/>
      <c r="F1367" s="18"/>
      <c r="G1367" s="19" t="str">
        <f t="shared" ca="1" si="42"/>
        <v/>
      </c>
      <c r="H1367" s="18"/>
      <c r="I1367" s="18"/>
      <c r="J1367" s="77" t="str">
        <f t="shared" ca="1" si="43"/>
        <v/>
      </c>
      <c r="K1367" s="23">
        <f>IF(A1367="","",COUNTIFS(Resumen!$N$2:$N$2999,ROW(),Resumen!$V$2:$V$2999,1))</f>
        <v/>
      </c>
      <c r="L1367" s="26"/>
      <c r="N13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8" spans="1:14">
      <c r="A1368" s="16"/>
      <c r="B1368" s="16"/>
      <c r="C1368" s="25"/>
      <c r="D1368" s="25"/>
      <c r="E1368" s="16"/>
      <c r="F1368" s="18"/>
      <c r="G1368" s="19" t="str">
        <f t="shared" ca="1" si="42"/>
        <v/>
      </c>
      <c r="H1368" s="18"/>
      <c r="I1368" s="18"/>
      <c r="J1368" s="77" t="str">
        <f t="shared" ca="1" si="43"/>
        <v/>
      </c>
      <c r="K1368" s="23">
        <f>IF(A1368="","",COUNTIFS(Resumen!$N$2:$N$2999,ROW(),Resumen!$V$2:$V$2999,1))</f>
        <v/>
      </c>
      <c r="L1368" s="26"/>
      <c r="N13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69" spans="1:14">
      <c r="A1369" s="16"/>
      <c r="B1369" s="16"/>
      <c r="C1369" s="25"/>
      <c r="D1369" s="25"/>
      <c r="E1369" s="16"/>
      <c r="F1369" s="18"/>
      <c r="G1369" s="19" t="str">
        <f t="shared" ca="1" si="42"/>
        <v/>
      </c>
      <c r="H1369" s="18"/>
      <c r="I1369" s="18"/>
      <c r="J1369" s="77" t="str">
        <f t="shared" ca="1" si="43"/>
        <v/>
      </c>
      <c r="K1369" s="23">
        <f>IF(A1369="","",COUNTIFS(Resumen!$N$2:$N$2999,ROW(),Resumen!$V$2:$V$2999,1))</f>
        <v/>
      </c>
      <c r="L1369" s="26"/>
      <c r="N13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0" spans="1:14">
      <c r="A1370" s="16"/>
      <c r="B1370" s="16"/>
      <c r="C1370" s="25"/>
      <c r="D1370" s="25"/>
      <c r="E1370" s="16"/>
      <c r="F1370" s="18"/>
      <c r="G1370" s="19" t="str">
        <f t="shared" ca="1" si="42"/>
        <v/>
      </c>
      <c r="H1370" s="18"/>
      <c r="I1370" s="18"/>
      <c r="J1370" s="77" t="str">
        <f t="shared" ca="1" si="43"/>
        <v/>
      </c>
      <c r="K1370" s="23">
        <f>IF(A1370="","",COUNTIFS(Resumen!$N$2:$N$2999,ROW(),Resumen!$V$2:$V$2999,1))</f>
        <v/>
      </c>
      <c r="L1370" s="26"/>
      <c r="N13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1" spans="1:14">
      <c r="A1371" s="16"/>
      <c r="B1371" s="16"/>
      <c r="C1371" s="25"/>
      <c r="D1371" s="25"/>
      <c r="E1371" s="16"/>
      <c r="F1371" s="18"/>
      <c r="G1371" s="19" t="str">
        <f t="shared" ca="1" si="42"/>
        <v/>
      </c>
      <c r="H1371" s="18"/>
      <c r="I1371" s="18"/>
      <c r="J1371" s="77" t="str">
        <f t="shared" ca="1" si="43"/>
        <v/>
      </c>
      <c r="K1371" s="23">
        <f>IF(A1371="","",COUNTIFS(Resumen!$N$2:$N$2999,ROW(),Resumen!$V$2:$V$2999,1))</f>
        <v/>
      </c>
      <c r="L1371" s="26"/>
      <c r="N13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2" spans="1:14">
      <c r="A1372" s="16"/>
      <c r="B1372" s="16"/>
      <c r="C1372" s="25"/>
      <c r="D1372" s="25"/>
      <c r="E1372" s="16"/>
      <c r="F1372" s="18"/>
      <c r="G1372" s="19" t="str">
        <f t="shared" ca="1" si="42"/>
        <v/>
      </c>
      <c r="H1372" s="18"/>
      <c r="I1372" s="18"/>
      <c r="J1372" s="77" t="str">
        <f t="shared" ca="1" si="43"/>
        <v/>
      </c>
      <c r="K1372" s="23">
        <f>IF(A1372="","",COUNTIFS(Resumen!$N$2:$N$2999,ROW(),Resumen!$V$2:$V$2999,1))</f>
        <v/>
      </c>
      <c r="L1372" s="26"/>
      <c r="N13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3" spans="1:14">
      <c r="A1373" s="16"/>
      <c r="B1373" s="16"/>
      <c r="C1373" s="25"/>
      <c r="D1373" s="25"/>
      <c r="E1373" s="16"/>
      <c r="F1373" s="18"/>
      <c r="G1373" s="19" t="str">
        <f t="shared" ca="1" si="42"/>
        <v/>
      </c>
      <c r="H1373" s="18"/>
      <c r="I1373" s="18"/>
      <c r="J1373" s="77" t="str">
        <f t="shared" ca="1" si="43"/>
        <v/>
      </c>
      <c r="K1373" s="23">
        <f>IF(A1373="","",COUNTIFS(Resumen!$N$2:$N$2999,ROW(),Resumen!$V$2:$V$2999,1))</f>
        <v/>
      </c>
      <c r="L1373" s="26"/>
      <c r="N13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4" spans="1:14">
      <c r="A1374" s="16"/>
      <c r="B1374" s="16"/>
      <c r="C1374" s="25"/>
      <c r="D1374" s="25"/>
      <c r="E1374" s="16"/>
      <c r="F1374" s="18"/>
      <c r="G1374" s="19" t="str">
        <f t="shared" ca="1" si="42"/>
        <v/>
      </c>
      <c r="H1374" s="18"/>
      <c r="I1374" s="18"/>
      <c r="J1374" s="77" t="str">
        <f t="shared" ca="1" si="43"/>
        <v/>
      </c>
      <c r="K1374" s="23">
        <f>IF(A1374="","",COUNTIFS(Resumen!$N$2:$N$2999,ROW(),Resumen!$V$2:$V$2999,1))</f>
        <v/>
      </c>
      <c r="L1374" s="26"/>
      <c r="N13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5" spans="1:14">
      <c r="A1375" s="16"/>
      <c r="B1375" s="16"/>
      <c r="C1375" s="25"/>
      <c r="D1375" s="25"/>
      <c r="E1375" s="16"/>
      <c r="F1375" s="18"/>
      <c r="G1375" s="19" t="str">
        <f t="shared" ca="1" si="42"/>
        <v/>
      </c>
      <c r="H1375" s="18"/>
      <c r="I1375" s="18"/>
      <c r="J1375" s="77" t="str">
        <f t="shared" ca="1" si="43"/>
        <v/>
      </c>
      <c r="K1375" s="23">
        <f>IF(A1375="","",COUNTIFS(Resumen!$N$2:$N$2999,ROW(),Resumen!$V$2:$V$2999,1))</f>
        <v/>
      </c>
      <c r="L1375" s="26"/>
      <c r="N13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6" spans="1:14">
      <c r="A1376" s="16"/>
      <c r="B1376" s="16"/>
      <c r="C1376" s="25"/>
      <c r="D1376" s="25"/>
      <c r="E1376" s="16"/>
      <c r="F1376" s="18"/>
      <c r="G1376" s="19" t="str">
        <f t="shared" ca="1" si="42"/>
        <v/>
      </c>
      <c r="H1376" s="18"/>
      <c r="I1376" s="18"/>
      <c r="J1376" s="77" t="str">
        <f t="shared" ca="1" si="43"/>
        <v/>
      </c>
      <c r="K1376" s="23">
        <f>IF(A1376="","",COUNTIFS(Resumen!$N$2:$N$2999,ROW(),Resumen!$V$2:$V$2999,1))</f>
        <v/>
      </c>
      <c r="L1376" s="26"/>
      <c r="N13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7" spans="1:14">
      <c r="A1377" s="16"/>
      <c r="B1377" s="16"/>
      <c r="C1377" s="25"/>
      <c r="D1377" s="25"/>
      <c r="E1377" s="16"/>
      <c r="F1377" s="18"/>
      <c r="G1377" s="19" t="str">
        <f t="shared" ca="1" si="42"/>
        <v/>
      </c>
      <c r="H1377" s="18"/>
      <c r="I1377" s="18"/>
      <c r="J1377" s="77" t="str">
        <f t="shared" ca="1" si="43"/>
        <v/>
      </c>
      <c r="K1377" s="23">
        <f>IF(A1377="","",COUNTIFS(Resumen!$N$2:$N$2999,ROW(),Resumen!$V$2:$V$2999,1))</f>
        <v/>
      </c>
      <c r="L1377" s="26"/>
      <c r="N13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8" spans="1:14">
      <c r="A1378" s="16"/>
      <c r="B1378" s="16"/>
      <c r="C1378" s="25"/>
      <c r="D1378" s="25"/>
      <c r="E1378" s="16"/>
      <c r="F1378" s="18"/>
      <c r="G1378" s="19" t="str">
        <f t="shared" ca="1" si="42"/>
        <v/>
      </c>
      <c r="H1378" s="18"/>
      <c r="I1378" s="18"/>
      <c r="J1378" s="77" t="str">
        <f t="shared" ca="1" si="43"/>
        <v/>
      </c>
      <c r="K1378" s="23">
        <f>IF(A1378="","",COUNTIFS(Resumen!$N$2:$N$2999,ROW(),Resumen!$V$2:$V$2999,1))</f>
        <v/>
      </c>
      <c r="L1378" s="26"/>
      <c r="N13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79" spans="1:14">
      <c r="A1379" s="16"/>
      <c r="B1379" s="16"/>
      <c r="C1379" s="25"/>
      <c r="D1379" s="25"/>
      <c r="E1379" s="16"/>
      <c r="F1379" s="18"/>
      <c r="G1379" s="19" t="str">
        <f t="shared" ca="1" si="42"/>
        <v/>
      </c>
      <c r="H1379" s="18"/>
      <c r="I1379" s="18"/>
      <c r="J1379" s="77" t="str">
        <f t="shared" ca="1" si="43"/>
        <v/>
      </c>
      <c r="K1379" s="23">
        <f>IF(A1379="","",COUNTIFS(Resumen!$N$2:$N$2999,ROW(),Resumen!$V$2:$V$2999,1))</f>
        <v/>
      </c>
      <c r="L1379" s="26"/>
      <c r="N13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0" spans="1:14">
      <c r="A1380" s="16"/>
      <c r="B1380" s="16"/>
      <c r="C1380" s="25"/>
      <c r="D1380" s="25"/>
      <c r="E1380" s="16"/>
      <c r="F1380" s="18"/>
      <c r="G1380" s="19" t="str">
        <f t="shared" ca="1" si="42"/>
        <v/>
      </c>
      <c r="H1380" s="18"/>
      <c r="I1380" s="18"/>
      <c r="J1380" s="77" t="str">
        <f t="shared" ca="1" si="43"/>
        <v/>
      </c>
      <c r="K1380" s="23">
        <f>IF(A1380="","",COUNTIFS(Resumen!$N$2:$N$2999,ROW(),Resumen!$V$2:$V$2999,1))</f>
        <v/>
      </c>
      <c r="L1380" s="26"/>
      <c r="N13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1" spans="1:14">
      <c r="A1381" s="16"/>
      <c r="B1381" s="16"/>
      <c r="C1381" s="25"/>
      <c r="D1381" s="25"/>
      <c r="E1381" s="16"/>
      <c r="F1381" s="18"/>
      <c r="G1381" s="19" t="str">
        <f t="shared" ca="1" si="42"/>
        <v/>
      </c>
      <c r="H1381" s="18"/>
      <c r="I1381" s="18"/>
      <c r="J1381" s="77" t="str">
        <f t="shared" ca="1" si="43"/>
        <v/>
      </c>
      <c r="K1381" s="23">
        <f>IF(A1381="","",COUNTIFS(Resumen!$N$2:$N$2999,ROW(),Resumen!$V$2:$V$2999,1))</f>
        <v/>
      </c>
      <c r="L1381" s="26"/>
      <c r="N13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2" spans="1:14">
      <c r="A1382" s="16"/>
      <c r="B1382" s="16"/>
      <c r="C1382" s="25"/>
      <c r="D1382" s="25"/>
      <c r="E1382" s="16"/>
      <c r="F1382" s="18"/>
      <c r="G1382" s="19" t="str">
        <f t="shared" ca="1" si="42"/>
        <v/>
      </c>
      <c r="H1382" s="18"/>
      <c r="I1382" s="18"/>
      <c r="J1382" s="77" t="str">
        <f t="shared" ca="1" si="43"/>
        <v/>
      </c>
      <c r="K1382" s="23">
        <f>IF(A1382="","",COUNTIFS(Resumen!$N$2:$N$2999,ROW(),Resumen!$V$2:$V$2999,1))</f>
        <v/>
      </c>
      <c r="L1382" s="26"/>
      <c r="N13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3" spans="1:14">
      <c r="A1383" s="16"/>
      <c r="B1383" s="16"/>
      <c r="C1383" s="25"/>
      <c r="D1383" s="25"/>
      <c r="E1383" s="16"/>
      <c r="F1383" s="18"/>
      <c r="G1383" s="19" t="str">
        <f t="shared" ca="1" si="42"/>
        <v/>
      </c>
      <c r="H1383" s="18"/>
      <c r="I1383" s="18"/>
      <c r="J1383" s="77" t="str">
        <f t="shared" ca="1" si="43"/>
        <v/>
      </c>
      <c r="K1383" s="23">
        <f>IF(A1383="","",COUNTIFS(Resumen!$N$2:$N$2999,ROW(),Resumen!$V$2:$V$2999,1))</f>
        <v/>
      </c>
      <c r="L1383" s="26"/>
      <c r="N13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4" spans="1:14">
      <c r="A1384" s="16"/>
      <c r="B1384" s="16"/>
      <c r="C1384" s="25"/>
      <c r="D1384" s="25"/>
      <c r="E1384" s="16"/>
      <c r="F1384" s="18"/>
      <c r="G1384" s="19" t="str">
        <f t="shared" ca="1" si="42"/>
        <v/>
      </c>
      <c r="H1384" s="18"/>
      <c r="I1384" s="18"/>
      <c r="J1384" s="77" t="str">
        <f t="shared" ca="1" si="43"/>
        <v/>
      </c>
      <c r="K1384" s="23">
        <f>IF(A1384="","",COUNTIFS(Resumen!$N$2:$N$2999,ROW(),Resumen!$V$2:$V$2999,1))</f>
        <v/>
      </c>
      <c r="L1384" s="26"/>
      <c r="N13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5" spans="1:14">
      <c r="A1385" s="16"/>
      <c r="B1385" s="16"/>
      <c r="C1385" s="25"/>
      <c r="D1385" s="25"/>
      <c r="E1385" s="16"/>
      <c r="F1385" s="18"/>
      <c r="G1385" s="19" t="str">
        <f t="shared" ca="1" si="42"/>
        <v/>
      </c>
      <c r="H1385" s="18"/>
      <c r="I1385" s="18"/>
      <c r="J1385" s="77" t="str">
        <f t="shared" ca="1" si="43"/>
        <v/>
      </c>
      <c r="K1385" s="23">
        <f>IF(A1385="","",COUNTIFS(Resumen!$N$2:$N$2999,ROW(),Resumen!$V$2:$V$2999,1))</f>
        <v/>
      </c>
      <c r="L1385" s="26"/>
      <c r="N13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6" spans="1:14">
      <c r="A1386" s="16"/>
      <c r="B1386" s="16"/>
      <c r="C1386" s="25"/>
      <c r="D1386" s="25"/>
      <c r="E1386" s="16"/>
      <c r="F1386" s="18"/>
      <c r="G1386" s="19" t="str">
        <f t="shared" ca="1" si="42"/>
        <v/>
      </c>
      <c r="H1386" s="18"/>
      <c r="I1386" s="18"/>
      <c r="J1386" s="77" t="str">
        <f t="shared" ca="1" si="43"/>
        <v/>
      </c>
      <c r="K1386" s="23">
        <f>IF(A1386="","",COUNTIFS(Resumen!$N$2:$N$2999,ROW(),Resumen!$V$2:$V$2999,1))</f>
        <v/>
      </c>
      <c r="L1386" s="26"/>
      <c r="N13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7" spans="1:14">
      <c r="A1387" s="16"/>
      <c r="B1387" s="16"/>
      <c r="C1387" s="25"/>
      <c r="D1387" s="25"/>
      <c r="E1387" s="16"/>
      <c r="F1387" s="18"/>
      <c r="G1387" s="19" t="str">
        <f t="shared" ca="1" si="42"/>
        <v/>
      </c>
      <c r="H1387" s="18"/>
      <c r="I1387" s="18"/>
      <c r="J1387" s="77" t="str">
        <f t="shared" ca="1" si="43"/>
        <v/>
      </c>
      <c r="K1387" s="23">
        <f>IF(A1387="","",COUNTIFS(Resumen!$N$2:$N$2999,ROW(),Resumen!$V$2:$V$2999,1))</f>
        <v/>
      </c>
      <c r="L1387" s="26"/>
      <c r="N13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8" spans="1:14">
      <c r="A1388" s="16"/>
      <c r="B1388" s="16"/>
      <c r="C1388" s="25"/>
      <c r="D1388" s="25"/>
      <c r="E1388" s="16"/>
      <c r="F1388" s="18"/>
      <c r="G1388" s="19" t="str">
        <f t="shared" ca="1" si="42"/>
        <v/>
      </c>
      <c r="H1388" s="18"/>
      <c r="I1388" s="18"/>
      <c r="J1388" s="77" t="str">
        <f t="shared" ca="1" si="43"/>
        <v/>
      </c>
      <c r="K1388" s="23">
        <f>IF(A1388="","",COUNTIFS(Resumen!$N$2:$N$2999,ROW(),Resumen!$V$2:$V$2999,1))</f>
        <v/>
      </c>
      <c r="L1388" s="26"/>
      <c r="N13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89" spans="1:14">
      <c r="A1389" s="16"/>
      <c r="B1389" s="16"/>
      <c r="C1389" s="25"/>
      <c r="D1389" s="25"/>
      <c r="E1389" s="16"/>
      <c r="F1389" s="18"/>
      <c r="G1389" s="19" t="str">
        <f t="shared" ca="1" si="42"/>
        <v/>
      </c>
      <c r="H1389" s="18"/>
      <c r="I1389" s="18"/>
      <c r="J1389" s="77" t="str">
        <f t="shared" ca="1" si="43"/>
        <v/>
      </c>
      <c r="K1389" s="23">
        <f>IF(A1389="","",COUNTIFS(Resumen!$N$2:$N$2999,ROW(),Resumen!$V$2:$V$2999,1))</f>
        <v/>
      </c>
      <c r="L1389" s="26"/>
      <c r="N13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0" spans="1:14">
      <c r="A1390" s="16"/>
      <c r="B1390" s="16"/>
      <c r="C1390" s="25"/>
      <c r="D1390" s="25"/>
      <c r="E1390" s="16"/>
      <c r="F1390" s="18"/>
      <c r="G1390" s="19" t="str">
        <f t="shared" ca="1" si="42"/>
        <v/>
      </c>
      <c r="H1390" s="18"/>
      <c r="I1390" s="18"/>
      <c r="J1390" s="77" t="str">
        <f t="shared" ca="1" si="43"/>
        <v/>
      </c>
      <c r="K1390" s="23">
        <f>IF(A1390="","",COUNTIFS(Resumen!$N$2:$N$2999,ROW(),Resumen!$V$2:$V$2999,1))</f>
        <v/>
      </c>
      <c r="L1390" s="26"/>
      <c r="N13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1" spans="1:14">
      <c r="A1391" s="16"/>
      <c r="B1391" s="16"/>
      <c r="C1391" s="25"/>
      <c r="D1391" s="25"/>
      <c r="E1391" s="16"/>
      <c r="F1391" s="18"/>
      <c r="G1391" s="19" t="str">
        <f t="shared" ca="1" si="42"/>
        <v/>
      </c>
      <c r="H1391" s="18"/>
      <c r="I1391" s="18"/>
      <c r="J1391" s="77" t="str">
        <f t="shared" ca="1" si="43"/>
        <v/>
      </c>
      <c r="K1391" s="23">
        <f>IF(A1391="","",COUNTIFS(Resumen!$N$2:$N$2999,ROW(),Resumen!$V$2:$V$2999,1))</f>
        <v/>
      </c>
      <c r="L1391" s="26"/>
      <c r="N13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2" spans="1:14">
      <c r="A1392" s="16"/>
      <c r="B1392" s="16"/>
      <c r="C1392" s="25"/>
      <c r="D1392" s="25"/>
      <c r="E1392" s="16"/>
      <c r="F1392" s="18"/>
      <c r="G1392" s="19" t="str">
        <f t="shared" ca="1" si="42"/>
        <v/>
      </c>
      <c r="H1392" s="18"/>
      <c r="I1392" s="18"/>
      <c r="J1392" s="77" t="str">
        <f t="shared" ca="1" si="43"/>
        <v/>
      </c>
      <c r="K1392" s="23">
        <f>IF(A1392="","",COUNTIFS(Resumen!$N$2:$N$2999,ROW(),Resumen!$V$2:$V$2999,1))</f>
        <v/>
      </c>
      <c r="L1392" s="26"/>
      <c r="N13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3" spans="1:14">
      <c r="A1393" s="16"/>
      <c r="B1393" s="16"/>
      <c r="C1393" s="25"/>
      <c r="D1393" s="25"/>
      <c r="E1393" s="16"/>
      <c r="F1393" s="18"/>
      <c r="G1393" s="19" t="str">
        <f t="shared" ca="1" si="42"/>
        <v/>
      </c>
      <c r="H1393" s="18"/>
      <c r="I1393" s="18"/>
      <c r="J1393" s="77" t="str">
        <f t="shared" ca="1" si="43"/>
        <v/>
      </c>
      <c r="K1393" s="23">
        <f>IF(A1393="","",COUNTIFS(Resumen!$N$2:$N$2999,ROW(),Resumen!$V$2:$V$2999,1))</f>
        <v/>
      </c>
      <c r="L1393" s="26"/>
      <c r="N13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4" spans="1:14">
      <c r="A1394" s="16"/>
      <c r="B1394" s="16"/>
      <c r="C1394" s="25"/>
      <c r="D1394" s="25"/>
      <c r="E1394" s="16"/>
      <c r="F1394" s="18"/>
      <c r="G1394" s="19" t="str">
        <f t="shared" ca="1" si="42"/>
        <v/>
      </c>
      <c r="H1394" s="18"/>
      <c r="I1394" s="18"/>
      <c r="J1394" s="77" t="str">
        <f t="shared" ca="1" si="43"/>
        <v/>
      </c>
      <c r="K1394" s="23">
        <f>IF(A1394="","",COUNTIFS(Resumen!$N$2:$N$2999,ROW(),Resumen!$V$2:$V$2999,1))</f>
        <v/>
      </c>
      <c r="L1394" s="26"/>
      <c r="N13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5" spans="1:14">
      <c r="A1395" s="16"/>
      <c r="B1395" s="16"/>
      <c r="C1395" s="25"/>
      <c r="D1395" s="25"/>
      <c r="E1395" s="16"/>
      <c r="F1395" s="18"/>
      <c r="G1395" s="19" t="str">
        <f t="shared" ca="1" si="42"/>
        <v/>
      </c>
      <c r="H1395" s="18"/>
      <c r="I1395" s="18"/>
      <c r="J1395" s="77" t="str">
        <f t="shared" ca="1" si="43"/>
        <v/>
      </c>
      <c r="K1395" s="23">
        <f>IF(A1395="","",COUNTIFS(Resumen!$N$2:$N$2999,ROW(),Resumen!$V$2:$V$2999,1))</f>
        <v/>
      </c>
      <c r="L1395" s="26"/>
      <c r="N13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6" spans="1:14">
      <c r="A1396" s="16"/>
      <c r="B1396" s="16"/>
      <c r="C1396" s="25"/>
      <c r="D1396" s="25"/>
      <c r="E1396" s="16"/>
      <c r="F1396" s="18"/>
      <c r="G1396" s="19" t="str">
        <f t="shared" ca="1" si="42"/>
        <v/>
      </c>
      <c r="H1396" s="18"/>
      <c r="I1396" s="18"/>
      <c r="J1396" s="77" t="str">
        <f t="shared" ca="1" si="43"/>
        <v/>
      </c>
      <c r="K1396" s="23">
        <f>IF(A1396="","",COUNTIFS(Resumen!$N$2:$N$2999,ROW(),Resumen!$V$2:$V$2999,1))</f>
        <v/>
      </c>
      <c r="L1396" s="26"/>
      <c r="N13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7" spans="1:14">
      <c r="A1397" s="16"/>
      <c r="B1397" s="16"/>
      <c r="C1397" s="25"/>
      <c r="D1397" s="25"/>
      <c r="E1397" s="16"/>
      <c r="F1397" s="18"/>
      <c r="G1397" s="19" t="str">
        <f t="shared" ca="1" si="42"/>
        <v/>
      </c>
      <c r="H1397" s="18"/>
      <c r="I1397" s="18"/>
      <c r="J1397" s="77" t="str">
        <f t="shared" ca="1" si="43"/>
        <v/>
      </c>
      <c r="K1397" s="23">
        <f>IF(A1397="","",COUNTIFS(Resumen!$N$2:$N$2999,ROW(),Resumen!$V$2:$V$2999,1))</f>
        <v/>
      </c>
      <c r="L1397" s="26"/>
      <c r="N13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8" spans="1:14">
      <c r="A1398" s="16"/>
      <c r="B1398" s="16"/>
      <c r="C1398" s="25"/>
      <c r="D1398" s="25"/>
      <c r="E1398" s="16"/>
      <c r="F1398" s="18"/>
      <c r="G1398" s="19" t="str">
        <f t="shared" ca="1" si="42"/>
        <v/>
      </c>
      <c r="H1398" s="18"/>
      <c r="I1398" s="18"/>
      <c r="J1398" s="77" t="str">
        <f t="shared" ca="1" si="43"/>
        <v/>
      </c>
      <c r="K1398" s="23">
        <f>IF(A1398="","",COUNTIFS(Resumen!$N$2:$N$2999,ROW(),Resumen!$V$2:$V$2999,1))</f>
        <v/>
      </c>
      <c r="L1398" s="26"/>
      <c r="N13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399" spans="1:14">
      <c r="A1399" s="16"/>
      <c r="B1399" s="16"/>
      <c r="C1399" s="25"/>
      <c r="D1399" s="25"/>
      <c r="E1399" s="16"/>
      <c r="F1399" s="18"/>
      <c r="G1399" s="19" t="str">
        <f t="shared" ca="1" si="42"/>
        <v/>
      </c>
      <c r="H1399" s="18"/>
      <c r="I1399" s="18"/>
      <c r="J1399" s="77" t="str">
        <f t="shared" ca="1" si="43"/>
        <v/>
      </c>
      <c r="K1399" s="23">
        <f>IF(A1399="","",COUNTIFS(Resumen!$N$2:$N$2999,ROW(),Resumen!$V$2:$V$2999,1))</f>
        <v/>
      </c>
      <c r="L1399" s="26"/>
      <c r="N13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0" spans="1:14">
      <c r="A1400" s="16"/>
      <c r="B1400" s="16"/>
      <c r="C1400" s="25"/>
      <c r="D1400" s="25"/>
      <c r="E1400" s="16"/>
      <c r="F1400" s="18"/>
      <c r="G1400" s="19" t="str">
        <f t="shared" ca="1" si="42"/>
        <v/>
      </c>
      <c r="H1400" s="18"/>
      <c r="I1400" s="18"/>
      <c r="J1400" s="77" t="str">
        <f t="shared" ca="1" si="43"/>
        <v/>
      </c>
      <c r="K1400" s="23">
        <f>IF(A1400="","",COUNTIFS(Resumen!$N$2:$N$2999,ROW(),Resumen!$V$2:$V$2999,1))</f>
        <v/>
      </c>
      <c r="L1400" s="26"/>
      <c r="N14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1" spans="1:14">
      <c r="A1401" s="16"/>
      <c r="B1401" s="16"/>
      <c r="C1401" s="25"/>
      <c r="D1401" s="25"/>
      <c r="E1401" s="16"/>
      <c r="F1401" s="18"/>
      <c r="G1401" s="19" t="str">
        <f t="shared" ca="1" si="42"/>
        <v/>
      </c>
      <c r="H1401" s="18"/>
      <c r="I1401" s="18"/>
      <c r="J1401" s="77" t="str">
        <f t="shared" ca="1" si="43"/>
        <v/>
      </c>
      <c r="K1401" s="23">
        <f>IF(A1401="","",COUNTIFS(Resumen!$N$2:$N$2999,ROW(),Resumen!$V$2:$V$2999,1))</f>
        <v/>
      </c>
      <c r="L1401" s="26"/>
      <c r="N14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2" spans="1:14">
      <c r="A1402" s="16"/>
      <c r="B1402" s="16"/>
      <c r="C1402" s="25"/>
      <c r="D1402" s="25"/>
      <c r="E1402" s="16"/>
      <c r="F1402" s="18"/>
      <c r="G1402" s="19" t="str">
        <f t="shared" ca="1" si="42"/>
        <v/>
      </c>
      <c r="H1402" s="18"/>
      <c r="I1402" s="18"/>
      <c r="J1402" s="77" t="str">
        <f t="shared" ca="1" si="43"/>
        <v/>
      </c>
      <c r="K1402" s="23">
        <f>IF(A1402="","",COUNTIFS(Resumen!$N$2:$N$2999,ROW(),Resumen!$V$2:$V$2999,1))</f>
        <v/>
      </c>
      <c r="L1402" s="26"/>
      <c r="N14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3" spans="1:14">
      <c r="A1403" s="16"/>
      <c r="B1403" s="16"/>
      <c r="C1403" s="25"/>
      <c r="D1403" s="25"/>
      <c r="E1403" s="16"/>
      <c r="F1403" s="18"/>
      <c r="G1403" s="19" t="str">
        <f t="shared" ca="1" si="42"/>
        <v/>
      </c>
      <c r="H1403" s="18"/>
      <c r="I1403" s="18"/>
      <c r="J1403" s="77" t="str">
        <f t="shared" ca="1" si="43"/>
        <v/>
      </c>
      <c r="K1403" s="23">
        <f>IF(A1403="","",COUNTIFS(Resumen!$N$2:$N$2999,ROW(),Resumen!$V$2:$V$2999,1))</f>
        <v/>
      </c>
      <c r="L1403" s="26"/>
      <c r="N14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4" spans="1:14">
      <c r="A1404" s="16"/>
      <c r="B1404" s="16"/>
      <c r="C1404" s="25"/>
      <c r="D1404" s="25"/>
      <c r="E1404" s="16"/>
      <c r="F1404" s="18"/>
      <c r="G1404" s="19" t="str">
        <f t="shared" ca="1" si="42"/>
        <v/>
      </c>
      <c r="H1404" s="18"/>
      <c r="I1404" s="18"/>
      <c r="J1404" s="77" t="str">
        <f t="shared" ca="1" si="43"/>
        <v/>
      </c>
      <c r="K1404" s="23">
        <f>IF(A1404="","",COUNTIFS(Resumen!$N$2:$N$2999,ROW(),Resumen!$V$2:$V$2999,1))</f>
        <v/>
      </c>
      <c r="L1404" s="26"/>
      <c r="N14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5" spans="1:14">
      <c r="A1405" s="16"/>
      <c r="B1405" s="16"/>
      <c r="C1405" s="25"/>
      <c r="D1405" s="25"/>
      <c r="E1405" s="16"/>
      <c r="F1405" s="18"/>
      <c r="G1405" s="19" t="str">
        <f t="shared" ca="1" si="42"/>
        <v/>
      </c>
      <c r="H1405" s="18"/>
      <c r="I1405" s="18"/>
      <c r="J1405" s="77" t="str">
        <f t="shared" ca="1" si="43"/>
        <v/>
      </c>
      <c r="K1405" s="23">
        <f>IF(A1405="","",COUNTIFS(Resumen!$N$2:$N$2999,ROW(),Resumen!$V$2:$V$2999,1))</f>
        <v/>
      </c>
      <c r="L1405" s="26"/>
      <c r="N14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6" spans="1:14">
      <c r="A1406" s="16"/>
      <c r="B1406" s="16"/>
      <c r="C1406" s="25"/>
      <c r="D1406" s="25"/>
      <c r="E1406" s="16"/>
      <c r="F1406" s="18"/>
      <c r="G1406" s="19" t="str">
        <f t="shared" ca="1" si="42"/>
        <v/>
      </c>
      <c r="H1406" s="18"/>
      <c r="I1406" s="18"/>
      <c r="J1406" s="77" t="str">
        <f t="shared" ca="1" si="43"/>
        <v/>
      </c>
      <c r="K1406" s="23">
        <f>IF(A1406="","",COUNTIFS(Resumen!$N$2:$N$2999,ROW(),Resumen!$V$2:$V$2999,1))</f>
        <v/>
      </c>
      <c r="L1406" s="26"/>
      <c r="N14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7" spans="1:14">
      <c r="A1407" s="16"/>
      <c r="B1407" s="16"/>
      <c r="C1407" s="25"/>
      <c r="D1407" s="25"/>
      <c r="E1407" s="16"/>
      <c r="F1407" s="18"/>
      <c r="G1407" s="19" t="str">
        <f t="shared" ca="1" si="42"/>
        <v/>
      </c>
      <c r="H1407" s="18"/>
      <c r="I1407" s="18"/>
      <c r="J1407" s="77" t="str">
        <f t="shared" ca="1" si="43"/>
        <v/>
      </c>
      <c r="K1407" s="23">
        <f>IF(A1407="","",COUNTIFS(Resumen!$N$2:$N$2999,ROW(),Resumen!$V$2:$V$2999,1))</f>
        <v/>
      </c>
      <c r="L1407" s="26"/>
      <c r="N14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8" spans="1:14">
      <c r="A1408" s="16"/>
      <c r="B1408" s="16"/>
      <c r="C1408" s="25"/>
      <c r="D1408" s="25"/>
      <c r="E1408" s="16"/>
      <c r="F1408" s="18"/>
      <c r="G1408" s="19" t="str">
        <f t="shared" ca="1" si="42"/>
        <v/>
      </c>
      <c r="H1408" s="18"/>
      <c r="I1408" s="18"/>
      <c r="J1408" s="77" t="str">
        <f t="shared" ca="1" si="43"/>
        <v/>
      </c>
      <c r="K1408" s="23">
        <f>IF(A1408="","",COUNTIFS(Resumen!$N$2:$N$2999,ROW(),Resumen!$V$2:$V$2999,1))</f>
        <v/>
      </c>
      <c r="L1408" s="26"/>
      <c r="N14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09" spans="1:14">
      <c r="A1409" s="16"/>
      <c r="B1409" s="16"/>
      <c r="C1409" s="25"/>
      <c r="D1409" s="25"/>
      <c r="E1409" s="16"/>
      <c r="F1409" s="18"/>
      <c r="G1409" s="19" t="str">
        <f t="shared" ca="1" si="42"/>
        <v/>
      </c>
      <c r="H1409" s="18"/>
      <c r="I1409" s="18"/>
      <c r="J1409" s="77" t="str">
        <f t="shared" ca="1" si="43"/>
        <v/>
      </c>
      <c r="K1409" s="23">
        <f>IF(A1409="","",COUNTIFS(Resumen!$N$2:$N$2999,ROW(),Resumen!$V$2:$V$2999,1))</f>
        <v/>
      </c>
      <c r="L1409" s="26"/>
      <c r="N14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0" spans="1:14">
      <c r="A1410" s="16"/>
      <c r="B1410" s="16"/>
      <c r="C1410" s="25"/>
      <c r="D1410" s="25"/>
      <c r="E1410" s="16"/>
      <c r="F1410" s="18"/>
      <c r="G1410" s="19" t="str">
        <f t="shared" ref="G1410:G1473" ca="1" si="44">IF(F1410="", "", DATEDIF(F1410, TODAY(), "Y"))</f>
        <v/>
      </c>
      <c r="H1410" s="18"/>
      <c r="I1410" s="18"/>
      <c r="J1410" s="77" t="str">
        <f t="shared" ref="J1410:J1473" ca="1" si="45">IFERROR(IF(ISNUMBER(INDEX(VigenciasFamilia,ROW())),INDEX(VigenciasFamilia,ROW())-TODAY(),""),"")</f>
        <v/>
      </c>
      <c r="K1410" s="23">
        <f>IF(A1410="","",COUNTIFS(Resumen!$N$2:$N$2999,ROW(),Resumen!$V$2:$V$2999,1))</f>
        <v/>
      </c>
      <c r="L1410" s="26"/>
      <c r="N14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1" spans="1:14">
      <c r="A1411" s="16"/>
      <c r="B1411" s="16"/>
      <c r="C1411" s="25"/>
      <c r="D1411" s="25"/>
      <c r="E1411" s="16"/>
      <c r="F1411" s="18"/>
      <c r="G1411" s="19" t="str">
        <f t="shared" ca="1" si="44"/>
        <v/>
      </c>
      <c r="H1411" s="18"/>
      <c r="I1411" s="18"/>
      <c r="J1411" s="77" t="str">
        <f t="shared" ca="1" si="45"/>
        <v/>
      </c>
      <c r="K1411" s="23">
        <f>IF(A1411="","",COUNTIFS(Resumen!$N$2:$N$2999,ROW(),Resumen!$V$2:$V$2999,1))</f>
        <v/>
      </c>
      <c r="L1411" s="26"/>
      <c r="N14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2" spans="1:14">
      <c r="A1412" s="16"/>
      <c r="B1412" s="16"/>
      <c r="C1412" s="25"/>
      <c r="D1412" s="25"/>
      <c r="E1412" s="16"/>
      <c r="F1412" s="18"/>
      <c r="G1412" s="19" t="str">
        <f t="shared" ca="1" si="44"/>
        <v/>
      </c>
      <c r="H1412" s="18"/>
      <c r="I1412" s="18"/>
      <c r="J1412" s="77" t="str">
        <f t="shared" ca="1" si="45"/>
        <v/>
      </c>
      <c r="K1412" s="23">
        <f>IF(A1412="","",COUNTIFS(Resumen!$N$2:$N$2999,ROW(),Resumen!$V$2:$V$2999,1))</f>
        <v/>
      </c>
      <c r="L1412" s="26"/>
      <c r="N14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3" spans="1:14">
      <c r="A1413" s="16"/>
      <c r="B1413" s="16"/>
      <c r="C1413" s="25"/>
      <c r="D1413" s="25"/>
      <c r="E1413" s="16"/>
      <c r="F1413" s="18"/>
      <c r="G1413" s="19" t="str">
        <f t="shared" ca="1" si="44"/>
        <v/>
      </c>
      <c r="H1413" s="18"/>
      <c r="I1413" s="18"/>
      <c r="J1413" s="77" t="str">
        <f t="shared" ca="1" si="45"/>
        <v/>
      </c>
      <c r="K1413" s="23">
        <f>IF(A1413="","",COUNTIFS(Resumen!$N$2:$N$2999,ROW(),Resumen!$V$2:$V$2999,1))</f>
        <v/>
      </c>
      <c r="L1413" s="26"/>
      <c r="N14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4" spans="1:14">
      <c r="A1414" s="16"/>
      <c r="B1414" s="16"/>
      <c r="C1414" s="25"/>
      <c r="D1414" s="25"/>
      <c r="E1414" s="16"/>
      <c r="F1414" s="18"/>
      <c r="G1414" s="19" t="str">
        <f t="shared" ca="1" si="44"/>
        <v/>
      </c>
      <c r="H1414" s="18"/>
      <c r="I1414" s="18"/>
      <c r="J1414" s="77" t="str">
        <f t="shared" ca="1" si="45"/>
        <v/>
      </c>
      <c r="K1414" s="23">
        <f>IF(A1414="","",COUNTIFS(Resumen!$N$2:$N$2999,ROW(),Resumen!$V$2:$V$2999,1))</f>
        <v/>
      </c>
      <c r="L1414" s="26"/>
      <c r="N14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5" spans="1:14">
      <c r="A1415" s="16"/>
      <c r="B1415" s="16"/>
      <c r="C1415" s="25"/>
      <c r="D1415" s="25"/>
      <c r="E1415" s="16"/>
      <c r="F1415" s="18"/>
      <c r="G1415" s="19" t="str">
        <f t="shared" ca="1" si="44"/>
        <v/>
      </c>
      <c r="H1415" s="18"/>
      <c r="I1415" s="18"/>
      <c r="J1415" s="77" t="str">
        <f t="shared" ca="1" si="45"/>
        <v/>
      </c>
      <c r="K1415" s="23">
        <f>IF(A1415="","",COUNTIFS(Resumen!$N$2:$N$2999,ROW(),Resumen!$V$2:$V$2999,1))</f>
        <v/>
      </c>
      <c r="L1415" s="26"/>
      <c r="N14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6" spans="1:14">
      <c r="A1416" s="16"/>
      <c r="B1416" s="16"/>
      <c r="C1416" s="25"/>
      <c r="D1416" s="25"/>
      <c r="E1416" s="16"/>
      <c r="F1416" s="18"/>
      <c r="G1416" s="19" t="str">
        <f t="shared" ca="1" si="44"/>
        <v/>
      </c>
      <c r="H1416" s="18"/>
      <c r="I1416" s="18"/>
      <c r="J1416" s="77" t="str">
        <f t="shared" ca="1" si="45"/>
        <v/>
      </c>
      <c r="K1416" s="23">
        <f>IF(A1416="","",COUNTIFS(Resumen!$N$2:$N$2999,ROW(),Resumen!$V$2:$V$2999,1))</f>
        <v/>
      </c>
      <c r="L1416" s="26"/>
      <c r="N14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7" spans="1:14">
      <c r="A1417" s="16"/>
      <c r="B1417" s="16"/>
      <c r="C1417" s="25"/>
      <c r="D1417" s="25"/>
      <c r="E1417" s="16"/>
      <c r="F1417" s="18"/>
      <c r="G1417" s="19" t="str">
        <f t="shared" ca="1" si="44"/>
        <v/>
      </c>
      <c r="H1417" s="18"/>
      <c r="I1417" s="18"/>
      <c r="J1417" s="77" t="str">
        <f t="shared" ca="1" si="45"/>
        <v/>
      </c>
      <c r="K1417" s="23">
        <f>IF(A1417="","",COUNTIFS(Resumen!$N$2:$N$2999,ROW(),Resumen!$V$2:$V$2999,1))</f>
        <v/>
      </c>
      <c r="L1417" s="26"/>
      <c r="N14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8" spans="1:14">
      <c r="A1418" s="16"/>
      <c r="B1418" s="16"/>
      <c r="C1418" s="25"/>
      <c r="D1418" s="25"/>
      <c r="E1418" s="16"/>
      <c r="F1418" s="18"/>
      <c r="G1418" s="19" t="str">
        <f t="shared" ca="1" si="44"/>
        <v/>
      </c>
      <c r="H1418" s="18"/>
      <c r="I1418" s="18"/>
      <c r="J1418" s="77" t="str">
        <f t="shared" ca="1" si="45"/>
        <v/>
      </c>
      <c r="K1418" s="23">
        <f>IF(A1418="","",COUNTIFS(Resumen!$N$2:$N$2999,ROW(),Resumen!$V$2:$V$2999,1))</f>
        <v/>
      </c>
      <c r="L1418" s="26"/>
      <c r="N14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19" spans="1:14">
      <c r="A1419" s="16"/>
      <c r="B1419" s="16"/>
      <c r="C1419" s="25"/>
      <c r="D1419" s="25"/>
      <c r="E1419" s="16"/>
      <c r="F1419" s="18"/>
      <c r="G1419" s="19" t="str">
        <f t="shared" ca="1" si="44"/>
        <v/>
      </c>
      <c r="H1419" s="18"/>
      <c r="I1419" s="18"/>
      <c r="J1419" s="77" t="str">
        <f t="shared" ca="1" si="45"/>
        <v/>
      </c>
      <c r="K1419" s="23">
        <f>IF(A1419="","",COUNTIFS(Resumen!$N$2:$N$2999,ROW(),Resumen!$V$2:$V$2999,1))</f>
        <v/>
      </c>
      <c r="L1419" s="26"/>
      <c r="N14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0" spans="1:14">
      <c r="A1420" s="16"/>
      <c r="B1420" s="16"/>
      <c r="C1420" s="25"/>
      <c r="D1420" s="25"/>
      <c r="E1420" s="16"/>
      <c r="F1420" s="18"/>
      <c r="G1420" s="19" t="str">
        <f t="shared" ca="1" si="44"/>
        <v/>
      </c>
      <c r="H1420" s="18"/>
      <c r="I1420" s="18"/>
      <c r="J1420" s="77" t="str">
        <f t="shared" ca="1" si="45"/>
        <v/>
      </c>
      <c r="K1420" s="23">
        <f>IF(A1420="","",COUNTIFS(Resumen!$N$2:$N$2999,ROW(),Resumen!$V$2:$V$2999,1))</f>
        <v/>
      </c>
      <c r="L1420" s="26"/>
      <c r="N14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1" spans="1:14">
      <c r="A1421" s="16"/>
      <c r="B1421" s="16"/>
      <c r="C1421" s="25"/>
      <c r="D1421" s="25"/>
      <c r="E1421" s="16"/>
      <c r="F1421" s="18"/>
      <c r="G1421" s="19" t="str">
        <f t="shared" ca="1" si="44"/>
        <v/>
      </c>
      <c r="H1421" s="18"/>
      <c r="I1421" s="18"/>
      <c r="J1421" s="77" t="str">
        <f t="shared" ca="1" si="45"/>
        <v/>
      </c>
      <c r="K1421" s="23">
        <f>IF(A1421="","",COUNTIFS(Resumen!$N$2:$N$2999,ROW(),Resumen!$V$2:$V$2999,1))</f>
        <v/>
      </c>
      <c r="L1421" s="26"/>
      <c r="N14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2" spans="1:14">
      <c r="A1422" s="16"/>
      <c r="B1422" s="16"/>
      <c r="C1422" s="25"/>
      <c r="D1422" s="25"/>
      <c r="E1422" s="16"/>
      <c r="F1422" s="18"/>
      <c r="G1422" s="19" t="str">
        <f t="shared" ca="1" si="44"/>
        <v/>
      </c>
      <c r="H1422" s="18"/>
      <c r="I1422" s="18"/>
      <c r="J1422" s="77" t="str">
        <f t="shared" ca="1" si="45"/>
        <v/>
      </c>
      <c r="K1422" s="23">
        <f>IF(A1422="","",COUNTIFS(Resumen!$N$2:$N$2999,ROW(),Resumen!$V$2:$V$2999,1))</f>
        <v/>
      </c>
      <c r="L1422" s="26"/>
      <c r="N14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3" spans="1:14">
      <c r="A1423" s="16"/>
      <c r="B1423" s="16"/>
      <c r="C1423" s="25"/>
      <c r="D1423" s="25"/>
      <c r="E1423" s="16"/>
      <c r="F1423" s="18"/>
      <c r="G1423" s="19" t="str">
        <f t="shared" ca="1" si="44"/>
        <v/>
      </c>
      <c r="H1423" s="18"/>
      <c r="I1423" s="18"/>
      <c r="J1423" s="77" t="str">
        <f t="shared" ca="1" si="45"/>
        <v/>
      </c>
      <c r="K1423" s="23">
        <f>IF(A1423="","",COUNTIFS(Resumen!$N$2:$N$2999,ROW(),Resumen!$V$2:$V$2999,1))</f>
        <v/>
      </c>
      <c r="L1423" s="26"/>
      <c r="N14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4" spans="1:14">
      <c r="A1424" s="16"/>
      <c r="B1424" s="16"/>
      <c r="C1424" s="25"/>
      <c r="D1424" s="25"/>
      <c r="E1424" s="16"/>
      <c r="F1424" s="18"/>
      <c r="G1424" s="19" t="str">
        <f t="shared" ca="1" si="44"/>
        <v/>
      </c>
      <c r="H1424" s="18"/>
      <c r="I1424" s="18"/>
      <c r="J1424" s="77" t="str">
        <f t="shared" ca="1" si="45"/>
        <v/>
      </c>
      <c r="K1424" s="23">
        <f>IF(A1424="","",COUNTIFS(Resumen!$N$2:$N$2999,ROW(),Resumen!$V$2:$V$2999,1))</f>
        <v/>
      </c>
      <c r="L1424" s="26"/>
      <c r="N14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5" spans="1:14">
      <c r="A1425" s="16"/>
      <c r="B1425" s="16"/>
      <c r="C1425" s="25"/>
      <c r="D1425" s="25"/>
      <c r="E1425" s="16"/>
      <c r="F1425" s="18"/>
      <c r="G1425" s="19" t="str">
        <f t="shared" ca="1" si="44"/>
        <v/>
      </c>
      <c r="H1425" s="18"/>
      <c r="I1425" s="18"/>
      <c r="J1425" s="77" t="str">
        <f t="shared" ca="1" si="45"/>
        <v/>
      </c>
      <c r="K1425" s="23">
        <f>IF(A1425="","",COUNTIFS(Resumen!$N$2:$N$2999,ROW(),Resumen!$V$2:$V$2999,1))</f>
        <v/>
      </c>
      <c r="L1425" s="26"/>
      <c r="N14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6" spans="1:14">
      <c r="A1426" s="16"/>
      <c r="B1426" s="16"/>
      <c r="C1426" s="25"/>
      <c r="D1426" s="25"/>
      <c r="E1426" s="16"/>
      <c r="F1426" s="18"/>
      <c r="G1426" s="19" t="str">
        <f t="shared" ca="1" si="44"/>
        <v/>
      </c>
      <c r="H1426" s="18"/>
      <c r="I1426" s="18"/>
      <c r="J1426" s="77" t="str">
        <f t="shared" ca="1" si="45"/>
        <v/>
      </c>
      <c r="K1426" s="23">
        <f>IF(A1426="","",COUNTIFS(Resumen!$N$2:$N$2999,ROW(),Resumen!$V$2:$V$2999,1))</f>
        <v/>
      </c>
      <c r="L1426" s="26"/>
      <c r="N14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7" spans="1:14">
      <c r="A1427" s="16"/>
      <c r="B1427" s="16"/>
      <c r="C1427" s="25"/>
      <c r="D1427" s="25"/>
      <c r="E1427" s="16"/>
      <c r="F1427" s="18"/>
      <c r="G1427" s="19" t="str">
        <f t="shared" ca="1" si="44"/>
        <v/>
      </c>
      <c r="H1427" s="18"/>
      <c r="I1427" s="18"/>
      <c r="J1427" s="77" t="str">
        <f t="shared" ca="1" si="45"/>
        <v/>
      </c>
      <c r="K1427" s="23">
        <f>IF(A1427="","",COUNTIFS(Resumen!$N$2:$N$2999,ROW(),Resumen!$V$2:$V$2999,1))</f>
        <v/>
      </c>
      <c r="L1427" s="26"/>
      <c r="N14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8" spans="1:14">
      <c r="A1428" s="16"/>
      <c r="B1428" s="16"/>
      <c r="C1428" s="25"/>
      <c r="D1428" s="25"/>
      <c r="E1428" s="16"/>
      <c r="F1428" s="18"/>
      <c r="G1428" s="19" t="str">
        <f t="shared" ca="1" si="44"/>
        <v/>
      </c>
      <c r="H1428" s="18"/>
      <c r="I1428" s="18"/>
      <c r="J1428" s="77" t="str">
        <f t="shared" ca="1" si="45"/>
        <v/>
      </c>
      <c r="K1428" s="23">
        <f>IF(A1428="","",COUNTIFS(Resumen!$N$2:$N$2999,ROW(),Resumen!$V$2:$V$2999,1))</f>
        <v/>
      </c>
      <c r="L1428" s="26"/>
      <c r="N14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29" spans="1:14">
      <c r="A1429" s="16"/>
      <c r="B1429" s="16"/>
      <c r="C1429" s="25"/>
      <c r="D1429" s="25"/>
      <c r="E1429" s="16"/>
      <c r="F1429" s="18"/>
      <c r="G1429" s="19" t="str">
        <f t="shared" ca="1" si="44"/>
        <v/>
      </c>
      <c r="H1429" s="18"/>
      <c r="I1429" s="18"/>
      <c r="J1429" s="77" t="str">
        <f t="shared" ca="1" si="45"/>
        <v/>
      </c>
      <c r="K1429" s="23">
        <f>IF(A1429="","",COUNTIFS(Resumen!$N$2:$N$2999,ROW(),Resumen!$V$2:$V$2999,1))</f>
        <v/>
      </c>
      <c r="L1429" s="26"/>
      <c r="N14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0" spans="1:14">
      <c r="A1430" s="16"/>
      <c r="B1430" s="16"/>
      <c r="C1430" s="25"/>
      <c r="D1430" s="25"/>
      <c r="E1430" s="16"/>
      <c r="F1430" s="18"/>
      <c r="G1430" s="19" t="str">
        <f t="shared" ca="1" si="44"/>
        <v/>
      </c>
      <c r="H1430" s="18"/>
      <c r="I1430" s="18"/>
      <c r="J1430" s="77" t="str">
        <f t="shared" ca="1" si="45"/>
        <v/>
      </c>
      <c r="K1430" s="23">
        <f>IF(A1430="","",COUNTIFS(Resumen!$N$2:$N$2999,ROW(),Resumen!$V$2:$V$2999,1))</f>
        <v/>
      </c>
      <c r="L1430" s="26"/>
      <c r="N14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1" spans="1:14">
      <c r="A1431" s="16"/>
      <c r="B1431" s="16"/>
      <c r="C1431" s="25"/>
      <c r="D1431" s="25"/>
      <c r="E1431" s="16"/>
      <c r="F1431" s="18"/>
      <c r="G1431" s="19" t="str">
        <f t="shared" ca="1" si="44"/>
        <v/>
      </c>
      <c r="H1431" s="18"/>
      <c r="I1431" s="18"/>
      <c r="J1431" s="77" t="str">
        <f t="shared" ca="1" si="45"/>
        <v/>
      </c>
      <c r="K1431" s="23">
        <f>IF(A1431="","",COUNTIFS(Resumen!$N$2:$N$2999,ROW(),Resumen!$V$2:$V$2999,1))</f>
        <v/>
      </c>
      <c r="L1431" s="26"/>
      <c r="N14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2" spans="1:14">
      <c r="A1432" s="16"/>
      <c r="B1432" s="16"/>
      <c r="C1432" s="25"/>
      <c r="D1432" s="25"/>
      <c r="E1432" s="16"/>
      <c r="F1432" s="18"/>
      <c r="G1432" s="19" t="str">
        <f t="shared" ca="1" si="44"/>
        <v/>
      </c>
      <c r="H1432" s="18"/>
      <c r="I1432" s="18"/>
      <c r="J1432" s="77" t="str">
        <f t="shared" ca="1" si="45"/>
        <v/>
      </c>
      <c r="K1432" s="23">
        <f>IF(A1432="","",COUNTIFS(Resumen!$N$2:$N$2999,ROW(),Resumen!$V$2:$V$2999,1))</f>
        <v/>
      </c>
      <c r="L1432" s="26"/>
      <c r="N14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3" spans="1:14">
      <c r="A1433" s="16"/>
      <c r="B1433" s="16"/>
      <c r="C1433" s="25"/>
      <c r="D1433" s="25"/>
      <c r="E1433" s="16"/>
      <c r="F1433" s="18"/>
      <c r="G1433" s="19" t="str">
        <f t="shared" ca="1" si="44"/>
        <v/>
      </c>
      <c r="H1433" s="18"/>
      <c r="I1433" s="18"/>
      <c r="J1433" s="77" t="str">
        <f t="shared" ca="1" si="45"/>
        <v/>
      </c>
      <c r="K1433" s="23">
        <f>IF(A1433="","",COUNTIFS(Resumen!$N$2:$N$2999,ROW(),Resumen!$V$2:$V$2999,1))</f>
        <v/>
      </c>
      <c r="L1433" s="26"/>
      <c r="N14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4" spans="1:14">
      <c r="A1434" s="16"/>
      <c r="B1434" s="16"/>
      <c r="C1434" s="25"/>
      <c r="D1434" s="25"/>
      <c r="E1434" s="16"/>
      <c r="F1434" s="18"/>
      <c r="G1434" s="19" t="str">
        <f t="shared" ca="1" si="44"/>
        <v/>
      </c>
      <c r="H1434" s="18"/>
      <c r="I1434" s="18"/>
      <c r="J1434" s="77" t="str">
        <f t="shared" ca="1" si="45"/>
        <v/>
      </c>
      <c r="K1434" s="23">
        <f>IF(A1434="","",COUNTIFS(Resumen!$N$2:$N$2999,ROW(),Resumen!$V$2:$V$2999,1))</f>
        <v/>
      </c>
      <c r="L1434" s="26"/>
      <c r="N14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5" spans="1:14">
      <c r="A1435" s="16"/>
      <c r="B1435" s="16"/>
      <c r="C1435" s="25"/>
      <c r="D1435" s="25"/>
      <c r="E1435" s="16"/>
      <c r="F1435" s="18"/>
      <c r="G1435" s="19" t="str">
        <f t="shared" ca="1" si="44"/>
        <v/>
      </c>
      <c r="H1435" s="18"/>
      <c r="I1435" s="18"/>
      <c r="J1435" s="77" t="str">
        <f t="shared" ca="1" si="45"/>
        <v/>
      </c>
      <c r="K1435" s="23">
        <f>IF(A1435="","",COUNTIFS(Resumen!$N$2:$N$2999,ROW(),Resumen!$V$2:$V$2999,1))</f>
        <v/>
      </c>
      <c r="L1435" s="26"/>
      <c r="N14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6" spans="1:14">
      <c r="A1436" s="16"/>
      <c r="B1436" s="16"/>
      <c r="C1436" s="25"/>
      <c r="D1436" s="25"/>
      <c r="E1436" s="16"/>
      <c r="F1436" s="18"/>
      <c r="G1436" s="19" t="str">
        <f t="shared" ca="1" si="44"/>
        <v/>
      </c>
      <c r="H1436" s="18"/>
      <c r="I1436" s="18"/>
      <c r="J1436" s="77" t="str">
        <f t="shared" ca="1" si="45"/>
        <v/>
      </c>
      <c r="K1436" s="23">
        <f>IF(A1436="","",COUNTIFS(Resumen!$N$2:$N$2999,ROW(),Resumen!$V$2:$V$2999,1))</f>
        <v/>
      </c>
      <c r="L1436" s="26"/>
      <c r="N14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7" spans="1:14">
      <c r="A1437" s="16"/>
      <c r="B1437" s="16"/>
      <c r="C1437" s="25"/>
      <c r="D1437" s="25"/>
      <c r="E1437" s="16"/>
      <c r="F1437" s="18"/>
      <c r="G1437" s="19" t="str">
        <f t="shared" ca="1" si="44"/>
        <v/>
      </c>
      <c r="H1437" s="18"/>
      <c r="I1437" s="18"/>
      <c r="J1437" s="77" t="str">
        <f t="shared" ca="1" si="45"/>
        <v/>
      </c>
      <c r="K1437" s="23">
        <f>IF(A1437="","",COUNTIFS(Resumen!$N$2:$N$2999,ROW(),Resumen!$V$2:$V$2999,1))</f>
        <v/>
      </c>
      <c r="L1437" s="26"/>
      <c r="N14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8" spans="1:14">
      <c r="A1438" s="16"/>
      <c r="B1438" s="16"/>
      <c r="C1438" s="25"/>
      <c r="D1438" s="25"/>
      <c r="E1438" s="16"/>
      <c r="F1438" s="18"/>
      <c r="G1438" s="19" t="str">
        <f t="shared" ca="1" si="44"/>
        <v/>
      </c>
      <c r="H1438" s="18"/>
      <c r="I1438" s="18"/>
      <c r="J1438" s="77" t="str">
        <f t="shared" ca="1" si="45"/>
        <v/>
      </c>
      <c r="K1438" s="23">
        <f>IF(A1438="","",COUNTIFS(Resumen!$N$2:$N$2999,ROW(),Resumen!$V$2:$V$2999,1))</f>
        <v/>
      </c>
      <c r="L1438" s="26"/>
      <c r="N14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39" spans="1:14">
      <c r="A1439" s="16"/>
      <c r="B1439" s="16"/>
      <c r="C1439" s="25"/>
      <c r="D1439" s="25"/>
      <c r="E1439" s="16"/>
      <c r="F1439" s="18"/>
      <c r="G1439" s="19" t="str">
        <f t="shared" ca="1" si="44"/>
        <v/>
      </c>
      <c r="H1439" s="18"/>
      <c r="I1439" s="18"/>
      <c r="J1439" s="77" t="str">
        <f t="shared" ca="1" si="45"/>
        <v/>
      </c>
      <c r="K1439" s="23">
        <f>IF(A1439="","",COUNTIFS(Resumen!$N$2:$N$2999,ROW(),Resumen!$V$2:$V$2999,1))</f>
        <v/>
      </c>
      <c r="L1439" s="26"/>
      <c r="N14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0" spans="1:14">
      <c r="A1440" s="16"/>
      <c r="B1440" s="16"/>
      <c r="C1440" s="25"/>
      <c r="D1440" s="25"/>
      <c r="E1440" s="16"/>
      <c r="F1440" s="18"/>
      <c r="G1440" s="19" t="str">
        <f t="shared" ca="1" si="44"/>
        <v/>
      </c>
      <c r="H1440" s="18"/>
      <c r="I1440" s="18"/>
      <c r="J1440" s="77" t="str">
        <f t="shared" ca="1" si="45"/>
        <v/>
      </c>
      <c r="K1440" s="23">
        <f>IF(A1440="","",COUNTIFS(Resumen!$N$2:$N$2999,ROW(),Resumen!$V$2:$V$2999,1))</f>
        <v/>
      </c>
      <c r="L1440" s="26"/>
      <c r="N14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1" spans="1:14">
      <c r="A1441" s="16"/>
      <c r="B1441" s="16"/>
      <c r="C1441" s="25"/>
      <c r="D1441" s="25"/>
      <c r="E1441" s="16"/>
      <c r="F1441" s="18"/>
      <c r="G1441" s="19" t="str">
        <f t="shared" ca="1" si="44"/>
        <v/>
      </c>
      <c r="H1441" s="18"/>
      <c r="I1441" s="18"/>
      <c r="J1441" s="77" t="str">
        <f t="shared" ca="1" si="45"/>
        <v/>
      </c>
      <c r="K1441" s="23">
        <f>IF(A1441="","",COUNTIFS(Resumen!$N$2:$N$2999,ROW(),Resumen!$V$2:$V$2999,1))</f>
        <v/>
      </c>
      <c r="L1441" s="26"/>
      <c r="N14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2" spans="1:14">
      <c r="A1442" s="16"/>
      <c r="B1442" s="16"/>
      <c r="C1442" s="25"/>
      <c r="D1442" s="25"/>
      <c r="E1442" s="16"/>
      <c r="F1442" s="18"/>
      <c r="G1442" s="19" t="str">
        <f t="shared" ca="1" si="44"/>
        <v/>
      </c>
      <c r="H1442" s="18"/>
      <c r="I1442" s="18"/>
      <c r="J1442" s="77" t="str">
        <f t="shared" ca="1" si="45"/>
        <v/>
      </c>
      <c r="K1442" s="23">
        <f>IF(A1442="","",COUNTIFS(Resumen!$N$2:$N$2999,ROW(),Resumen!$V$2:$V$2999,1))</f>
        <v/>
      </c>
      <c r="L1442" s="26"/>
      <c r="N14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3" spans="1:14">
      <c r="A1443" s="16"/>
      <c r="B1443" s="16"/>
      <c r="C1443" s="25"/>
      <c r="D1443" s="25"/>
      <c r="E1443" s="16"/>
      <c r="F1443" s="18"/>
      <c r="G1443" s="19" t="str">
        <f t="shared" ca="1" si="44"/>
        <v/>
      </c>
      <c r="H1443" s="18"/>
      <c r="I1443" s="18"/>
      <c r="J1443" s="77" t="str">
        <f t="shared" ca="1" si="45"/>
        <v/>
      </c>
      <c r="K1443" s="23">
        <f>IF(A1443="","",COUNTIFS(Resumen!$N$2:$N$2999,ROW(),Resumen!$V$2:$V$2999,1))</f>
        <v/>
      </c>
      <c r="L1443" s="26"/>
      <c r="N14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4" spans="1:14">
      <c r="A1444" s="16"/>
      <c r="B1444" s="16"/>
      <c r="C1444" s="25"/>
      <c r="D1444" s="25"/>
      <c r="E1444" s="16"/>
      <c r="F1444" s="18"/>
      <c r="G1444" s="19" t="str">
        <f t="shared" ca="1" si="44"/>
        <v/>
      </c>
      <c r="H1444" s="18"/>
      <c r="I1444" s="18"/>
      <c r="J1444" s="77" t="str">
        <f t="shared" ca="1" si="45"/>
        <v/>
      </c>
      <c r="K1444" s="23">
        <f>IF(A1444="","",COUNTIFS(Resumen!$N$2:$N$2999,ROW(),Resumen!$V$2:$V$2999,1))</f>
        <v/>
      </c>
      <c r="L1444" s="26"/>
      <c r="N14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5" spans="1:14">
      <c r="A1445" s="16"/>
      <c r="B1445" s="16"/>
      <c r="C1445" s="25"/>
      <c r="D1445" s="25"/>
      <c r="E1445" s="16"/>
      <c r="F1445" s="18"/>
      <c r="G1445" s="19" t="str">
        <f t="shared" ca="1" si="44"/>
        <v/>
      </c>
      <c r="H1445" s="18"/>
      <c r="I1445" s="18"/>
      <c r="J1445" s="77" t="str">
        <f t="shared" ca="1" si="45"/>
        <v/>
      </c>
      <c r="K1445" s="23">
        <f>IF(A1445="","",COUNTIFS(Resumen!$N$2:$N$2999,ROW(),Resumen!$V$2:$V$2999,1))</f>
        <v/>
      </c>
      <c r="L1445" s="26"/>
      <c r="N14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6" spans="1:14">
      <c r="A1446" s="16"/>
      <c r="B1446" s="16"/>
      <c r="C1446" s="25"/>
      <c r="D1446" s="25"/>
      <c r="E1446" s="16"/>
      <c r="F1446" s="18"/>
      <c r="G1446" s="19" t="str">
        <f t="shared" ca="1" si="44"/>
        <v/>
      </c>
      <c r="H1446" s="18"/>
      <c r="I1446" s="18"/>
      <c r="J1446" s="77" t="str">
        <f t="shared" ca="1" si="45"/>
        <v/>
      </c>
      <c r="K1446" s="23">
        <f>IF(A1446="","",COUNTIFS(Resumen!$N$2:$N$2999,ROW(),Resumen!$V$2:$V$2999,1))</f>
        <v/>
      </c>
      <c r="L1446" s="26"/>
      <c r="N14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7" spans="1:14">
      <c r="A1447" s="16"/>
      <c r="B1447" s="16"/>
      <c r="C1447" s="25"/>
      <c r="D1447" s="25"/>
      <c r="E1447" s="16"/>
      <c r="F1447" s="18"/>
      <c r="G1447" s="19" t="str">
        <f t="shared" ca="1" si="44"/>
        <v/>
      </c>
      <c r="H1447" s="18"/>
      <c r="I1447" s="18"/>
      <c r="J1447" s="77" t="str">
        <f t="shared" ca="1" si="45"/>
        <v/>
      </c>
      <c r="K1447" s="23">
        <f>IF(A1447="","",COUNTIFS(Resumen!$N$2:$N$2999,ROW(),Resumen!$V$2:$V$2999,1))</f>
        <v/>
      </c>
      <c r="L1447" s="26"/>
      <c r="N14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8" spans="1:14">
      <c r="A1448" s="16"/>
      <c r="B1448" s="16"/>
      <c r="C1448" s="25"/>
      <c r="D1448" s="25"/>
      <c r="E1448" s="16"/>
      <c r="F1448" s="18"/>
      <c r="G1448" s="19" t="str">
        <f t="shared" ca="1" si="44"/>
        <v/>
      </c>
      <c r="H1448" s="18"/>
      <c r="I1448" s="18"/>
      <c r="J1448" s="77" t="str">
        <f t="shared" ca="1" si="45"/>
        <v/>
      </c>
      <c r="K1448" s="23">
        <f>IF(A1448="","",COUNTIFS(Resumen!$N$2:$N$2999,ROW(),Resumen!$V$2:$V$2999,1))</f>
        <v/>
      </c>
      <c r="L1448" s="26"/>
      <c r="N14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49" spans="1:14">
      <c r="A1449" s="16"/>
      <c r="B1449" s="16"/>
      <c r="C1449" s="25"/>
      <c r="D1449" s="25"/>
      <c r="E1449" s="16"/>
      <c r="F1449" s="18"/>
      <c r="G1449" s="19" t="str">
        <f t="shared" ca="1" si="44"/>
        <v/>
      </c>
      <c r="H1449" s="18"/>
      <c r="I1449" s="18"/>
      <c r="J1449" s="77" t="str">
        <f t="shared" ca="1" si="45"/>
        <v/>
      </c>
      <c r="K1449" s="23">
        <f>IF(A1449="","",COUNTIFS(Resumen!$N$2:$N$2999,ROW(),Resumen!$V$2:$V$2999,1))</f>
        <v/>
      </c>
      <c r="L1449" s="26"/>
      <c r="N14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0" spans="1:14">
      <c r="A1450" s="16"/>
      <c r="B1450" s="16"/>
      <c r="C1450" s="25"/>
      <c r="D1450" s="25"/>
      <c r="E1450" s="16"/>
      <c r="F1450" s="18"/>
      <c r="G1450" s="19" t="str">
        <f t="shared" ca="1" si="44"/>
        <v/>
      </c>
      <c r="H1450" s="18"/>
      <c r="I1450" s="18"/>
      <c r="J1450" s="77" t="str">
        <f t="shared" ca="1" si="45"/>
        <v/>
      </c>
      <c r="K1450" s="23">
        <f>IF(A1450="","",COUNTIFS(Resumen!$N$2:$N$2999,ROW(),Resumen!$V$2:$V$2999,1))</f>
        <v/>
      </c>
      <c r="L1450" s="26"/>
      <c r="N14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1" spans="1:14">
      <c r="A1451" s="16"/>
      <c r="B1451" s="16"/>
      <c r="C1451" s="25"/>
      <c r="D1451" s="25"/>
      <c r="E1451" s="16"/>
      <c r="F1451" s="18"/>
      <c r="G1451" s="19" t="str">
        <f t="shared" ca="1" si="44"/>
        <v/>
      </c>
      <c r="H1451" s="18"/>
      <c r="I1451" s="18"/>
      <c r="J1451" s="77" t="str">
        <f t="shared" ca="1" si="45"/>
        <v/>
      </c>
      <c r="K1451" s="23">
        <f>IF(A1451="","",COUNTIFS(Resumen!$N$2:$N$2999,ROW(),Resumen!$V$2:$V$2999,1))</f>
        <v/>
      </c>
      <c r="L1451" s="26"/>
      <c r="N14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2" spans="1:14">
      <c r="A1452" s="16"/>
      <c r="B1452" s="16"/>
      <c r="C1452" s="25"/>
      <c r="D1452" s="25"/>
      <c r="E1452" s="16"/>
      <c r="F1452" s="18"/>
      <c r="G1452" s="19" t="str">
        <f t="shared" ca="1" si="44"/>
        <v/>
      </c>
      <c r="H1452" s="18"/>
      <c r="I1452" s="18"/>
      <c r="J1452" s="77" t="str">
        <f t="shared" ca="1" si="45"/>
        <v/>
      </c>
      <c r="K1452" s="23">
        <f>IF(A1452="","",COUNTIFS(Resumen!$N$2:$N$2999,ROW(),Resumen!$V$2:$V$2999,1))</f>
        <v/>
      </c>
      <c r="L1452" s="26"/>
      <c r="N14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3" spans="1:14">
      <c r="A1453" s="16"/>
      <c r="B1453" s="16"/>
      <c r="C1453" s="25"/>
      <c r="D1453" s="25"/>
      <c r="E1453" s="16"/>
      <c r="F1453" s="18"/>
      <c r="G1453" s="19" t="str">
        <f t="shared" ca="1" si="44"/>
        <v/>
      </c>
      <c r="H1453" s="18"/>
      <c r="I1453" s="18"/>
      <c r="J1453" s="77" t="str">
        <f t="shared" ca="1" si="45"/>
        <v/>
      </c>
      <c r="K1453" s="23">
        <f>IF(A1453="","",COUNTIFS(Resumen!$N$2:$N$2999,ROW(),Resumen!$V$2:$V$2999,1))</f>
        <v/>
      </c>
      <c r="L1453" s="26"/>
      <c r="N14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4" spans="1:14">
      <c r="A1454" s="16"/>
      <c r="B1454" s="16"/>
      <c r="C1454" s="25"/>
      <c r="D1454" s="25"/>
      <c r="E1454" s="16"/>
      <c r="F1454" s="18"/>
      <c r="G1454" s="19" t="str">
        <f t="shared" ca="1" si="44"/>
        <v/>
      </c>
      <c r="H1454" s="18"/>
      <c r="I1454" s="18"/>
      <c r="J1454" s="77" t="str">
        <f t="shared" ca="1" si="45"/>
        <v/>
      </c>
      <c r="K1454" s="23">
        <f>IF(A1454="","",COUNTIFS(Resumen!$N$2:$N$2999,ROW(),Resumen!$V$2:$V$2999,1))</f>
        <v/>
      </c>
      <c r="L1454" s="26"/>
      <c r="N14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5" spans="1:14">
      <c r="A1455" s="16"/>
      <c r="B1455" s="16"/>
      <c r="C1455" s="25"/>
      <c r="D1455" s="25"/>
      <c r="E1455" s="16"/>
      <c r="F1455" s="18"/>
      <c r="G1455" s="19" t="str">
        <f t="shared" ca="1" si="44"/>
        <v/>
      </c>
      <c r="H1455" s="18"/>
      <c r="I1455" s="18"/>
      <c r="J1455" s="77" t="str">
        <f t="shared" ca="1" si="45"/>
        <v/>
      </c>
      <c r="K1455" s="23">
        <f>IF(A1455="","",COUNTIFS(Resumen!$N$2:$N$2999,ROW(),Resumen!$V$2:$V$2999,1))</f>
        <v/>
      </c>
      <c r="L1455" s="26"/>
      <c r="N14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6" spans="1:14">
      <c r="A1456" s="16"/>
      <c r="B1456" s="16"/>
      <c r="C1456" s="25"/>
      <c r="D1456" s="25"/>
      <c r="E1456" s="16"/>
      <c r="F1456" s="18"/>
      <c r="G1456" s="19" t="str">
        <f t="shared" ca="1" si="44"/>
        <v/>
      </c>
      <c r="H1456" s="18"/>
      <c r="I1456" s="18"/>
      <c r="J1456" s="77" t="str">
        <f t="shared" ca="1" si="45"/>
        <v/>
      </c>
      <c r="K1456" s="23">
        <f>IF(A1456="","",COUNTIFS(Resumen!$N$2:$N$2999,ROW(),Resumen!$V$2:$V$2999,1))</f>
        <v/>
      </c>
      <c r="L1456" s="26"/>
      <c r="N14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7" spans="1:14">
      <c r="A1457" s="16"/>
      <c r="B1457" s="16"/>
      <c r="C1457" s="25"/>
      <c r="D1457" s="25"/>
      <c r="E1457" s="16"/>
      <c r="F1457" s="18"/>
      <c r="G1457" s="19" t="str">
        <f t="shared" ca="1" si="44"/>
        <v/>
      </c>
      <c r="H1457" s="18"/>
      <c r="I1457" s="18"/>
      <c r="J1457" s="77" t="str">
        <f t="shared" ca="1" si="45"/>
        <v/>
      </c>
      <c r="K1457" s="23">
        <f>IF(A1457="","",COUNTIFS(Resumen!$N$2:$N$2999,ROW(),Resumen!$V$2:$V$2999,1))</f>
        <v/>
      </c>
      <c r="L1457" s="26"/>
      <c r="N14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8" spans="1:14">
      <c r="A1458" s="16"/>
      <c r="B1458" s="16"/>
      <c r="C1458" s="25"/>
      <c r="D1458" s="25"/>
      <c r="E1458" s="16"/>
      <c r="F1458" s="18"/>
      <c r="G1458" s="19" t="str">
        <f t="shared" ca="1" si="44"/>
        <v/>
      </c>
      <c r="H1458" s="18"/>
      <c r="I1458" s="18"/>
      <c r="J1458" s="77" t="str">
        <f t="shared" ca="1" si="45"/>
        <v/>
      </c>
      <c r="K1458" s="23">
        <f>IF(A1458="","",COUNTIFS(Resumen!$N$2:$N$2999,ROW(),Resumen!$V$2:$V$2999,1))</f>
        <v/>
      </c>
      <c r="L1458" s="26"/>
      <c r="N14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59" spans="1:14">
      <c r="A1459" s="16"/>
      <c r="B1459" s="16"/>
      <c r="C1459" s="25"/>
      <c r="D1459" s="25"/>
      <c r="E1459" s="16"/>
      <c r="F1459" s="18"/>
      <c r="G1459" s="19" t="str">
        <f t="shared" ca="1" si="44"/>
        <v/>
      </c>
      <c r="H1459" s="18"/>
      <c r="I1459" s="18"/>
      <c r="J1459" s="77" t="str">
        <f t="shared" ca="1" si="45"/>
        <v/>
      </c>
      <c r="K1459" s="23">
        <f>IF(A1459="","",COUNTIFS(Resumen!$N$2:$N$2999,ROW(),Resumen!$V$2:$V$2999,1))</f>
        <v/>
      </c>
      <c r="L1459" s="26"/>
      <c r="N14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0" spans="1:14">
      <c r="A1460" s="16"/>
      <c r="B1460" s="16"/>
      <c r="C1460" s="25"/>
      <c r="D1460" s="25"/>
      <c r="E1460" s="16"/>
      <c r="F1460" s="18"/>
      <c r="G1460" s="19" t="str">
        <f t="shared" ca="1" si="44"/>
        <v/>
      </c>
      <c r="H1460" s="18"/>
      <c r="I1460" s="18"/>
      <c r="J1460" s="77" t="str">
        <f t="shared" ca="1" si="45"/>
        <v/>
      </c>
      <c r="K1460" s="23">
        <f>IF(A1460="","",COUNTIFS(Resumen!$N$2:$N$2999,ROW(),Resumen!$V$2:$V$2999,1))</f>
        <v/>
      </c>
      <c r="L1460" s="26"/>
      <c r="N14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1" spans="1:14">
      <c r="A1461" s="16"/>
      <c r="B1461" s="16"/>
      <c r="C1461" s="25"/>
      <c r="D1461" s="25"/>
      <c r="E1461" s="16"/>
      <c r="F1461" s="18"/>
      <c r="G1461" s="19" t="str">
        <f t="shared" ca="1" si="44"/>
        <v/>
      </c>
      <c r="H1461" s="18"/>
      <c r="I1461" s="18"/>
      <c r="J1461" s="77" t="str">
        <f t="shared" ca="1" si="45"/>
        <v/>
      </c>
      <c r="K1461" s="23">
        <f>IF(A1461="","",COUNTIFS(Resumen!$N$2:$N$2999,ROW(),Resumen!$V$2:$V$2999,1))</f>
        <v/>
      </c>
      <c r="L1461" s="26"/>
      <c r="N14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2" spans="1:14">
      <c r="A1462" s="16"/>
      <c r="B1462" s="16"/>
      <c r="C1462" s="25"/>
      <c r="D1462" s="25"/>
      <c r="E1462" s="16"/>
      <c r="F1462" s="18"/>
      <c r="G1462" s="19" t="str">
        <f t="shared" ca="1" si="44"/>
        <v/>
      </c>
      <c r="H1462" s="18"/>
      <c r="I1462" s="18"/>
      <c r="J1462" s="77" t="str">
        <f t="shared" ca="1" si="45"/>
        <v/>
      </c>
      <c r="K1462" s="23">
        <f>IF(A1462="","",COUNTIFS(Resumen!$N$2:$N$2999,ROW(),Resumen!$V$2:$V$2999,1))</f>
        <v/>
      </c>
      <c r="L1462" s="26"/>
      <c r="N14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3" spans="1:14">
      <c r="A1463" s="16"/>
      <c r="B1463" s="16"/>
      <c r="C1463" s="25"/>
      <c r="D1463" s="25"/>
      <c r="E1463" s="16"/>
      <c r="F1463" s="18"/>
      <c r="G1463" s="19" t="str">
        <f t="shared" ca="1" si="44"/>
        <v/>
      </c>
      <c r="H1463" s="18"/>
      <c r="I1463" s="18"/>
      <c r="J1463" s="77" t="str">
        <f t="shared" ca="1" si="45"/>
        <v/>
      </c>
      <c r="K1463" s="23">
        <f>IF(A1463="","",COUNTIFS(Resumen!$N$2:$N$2999,ROW(),Resumen!$V$2:$V$2999,1))</f>
        <v/>
      </c>
      <c r="L1463" s="26"/>
      <c r="N14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4" spans="1:14">
      <c r="A1464" s="16"/>
      <c r="B1464" s="16"/>
      <c r="C1464" s="25"/>
      <c r="D1464" s="25"/>
      <c r="E1464" s="16"/>
      <c r="F1464" s="18"/>
      <c r="G1464" s="19" t="str">
        <f t="shared" ca="1" si="44"/>
        <v/>
      </c>
      <c r="H1464" s="18"/>
      <c r="I1464" s="18"/>
      <c r="J1464" s="77" t="str">
        <f t="shared" ca="1" si="45"/>
        <v/>
      </c>
      <c r="K1464" s="23">
        <f>IF(A1464="","",COUNTIFS(Resumen!$N$2:$N$2999,ROW(),Resumen!$V$2:$V$2999,1))</f>
        <v/>
      </c>
      <c r="L1464" s="26"/>
      <c r="N14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5" spans="1:14">
      <c r="A1465" s="16"/>
      <c r="B1465" s="16"/>
      <c r="C1465" s="25"/>
      <c r="D1465" s="25"/>
      <c r="E1465" s="16"/>
      <c r="F1465" s="18"/>
      <c r="G1465" s="19" t="str">
        <f t="shared" ca="1" si="44"/>
        <v/>
      </c>
      <c r="H1465" s="18"/>
      <c r="I1465" s="18"/>
      <c r="J1465" s="77" t="str">
        <f t="shared" ca="1" si="45"/>
        <v/>
      </c>
      <c r="K1465" s="23">
        <f>IF(A1465="","",COUNTIFS(Resumen!$N$2:$N$2999,ROW(),Resumen!$V$2:$V$2999,1))</f>
        <v/>
      </c>
      <c r="L1465" s="26"/>
      <c r="N14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6" spans="1:14">
      <c r="A1466" s="16"/>
      <c r="B1466" s="16"/>
      <c r="C1466" s="25"/>
      <c r="D1466" s="25"/>
      <c r="E1466" s="16"/>
      <c r="F1466" s="18"/>
      <c r="G1466" s="19" t="str">
        <f t="shared" ca="1" si="44"/>
        <v/>
      </c>
      <c r="H1466" s="18"/>
      <c r="I1466" s="18"/>
      <c r="J1466" s="77" t="str">
        <f t="shared" ca="1" si="45"/>
        <v/>
      </c>
      <c r="K1466" s="23">
        <f>IF(A1466="","",COUNTIFS(Resumen!$N$2:$N$2999,ROW(),Resumen!$V$2:$V$2999,1))</f>
        <v/>
      </c>
      <c r="L1466" s="26"/>
      <c r="N14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7" spans="1:14">
      <c r="A1467" s="16"/>
      <c r="B1467" s="16"/>
      <c r="C1467" s="25"/>
      <c r="D1467" s="25"/>
      <c r="E1467" s="16"/>
      <c r="F1467" s="18"/>
      <c r="G1467" s="19" t="str">
        <f t="shared" ca="1" si="44"/>
        <v/>
      </c>
      <c r="H1467" s="18"/>
      <c r="I1467" s="18"/>
      <c r="J1467" s="77" t="str">
        <f t="shared" ca="1" si="45"/>
        <v/>
      </c>
      <c r="K1467" s="23">
        <f>IF(A1467="","",COUNTIFS(Resumen!$N$2:$N$2999,ROW(),Resumen!$V$2:$V$2999,1))</f>
        <v/>
      </c>
      <c r="L1467" s="26"/>
      <c r="N14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8" spans="1:14">
      <c r="A1468" s="16"/>
      <c r="B1468" s="16"/>
      <c r="C1468" s="25"/>
      <c r="D1468" s="25"/>
      <c r="E1468" s="16"/>
      <c r="F1468" s="18"/>
      <c r="G1468" s="19" t="str">
        <f t="shared" ca="1" si="44"/>
        <v/>
      </c>
      <c r="H1468" s="18"/>
      <c r="I1468" s="18"/>
      <c r="J1468" s="77" t="str">
        <f t="shared" ca="1" si="45"/>
        <v/>
      </c>
      <c r="K1468" s="23">
        <f>IF(A1468="","",COUNTIFS(Resumen!$N$2:$N$2999,ROW(),Resumen!$V$2:$V$2999,1))</f>
        <v/>
      </c>
      <c r="L1468" s="26"/>
      <c r="N14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69" spans="1:14">
      <c r="A1469" s="16"/>
      <c r="B1469" s="16"/>
      <c r="C1469" s="25"/>
      <c r="D1469" s="25"/>
      <c r="E1469" s="16"/>
      <c r="F1469" s="18"/>
      <c r="G1469" s="19" t="str">
        <f t="shared" ca="1" si="44"/>
        <v/>
      </c>
      <c r="H1469" s="18"/>
      <c r="I1469" s="18"/>
      <c r="J1469" s="77" t="str">
        <f t="shared" ca="1" si="45"/>
        <v/>
      </c>
      <c r="K1469" s="23">
        <f>IF(A1469="","",COUNTIFS(Resumen!$N$2:$N$2999,ROW(),Resumen!$V$2:$V$2999,1))</f>
        <v/>
      </c>
      <c r="L1469" s="26"/>
      <c r="N14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0" spans="1:14">
      <c r="A1470" s="16"/>
      <c r="B1470" s="16"/>
      <c r="C1470" s="25"/>
      <c r="D1470" s="25"/>
      <c r="E1470" s="16"/>
      <c r="F1470" s="18"/>
      <c r="G1470" s="19" t="str">
        <f t="shared" ca="1" si="44"/>
        <v/>
      </c>
      <c r="H1470" s="18"/>
      <c r="I1470" s="18"/>
      <c r="J1470" s="77" t="str">
        <f t="shared" ca="1" si="45"/>
        <v/>
      </c>
      <c r="K1470" s="23">
        <f>IF(A1470="","",COUNTIFS(Resumen!$N$2:$N$2999,ROW(),Resumen!$V$2:$V$2999,1))</f>
        <v/>
      </c>
      <c r="L1470" s="26"/>
      <c r="N14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1" spans="1:14">
      <c r="A1471" s="16"/>
      <c r="B1471" s="16"/>
      <c r="C1471" s="25"/>
      <c r="D1471" s="25"/>
      <c r="E1471" s="16"/>
      <c r="F1471" s="18"/>
      <c r="G1471" s="19" t="str">
        <f t="shared" ca="1" si="44"/>
        <v/>
      </c>
      <c r="H1471" s="18"/>
      <c r="I1471" s="18"/>
      <c r="J1471" s="77" t="str">
        <f t="shared" ca="1" si="45"/>
        <v/>
      </c>
      <c r="K1471" s="23">
        <f>IF(A1471="","",COUNTIFS(Resumen!$N$2:$N$2999,ROW(),Resumen!$V$2:$V$2999,1))</f>
        <v/>
      </c>
      <c r="L1471" s="26"/>
      <c r="N14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2" spans="1:14">
      <c r="A1472" s="16"/>
      <c r="B1472" s="16"/>
      <c r="C1472" s="25"/>
      <c r="D1472" s="25"/>
      <c r="E1472" s="16"/>
      <c r="F1472" s="18"/>
      <c r="G1472" s="19" t="str">
        <f t="shared" ca="1" si="44"/>
        <v/>
      </c>
      <c r="H1472" s="18"/>
      <c r="I1472" s="18"/>
      <c r="J1472" s="77" t="str">
        <f t="shared" ca="1" si="45"/>
        <v/>
      </c>
      <c r="K1472" s="23">
        <f>IF(A1472="","",COUNTIFS(Resumen!$N$2:$N$2999,ROW(),Resumen!$V$2:$V$2999,1))</f>
        <v/>
      </c>
      <c r="L1472" s="26"/>
      <c r="N14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3" spans="1:14">
      <c r="A1473" s="16"/>
      <c r="B1473" s="16"/>
      <c r="C1473" s="25"/>
      <c r="D1473" s="25"/>
      <c r="E1473" s="16"/>
      <c r="F1473" s="18"/>
      <c r="G1473" s="19" t="str">
        <f t="shared" ca="1" si="44"/>
        <v/>
      </c>
      <c r="H1473" s="18"/>
      <c r="I1473" s="18"/>
      <c r="J1473" s="77" t="str">
        <f t="shared" ca="1" si="45"/>
        <v/>
      </c>
      <c r="K1473" s="23">
        <f>IF(A1473="","",COUNTIFS(Resumen!$N$2:$N$2999,ROW(),Resumen!$V$2:$V$2999,1))</f>
        <v/>
      </c>
      <c r="L1473" s="26"/>
      <c r="N14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4" spans="1:14">
      <c r="A1474" s="16"/>
      <c r="B1474" s="16"/>
      <c r="C1474" s="25"/>
      <c r="D1474" s="25"/>
      <c r="E1474" s="16"/>
      <c r="F1474" s="18"/>
      <c r="G1474" s="19" t="str">
        <f t="shared" ref="G1474:G1537" ca="1" si="46">IF(F1474="", "", DATEDIF(F1474, TODAY(), "Y"))</f>
        <v/>
      </c>
      <c r="H1474" s="18"/>
      <c r="I1474" s="18"/>
      <c r="J1474" s="77" t="str">
        <f t="shared" ref="J1474:J1537" ca="1" si="47">IFERROR(IF(ISNUMBER(INDEX(VigenciasFamilia,ROW())),INDEX(VigenciasFamilia,ROW())-TODAY(),""),"")</f>
        <v/>
      </c>
      <c r="K1474" s="23">
        <f>IF(A1474="","",COUNTIFS(Resumen!$N$2:$N$2999,ROW(),Resumen!$V$2:$V$2999,1))</f>
        <v/>
      </c>
      <c r="L1474" s="26"/>
      <c r="N14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5" spans="1:14">
      <c r="A1475" s="16"/>
      <c r="B1475" s="16"/>
      <c r="C1475" s="25"/>
      <c r="D1475" s="25"/>
      <c r="E1475" s="16"/>
      <c r="F1475" s="18"/>
      <c r="G1475" s="19" t="str">
        <f t="shared" ca="1" si="46"/>
        <v/>
      </c>
      <c r="H1475" s="18"/>
      <c r="I1475" s="18"/>
      <c r="J1475" s="77" t="str">
        <f t="shared" ca="1" si="47"/>
        <v/>
      </c>
      <c r="K1475" s="23">
        <f>IF(A1475="","",COUNTIFS(Resumen!$N$2:$N$2999,ROW(),Resumen!$V$2:$V$2999,1))</f>
        <v/>
      </c>
      <c r="L1475" s="26"/>
      <c r="N14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6" spans="1:14">
      <c r="A1476" s="16"/>
      <c r="B1476" s="16"/>
      <c r="C1476" s="25"/>
      <c r="D1476" s="25"/>
      <c r="E1476" s="16"/>
      <c r="F1476" s="18"/>
      <c r="G1476" s="19" t="str">
        <f t="shared" ca="1" si="46"/>
        <v/>
      </c>
      <c r="H1476" s="18"/>
      <c r="I1476" s="18"/>
      <c r="J1476" s="77" t="str">
        <f t="shared" ca="1" si="47"/>
        <v/>
      </c>
      <c r="K1476" s="23">
        <f>IF(A1476="","",COUNTIFS(Resumen!$N$2:$N$2999,ROW(),Resumen!$V$2:$V$2999,1))</f>
        <v/>
      </c>
      <c r="L1476" s="26"/>
      <c r="N14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7" spans="1:14">
      <c r="A1477" s="16"/>
      <c r="B1477" s="16"/>
      <c r="C1477" s="25"/>
      <c r="D1477" s="25"/>
      <c r="E1477" s="16"/>
      <c r="F1477" s="18"/>
      <c r="G1477" s="19" t="str">
        <f t="shared" ca="1" si="46"/>
        <v/>
      </c>
      <c r="H1477" s="18"/>
      <c r="I1477" s="18"/>
      <c r="J1477" s="77" t="str">
        <f t="shared" ca="1" si="47"/>
        <v/>
      </c>
      <c r="K1477" s="23">
        <f>IF(A1477="","",COUNTIFS(Resumen!$N$2:$N$2999,ROW(),Resumen!$V$2:$V$2999,1))</f>
        <v/>
      </c>
      <c r="L1477" s="26"/>
      <c r="N14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8" spans="1:14">
      <c r="A1478" s="16"/>
      <c r="B1478" s="16"/>
      <c r="C1478" s="25"/>
      <c r="D1478" s="25"/>
      <c r="E1478" s="16"/>
      <c r="F1478" s="18"/>
      <c r="G1478" s="19" t="str">
        <f t="shared" ca="1" si="46"/>
        <v/>
      </c>
      <c r="H1478" s="18"/>
      <c r="I1478" s="18"/>
      <c r="J1478" s="77" t="str">
        <f t="shared" ca="1" si="47"/>
        <v/>
      </c>
      <c r="K1478" s="23">
        <f>IF(A1478="","",COUNTIFS(Resumen!$N$2:$N$2999,ROW(),Resumen!$V$2:$V$2999,1))</f>
        <v/>
      </c>
      <c r="L1478" s="26"/>
      <c r="N14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79" spans="1:14">
      <c r="A1479" s="16"/>
      <c r="B1479" s="16"/>
      <c r="C1479" s="25"/>
      <c r="D1479" s="25"/>
      <c r="E1479" s="16"/>
      <c r="F1479" s="18"/>
      <c r="G1479" s="19" t="str">
        <f t="shared" ca="1" si="46"/>
        <v/>
      </c>
      <c r="H1479" s="18"/>
      <c r="I1479" s="18"/>
      <c r="J1479" s="77" t="str">
        <f t="shared" ca="1" si="47"/>
        <v/>
      </c>
      <c r="K1479" s="23">
        <f>IF(A1479="","",COUNTIFS(Resumen!$N$2:$N$2999,ROW(),Resumen!$V$2:$V$2999,1))</f>
        <v/>
      </c>
      <c r="L1479" s="26"/>
      <c r="N14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0" spans="1:14">
      <c r="A1480" s="16"/>
      <c r="B1480" s="16"/>
      <c r="C1480" s="25"/>
      <c r="D1480" s="25"/>
      <c r="E1480" s="16"/>
      <c r="F1480" s="18"/>
      <c r="G1480" s="19" t="str">
        <f t="shared" ca="1" si="46"/>
        <v/>
      </c>
      <c r="H1480" s="18"/>
      <c r="I1480" s="18"/>
      <c r="J1480" s="77" t="str">
        <f t="shared" ca="1" si="47"/>
        <v/>
      </c>
      <c r="K1480" s="23">
        <f>IF(A1480="","",COUNTIFS(Resumen!$N$2:$N$2999,ROW(),Resumen!$V$2:$V$2999,1))</f>
        <v/>
      </c>
      <c r="L1480" s="26"/>
      <c r="N14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1" spans="1:14">
      <c r="A1481" s="16"/>
      <c r="B1481" s="16"/>
      <c r="C1481" s="25"/>
      <c r="D1481" s="25"/>
      <c r="E1481" s="16"/>
      <c r="F1481" s="18"/>
      <c r="G1481" s="19" t="str">
        <f t="shared" ca="1" si="46"/>
        <v/>
      </c>
      <c r="H1481" s="18"/>
      <c r="I1481" s="18"/>
      <c r="J1481" s="77" t="str">
        <f t="shared" ca="1" si="47"/>
        <v/>
      </c>
      <c r="K1481" s="23">
        <f>IF(A1481="","",COUNTIFS(Resumen!$N$2:$N$2999,ROW(),Resumen!$V$2:$V$2999,1))</f>
        <v/>
      </c>
      <c r="L1481" s="26"/>
      <c r="N14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2" spans="1:14">
      <c r="A1482" s="16"/>
      <c r="B1482" s="16"/>
      <c r="C1482" s="25"/>
      <c r="D1482" s="25"/>
      <c r="E1482" s="16"/>
      <c r="F1482" s="18"/>
      <c r="G1482" s="19" t="str">
        <f t="shared" ca="1" si="46"/>
        <v/>
      </c>
      <c r="H1482" s="18"/>
      <c r="I1482" s="18"/>
      <c r="J1482" s="77" t="str">
        <f t="shared" ca="1" si="47"/>
        <v/>
      </c>
      <c r="K1482" s="23">
        <f>IF(A1482="","",COUNTIFS(Resumen!$N$2:$N$2999,ROW(),Resumen!$V$2:$V$2999,1))</f>
        <v/>
      </c>
      <c r="L1482" s="26"/>
      <c r="N14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3" spans="1:14">
      <c r="A1483" s="16"/>
      <c r="B1483" s="16"/>
      <c r="C1483" s="25"/>
      <c r="D1483" s="25"/>
      <c r="E1483" s="16"/>
      <c r="F1483" s="18"/>
      <c r="G1483" s="19" t="str">
        <f t="shared" ca="1" si="46"/>
        <v/>
      </c>
      <c r="H1483" s="18"/>
      <c r="I1483" s="18"/>
      <c r="J1483" s="77" t="str">
        <f t="shared" ca="1" si="47"/>
        <v/>
      </c>
      <c r="K1483" s="23">
        <f>IF(A1483="","",COUNTIFS(Resumen!$N$2:$N$2999,ROW(),Resumen!$V$2:$V$2999,1))</f>
        <v/>
      </c>
      <c r="L1483" s="26"/>
      <c r="N14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4" spans="1:14">
      <c r="A1484" s="16"/>
      <c r="B1484" s="16"/>
      <c r="C1484" s="25"/>
      <c r="D1484" s="25"/>
      <c r="E1484" s="16"/>
      <c r="F1484" s="18"/>
      <c r="G1484" s="19" t="str">
        <f t="shared" ca="1" si="46"/>
        <v/>
      </c>
      <c r="H1484" s="18"/>
      <c r="I1484" s="18"/>
      <c r="J1484" s="77" t="str">
        <f t="shared" ca="1" si="47"/>
        <v/>
      </c>
      <c r="K1484" s="23">
        <f>IF(A1484="","",COUNTIFS(Resumen!$N$2:$N$2999,ROW(),Resumen!$V$2:$V$2999,1))</f>
        <v/>
      </c>
      <c r="L1484" s="26"/>
      <c r="N14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5" spans="1:14">
      <c r="A1485" s="16"/>
      <c r="B1485" s="16"/>
      <c r="C1485" s="25"/>
      <c r="D1485" s="25"/>
      <c r="E1485" s="16"/>
      <c r="F1485" s="18"/>
      <c r="G1485" s="19" t="str">
        <f t="shared" ca="1" si="46"/>
        <v/>
      </c>
      <c r="H1485" s="18"/>
      <c r="I1485" s="18"/>
      <c r="J1485" s="77" t="str">
        <f t="shared" ca="1" si="47"/>
        <v/>
      </c>
      <c r="K1485" s="23">
        <f>IF(A1485="","",COUNTIFS(Resumen!$N$2:$N$2999,ROW(),Resumen!$V$2:$V$2999,1))</f>
        <v/>
      </c>
      <c r="L1485" s="26"/>
      <c r="N14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6" spans="1:14">
      <c r="A1486" s="16"/>
      <c r="B1486" s="16"/>
      <c r="C1486" s="25"/>
      <c r="D1486" s="25"/>
      <c r="E1486" s="16"/>
      <c r="F1486" s="18"/>
      <c r="G1486" s="19" t="str">
        <f t="shared" ca="1" si="46"/>
        <v/>
      </c>
      <c r="H1486" s="18"/>
      <c r="I1486" s="18"/>
      <c r="J1486" s="77" t="str">
        <f t="shared" ca="1" si="47"/>
        <v/>
      </c>
      <c r="K1486" s="23">
        <f>IF(A1486="","",COUNTIFS(Resumen!$N$2:$N$2999,ROW(),Resumen!$V$2:$V$2999,1))</f>
        <v/>
      </c>
      <c r="L1486" s="26"/>
      <c r="N14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7" spans="1:14">
      <c r="A1487" s="16"/>
      <c r="B1487" s="16"/>
      <c r="C1487" s="25"/>
      <c r="D1487" s="25"/>
      <c r="E1487" s="16"/>
      <c r="F1487" s="18"/>
      <c r="G1487" s="19" t="str">
        <f t="shared" ca="1" si="46"/>
        <v/>
      </c>
      <c r="H1487" s="18"/>
      <c r="I1487" s="18"/>
      <c r="J1487" s="77" t="str">
        <f t="shared" ca="1" si="47"/>
        <v/>
      </c>
      <c r="K1487" s="23">
        <f>IF(A1487="","",COUNTIFS(Resumen!$N$2:$N$2999,ROW(),Resumen!$V$2:$V$2999,1))</f>
        <v/>
      </c>
      <c r="L1487" s="26"/>
      <c r="N14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8" spans="1:14">
      <c r="A1488" s="16"/>
      <c r="B1488" s="16"/>
      <c r="C1488" s="25"/>
      <c r="D1488" s="25"/>
      <c r="E1488" s="16"/>
      <c r="F1488" s="18"/>
      <c r="G1488" s="19" t="str">
        <f t="shared" ca="1" si="46"/>
        <v/>
      </c>
      <c r="H1488" s="18"/>
      <c r="I1488" s="18"/>
      <c r="J1488" s="77" t="str">
        <f t="shared" ca="1" si="47"/>
        <v/>
      </c>
      <c r="K1488" s="23">
        <f>IF(A1488="","",COUNTIFS(Resumen!$N$2:$N$2999,ROW(),Resumen!$V$2:$V$2999,1))</f>
        <v/>
      </c>
      <c r="L1488" s="26"/>
      <c r="N14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89" spans="1:14">
      <c r="A1489" s="16"/>
      <c r="B1489" s="16"/>
      <c r="C1489" s="25"/>
      <c r="D1489" s="25"/>
      <c r="E1489" s="16"/>
      <c r="F1489" s="18"/>
      <c r="G1489" s="19" t="str">
        <f t="shared" ca="1" si="46"/>
        <v/>
      </c>
      <c r="H1489" s="18"/>
      <c r="I1489" s="18"/>
      <c r="J1489" s="77" t="str">
        <f t="shared" ca="1" si="47"/>
        <v/>
      </c>
      <c r="K1489" s="23">
        <f>IF(A1489="","",COUNTIFS(Resumen!$N$2:$N$2999,ROW(),Resumen!$V$2:$V$2999,1))</f>
        <v/>
      </c>
      <c r="L1489" s="26"/>
      <c r="N14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0" spans="1:14">
      <c r="A1490" s="16"/>
      <c r="B1490" s="16"/>
      <c r="C1490" s="25"/>
      <c r="D1490" s="25"/>
      <c r="E1490" s="16"/>
      <c r="F1490" s="18"/>
      <c r="G1490" s="19" t="str">
        <f t="shared" ca="1" si="46"/>
        <v/>
      </c>
      <c r="H1490" s="18"/>
      <c r="I1490" s="18"/>
      <c r="J1490" s="77" t="str">
        <f t="shared" ca="1" si="47"/>
        <v/>
      </c>
      <c r="K1490" s="23">
        <f>IF(A1490="","",COUNTIFS(Resumen!$N$2:$N$2999,ROW(),Resumen!$V$2:$V$2999,1))</f>
        <v/>
      </c>
      <c r="L1490" s="26"/>
      <c r="N14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1" spans="1:14">
      <c r="A1491" s="16"/>
      <c r="B1491" s="16"/>
      <c r="C1491" s="25"/>
      <c r="D1491" s="25"/>
      <c r="E1491" s="16"/>
      <c r="F1491" s="18"/>
      <c r="G1491" s="19" t="str">
        <f t="shared" ca="1" si="46"/>
        <v/>
      </c>
      <c r="H1491" s="18"/>
      <c r="I1491" s="18"/>
      <c r="J1491" s="77" t="str">
        <f t="shared" ca="1" si="47"/>
        <v/>
      </c>
      <c r="K1491" s="23">
        <f>IF(A1491="","",COUNTIFS(Resumen!$N$2:$N$2999,ROW(),Resumen!$V$2:$V$2999,1))</f>
        <v/>
      </c>
      <c r="L1491" s="26"/>
      <c r="N14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2" spans="1:14">
      <c r="A1492" s="16"/>
      <c r="B1492" s="16"/>
      <c r="C1492" s="25"/>
      <c r="D1492" s="25"/>
      <c r="E1492" s="16"/>
      <c r="F1492" s="18"/>
      <c r="G1492" s="19" t="str">
        <f t="shared" ca="1" si="46"/>
        <v/>
      </c>
      <c r="H1492" s="18"/>
      <c r="I1492" s="18"/>
      <c r="J1492" s="77" t="str">
        <f t="shared" ca="1" si="47"/>
        <v/>
      </c>
      <c r="K1492" s="23">
        <f>IF(A1492="","",COUNTIFS(Resumen!$N$2:$N$2999,ROW(),Resumen!$V$2:$V$2999,1))</f>
        <v/>
      </c>
      <c r="L1492" s="26"/>
      <c r="N14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3" spans="1:14">
      <c r="A1493" s="16"/>
      <c r="B1493" s="16"/>
      <c r="C1493" s="25"/>
      <c r="D1493" s="25"/>
      <c r="E1493" s="16"/>
      <c r="F1493" s="18"/>
      <c r="G1493" s="19" t="str">
        <f t="shared" ca="1" si="46"/>
        <v/>
      </c>
      <c r="H1493" s="18"/>
      <c r="I1493" s="18"/>
      <c r="J1493" s="77" t="str">
        <f t="shared" ca="1" si="47"/>
        <v/>
      </c>
      <c r="K1493" s="23">
        <f>IF(A1493="","",COUNTIFS(Resumen!$N$2:$N$2999,ROW(),Resumen!$V$2:$V$2999,1))</f>
        <v/>
      </c>
      <c r="L1493" s="26"/>
      <c r="N14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4" spans="1:14">
      <c r="A1494" s="16"/>
      <c r="B1494" s="16"/>
      <c r="C1494" s="25"/>
      <c r="D1494" s="25"/>
      <c r="E1494" s="16"/>
      <c r="F1494" s="18"/>
      <c r="G1494" s="19" t="str">
        <f t="shared" ca="1" si="46"/>
        <v/>
      </c>
      <c r="H1494" s="18"/>
      <c r="I1494" s="18"/>
      <c r="J1494" s="77" t="str">
        <f t="shared" ca="1" si="47"/>
        <v/>
      </c>
      <c r="K1494" s="23">
        <f>IF(A1494="","",COUNTIFS(Resumen!$N$2:$N$2999,ROW(),Resumen!$V$2:$V$2999,1))</f>
        <v/>
      </c>
      <c r="L1494" s="26"/>
      <c r="N14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5" spans="1:14">
      <c r="A1495" s="16"/>
      <c r="B1495" s="16"/>
      <c r="C1495" s="25"/>
      <c r="D1495" s="25"/>
      <c r="E1495" s="16"/>
      <c r="F1495" s="18"/>
      <c r="G1495" s="19" t="str">
        <f t="shared" ca="1" si="46"/>
        <v/>
      </c>
      <c r="H1495" s="18"/>
      <c r="I1495" s="18"/>
      <c r="J1495" s="77" t="str">
        <f t="shared" ca="1" si="47"/>
        <v/>
      </c>
      <c r="K1495" s="23">
        <f>IF(A1495="","",COUNTIFS(Resumen!$N$2:$N$2999,ROW(),Resumen!$V$2:$V$2999,1))</f>
        <v/>
      </c>
      <c r="L1495" s="26"/>
      <c r="N14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6" spans="1:14">
      <c r="A1496" s="16"/>
      <c r="B1496" s="16"/>
      <c r="C1496" s="25"/>
      <c r="D1496" s="25"/>
      <c r="E1496" s="16"/>
      <c r="F1496" s="18"/>
      <c r="G1496" s="19" t="str">
        <f t="shared" ca="1" si="46"/>
        <v/>
      </c>
      <c r="H1496" s="18"/>
      <c r="I1496" s="18"/>
      <c r="J1496" s="77" t="str">
        <f t="shared" ca="1" si="47"/>
        <v/>
      </c>
      <c r="K1496" s="23">
        <f>IF(A1496="","",COUNTIFS(Resumen!$N$2:$N$2999,ROW(),Resumen!$V$2:$V$2999,1))</f>
        <v/>
      </c>
      <c r="L1496" s="26"/>
      <c r="N14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7" spans="1:14">
      <c r="A1497" s="16"/>
      <c r="B1497" s="16"/>
      <c r="C1497" s="25"/>
      <c r="D1497" s="25"/>
      <c r="E1497" s="16"/>
      <c r="F1497" s="18"/>
      <c r="G1497" s="19" t="str">
        <f t="shared" ca="1" si="46"/>
        <v/>
      </c>
      <c r="H1497" s="18"/>
      <c r="I1497" s="18"/>
      <c r="J1497" s="77" t="str">
        <f t="shared" ca="1" si="47"/>
        <v/>
      </c>
      <c r="K1497" s="23">
        <f>IF(A1497="","",COUNTIFS(Resumen!$N$2:$N$2999,ROW(),Resumen!$V$2:$V$2999,1))</f>
        <v/>
      </c>
      <c r="L1497" s="26"/>
      <c r="N14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8" spans="1:14">
      <c r="A1498" s="16"/>
      <c r="B1498" s="16"/>
      <c r="C1498" s="25"/>
      <c r="D1498" s="25"/>
      <c r="E1498" s="16"/>
      <c r="F1498" s="18"/>
      <c r="G1498" s="19" t="str">
        <f t="shared" ca="1" si="46"/>
        <v/>
      </c>
      <c r="H1498" s="18"/>
      <c r="I1498" s="18"/>
      <c r="J1498" s="77" t="str">
        <f t="shared" ca="1" si="47"/>
        <v/>
      </c>
      <c r="K1498" s="23">
        <f>IF(A1498="","",COUNTIFS(Resumen!$N$2:$N$2999,ROW(),Resumen!$V$2:$V$2999,1))</f>
        <v/>
      </c>
      <c r="L1498" s="26"/>
      <c r="N14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499" spans="1:14">
      <c r="A1499" s="16"/>
      <c r="B1499" s="16"/>
      <c r="C1499" s="25"/>
      <c r="D1499" s="25"/>
      <c r="E1499" s="16"/>
      <c r="F1499" s="18"/>
      <c r="G1499" s="19" t="str">
        <f t="shared" ca="1" si="46"/>
        <v/>
      </c>
      <c r="H1499" s="18"/>
      <c r="I1499" s="18"/>
      <c r="J1499" s="77" t="str">
        <f t="shared" ca="1" si="47"/>
        <v/>
      </c>
      <c r="K1499" s="23">
        <f>IF(A1499="","",COUNTIFS(Resumen!$N$2:$N$2999,ROW(),Resumen!$V$2:$V$2999,1))</f>
        <v/>
      </c>
      <c r="L1499" s="26"/>
      <c r="N14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0" spans="1:14">
      <c r="A1500" s="16"/>
      <c r="B1500" s="16"/>
      <c r="C1500" s="25"/>
      <c r="D1500" s="25"/>
      <c r="E1500" s="16"/>
      <c r="F1500" s="18"/>
      <c r="G1500" s="19" t="str">
        <f t="shared" ca="1" si="46"/>
        <v/>
      </c>
      <c r="H1500" s="18"/>
      <c r="I1500" s="18"/>
      <c r="J1500" s="77" t="str">
        <f t="shared" ca="1" si="47"/>
        <v/>
      </c>
      <c r="K1500" s="23">
        <f>IF(A1500="","",COUNTIFS(Resumen!$N$2:$N$2999,ROW(),Resumen!$V$2:$V$2999,1))</f>
        <v/>
      </c>
      <c r="L1500" s="26"/>
      <c r="N15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1" spans="1:14">
      <c r="A1501" s="16"/>
      <c r="B1501" s="16"/>
      <c r="C1501" s="25"/>
      <c r="D1501" s="25"/>
      <c r="E1501" s="16"/>
      <c r="F1501" s="18"/>
      <c r="G1501" s="19" t="str">
        <f t="shared" ca="1" si="46"/>
        <v/>
      </c>
      <c r="H1501" s="18"/>
      <c r="I1501" s="18"/>
      <c r="J1501" s="77" t="str">
        <f t="shared" ca="1" si="47"/>
        <v/>
      </c>
      <c r="K1501" s="23">
        <f>IF(A1501="","",COUNTIFS(Resumen!$N$2:$N$2999,ROW(),Resumen!$V$2:$V$2999,1))</f>
        <v/>
      </c>
      <c r="L1501" s="26"/>
      <c r="N15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2" spans="1:14">
      <c r="A1502" s="16"/>
      <c r="B1502" s="16"/>
      <c r="C1502" s="25"/>
      <c r="D1502" s="25"/>
      <c r="E1502" s="16"/>
      <c r="F1502" s="18"/>
      <c r="G1502" s="19" t="str">
        <f t="shared" ca="1" si="46"/>
        <v/>
      </c>
      <c r="H1502" s="18"/>
      <c r="I1502" s="18"/>
      <c r="J1502" s="77" t="str">
        <f t="shared" ca="1" si="47"/>
        <v/>
      </c>
      <c r="K1502" s="23">
        <f>IF(A1502="","",COUNTIFS(Resumen!$N$2:$N$2999,ROW(),Resumen!$V$2:$V$2999,1))</f>
        <v/>
      </c>
      <c r="L1502" s="26"/>
      <c r="N15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3" spans="1:14">
      <c r="A1503" s="16"/>
      <c r="B1503" s="16"/>
      <c r="C1503" s="25"/>
      <c r="D1503" s="25"/>
      <c r="E1503" s="16"/>
      <c r="F1503" s="18"/>
      <c r="G1503" s="19" t="str">
        <f t="shared" ca="1" si="46"/>
        <v/>
      </c>
      <c r="H1503" s="18"/>
      <c r="I1503" s="18"/>
      <c r="J1503" s="77" t="str">
        <f t="shared" ca="1" si="47"/>
        <v/>
      </c>
      <c r="K1503" s="23">
        <f>IF(A1503="","",COUNTIFS(Resumen!$N$2:$N$2999,ROW(),Resumen!$V$2:$V$2999,1))</f>
        <v/>
      </c>
      <c r="L1503" s="26"/>
      <c r="N15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4" spans="1:14">
      <c r="A1504" s="16"/>
      <c r="B1504" s="16"/>
      <c r="C1504" s="25"/>
      <c r="D1504" s="25"/>
      <c r="E1504" s="16"/>
      <c r="F1504" s="18"/>
      <c r="G1504" s="19" t="str">
        <f t="shared" ca="1" si="46"/>
        <v/>
      </c>
      <c r="H1504" s="18"/>
      <c r="I1504" s="18"/>
      <c r="J1504" s="77" t="str">
        <f t="shared" ca="1" si="47"/>
        <v/>
      </c>
      <c r="K1504" s="23">
        <f>IF(A1504="","",COUNTIFS(Resumen!$N$2:$N$2999,ROW(),Resumen!$V$2:$V$2999,1))</f>
        <v/>
      </c>
      <c r="L1504" s="26"/>
      <c r="N15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5" spans="1:14">
      <c r="A1505" s="16"/>
      <c r="B1505" s="16"/>
      <c r="C1505" s="25"/>
      <c r="D1505" s="25"/>
      <c r="E1505" s="16"/>
      <c r="F1505" s="18"/>
      <c r="G1505" s="19" t="str">
        <f t="shared" ca="1" si="46"/>
        <v/>
      </c>
      <c r="H1505" s="18"/>
      <c r="I1505" s="18"/>
      <c r="J1505" s="77" t="str">
        <f t="shared" ca="1" si="47"/>
        <v/>
      </c>
      <c r="K1505" s="23">
        <f>IF(A1505="","",COUNTIFS(Resumen!$N$2:$N$2999,ROW(),Resumen!$V$2:$V$2999,1))</f>
        <v/>
      </c>
      <c r="L1505" s="26"/>
      <c r="N15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6" spans="1:14">
      <c r="A1506" s="16"/>
      <c r="B1506" s="16"/>
      <c r="C1506" s="25"/>
      <c r="D1506" s="25"/>
      <c r="E1506" s="16"/>
      <c r="F1506" s="18"/>
      <c r="G1506" s="19" t="str">
        <f t="shared" ca="1" si="46"/>
        <v/>
      </c>
      <c r="H1506" s="18"/>
      <c r="I1506" s="18"/>
      <c r="J1506" s="77" t="str">
        <f t="shared" ca="1" si="47"/>
        <v/>
      </c>
      <c r="K1506" s="23">
        <f>IF(A1506="","",COUNTIFS(Resumen!$N$2:$N$2999,ROW(),Resumen!$V$2:$V$2999,1))</f>
        <v/>
      </c>
      <c r="L1506" s="26"/>
      <c r="N15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7" spans="1:14">
      <c r="A1507" s="16"/>
      <c r="B1507" s="16"/>
      <c r="C1507" s="25"/>
      <c r="D1507" s="25"/>
      <c r="E1507" s="16"/>
      <c r="F1507" s="18"/>
      <c r="G1507" s="19" t="str">
        <f t="shared" ca="1" si="46"/>
        <v/>
      </c>
      <c r="H1507" s="18"/>
      <c r="I1507" s="18"/>
      <c r="J1507" s="77" t="str">
        <f t="shared" ca="1" si="47"/>
        <v/>
      </c>
      <c r="K1507" s="23">
        <f>IF(A1507="","",COUNTIFS(Resumen!$N$2:$N$2999,ROW(),Resumen!$V$2:$V$2999,1))</f>
        <v/>
      </c>
      <c r="L1507" s="26"/>
      <c r="N15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8" spans="1:14">
      <c r="A1508" s="16"/>
      <c r="B1508" s="16"/>
      <c r="C1508" s="25"/>
      <c r="D1508" s="25"/>
      <c r="E1508" s="16"/>
      <c r="F1508" s="18"/>
      <c r="G1508" s="19" t="str">
        <f t="shared" ca="1" si="46"/>
        <v/>
      </c>
      <c r="H1508" s="18"/>
      <c r="I1508" s="18"/>
      <c r="J1508" s="77" t="str">
        <f t="shared" ca="1" si="47"/>
        <v/>
      </c>
      <c r="K1508" s="23">
        <f>IF(A1508="","",COUNTIFS(Resumen!$N$2:$N$2999,ROW(),Resumen!$V$2:$V$2999,1))</f>
        <v/>
      </c>
      <c r="L1508" s="26"/>
      <c r="N15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09" spans="1:14">
      <c r="A1509" s="16"/>
      <c r="B1509" s="16"/>
      <c r="C1509" s="25"/>
      <c r="D1509" s="25"/>
      <c r="E1509" s="16"/>
      <c r="F1509" s="18"/>
      <c r="G1509" s="19" t="str">
        <f t="shared" ca="1" si="46"/>
        <v/>
      </c>
      <c r="H1509" s="18"/>
      <c r="I1509" s="18"/>
      <c r="J1509" s="77" t="str">
        <f t="shared" ca="1" si="47"/>
        <v/>
      </c>
      <c r="K1509" s="23">
        <f>IF(A1509="","",COUNTIFS(Resumen!$N$2:$N$2999,ROW(),Resumen!$V$2:$V$2999,1))</f>
        <v/>
      </c>
      <c r="L1509" s="26"/>
      <c r="N15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0" spans="1:14">
      <c r="A1510" s="16"/>
      <c r="B1510" s="16"/>
      <c r="C1510" s="25"/>
      <c r="D1510" s="25"/>
      <c r="E1510" s="16"/>
      <c r="F1510" s="18"/>
      <c r="G1510" s="19" t="str">
        <f t="shared" ca="1" si="46"/>
        <v/>
      </c>
      <c r="H1510" s="18"/>
      <c r="I1510" s="18"/>
      <c r="J1510" s="77" t="str">
        <f t="shared" ca="1" si="47"/>
        <v/>
      </c>
      <c r="K1510" s="23">
        <f>IF(A1510="","",COUNTIFS(Resumen!$N$2:$N$2999,ROW(),Resumen!$V$2:$V$2999,1))</f>
        <v/>
      </c>
      <c r="L1510" s="26"/>
      <c r="N15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1" spans="1:14">
      <c r="A1511" s="16"/>
      <c r="B1511" s="16"/>
      <c r="C1511" s="25"/>
      <c r="D1511" s="25"/>
      <c r="E1511" s="16"/>
      <c r="F1511" s="18"/>
      <c r="G1511" s="19" t="str">
        <f t="shared" ca="1" si="46"/>
        <v/>
      </c>
      <c r="H1511" s="18"/>
      <c r="I1511" s="18"/>
      <c r="J1511" s="77" t="str">
        <f t="shared" ca="1" si="47"/>
        <v/>
      </c>
      <c r="K1511" s="23">
        <f>IF(A1511="","",COUNTIFS(Resumen!$N$2:$N$2999,ROW(),Resumen!$V$2:$V$2999,1))</f>
        <v/>
      </c>
      <c r="L1511" s="26"/>
      <c r="N15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2" spans="1:14">
      <c r="A1512" s="16"/>
      <c r="B1512" s="16"/>
      <c r="C1512" s="25"/>
      <c r="D1512" s="25"/>
      <c r="E1512" s="16"/>
      <c r="F1512" s="18"/>
      <c r="G1512" s="19" t="str">
        <f t="shared" ca="1" si="46"/>
        <v/>
      </c>
      <c r="H1512" s="18"/>
      <c r="I1512" s="18"/>
      <c r="J1512" s="77" t="str">
        <f t="shared" ca="1" si="47"/>
        <v/>
      </c>
      <c r="K1512" s="23">
        <f>IF(A1512="","",COUNTIFS(Resumen!$N$2:$N$2999,ROW(),Resumen!$V$2:$V$2999,1))</f>
        <v/>
      </c>
      <c r="L1512" s="26"/>
      <c r="N15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3" spans="1:14">
      <c r="A1513" s="16"/>
      <c r="B1513" s="16"/>
      <c r="C1513" s="25"/>
      <c r="D1513" s="25"/>
      <c r="E1513" s="16"/>
      <c r="F1513" s="18"/>
      <c r="G1513" s="19" t="str">
        <f t="shared" ca="1" si="46"/>
        <v/>
      </c>
      <c r="H1513" s="18"/>
      <c r="I1513" s="18"/>
      <c r="J1513" s="77" t="str">
        <f t="shared" ca="1" si="47"/>
        <v/>
      </c>
      <c r="K1513" s="23">
        <f>IF(A1513="","",COUNTIFS(Resumen!$N$2:$N$2999,ROW(),Resumen!$V$2:$V$2999,1))</f>
        <v/>
      </c>
      <c r="L1513" s="26"/>
      <c r="N15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4" spans="1:14">
      <c r="A1514" s="16"/>
      <c r="B1514" s="16"/>
      <c r="C1514" s="25"/>
      <c r="D1514" s="25"/>
      <c r="E1514" s="16"/>
      <c r="F1514" s="18"/>
      <c r="G1514" s="19" t="str">
        <f t="shared" ca="1" si="46"/>
        <v/>
      </c>
      <c r="H1514" s="18"/>
      <c r="I1514" s="18"/>
      <c r="J1514" s="77" t="str">
        <f t="shared" ca="1" si="47"/>
        <v/>
      </c>
      <c r="K1514" s="23">
        <f>IF(A1514="","",COUNTIFS(Resumen!$N$2:$N$2999,ROW(),Resumen!$V$2:$V$2999,1))</f>
        <v/>
      </c>
      <c r="L1514" s="26"/>
      <c r="N15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5" spans="1:14">
      <c r="A1515" s="16"/>
      <c r="B1515" s="16"/>
      <c r="C1515" s="25"/>
      <c r="D1515" s="25"/>
      <c r="E1515" s="16"/>
      <c r="F1515" s="18"/>
      <c r="G1515" s="19" t="str">
        <f t="shared" ca="1" si="46"/>
        <v/>
      </c>
      <c r="H1515" s="18"/>
      <c r="I1515" s="18"/>
      <c r="J1515" s="77" t="str">
        <f t="shared" ca="1" si="47"/>
        <v/>
      </c>
      <c r="K1515" s="23">
        <f>IF(A1515="","",COUNTIFS(Resumen!$N$2:$N$2999,ROW(),Resumen!$V$2:$V$2999,1))</f>
        <v/>
      </c>
      <c r="L1515" s="26"/>
      <c r="N15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6" spans="1:14">
      <c r="A1516" s="16"/>
      <c r="B1516" s="16"/>
      <c r="C1516" s="25"/>
      <c r="D1516" s="25"/>
      <c r="E1516" s="16"/>
      <c r="F1516" s="18"/>
      <c r="G1516" s="19" t="str">
        <f t="shared" ca="1" si="46"/>
        <v/>
      </c>
      <c r="H1516" s="18"/>
      <c r="I1516" s="18"/>
      <c r="J1516" s="77" t="str">
        <f t="shared" ca="1" si="47"/>
        <v/>
      </c>
      <c r="K1516" s="23">
        <f>IF(A1516="","",COUNTIFS(Resumen!$N$2:$N$2999,ROW(),Resumen!$V$2:$V$2999,1))</f>
        <v/>
      </c>
      <c r="L1516" s="26"/>
      <c r="N15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7" spans="1:14">
      <c r="A1517" s="16"/>
      <c r="B1517" s="16"/>
      <c r="C1517" s="25"/>
      <c r="D1517" s="25"/>
      <c r="E1517" s="16"/>
      <c r="F1517" s="18"/>
      <c r="G1517" s="19" t="str">
        <f t="shared" ca="1" si="46"/>
        <v/>
      </c>
      <c r="H1517" s="18"/>
      <c r="I1517" s="18"/>
      <c r="J1517" s="77" t="str">
        <f t="shared" ca="1" si="47"/>
        <v/>
      </c>
      <c r="K1517" s="23">
        <f>IF(A1517="","",COUNTIFS(Resumen!$N$2:$N$2999,ROW(),Resumen!$V$2:$V$2999,1))</f>
        <v/>
      </c>
      <c r="L1517" s="26"/>
      <c r="N15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8" spans="1:14">
      <c r="A1518" s="16"/>
      <c r="B1518" s="16"/>
      <c r="C1518" s="25"/>
      <c r="D1518" s="25"/>
      <c r="E1518" s="16"/>
      <c r="F1518" s="18"/>
      <c r="G1518" s="19" t="str">
        <f t="shared" ca="1" si="46"/>
        <v/>
      </c>
      <c r="H1518" s="18"/>
      <c r="I1518" s="18"/>
      <c r="J1518" s="77" t="str">
        <f t="shared" ca="1" si="47"/>
        <v/>
      </c>
      <c r="K1518" s="23">
        <f>IF(A1518="","",COUNTIFS(Resumen!$N$2:$N$2999,ROW(),Resumen!$V$2:$V$2999,1))</f>
        <v/>
      </c>
      <c r="L1518" s="26"/>
      <c r="N15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19" spans="1:14">
      <c r="A1519" s="16"/>
      <c r="B1519" s="16"/>
      <c r="C1519" s="25"/>
      <c r="D1519" s="25"/>
      <c r="E1519" s="16"/>
      <c r="F1519" s="18"/>
      <c r="G1519" s="19" t="str">
        <f t="shared" ca="1" si="46"/>
        <v/>
      </c>
      <c r="H1519" s="18"/>
      <c r="I1519" s="18"/>
      <c r="J1519" s="77" t="str">
        <f t="shared" ca="1" si="47"/>
        <v/>
      </c>
      <c r="K1519" s="23">
        <f>IF(A1519="","",COUNTIFS(Resumen!$N$2:$N$2999,ROW(),Resumen!$V$2:$V$2999,1))</f>
        <v/>
      </c>
      <c r="L1519" s="26"/>
      <c r="N15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0" spans="1:14">
      <c r="A1520" s="16"/>
      <c r="B1520" s="16"/>
      <c r="C1520" s="25"/>
      <c r="D1520" s="25"/>
      <c r="E1520" s="16"/>
      <c r="F1520" s="18"/>
      <c r="G1520" s="19" t="str">
        <f t="shared" ca="1" si="46"/>
        <v/>
      </c>
      <c r="H1520" s="18"/>
      <c r="I1520" s="18"/>
      <c r="J1520" s="77" t="str">
        <f t="shared" ca="1" si="47"/>
        <v/>
      </c>
      <c r="K1520" s="23">
        <f>IF(A1520="","",COUNTIFS(Resumen!$N$2:$N$2999,ROW(),Resumen!$V$2:$V$2999,1))</f>
        <v/>
      </c>
      <c r="L1520" s="26"/>
      <c r="N15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1" spans="1:14">
      <c r="A1521" s="16"/>
      <c r="B1521" s="16"/>
      <c r="C1521" s="25"/>
      <c r="D1521" s="25"/>
      <c r="E1521" s="16"/>
      <c r="F1521" s="18"/>
      <c r="G1521" s="19" t="str">
        <f t="shared" ca="1" si="46"/>
        <v/>
      </c>
      <c r="H1521" s="18"/>
      <c r="I1521" s="18"/>
      <c r="J1521" s="77" t="str">
        <f t="shared" ca="1" si="47"/>
        <v/>
      </c>
      <c r="K1521" s="23">
        <f>IF(A1521="","",COUNTIFS(Resumen!$N$2:$N$2999,ROW(),Resumen!$V$2:$V$2999,1))</f>
        <v/>
      </c>
      <c r="L1521" s="26"/>
      <c r="N15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2" spans="1:14">
      <c r="A1522" s="16"/>
      <c r="B1522" s="16"/>
      <c r="C1522" s="25"/>
      <c r="D1522" s="25"/>
      <c r="E1522" s="16"/>
      <c r="F1522" s="18"/>
      <c r="G1522" s="19" t="str">
        <f t="shared" ca="1" si="46"/>
        <v/>
      </c>
      <c r="H1522" s="18"/>
      <c r="I1522" s="18"/>
      <c r="J1522" s="77" t="str">
        <f t="shared" ca="1" si="47"/>
        <v/>
      </c>
      <c r="K1522" s="23">
        <f>IF(A1522="","",COUNTIFS(Resumen!$N$2:$N$2999,ROW(),Resumen!$V$2:$V$2999,1))</f>
        <v/>
      </c>
      <c r="L1522" s="26"/>
      <c r="N15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3" spans="1:14">
      <c r="A1523" s="16"/>
      <c r="B1523" s="16"/>
      <c r="C1523" s="25"/>
      <c r="D1523" s="25"/>
      <c r="E1523" s="16"/>
      <c r="F1523" s="18"/>
      <c r="G1523" s="19" t="str">
        <f t="shared" ca="1" si="46"/>
        <v/>
      </c>
      <c r="H1523" s="18"/>
      <c r="I1523" s="18"/>
      <c r="J1523" s="77" t="str">
        <f t="shared" ca="1" si="47"/>
        <v/>
      </c>
      <c r="K1523" s="23">
        <f>IF(A1523="","",COUNTIFS(Resumen!$N$2:$N$2999,ROW(),Resumen!$V$2:$V$2999,1))</f>
        <v/>
      </c>
      <c r="L1523" s="26"/>
      <c r="N15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4" spans="1:14">
      <c r="A1524" s="16"/>
      <c r="B1524" s="16"/>
      <c r="C1524" s="25"/>
      <c r="D1524" s="25"/>
      <c r="E1524" s="16"/>
      <c r="F1524" s="18"/>
      <c r="G1524" s="19" t="str">
        <f t="shared" ca="1" si="46"/>
        <v/>
      </c>
      <c r="H1524" s="18"/>
      <c r="I1524" s="18"/>
      <c r="J1524" s="77" t="str">
        <f t="shared" ca="1" si="47"/>
        <v/>
      </c>
      <c r="K1524" s="23">
        <f>IF(A1524="","",COUNTIFS(Resumen!$N$2:$N$2999,ROW(),Resumen!$V$2:$V$2999,1))</f>
        <v/>
      </c>
      <c r="L1524" s="26"/>
      <c r="N15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5" spans="1:14">
      <c r="A1525" s="16"/>
      <c r="B1525" s="16"/>
      <c r="C1525" s="25"/>
      <c r="D1525" s="25"/>
      <c r="E1525" s="16"/>
      <c r="F1525" s="18"/>
      <c r="G1525" s="19" t="str">
        <f t="shared" ca="1" si="46"/>
        <v/>
      </c>
      <c r="H1525" s="18"/>
      <c r="I1525" s="18"/>
      <c r="J1525" s="77" t="str">
        <f t="shared" ca="1" si="47"/>
        <v/>
      </c>
      <c r="K1525" s="23">
        <f>IF(A1525="","",COUNTIFS(Resumen!$N$2:$N$2999,ROW(),Resumen!$V$2:$V$2999,1))</f>
        <v/>
      </c>
      <c r="L1525" s="26"/>
      <c r="N15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6" spans="1:14">
      <c r="A1526" s="16"/>
      <c r="B1526" s="16"/>
      <c r="C1526" s="25"/>
      <c r="D1526" s="25"/>
      <c r="E1526" s="16"/>
      <c r="F1526" s="18"/>
      <c r="G1526" s="19" t="str">
        <f t="shared" ca="1" si="46"/>
        <v/>
      </c>
      <c r="H1526" s="18"/>
      <c r="I1526" s="18"/>
      <c r="J1526" s="77" t="str">
        <f t="shared" ca="1" si="47"/>
        <v/>
      </c>
      <c r="K1526" s="23">
        <f>IF(A1526="","",COUNTIFS(Resumen!$N$2:$N$2999,ROW(),Resumen!$V$2:$V$2999,1))</f>
        <v/>
      </c>
      <c r="L1526" s="26"/>
      <c r="N15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7" spans="1:14">
      <c r="A1527" s="16"/>
      <c r="B1527" s="16"/>
      <c r="C1527" s="25"/>
      <c r="D1527" s="25"/>
      <c r="E1527" s="16"/>
      <c r="F1527" s="18"/>
      <c r="G1527" s="19" t="str">
        <f t="shared" ca="1" si="46"/>
        <v/>
      </c>
      <c r="H1527" s="18"/>
      <c r="I1527" s="18"/>
      <c r="J1527" s="77" t="str">
        <f t="shared" ca="1" si="47"/>
        <v/>
      </c>
      <c r="K1527" s="23">
        <f>IF(A1527="","",COUNTIFS(Resumen!$N$2:$N$2999,ROW(),Resumen!$V$2:$V$2999,1))</f>
        <v/>
      </c>
      <c r="L1527" s="26"/>
      <c r="N15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8" spans="1:14">
      <c r="A1528" s="16"/>
      <c r="B1528" s="16"/>
      <c r="C1528" s="25"/>
      <c r="D1528" s="25"/>
      <c r="E1528" s="16"/>
      <c r="F1528" s="18"/>
      <c r="G1528" s="19" t="str">
        <f t="shared" ca="1" si="46"/>
        <v/>
      </c>
      <c r="H1528" s="18"/>
      <c r="I1528" s="18"/>
      <c r="J1528" s="77" t="str">
        <f t="shared" ca="1" si="47"/>
        <v/>
      </c>
      <c r="K1528" s="23">
        <f>IF(A1528="","",COUNTIFS(Resumen!$N$2:$N$2999,ROW(),Resumen!$V$2:$V$2999,1))</f>
        <v/>
      </c>
      <c r="L1528" s="26"/>
      <c r="N15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29" spans="1:14">
      <c r="A1529" s="16"/>
      <c r="B1529" s="16"/>
      <c r="C1529" s="25"/>
      <c r="D1529" s="25"/>
      <c r="E1529" s="16"/>
      <c r="F1529" s="18"/>
      <c r="G1529" s="19" t="str">
        <f t="shared" ca="1" si="46"/>
        <v/>
      </c>
      <c r="H1529" s="18"/>
      <c r="I1529" s="18"/>
      <c r="J1529" s="77" t="str">
        <f t="shared" ca="1" si="47"/>
        <v/>
      </c>
      <c r="K1529" s="23">
        <f>IF(A1529="","",COUNTIFS(Resumen!$N$2:$N$2999,ROW(),Resumen!$V$2:$V$2999,1))</f>
        <v/>
      </c>
      <c r="L1529" s="26"/>
      <c r="N15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0" spans="1:14">
      <c r="A1530" s="16"/>
      <c r="B1530" s="16"/>
      <c r="C1530" s="25"/>
      <c r="D1530" s="25"/>
      <c r="E1530" s="16"/>
      <c r="F1530" s="18"/>
      <c r="G1530" s="19" t="str">
        <f t="shared" ca="1" si="46"/>
        <v/>
      </c>
      <c r="H1530" s="18"/>
      <c r="I1530" s="18"/>
      <c r="J1530" s="77" t="str">
        <f t="shared" ca="1" si="47"/>
        <v/>
      </c>
      <c r="K1530" s="23">
        <f>IF(A1530="","",COUNTIFS(Resumen!$N$2:$N$2999,ROW(),Resumen!$V$2:$V$2999,1))</f>
        <v/>
      </c>
      <c r="L1530" s="26"/>
      <c r="N15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1" spans="1:14">
      <c r="A1531" s="16"/>
      <c r="B1531" s="16"/>
      <c r="C1531" s="25"/>
      <c r="D1531" s="25"/>
      <c r="E1531" s="16"/>
      <c r="F1531" s="18"/>
      <c r="G1531" s="19" t="str">
        <f t="shared" ca="1" si="46"/>
        <v/>
      </c>
      <c r="H1531" s="18"/>
      <c r="I1531" s="18"/>
      <c r="J1531" s="77" t="str">
        <f t="shared" ca="1" si="47"/>
        <v/>
      </c>
      <c r="K1531" s="23">
        <f>IF(A1531="","",COUNTIFS(Resumen!$N$2:$N$2999,ROW(),Resumen!$V$2:$V$2999,1))</f>
        <v/>
      </c>
      <c r="L1531" s="26"/>
      <c r="N15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2" spans="1:14">
      <c r="A1532" s="16"/>
      <c r="B1532" s="16"/>
      <c r="C1532" s="25"/>
      <c r="D1532" s="25"/>
      <c r="E1532" s="16"/>
      <c r="F1532" s="18"/>
      <c r="G1532" s="19" t="str">
        <f t="shared" ca="1" si="46"/>
        <v/>
      </c>
      <c r="H1532" s="18"/>
      <c r="I1532" s="18"/>
      <c r="J1532" s="77" t="str">
        <f t="shared" ca="1" si="47"/>
        <v/>
      </c>
      <c r="K1532" s="23">
        <f>IF(A1532="","",COUNTIFS(Resumen!$N$2:$N$2999,ROW(),Resumen!$V$2:$V$2999,1))</f>
        <v/>
      </c>
      <c r="L1532" s="26"/>
      <c r="N15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3" spans="1:14">
      <c r="A1533" s="16"/>
      <c r="B1533" s="16"/>
      <c r="C1533" s="25"/>
      <c r="D1533" s="25"/>
      <c r="E1533" s="16"/>
      <c r="F1533" s="18"/>
      <c r="G1533" s="19" t="str">
        <f t="shared" ca="1" si="46"/>
        <v/>
      </c>
      <c r="H1533" s="18"/>
      <c r="I1533" s="18"/>
      <c r="J1533" s="77" t="str">
        <f t="shared" ca="1" si="47"/>
        <v/>
      </c>
      <c r="K1533" s="23">
        <f>IF(A1533="","",COUNTIFS(Resumen!$N$2:$N$2999,ROW(),Resumen!$V$2:$V$2999,1))</f>
        <v/>
      </c>
      <c r="L1533" s="26"/>
      <c r="N15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4" spans="1:14">
      <c r="A1534" s="16"/>
      <c r="B1534" s="16"/>
      <c r="C1534" s="25"/>
      <c r="D1534" s="25"/>
      <c r="E1534" s="16"/>
      <c r="F1534" s="18"/>
      <c r="G1534" s="19" t="str">
        <f t="shared" ca="1" si="46"/>
        <v/>
      </c>
      <c r="H1534" s="18"/>
      <c r="I1534" s="18"/>
      <c r="J1534" s="77" t="str">
        <f t="shared" ca="1" si="47"/>
        <v/>
      </c>
      <c r="K1534" s="23">
        <f>IF(A1534="","",COUNTIFS(Resumen!$N$2:$N$2999,ROW(),Resumen!$V$2:$V$2999,1))</f>
        <v/>
      </c>
      <c r="L1534" s="26"/>
      <c r="N15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5" spans="1:14">
      <c r="A1535" s="16"/>
      <c r="B1535" s="16"/>
      <c r="C1535" s="25"/>
      <c r="D1535" s="25"/>
      <c r="E1535" s="16"/>
      <c r="F1535" s="18"/>
      <c r="G1535" s="19" t="str">
        <f t="shared" ca="1" si="46"/>
        <v/>
      </c>
      <c r="H1535" s="18"/>
      <c r="I1535" s="18"/>
      <c r="J1535" s="77" t="str">
        <f t="shared" ca="1" si="47"/>
        <v/>
      </c>
      <c r="K1535" s="23">
        <f>IF(A1535="","",COUNTIFS(Resumen!$N$2:$N$2999,ROW(),Resumen!$V$2:$V$2999,1))</f>
        <v/>
      </c>
      <c r="L1535" s="26"/>
      <c r="N15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6" spans="1:14">
      <c r="A1536" s="16"/>
      <c r="B1536" s="16"/>
      <c r="C1536" s="25"/>
      <c r="D1536" s="25"/>
      <c r="E1536" s="16"/>
      <c r="F1536" s="18"/>
      <c r="G1536" s="19" t="str">
        <f t="shared" ca="1" si="46"/>
        <v/>
      </c>
      <c r="H1536" s="18"/>
      <c r="I1536" s="18"/>
      <c r="J1536" s="77" t="str">
        <f t="shared" ca="1" si="47"/>
        <v/>
      </c>
      <c r="K1536" s="23">
        <f>IF(A1536="","",COUNTIFS(Resumen!$N$2:$N$2999,ROW(),Resumen!$V$2:$V$2999,1))</f>
        <v/>
      </c>
      <c r="L1536" s="26"/>
      <c r="N15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7" spans="1:14">
      <c r="A1537" s="16"/>
      <c r="B1537" s="16"/>
      <c r="C1537" s="25"/>
      <c r="D1537" s="25"/>
      <c r="E1537" s="16"/>
      <c r="F1537" s="18"/>
      <c r="G1537" s="19" t="str">
        <f t="shared" ca="1" si="46"/>
        <v/>
      </c>
      <c r="H1537" s="18"/>
      <c r="I1537" s="18"/>
      <c r="J1537" s="77" t="str">
        <f t="shared" ca="1" si="47"/>
        <v/>
      </c>
      <c r="K1537" s="23">
        <f>IF(A1537="","",COUNTIFS(Resumen!$N$2:$N$2999,ROW(),Resumen!$V$2:$V$2999,1))</f>
        <v/>
      </c>
      <c r="L1537" s="26"/>
      <c r="N15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8" spans="1:14">
      <c r="A1538" s="16"/>
      <c r="B1538" s="16"/>
      <c r="C1538" s="25"/>
      <c r="D1538" s="25"/>
      <c r="E1538" s="16"/>
      <c r="F1538" s="18"/>
      <c r="G1538" s="19" t="str">
        <f t="shared" ref="G1538:G1601" ca="1" si="48">IF(F1538="", "", DATEDIF(F1538, TODAY(), "Y"))</f>
        <v/>
      </c>
      <c r="H1538" s="18"/>
      <c r="I1538" s="18"/>
      <c r="J1538" s="77" t="str">
        <f t="shared" ref="J1538:J1601" ca="1" si="49">IFERROR(IF(ISNUMBER(INDEX(VigenciasFamilia,ROW())),INDEX(VigenciasFamilia,ROW())-TODAY(),""),"")</f>
        <v/>
      </c>
      <c r="K1538" s="23">
        <f>IF(A1538="","",COUNTIFS(Resumen!$N$2:$N$2999,ROW(),Resumen!$V$2:$V$2999,1))</f>
        <v/>
      </c>
      <c r="L1538" s="26"/>
      <c r="N15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39" spans="1:14">
      <c r="A1539" s="16"/>
      <c r="B1539" s="16"/>
      <c r="C1539" s="25"/>
      <c r="D1539" s="25"/>
      <c r="E1539" s="16"/>
      <c r="F1539" s="18"/>
      <c r="G1539" s="19" t="str">
        <f t="shared" ca="1" si="48"/>
        <v/>
      </c>
      <c r="H1539" s="18"/>
      <c r="I1539" s="18"/>
      <c r="J1539" s="77" t="str">
        <f t="shared" ca="1" si="49"/>
        <v/>
      </c>
      <c r="K1539" s="23">
        <f>IF(A1539="","",COUNTIFS(Resumen!$N$2:$N$2999,ROW(),Resumen!$V$2:$V$2999,1))</f>
        <v/>
      </c>
      <c r="L1539" s="26"/>
      <c r="N15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0" spans="1:14">
      <c r="A1540" s="16"/>
      <c r="B1540" s="16"/>
      <c r="C1540" s="25"/>
      <c r="D1540" s="25"/>
      <c r="E1540" s="16"/>
      <c r="F1540" s="18"/>
      <c r="G1540" s="19" t="str">
        <f t="shared" ca="1" si="48"/>
        <v/>
      </c>
      <c r="H1540" s="18"/>
      <c r="I1540" s="18"/>
      <c r="J1540" s="77" t="str">
        <f t="shared" ca="1" si="49"/>
        <v/>
      </c>
      <c r="K1540" s="23">
        <f>IF(A1540="","",COUNTIFS(Resumen!$N$2:$N$2999,ROW(),Resumen!$V$2:$V$2999,1))</f>
        <v/>
      </c>
      <c r="L1540" s="26"/>
      <c r="N15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1" spans="1:14">
      <c r="A1541" s="16"/>
      <c r="B1541" s="16"/>
      <c r="C1541" s="25"/>
      <c r="D1541" s="25"/>
      <c r="E1541" s="16"/>
      <c r="F1541" s="18"/>
      <c r="G1541" s="19" t="str">
        <f t="shared" ca="1" si="48"/>
        <v/>
      </c>
      <c r="H1541" s="18"/>
      <c r="I1541" s="18"/>
      <c r="J1541" s="77" t="str">
        <f t="shared" ca="1" si="49"/>
        <v/>
      </c>
      <c r="K1541" s="23">
        <f>IF(A1541="","",COUNTIFS(Resumen!$N$2:$N$2999,ROW(),Resumen!$V$2:$V$2999,1))</f>
        <v/>
      </c>
      <c r="L1541" s="26"/>
      <c r="N15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2" spans="1:14">
      <c r="A1542" s="16"/>
      <c r="B1542" s="16"/>
      <c r="C1542" s="25"/>
      <c r="D1542" s="25"/>
      <c r="E1542" s="16"/>
      <c r="F1542" s="18"/>
      <c r="G1542" s="19" t="str">
        <f t="shared" ca="1" si="48"/>
        <v/>
      </c>
      <c r="H1542" s="18"/>
      <c r="I1542" s="18"/>
      <c r="J1542" s="77" t="str">
        <f t="shared" ca="1" si="49"/>
        <v/>
      </c>
      <c r="K1542" s="23">
        <f>IF(A1542="","",COUNTIFS(Resumen!$N$2:$N$2999,ROW(),Resumen!$V$2:$V$2999,1))</f>
        <v/>
      </c>
      <c r="L1542" s="26"/>
      <c r="N15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3" spans="1:14">
      <c r="A1543" s="16"/>
      <c r="B1543" s="16"/>
      <c r="C1543" s="25"/>
      <c r="D1543" s="25"/>
      <c r="E1543" s="16"/>
      <c r="F1543" s="18"/>
      <c r="G1543" s="19" t="str">
        <f t="shared" ca="1" si="48"/>
        <v/>
      </c>
      <c r="H1543" s="18"/>
      <c r="I1543" s="18"/>
      <c r="J1543" s="77" t="str">
        <f t="shared" ca="1" si="49"/>
        <v/>
      </c>
      <c r="K1543" s="23">
        <f>IF(A1543="","",COUNTIFS(Resumen!$N$2:$N$2999,ROW(),Resumen!$V$2:$V$2999,1))</f>
        <v/>
      </c>
      <c r="L1543" s="26"/>
      <c r="N15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4" spans="1:14">
      <c r="A1544" s="16"/>
      <c r="B1544" s="16"/>
      <c r="C1544" s="25"/>
      <c r="D1544" s="25"/>
      <c r="E1544" s="16"/>
      <c r="F1544" s="18"/>
      <c r="G1544" s="19" t="str">
        <f t="shared" ca="1" si="48"/>
        <v/>
      </c>
      <c r="H1544" s="18"/>
      <c r="I1544" s="18"/>
      <c r="J1544" s="77" t="str">
        <f t="shared" ca="1" si="49"/>
        <v/>
      </c>
      <c r="K1544" s="23">
        <f>IF(A1544="","",COUNTIFS(Resumen!$N$2:$N$2999,ROW(),Resumen!$V$2:$V$2999,1))</f>
        <v/>
      </c>
      <c r="L1544" s="26"/>
      <c r="N15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5" spans="1:14">
      <c r="A1545" s="16"/>
      <c r="B1545" s="16"/>
      <c r="C1545" s="25"/>
      <c r="D1545" s="25"/>
      <c r="E1545" s="16"/>
      <c r="F1545" s="18"/>
      <c r="G1545" s="19" t="str">
        <f t="shared" ca="1" si="48"/>
        <v/>
      </c>
      <c r="H1545" s="18"/>
      <c r="I1545" s="18"/>
      <c r="J1545" s="77" t="str">
        <f t="shared" ca="1" si="49"/>
        <v/>
      </c>
      <c r="K1545" s="23">
        <f>IF(A1545="","",COUNTIFS(Resumen!$N$2:$N$2999,ROW(),Resumen!$V$2:$V$2999,1))</f>
        <v/>
      </c>
      <c r="L1545" s="26"/>
      <c r="N15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6" spans="1:14">
      <c r="A1546" s="16"/>
      <c r="B1546" s="16"/>
      <c r="C1546" s="25"/>
      <c r="D1546" s="25"/>
      <c r="E1546" s="16"/>
      <c r="F1546" s="18"/>
      <c r="G1546" s="19" t="str">
        <f t="shared" ca="1" si="48"/>
        <v/>
      </c>
      <c r="H1546" s="18"/>
      <c r="I1546" s="18"/>
      <c r="J1546" s="77" t="str">
        <f t="shared" ca="1" si="49"/>
        <v/>
      </c>
      <c r="K1546" s="23">
        <f>IF(A1546="","",COUNTIFS(Resumen!$N$2:$N$2999,ROW(),Resumen!$V$2:$V$2999,1))</f>
        <v/>
      </c>
      <c r="L1546" s="26"/>
      <c r="N15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7" spans="1:14">
      <c r="A1547" s="16"/>
      <c r="B1547" s="16"/>
      <c r="C1547" s="25"/>
      <c r="D1547" s="25"/>
      <c r="E1547" s="16"/>
      <c r="F1547" s="18"/>
      <c r="G1547" s="19" t="str">
        <f t="shared" ca="1" si="48"/>
        <v/>
      </c>
      <c r="H1547" s="18"/>
      <c r="I1547" s="18"/>
      <c r="J1547" s="77" t="str">
        <f t="shared" ca="1" si="49"/>
        <v/>
      </c>
      <c r="K1547" s="23">
        <f>IF(A1547="","",COUNTIFS(Resumen!$N$2:$N$2999,ROW(),Resumen!$V$2:$V$2999,1))</f>
        <v/>
      </c>
      <c r="L1547" s="26"/>
      <c r="N15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8" spans="1:14">
      <c r="A1548" s="16"/>
      <c r="B1548" s="16"/>
      <c r="C1548" s="25"/>
      <c r="D1548" s="25"/>
      <c r="E1548" s="16"/>
      <c r="F1548" s="18"/>
      <c r="G1548" s="19" t="str">
        <f t="shared" ca="1" si="48"/>
        <v/>
      </c>
      <c r="H1548" s="18"/>
      <c r="I1548" s="18"/>
      <c r="J1548" s="77" t="str">
        <f t="shared" ca="1" si="49"/>
        <v/>
      </c>
      <c r="K1548" s="23">
        <f>IF(A1548="","",COUNTIFS(Resumen!$N$2:$N$2999,ROW(),Resumen!$V$2:$V$2999,1))</f>
        <v/>
      </c>
      <c r="L1548" s="26"/>
      <c r="N15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49" spans="1:14">
      <c r="A1549" s="16"/>
      <c r="B1549" s="16"/>
      <c r="C1549" s="25"/>
      <c r="D1549" s="25"/>
      <c r="E1549" s="16"/>
      <c r="F1549" s="18"/>
      <c r="G1549" s="19" t="str">
        <f t="shared" ca="1" si="48"/>
        <v/>
      </c>
      <c r="H1549" s="18"/>
      <c r="I1549" s="18"/>
      <c r="J1549" s="77" t="str">
        <f t="shared" ca="1" si="49"/>
        <v/>
      </c>
      <c r="K1549" s="23">
        <f>IF(A1549="","",COUNTIFS(Resumen!$N$2:$N$2999,ROW(),Resumen!$V$2:$V$2999,1))</f>
        <v/>
      </c>
      <c r="L1549" s="26"/>
      <c r="N15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0" spans="1:14">
      <c r="A1550" s="16"/>
      <c r="B1550" s="16"/>
      <c r="C1550" s="25"/>
      <c r="D1550" s="25"/>
      <c r="E1550" s="16"/>
      <c r="F1550" s="18"/>
      <c r="G1550" s="19" t="str">
        <f t="shared" ca="1" si="48"/>
        <v/>
      </c>
      <c r="H1550" s="18"/>
      <c r="I1550" s="18"/>
      <c r="J1550" s="77" t="str">
        <f t="shared" ca="1" si="49"/>
        <v/>
      </c>
      <c r="K1550" s="23">
        <f>IF(A1550="","",COUNTIFS(Resumen!$N$2:$N$2999,ROW(),Resumen!$V$2:$V$2999,1))</f>
        <v/>
      </c>
      <c r="L1550" s="26"/>
      <c r="N15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1" spans="1:14">
      <c r="A1551" s="16"/>
      <c r="B1551" s="16"/>
      <c r="C1551" s="25"/>
      <c r="D1551" s="25"/>
      <c r="E1551" s="16"/>
      <c r="F1551" s="18"/>
      <c r="G1551" s="19" t="str">
        <f t="shared" ca="1" si="48"/>
        <v/>
      </c>
      <c r="H1551" s="18"/>
      <c r="I1551" s="18"/>
      <c r="J1551" s="77" t="str">
        <f t="shared" ca="1" si="49"/>
        <v/>
      </c>
      <c r="K1551" s="23">
        <f>IF(A1551="","",COUNTIFS(Resumen!$N$2:$N$2999,ROW(),Resumen!$V$2:$V$2999,1))</f>
        <v/>
      </c>
      <c r="L1551" s="26"/>
      <c r="N15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2" spans="1:14">
      <c r="A1552" s="16"/>
      <c r="B1552" s="16"/>
      <c r="C1552" s="25"/>
      <c r="D1552" s="25"/>
      <c r="E1552" s="16"/>
      <c r="F1552" s="18"/>
      <c r="G1552" s="19" t="str">
        <f t="shared" ca="1" si="48"/>
        <v/>
      </c>
      <c r="H1552" s="18"/>
      <c r="I1552" s="18"/>
      <c r="J1552" s="77" t="str">
        <f t="shared" ca="1" si="49"/>
        <v/>
      </c>
      <c r="K1552" s="23">
        <f>IF(A1552="","",COUNTIFS(Resumen!$N$2:$N$2999,ROW(),Resumen!$V$2:$V$2999,1))</f>
        <v/>
      </c>
      <c r="L1552" s="26"/>
      <c r="N15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3" spans="1:14">
      <c r="A1553" s="16"/>
      <c r="B1553" s="16"/>
      <c r="C1553" s="25"/>
      <c r="D1553" s="25"/>
      <c r="E1553" s="16"/>
      <c r="F1553" s="18"/>
      <c r="G1553" s="19" t="str">
        <f t="shared" ca="1" si="48"/>
        <v/>
      </c>
      <c r="H1553" s="18"/>
      <c r="I1553" s="18"/>
      <c r="J1553" s="77" t="str">
        <f t="shared" ca="1" si="49"/>
        <v/>
      </c>
      <c r="K1553" s="23">
        <f>IF(A1553="","",COUNTIFS(Resumen!$N$2:$N$2999,ROW(),Resumen!$V$2:$V$2999,1))</f>
        <v/>
      </c>
      <c r="L1553" s="26"/>
      <c r="N15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4" spans="1:14">
      <c r="A1554" s="16"/>
      <c r="B1554" s="16"/>
      <c r="C1554" s="25"/>
      <c r="D1554" s="25"/>
      <c r="E1554" s="16"/>
      <c r="F1554" s="18"/>
      <c r="G1554" s="19" t="str">
        <f t="shared" ca="1" si="48"/>
        <v/>
      </c>
      <c r="H1554" s="18"/>
      <c r="I1554" s="18"/>
      <c r="J1554" s="77" t="str">
        <f t="shared" ca="1" si="49"/>
        <v/>
      </c>
      <c r="K1554" s="23">
        <f>IF(A1554="","",COUNTIFS(Resumen!$N$2:$N$2999,ROW(),Resumen!$V$2:$V$2999,1))</f>
        <v/>
      </c>
      <c r="L1554" s="26"/>
      <c r="N15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5" spans="1:14">
      <c r="A1555" s="16"/>
      <c r="B1555" s="16"/>
      <c r="C1555" s="25"/>
      <c r="D1555" s="25"/>
      <c r="E1555" s="16"/>
      <c r="F1555" s="18"/>
      <c r="G1555" s="19" t="str">
        <f t="shared" ca="1" si="48"/>
        <v/>
      </c>
      <c r="H1555" s="18"/>
      <c r="I1555" s="18"/>
      <c r="J1555" s="77" t="str">
        <f t="shared" ca="1" si="49"/>
        <v/>
      </c>
      <c r="K1555" s="23">
        <f>IF(A1555="","",COUNTIFS(Resumen!$N$2:$N$2999,ROW(),Resumen!$V$2:$V$2999,1))</f>
        <v/>
      </c>
      <c r="L1555" s="26"/>
      <c r="N15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6" spans="1:14">
      <c r="A1556" s="16"/>
      <c r="B1556" s="16"/>
      <c r="C1556" s="25"/>
      <c r="D1556" s="25"/>
      <c r="E1556" s="16"/>
      <c r="F1556" s="18"/>
      <c r="G1556" s="19" t="str">
        <f t="shared" ca="1" si="48"/>
        <v/>
      </c>
      <c r="H1556" s="18"/>
      <c r="I1556" s="18"/>
      <c r="J1556" s="77" t="str">
        <f t="shared" ca="1" si="49"/>
        <v/>
      </c>
      <c r="K1556" s="23">
        <f>IF(A1556="","",COUNTIFS(Resumen!$N$2:$N$2999,ROW(),Resumen!$V$2:$V$2999,1))</f>
        <v/>
      </c>
      <c r="L1556" s="26"/>
      <c r="N15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7" spans="1:14">
      <c r="A1557" s="16"/>
      <c r="B1557" s="16"/>
      <c r="C1557" s="25"/>
      <c r="D1557" s="25"/>
      <c r="E1557" s="16"/>
      <c r="F1557" s="18"/>
      <c r="G1557" s="19" t="str">
        <f t="shared" ca="1" si="48"/>
        <v/>
      </c>
      <c r="H1557" s="18"/>
      <c r="I1557" s="18"/>
      <c r="J1557" s="77" t="str">
        <f t="shared" ca="1" si="49"/>
        <v/>
      </c>
      <c r="K1557" s="23">
        <f>IF(A1557="","",COUNTIFS(Resumen!$N$2:$N$2999,ROW(),Resumen!$V$2:$V$2999,1))</f>
        <v/>
      </c>
      <c r="L1557" s="26"/>
      <c r="N15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8" spans="1:14">
      <c r="A1558" s="16"/>
      <c r="B1558" s="16"/>
      <c r="C1558" s="25"/>
      <c r="D1558" s="25"/>
      <c r="E1558" s="16"/>
      <c r="F1558" s="18"/>
      <c r="G1558" s="19" t="str">
        <f t="shared" ca="1" si="48"/>
        <v/>
      </c>
      <c r="H1558" s="18"/>
      <c r="I1558" s="18"/>
      <c r="J1558" s="77" t="str">
        <f t="shared" ca="1" si="49"/>
        <v/>
      </c>
      <c r="K1558" s="23">
        <f>IF(A1558="","",COUNTIFS(Resumen!$N$2:$N$2999,ROW(),Resumen!$V$2:$V$2999,1))</f>
        <v/>
      </c>
      <c r="L1558" s="26"/>
      <c r="N15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59" spans="1:14">
      <c r="A1559" s="16"/>
      <c r="B1559" s="16"/>
      <c r="C1559" s="25"/>
      <c r="D1559" s="25"/>
      <c r="E1559" s="16"/>
      <c r="F1559" s="18"/>
      <c r="G1559" s="19" t="str">
        <f t="shared" ca="1" si="48"/>
        <v/>
      </c>
      <c r="H1559" s="18"/>
      <c r="I1559" s="18"/>
      <c r="J1559" s="77" t="str">
        <f t="shared" ca="1" si="49"/>
        <v/>
      </c>
      <c r="K1559" s="23">
        <f>IF(A1559="","",COUNTIFS(Resumen!$N$2:$N$2999,ROW(),Resumen!$V$2:$V$2999,1))</f>
        <v/>
      </c>
      <c r="L1559" s="26"/>
      <c r="N15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0" spans="1:14">
      <c r="A1560" s="16"/>
      <c r="B1560" s="16"/>
      <c r="C1560" s="25"/>
      <c r="D1560" s="25"/>
      <c r="E1560" s="16"/>
      <c r="F1560" s="18"/>
      <c r="G1560" s="19" t="str">
        <f t="shared" ca="1" si="48"/>
        <v/>
      </c>
      <c r="H1560" s="18"/>
      <c r="I1560" s="18"/>
      <c r="J1560" s="77" t="str">
        <f t="shared" ca="1" si="49"/>
        <v/>
      </c>
      <c r="K1560" s="23">
        <f>IF(A1560="","",COUNTIFS(Resumen!$N$2:$N$2999,ROW(),Resumen!$V$2:$V$2999,1))</f>
        <v/>
      </c>
      <c r="L1560" s="26"/>
      <c r="N15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1" spans="1:14">
      <c r="A1561" s="16"/>
      <c r="B1561" s="16"/>
      <c r="C1561" s="25"/>
      <c r="D1561" s="25"/>
      <c r="E1561" s="16"/>
      <c r="F1561" s="18"/>
      <c r="G1561" s="19" t="str">
        <f t="shared" ca="1" si="48"/>
        <v/>
      </c>
      <c r="H1561" s="18"/>
      <c r="I1561" s="18"/>
      <c r="J1561" s="77" t="str">
        <f t="shared" ca="1" si="49"/>
        <v/>
      </c>
      <c r="K1561" s="23">
        <f>IF(A1561="","",COUNTIFS(Resumen!$N$2:$N$2999,ROW(),Resumen!$V$2:$V$2999,1))</f>
        <v/>
      </c>
      <c r="L1561" s="26"/>
      <c r="N15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2" spans="1:14">
      <c r="A1562" s="16"/>
      <c r="B1562" s="16"/>
      <c r="C1562" s="25"/>
      <c r="D1562" s="25"/>
      <c r="E1562" s="16"/>
      <c r="F1562" s="18"/>
      <c r="G1562" s="19" t="str">
        <f t="shared" ca="1" si="48"/>
        <v/>
      </c>
      <c r="H1562" s="18"/>
      <c r="I1562" s="18"/>
      <c r="J1562" s="77" t="str">
        <f t="shared" ca="1" si="49"/>
        <v/>
      </c>
      <c r="K1562" s="23">
        <f>IF(A1562="","",COUNTIFS(Resumen!$N$2:$N$2999,ROW(),Resumen!$V$2:$V$2999,1))</f>
        <v/>
      </c>
      <c r="L1562" s="26"/>
      <c r="N15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3" spans="1:14">
      <c r="A1563" s="16"/>
      <c r="B1563" s="16"/>
      <c r="C1563" s="25"/>
      <c r="D1563" s="25"/>
      <c r="E1563" s="16"/>
      <c r="F1563" s="18"/>
      <c r="G1563" s="19" t="str">
        <f t="shared" ca="1" si="48"/>
        <v/>
      </c>
      <c r="H1563" s="18"/>
      <c r="I1563" s="18"/>
      <c r="J1563" s="77" t="str">
        <f t="shared" ca="1" si="49"/>
        <v/>
      </c>
      <c r="K1563" s="23">
        <f>IF(A1563="","",COUNTIFS(Resumen!$N$2:$N$2999,ROW(),Resumen!$V$2:$V$2999,1))</f>
        <v/>
      </c>
      <c r="L1563" s="26"/>
      <c r="N15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4" spans="1:14">
      <c r="A1564" s="16"/>
      <c r="B1564" s="16"/>
      <c r="C1564" s="25"/>
      <c r="D1564" s="25"/>
      <c r="E1564" s="16"/>
      <c r="F1564" s="18"/>
      <c r="G1564" s="19" t="str">
        <f t="shared" ca="1" si="48"/>
        <v/>
      </c>
      <c r="H1564" s="18"/>
      <c r="I1564" s="18"/>
      <c r="J1564" s="77" t="str">
        <f t="shared" ca="1" si="49"/>
        <v/>
      </c>
      <c r="K1564" s="23">
        <f>IF(A1564="","",COUNTIFS(Resumen!$N$2:$N$2999,ROW(),Resumen!$V$2:$V$2999,1))</f>
        <v/>
      </c>
      <c r="L1564" s="26"/>
      <c r="N15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5" spans="1:14">
      <c r="A1565" s="16"/>
      <c r="B1565" s="16"/>
      <c r="C1565" s="25"/>
      <c r="D1565" s="25"/>
      <c r="E1565" s="16"/>
      <c r="F1565" s="18"/>
      <c r="G1565" s="19" t="str">
        <f t="shared" ca="1" si="48"/>
        <v/>
      </c>
      <c r="H1565" s="18"/>
      <c r="I1565" s="18"/>
      <c r="J1565" s="77" t="str">
        <f t="shared" ca="1" si="49"/>
        <v/>
      </c>
      <c r="K1565" s="23">
        <f>IF(A1565="","",COUNTIFS(Resumen!$N$2:$N$2999,ROW(),Resumen!$V$2:$V$2999,1))</f>
        <v/>
      </c>
      <c r="L1565" s="26"/>
      <c r="N15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6" spans="1:14">
      <c r="A1566" s="16"/>
      <c r="B1566" s="16"/>
      <c r="C1566" s="25"/>
      <c r="D1566" s="25"/>
      <c r="E1566" s="16"/>
      <c r="F1566" s="18"/>
      <c r="G1566" s="19" t="str">
        <f t="shared" ca="1" si="48"/>
        <v/>
      </c>
      <c r="H1566" s="18"/>
      <c r="I1566" s="18"/>
      <c r="J1566" s="77" t="str">
        <f t="shared" ca="1" si="49"/>
        <v/>
      </c>
      <c r="K1566" s="23">
        <f>IF(A1566="","",COUNTIFS(Resumen!$N$2:$N$2999,ROW(),Resumen!$V$2:$V$2999,1))</f>
        <v/>
      </c>
      <c r="L1566" s="26"/>
      <c r="N15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7" spans="1:14">
      <c r="A1567" s="16"/>
      <c r="B1567" s="16"/>
      <c r="C1567" s="25"/>
      <c r="D1567" s="25"/>
      <c r="E1567" s="16"/>
      <c r="F1567" s="18"/>
      <c r="G1567" s="19" t="str">
        <f t="shared" ca="1" si="48"/>
        <v/>
      </c>
      <c r="H1567" s="18"/>
      <c r="I1567" s="18"/>
      <c r="J1567" s="77" t="str">
        <f t="shared" ca="1" si="49"/>
        <v/>
      </c>
      <c r="K1567" s="23">
        <f>IF(A1567="","",COUNTIFS(Resumen!$N$2:$N$2999,ROW(),Resumen!$V$2:$V$2999,1))</f>
        <v/>
      </c>
      <c r="L1567" s="26"/>
      <c r="N15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8" spans="1:14">
      <c r="A1568" s="16"/>
      <c r="B1568" s="16"/>
      <c r="C1568" s="25"/>
      <c r="D1568" s="25"/>
      <c r="E1568" s="16"/>
      <c r="F1568" s="18"/>
      <c r="G1568" s="19" t="str">
        <f t="shared" ca="1" si="48"/>
        <v/>
      </c>
      <c r="H1568" s="18"/>
      <c r="I1568" s="18"/>
      <c r="J1568" s="77" t="str">
        <f t="shared" ca="1" si="49"/>
        <v/>
      </c>
      <c r="K1568" s="23">
        <f>IF(A1568="","",COUNTIFS(Resumen!$N$2:$N$2999,ROW(),Resumen!$V$2:$V$2999,1))</f>
        <v/>
      </c>
      <c r="L1568" s="26"/>
      <c r="N15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69" spans="1:14">
      <c r="A1569" s="16"/>
      <c r="B1569" s="16"/>
      <c r="C1569" s="25"/>
      <c r="D1569" s="25"/>
      <c r="E1569" s="16"/>
      <c r="F1569" s="18"/>
      <c r="G1569" s="19" t="str">
        <f t="shared" ca="1" si="48"/>
        <v/>
      </c>
      <c r="H1569" s="18"/>
      <c r="I1569" s="18"/>
      <c r="J1569" s="77" t="str">
        <f t="shared" ca="1" si="49"/>
        <v/>
      </c>
      <c r="K1569" s="23">
        <f>IF(A1569="","",COUNTIFS(Resumen!$N$2:$N$2999,ROW(),Resumen!$V$2:$V$2999,1))</f>
        <v/>
      </c>
      <c r="L1569" s="26"/>
      <c r="N15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0" spans="1:14">
      <c r="A1570" s="16"/>
      <c r="B1570" s="16"/>
      <c r="C1570" s="25"/>
      <c r="D1570" s="25"/>
      <c r="E1570" s="16"/>
      <c r="F1570" s="18"/>
      <c r="G1570" s="19" t="str">
        <f t="shared" ca="1" si="48"/>
        <v/>
      </c>
      <c r="H1570" s="18"/>
      <c r="I1570" s="18"/>
      <c r="J1570" s="77" t="str">
        <f t="shared" ca="1" si="49"/>
        <v/>
      </c>
      <c r="K1570" s="23">
        <f>IF(A1570="","",COUNTIFS(Resumen!$N$2:$N$2999,ROW(),Resumen!$V$2:$V$2999,1))</f>
        <v/>
      </c>
      <c r="L1570" s="26"/>
      <c r="N15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1" spans="1:14">
      <c r="A1571" s="16"/>
      <c r="B1571" s="16"/>
      <c r="C1571" s="25"/>
      <c r="D1571" s="25"/>
      <c r="E1571" s="16"/>
      <c r="F1571" s="18"/>
      <c r="G1571" s="19" t="str">
        <f t="shared" ca="1" si="48"/>
        <v/>
      </c>
      <c r="H1571" s="18"/>
      <c r="I1571" s="18"/>
      <c r="J1571" s="77" t="str">
        <f t="shared" ca="1" si="49"/>
        <v/>
      </c>
      <c r="K1571" s="23">
        <f>IF(A1571="","",COUNTIFS(Resumen!$N$2:$N$2999,ROW(),Resumen!$V$2:$V$2999,1))</f>
        <v/>
      </c>
      <c r="L1571" s="26"/>
      <c r="N15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2" spans="1:14">
      <c r="A1572" s="16"/>
      <c r="B1572" s="16"/>
      <c r="C1572" s="25"/>
      <c r="D1572" s="25"/>
      <c r="E1572" s="16"/>
      <c r="F1572" s="18"/>
      <c r="G1572" s="19" t="str">
        <f t="shared" ca="1" si="48"/>
        <v/>
      </c>
      <c r="H1572" s="18"/>
      <c r="I1572" s="18"/>
      <c r="J1572" s="77" t="str">
        <f t="shared" ca="1" si="49"/>
        <v/>
      </c>
      <c r="K1572" s="23">
        <f>IF(A1572="","",COUNTIFS(Resumen!$N$2:$N$2999,ROW(),Resumen!$V$2:$V$2999,1))</f>
        <v/>
      </c>
      <c r="L1572" s="26"/>
      <c r="N15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3" spans="1:14">
      <c r="A1573" s="16"/>
      <c r="B1573" s="16"/>
      <c r="C1573" s="25"/>
      <c r="D1573" s="25"/>
      <c r="E1573" s="16"/>
      <c r="F1573" s="18"/>
      <c r="G1573" s="19" t="str">
        <f t="shared" ca="1" si="48"/>
        <v/>
      </c>
      <c r="H1573" s="18"/>
      <c r="I1573" s="18"/>
      <c r="J1573" s="77" t="str">
        <f t="shared" ca="1" si="49"/>
        <v/>
      </c>
      <c r="K1573" s="23">
        <f>IF(A1573="","",COUNTIFS(Resumen!$N$2:$N$2999,ROW(),Resumen!$V$2:$V$2999,1))</f>
        <v/>
      </c>
      <c r="L1573" s="26"/>
      <c r="N15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4" spans="1:14">
      <c r="A1574" s="16"/>
      <c r="B1574" s="16"/>
      <c r="C1574" s="25"/>
      <c r="D1574" s="25"/>
      <c r="E1574" s="16"/>
      <c r="F1574" s="18"/>
      <c r="G1574" s="19" t="str">
        <f t="shared" ca="1" si="48"/>
        <v/>
      </c>
      <c r="H1574" s="18"/>
      <c r="I1574" s="18"/>
      <c r="J1574" s="77" t="str">
        <f t="shared" ca="1" si="49"/>
        <v/>
      </c>
      <c r="K1574" s="23">
        <f>IF(A1574="","",COUNTIFS(Resumen!$N$2:$N$2999,ROW(),Resumen!$V$2:$V$2999,1))</f>
        <v/>
      </c>
      <c r="L1574" s="26"/>
      <c r="N15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5" spans="1:14">
      <c r="A1575" s="16"/>
      <c r="B1575" s="16"/>
      <c r="C1575" s="25"/>
      <c r="D1575" s="25"/>
      <c r="E1575" s="16"/>
      <c r="F1575" s="18"/>
      <c r="G1575" s="19" t="str">
        <f t="shared" ca="1" si="48"/>
        <v/>
      </c>
      <c r="H1575" s="18"/>
      <c r="I1575" s="18"/>
      <c r="J1575" s="77" t="str">
        <f t="shared" ca="1" si="49"/>
        <v/>
      </c>
      <c r="K1575" s="23">
        <f>IF(A1575="","",COUNTIFS(Resumen!$N$2:$N$2999,ROW(),Resumen!$V$2:$V$2999,1))</f>
        <v/>
      </c>
      <c r="L1575" s="26"/>
      <c r="N15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6" spans="1:14">
      <c r="A1576" s="16"/>
      <c r="B1576" s="16"/>
      <c r="C1576" s="25"/>
      <c r="D1576" s="25"/>
      <c r="E1576" s="16"/>
      <c r="F1576" s="18"/>
      <c r="G1576" s="19" t="str">
        <f t="shared" ca="1" si="48"/>
        <v/>
      </c>
      <c r="H1576" s="18"/>
      <c r="I1576" s="18"/>
      <c r="J1576" s="77" t="str">
        <f t="shared" ca="1" si="49"/>
        <v/>
      </c>
      <c r="K1576" s="23">
        <f>IF(A1576="","",COUNTIFS(Resumen!$N$2:$N$2999,ROW(),Resumen!$V$2:$V$2999,1))</f>
        <v/>
      </c>
      <c r="L1576" s="26"/>
      <c r="N15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7" spans="1:14">
      <c r="A1577" s="16"/>
      <c r="B1577" s="16"/>
      <c r="C1577" s="25"/>
      <c r="D1577" s="25"/>
      <c r="E1577" s="16"/>
      <c r="F1577" s="18"/>
      <c r="G1577" s="19" t="str">
        <f t="shared" ca="1" si="48"/>
        <v/>
      </c>
      <c r="H1577" s="18"/>
      <c r="I1577" s="18"/>
      <c r="J1577" s="77" t="str">
        <f t="shared" ca="1" si="49"/>
        <v/>
      </c>
      <c r="K1577" s="23">
        <f>IF(A1577="","",COUNTIFS(Resumen!$N$2:$N$2999,ROW(),Resumen!$V$2:$V$2999,1))</f>
        <v/>
      </c>
      <c r="L1577" s="26"/>
      <c r="N15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8" spans="1:14">
      <c r="A1578" s="16"/>
      <c r="B1578" s="16"/>
      <c r="C1578" s="25"/>
      <c r="D1578" s="25"/>
      <c r="E1578" s="16"/>
      <c r="F1578" s="18"/>
      <c r="G1578" s="19" t="str">
        <f t="shared" ca="1" si="48"/>
        <v/>
      </c>
      <c r="H1578" s="18"/>
      <c r="I1578" s="18"/>
      <c r="J1578" s="77" t="str">
        <f t="shared" ca="1" si="49"/>
        <v/>
      </c>
      <c r="K1578" s="23">
        <f>IF(A1578="","",COUNTIFS(Resumen!$N$2:$N$2999,ROW(),Resumen!$V$2:$V$2999,1))</f>
        <v/>
      </c>
      <c r="L1578" s="26"/>
      <c r="N15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79" spans="1:14">
      <c r="A1579" s="16"/>
      <c r="B1579" s="16"/>
      <c r="C1579" s="25"/>
      <c r="D1579" s="25"/>
      <c r="E1579" s="16"/>
      <c r="F1579" s="18"/>
      <c r="G1579" s="19" t="str">
        <f t="shared" ca="1" si="48"/>
        <v/>
      </c>
      <c r="H1579" s="18"/>
      <c r="I1579" s="18"/>
      <c r="J1579" s="77" t="str">
        <f t="shared" ca="1" si="49"/>
        <v/>
      </c>
      <c r="K1579" s="23">
        <f>IF(A1579="","",COUNTIFS(Resumen!$N$2:$N$2999,ROW(),Resumen!$V$2:$V$2999,1))</f>
        <v/>
      </c>
      <c r="L1579" s="26"/>
      <c r="N15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0" spans="1:14">
      <c r="A1580" s="16"/>
      <c r="B1580" s="16"/>
      <c r="C1580" s="25"/>
      <c r="D1580" s="25"/>
      <c r="E1580" s="16"/>
      <c r="F1580" s="18"/>
      <c r="G1580" s="19" t="str">
        <f t="shared" ca="1" si="48"/>
        <v/>
      </c>
      <c r="H1580" s="18"/>
      <c r="I1580" s="18"/>
      <c r="J1580" s="77" t="str">
        <f t="shared" ca="1" si="49"/>
        <v/>
      </c>
      <c r="K1580" s="23">
        <f>IF(A1580="","",COUNTIFS(Resumen!$N$2:$N$2999,ROW(),Resumen!$V$2:$V$2999,1))</f>
        <v/>
      </c>
      <c r="L1580" s="26"/>
      <c r="N15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1" spans="1:14">
      <c r="A1581" s="16"/>
      <c r="B1581" s="16"/>
      <c r="C1581" s="25"/>
      <c r="D1581" s="25"/>
      <c r="E1581" s="16"/>
      <c r="F1581" s="18"/>
      <c r="G1581" s="19" t="str">
        <f t="shared" ca="1" si="48"/>
        <v/>
      </c>
      <c r="H1581" s="18"/>
      <c r="I1581" s="18"/>
      <c r="J1581" s="77" t="str">
        <f t="shared" ca="1" si="49"/>
        <v/>
      </c>
      <c r="K1581" s="23">
        <f>IF(A1581="","",COUNTIFS(Resumen!$N$2:$N$2999,ROW(),Resumen!$V$2:$V$2999,1))</f>
        <v/>
      </c>
      <c r="L1581" s="26"/>
      <c r="N15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2" spans="1:14">
      <c r="A1582" s="16"/>
      <c r="B1582" s="16"/>
      <c r="C1582" s="25"/>
      <c r="D1582" s="25"/>
      <c r="E1582" s="16"/>
      <c r="F1582" s="18"/>
      <c r="G1582" s="19" t="str">
        <f t="shared" ca="1" si="48"/>
        <v/>
      </c>
      <c r="H1582" s="18"/>
      <c r="I1582" s="18"/>
      <c r="J1582" s="77" t="str">
        <f t="shared" ca="1" si="49"/>
        <v/>
      </c>
      <c r="K1582" s="23">
        <f>IF(A1582="","",COUNTIFS(Resumen!$N$2:$N$2999,ROW(),Resumen!$V$2:$V$2999,1))</f>
        <v/>
      </c>
      <c r="L1582" s="26"/>
      <c r="N15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3" spans="1:14">
      <c r="A1583" s="16"/>
      <c r="B1583" s="16"/>
      <c r="C1583" s="25"/>
      <c r="D1583" s="25"/>
      <c r="E1583" s="16"/>
      <c r="F1583" s="18"/>
      <c r="G1583" s="19" t="str">
        <f t="shared" ca="1" si="48"/>
        <v/>
      </c>
      <c r="H1583" s="18"/>
      <c r="I1583" s="18"/>
      <c r="J1583" s="77" t="str">
        <f t="shared" ca="1" si="49"/>
        <v/>
      </c>
      <c r="K1583" s="23">
        <f>IF(A1583="","",COUNTIFS(Resumen!$N$2:$N$2999,ROW(),Resumen!$V$2:$V$2999,1))</f>
        <v/>
      </c>
      <c r="L1583" s="26"/>
      <c r="N15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4" spans="1:14">
      <c r="A1584" s="16"/>
      <c r="B1584" s="16"/>
      <c r="C1584" s="25"/>
      <c r="D1584" s="25"/>
      <c r="E1584" s="16"/>
      <c r="F1584" s="18"/>
      <c r="G1584" s="19" t="str">
        <f t="shared" ca="1" si="48"/>
        <v/>
      </c>
      <c r="H1584" s="18"/>
      <c r="I1584" s="18"/>
      <c r="J1584" s="77" t="str">
        <f t="shared" ca="1" si="49"/>
        <v/>
      </c>
      <c r="K1584" s="23">
        <f>IF(A1584="","",COUNTIFS(Resumen!$N$2:$N$2999,ROW(),Resumen!$V$2:$V$2999,1))</f>
        <v/>
      </c>
      <c r="L1584" s="26"/>
      <c r="N15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5" spans="1:14">
      <c r="A1585" s="16"/>
      <c r="B1585" s="16"/>
      <c r="C1585" s="25"/>
      <c r="D1585" s="25"/>
      <c r="E1585" s="16"/>
      <c r="F1585" s="18"/>
      <c r="G1585" s="19" t="str">
        <f t="shared" ca="1" si="48"/>
        <v/>
      </c>
      <c r="H1585" s="18"/>
      <c r="I1585" s="18"/>
      <c r="J1585" s="77" t="str">
        <f t="shared" ca="1" si="49"/>
        <v/>
      </c>
      <c r="K1585" s="23">
        <f>IF(A1585="","",COUNTIFS(Resumen!$N$2:$N$2999,ROW(),Resumen!$V$2:$V$2999,1))</f>
        <v/>
      </c>
      <c r="L1585" s="26"/>
      <c r="N15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6" spans="1:14">
      <c r="A1586" s="16"/>
      <c r="B1586" s="16"/>
      <c r="C1586" s="25"/>
      <c r="D1586" s="25"/>
      <c r="E1586" s="16"/>
      <c r="F1586" s="18"/>
      <c r="G1586" s="19" t="str">
        <f t="shared" ca="1" si="48"/>
        <v/>
      </c>
      <c r="H1586" s="18"/>
      <c r="I1586" s="18"/>
      <c r="J1586" s="77" t="str">
        <f t="shared" ca="1" si="49"/>
        <v/>
      </c>
      <c r="K1586" s="23">
        <f>IF(A1586="","",COUNTIFS(Resumen!$N$2:$N$2999,ROW(),Resumen!$V$2:$V$2999,1))</f>
        <v/>
      </c>
      <c r="L1586" s="26"/>
      <c r="N15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7" spans="1:14">
      <c r="A1587" s="16"/>
      <c r="B1587" s="16"/>
      <c r="C1587" s="25"/>
      <c r="D1587" s="25"/>
      <c r="E1587" s="16"/>
      <c r="F1587" s="18"/>
      <c r="G1587" s="19" t="str">
        <f t="shared" ca="1" si="48"/>
        <v/>
      </c>
      <c r="H1587" s="18"/>
      <c r="I1587" s="18"/>
      <c r="J1587" s="77" t="str">
        <f t="shared" ca="1" si="49"/>
        <v/>
      </c>
      <c r="K1587" s="23">
        <f>IF(A1587="","",COUNTIFS(Resumen!$N$2:$N$2999,ROW(),Resumen!$V$2:$V$2999,1))</f>
        <v/>
      </c>
      <c r="L1587" s="26"/>
      <c r="N15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8" spans="1:14">
      <c r="A1588" s="16"/>
      <c r="B1588" s="16"/>
      <c r="C1588" s="25"/>
      <c r="D1588" s="25"/>
      <c r="E1588" s="16"/>
      <c r="F1588" s="18"/>
      <c r="G1588" s="19" t="str">
        <f t="shared" ca="1" si="48"/>
        <v/>
      </c>
      <c r="H1588" s="18"/>
      <c r="I1588" s="18"/>
      <c r="J1588" s="77" t="str">
        <f t="shared" ca="1" si="49"/>
        <v/>
      </c>
      <c r="K1588" s="23">
        <f>IF(A1588="","",COUNTIFS(Resumen!$N$2:$N$2999,ROW(),Resumen!$V$2:$V$2999,1))</f>
        <v/>
      </c>
      <c r="L1588" s="26"/>
      <c r="N15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89" spans="1:14">
      <c r="A1589" s="16"/>
      <c r="B1589" s="16"/>
      <c r="C1589" s="25"/>
      <c r="D1589" s="25"/>
      <c r="E1589" s="16"/>
      <c r="F1589" s="18"/>
      <c r="G1589" s="19" t="str">
        <f t="shared" ca="1" si="48"/>
        <v/>
      </c>
      <c r="H1589" s="18"/>
      <c r="I1589" s="18"/>
      <c r="J1589" s="77" t="str">
        <f t="shared" ca="1" si="49"/>
        <v/>
      </c>
      <c r="K1589" s="23">
        <f>IF(A1589="","",COUNTIFS(Resumen!$N$2:$N$2999,ROW(),Resumen!$V$2:$V$2999,1))</f>
        <v/>
      </c>
      <c r="L1589" s="26"/>
      <c r="N15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0" spans="1:14">
      <c r="A1590" s="16"/>
      <c r="B1590" s="16"/>
      <c r="C1590" s="25"/>
      <c r="D1590" s="25"/>
      <c r="E1590" s="16"/>
      <c r="F1590" s="18"/>
      <c r="G1590" s="19" t="str">
        <f t="shared" ca="1" si="48"/>
        <v/>
      </c>
      <c r="H1590" s="18"/>
      <c r="I1590" s="18"/>
      <c r="J1590" s="77" t="str">
        <f t="shared" ca="1" si="49"/>
        <v/>
      </c>
      <c r="K1590" s="23">
        <f>IF(A1590="","",COUNTIFS(Resumen!$N$2:$N$2999,ROW(),Resumen!$V$2:$V$2999,1))</f>
        <v/>
      </c>
      <c r="L1590" s="26"/>
      <c r="N15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1" spans="1:14">
      <c r="A1591" s="16"/>
      <c r="B1591" s="16"/>
      <c r="C1591" s="25"/>
      <c r="D1591" s="25"/>
      <c r="E1591" s="16"/>
      <c r="F1591" s="18"/>
      <c r="G1591" s="19" t="str">
        <f t="shared" ca="1" si="48"/>
        <v/>
      </c>
      <c r="H1591" s="18"/>
      <c r="I1591" s="18"/>
      <c r="J1591" s="77" t="str">
        <f t="shared" ca="1" si="49"/>
        <v/>
      </c>
      <c r="K1591" s="23">
        <f>IF(A1591="","",COUNTIFS(Resumen!$N$2:$N$2999,ROW(),Resumen!$V$2:$V$2999,1))</f>
        <v/>
      </c>
      <c r="L1591" s="26"/>
      <c r="N15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2" spans="1:14">
      <c r="A1592" s="16"/>
      <c r="B1592" s="16"/>
      <c r="C1592" s="25"/>
      <c r="D1592" s="25"/>
      <c r="E1592" s="16"/>
      <c r="F1592" s="18"/>
      <c r="G1592" s="19" t="str">
        <f t="shared" ca="1" si="48"/>
        <v/>
      </c>
      <c r="H1592" s="18"/>
      <c r="I1592" s="18"/>
      <c r="J1592" s="77" t="str">
        <f t="shared" ca="1" si="49"/>
        <v/>
      </c>
      <c r="K1592" s="23">
        <f>IF(A1592="","",COUNTIFS(Resumen!$N$2:$N$2999,ROW(),Resumen!$V$2:$V$2999,1))</f>
        <v/>
      </c>
      <c r="L1592" s="26"/>
      <c r="N15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3" spans="1:14">
      <c r="A1593" s="16"/>
      <c r="B1593" s="16"/>
      <c r="C1593" s="25"/>
      <c r="D1593" s="25"/>
      <c r="E1593" s="16"/>
      <c r="F1593" s="18"/>
      <c r="G1593" s="19" t="str">
        <f t="shared" ca="1" si="48"/>
        <v/>
      </c>
      <c r="H1593" s="18"/>
      <c r="I1593" s="18"/>
      <c r="J1593" s="77" t="str">
        <f t="shared" ca="1" si="49"/>
        <v/>
      </c>
      <c r="K1593" s="23">
        <f>IF(A1593="","",COUNTIFS(Resumen!$N$2:$N$2999,ROW(),Resumen!$V$2:$V$2999,1))</f>
        <v/>
      </c>
      <c r="L1593" s="26"/>
      <c r="N15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4" spans="1:14">
      <c r="A1594" s="16"/>
      <c r="B1594" s="16"/>
      <c r="C1594" s="25"/>
      <c r="D1594" s="25"/>
      <c r="E1594" s="16"/>
      <c r="F1594" s="18"/>
      <c r="G1594" s="19" t="str">
        <f t="shared" ca="1" si="48"/>
        <v/>
      </c>
      <c r="H1594" s="18"/>
      <c r="I1594" s="18"/>
      <c r="J1594" s="77" t="str">
        <f t="shared" ca="1" si="49"/>
        <v/>
      </c>
      <c r="K1594" s="23">
        <f>IF(A1594="","",COUNTIFS(Resumen!$N$2:$N$2999,ROW(),Resumen!$V$2:$V$2999,1))</f>
        <v/>
      </c>
      <c r="L1594" s="26"/>
      <c r="N15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5" spans="1:14">
      <c r="A1595" s="16"/>
      <c r="B1595" s="16"/>
      <c r="C1595" s="25"/>
      <c r="D1595" s="25"/>
      <c r="E1595" s="16"/>
      <c r="F1595" s="18"/>
      <c r="G1595" s="19" t="str">
        <f t="shared" ca="1" si="48"/>
        <v/>
      </c>
      <c r="H1595" s="18"/>
      <c r="I1595" s="18"/>
      <c r="J1595" s="77" t="str">
        <f t="shared" ca="1" si="49"/>
        <v/>
      </c>
      <c r="K1595" s="23">
        <f>IF(A1595="","",COUNTIFS(Resumen!$N$2:$N$2999,ROW(),Resumen!$V$2:$V$2999,1))</f>
        <v/>
      </c>
      <c r="L1595" s="26"/>
      <c r="N15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6" spans="1:14">
      <c r="A1596" s="16"/>
      <c r="B1596" s="16"/>
      <c r="C1596" s="25"/>
      <c r="D1596" s="25"/>
      <c r="E1596" s="16"/>
      <c r="F1596" s="18"/>
      <c r="G1596" s="19" t="str">
        <f t="shared" ca="1" si="48"/>
        <v/>
      </c>
      <c r="H1596" s="18"/>
      <c r="I1596" s="18"/>
      <c r="J1596" s="77" t="str">
        <f t="shared" ca="1" si="49"/>
        <v/>
      </c>
      <c r="K1596" s="23">
        <f>IF(A1596="","",COUNTIFS(Resumen!$N$2:$N$2999,ROW(),Resumen!$V$2:$V$2999,1))</f>
        <v/>
      </c>
      <c r="L1596" s="26"/>
      <c r="N15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7" spans="1:14">
      <c r="A1597" s="16"/>
      <c r="B1597" s="16"/>
      <c r="C1597" s="25"/>
      <c r="D1597" s="25"/>
      <c r="E1597" s="16"/>
      <c r="F1597" s="18"/>
      <c r="G1597" s="19" t="str">
        <f t="shared" ca="1" si="48"/>
        <v/>
      </c>
      <c r="H1597" s="18"/>
      <c r="I1597" s="18"/>
      <c r="J1597" s="77" t="str">
        <f t="shared" ca="1" si="49"/>
        <v/>
      </c>
      <c r="K1597" s="23">
        <f>IF(A1597="","",COUNTIFS(Resumen!$N$2:$N$2999,ROW(),Resumen!$V$2:$V$2999,1))</f>
        <v/>
      </c>
      <c r="L1597" s="26"/>
      <c r="N15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8" spans="1:14">
      <c r="A1598" s="16"/>
      <c r="B1598" s="16"/>
      <c r="C1598" s="25"/>
      <c r="D1598" s="25"/>
      <c r="E1598" s="16"/>
      <c r="F1598" s="18"/>
      <c r="G1598" s="19" t="str">
        <f t="shared" ca="1" si="48"/>
        <v/>
      </c>
      <c r="H1598" s="18"/>
      <c r="I1598" s="18"/>
      <c r="J1598" s="77" t="str">
        <f t="shared" ca="1" si="49"/>
        <v/>
      </c>
      <c r="K1598" s="23">
        <f>IF(A1598="","",COUNTIFS(Resumen!$N$2:$N$2999,ROW(),Resumen!$V$2:$V$2999,1))</f>
        <v/>
      </c>
      <c r="L1598" s="26"/>
      <c r="N15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599" spans="1:14">
      <c r="A1599" s="16"/>
      <c r="B1599" s="16"/>
      <c r="C1599" s="25"/>
      <c r="D1599" s="25"/>
      <c r="E1599" s="16"/>
      <c r="F1599" s="18"/>
      <c r="G1599" s="19" t="str">
        <f t="shared" ca="1" si="48"/>
        <v/>
      </c>
      <c r="H1599" s="18"/>
      <c r="I1599" s="18"/>
      <c r="J1599" s="77" t="str">
        <f t="shared" ca="1" si="49"/>
        <v/>
      </c>
      <c r="K1599" s="23">
        <f>IF(A1599="","",COUNTIFS(Resumen!$N$2:$N$2999,ROW(),Resumen!$V$2:$V$2999,1))</f>
        <v/>
      </c>
      <c r="L1599" s="26"/>
      <c r="N15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0" spans="1:14">
      <c r="A1600" s="16"/>
      <c r="B1600" s="16"/>
      <c r="C1600" s="25"/>
      <c r="D1600" s="25"/>
      <c r="E1600" s="16"/>
      <c r="F1600" s="18"/>
      <c r="G1600" s="19" t="str">
        <f t="shared" ca="1" si="48"/>
        <v/>
      </c>
      <c r="H1600" s="18"/>
      <c r="I1600" s="18"/>
      <c r="J1600" s="77" t="str">
        <f t="shared" ca="1" si="49"/>
        <v/>
      </c>
      <c r="K1600" s="23">
        <f>IF(A1600="","",COUNTIFS(Resumen!$N$2:$N$2999,ROW(),Resumen!$V$2:$V$2999,1))</f>
        <v/>
      </c>
      <c r="L1600" s="26"/>
      <c r="N16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1" spans="1:14">
      <c r="A1601" s="16"/>
      <c r="B1601" s="16"/>
      <c r="C1601" s="25"/>
      <c r="D1601" s="25"/>
      <c r="E1601" s="16"/>
      <c r="F1601" s="18"/>
      <c r="G1601" s="19" t="str">
        <f t="shared" ca="1" si="48"/>
        <v/>
      </c>
      <c r="H1601" s="18"/>
      <c r="I1601" s="18"/>
      <c r="J1601" s="77" t="str">
        <f t="shared" ca="1" si="49"/>
        <v/>
      </c>
      <c r="K1601" s="23">
        <f>IF(A1601="","",COUNTIFS(Resumen!$N$2:$N$2999,ROW(),Resumen!$V$2:$V$2999,1))</f>
        <v/>
      </c>
      <c r="L1601" s="26"/>
      <c r="N16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2" spans="1:14">
      <c r="A1602" s="16"/>
      <c r="B1602" s="16"/>
      <c r="C1602" s="25"/>
      <c r="D1602" s="25"/>
      <c r="E1602" s="16"/>
      <c r="F1602" s="18"/>
      <c r="G1602" s="19" t="str">
        <f t="shared" ref="G1602:G1665" ca="1" si="50">IF(F1602="", "", DATEDIF(F1602, TODAY(), "Y"))</f>
        <v/>
      </c>
      <c r="H1602" s="18"/>
      <c r="I1602" s="18"/>
      <c r="J1602" s="77" t="str">
        <f t="shared" ref="J1602:J1665" ca="1" si="51">IFERROR(IF(ISNUMBER(INDEX(VigenciasFamilia,ROW())),INDEX(VigenciasFamilia,ROW())-TODAY(),""),"")</f>
        <v/>
      </c>
      <c r="K1602" s="23">
        <f>IF(A1602="","",COUNTIFS(Resumen!$N$2:$N$2999,ROW(),Resumen!$V$2:$V$2999,1))</f>
        <v/>
      </c>
      <c r="L1602" s="26"/>
      <c r="N16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3" spans="1:14">
      <c r="A1603" s="16"/>
      <c r="B1603" s="16"/>
      <c r="C1603" s="25"/>
      <c r="D1603" s="25"/>
      <c r="E1603" s="16"/>
      <c r="F1603" s="18"/>
      <c r="G1603" s="19" t="str">
        <f t="shared" ca="1" si="50"/>
        <v/>
      </c>
      <c r="H1603" s="18"/>
      <c r="I1603" s="18"/>
      <c r="J1603" s="77" t="str">
        <f t="shared" ca="1" si="51"/>
        <v/>
      </c>
      <c r="K1603" s="23">
        <f>IF(A1603="","",COUNTIFS(Resumen!$N$2:$N$2999,ROW(),Resumen!$V$2:$V$2999,1))</f>
        <v/>
      </c>
      <c r="L1603" s="26"/>
      <c r="N16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4" spans="1:14">
      <c r="A1604" s="16"/>
      <c r="B1604" s="16"/>
      <c r="C1604" s="25"/>
      <c r="D1604" s="25"/>
      <c r="E1604" s="16"/>
      <c r="F1604" s="18"/>
      <c r="G1604" s="19" t="str">
        <f t="shared" ca="1" si="50"/>
        <v/>
      </c>
      <c r="H1604" s="18"/>
      <c r="I1604" s="18"/>
      <c r="J1604" s="77" t="str">
        <f t="shared" ca="1" si="51"/>
        <v/>
      </c>
      <c r="K1604" s="23">
        <f>IF(A1604="","",COUNTIFS(Resumen!$N$2:$N$2999,ROW(),Resumen!$V$2:$V$2999,1))</f>
        <v/>
      </c>
      <c r="L1604" s="26"/>
      <c r="N16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5" spans="1:14">
      <c r="A1605" s="16"/>
      <c r="B1605" s="16"/>
      <c r="C1605" s="25"/>
      <c r="D1605" s="25"/>
      <c r="E1605" s="16"/>
      <c r="F1605" s="18"/>
      <c r="G1605" s="19" t="str">
        <f t="shared" ca="1" si="50"/>
        <v/>
      </c>
      <c r="H1605" s="18"/>
      <c r="I1605" s="18"/>
      <c r="J1605" s="77" t="str">
        <f t="shared" ca="1" si="51"/>
        <v/>
      </c>
      <c r="K1605" s="23">
        <f>IF(A1605="","",COUNTIFS(Resumen!$N$2:$N$2999,ROW(),Resumen!$V$2:$V$2999,1))</f>
        <v/>
      </c>
      <c r="L1605" s="26"/>
      <c r="N16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6" spans="1:14">
      <c r="A1606" s="16"/>
      <c r="B1606" s="16"/>
      <c r="C1606" s="25"/>
      <c r="D1606" s="25"/>
      <c r="E1606" s="16"/>
      <c r="F1606" s="18"/>
      <c r="G1606" s="19" t="str">
        <f t="shared" ca="1" si="50"/>
        <v/>
      </c>
      <c r="H1606" s="18"/>
      <c r="I1606" s="18"/>
      <c r="J1606" s="77" t="str">
        <f t="shared" ca="1" si="51"/>
        <v/>
      </c>
      <c r="K1606" s="23">
        <f>IF(A1606="","",COUNTIFS(Resumen!$N$2:$N$2999,ROW(),Resumen!$V$2:$V$2999,1))</f>
        <v/>
      </c>
      <c r="L1606" s="26"/>
      <c r="N16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7" spans="1:14">
      <c r="A1607" s="16"/>
      <c r="B1607" s="16"/>
      <c r="C1607" s="25"/>
      <c r="D1607" s="25"/>
      <c r="E1607" s="16"/>
      <c r="F1607" s="18"/>
      <c r="G1607" s="19" t="str">
        <f t="shared" ca="1" si="50"/>
        <v/>
      </c>
      <c r="H1607" s="18"/>
      <c r="I1607" s="18"/>
      <c r="J1607" s="77" t="str">
        <f t="shared" ca="1" si="51"/>
        <v/>
      </c>
      <c r="K1607" s="23">
        <f>IF(A1607="","",COUNTIFS(Resumen!$N$2:$N$2999,ROW(),Resumen!$V$2:$V$2999,1))</f>
        <v/>
      </c>
      <c r="L1607" s="26"/>
      <c r="N16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8" spans="1:14">
      <c r="A1608" s="16"/>
      <c r="B1608" s="16"/>
      <c r="C1608" s="25"/>
      <c r="D1608" s="25"/>
      <c r="E1608" s="16"/>
      <c r="F1608" s="18"/>
      <c r="G1608" s="19" t="str">
        <f t="shared" ca="1" si="50"/>
        <v/>
      </c>
      <c r="H1608" s="18"/>
      <c r="I1608" s="18"/>
      <c r="J1608" s="77" t="str">
        <f t="shared" ca="1" si="51"/>
        <v/>
      </c>
      <c r="K1608" s="23">
        <f>IF(A1608="","",COUNTIFS(Resumen!$N$2:$N$2999,ROW(),Resumen!$V$2:$V$2999,1))</f>
        <v/>
      </c>
      <c r="L1608" s="26"/>
      <c r="N16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09" spans="1:14">
      <c r="A1609" s="16"/>
      <c r="B1609" s="16"/>
      <c r="C1609" s="25"/>
      <c r="D1609" s="25"/>
      <c r="E1609" s="16"/>
      <c r="F1609" s="18"/>
      <c r="G1609" s="19" t="str">
        <f t="shared" ca="1" si="50"/>
        <v/>
      </c>
      <c r="H1609" s="18"/>
      <c r="I1609" s="18"/>
      <c r="J1609" s="77" t="str">
        <f t="shared" ca="1" si="51"/>
        <v/>
      </c>
      <c r="K1609" s="23">
        <f>IF(A1609="","",COUNTIFS(Resumen!$N$2:$N$2999,ROW(),Resumen!$V$2:$V$2999,1))</f>
        <v/>
      </c>
      <c r="L1609" s="26"/>
      <c r="N16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0" spans="1:14">
      <c r="A1610" s="16"/>
      <c r="B1610" s="16"/>
      <c r="C1610" s="25"/>
      <c r="D1610" s="25"/>
      <c r="E1610" s="16"/>
      <c r="F1610" s="18"/>
      <c r="G1610" s="19" t="str">
        <f t="shared" ca="1" si="50"/>
        <v/>
      </c>
      <c r="H1610" s="18"/>
      <c r="I1610" s="18"/>
      <c r="J1610" s="77" t="str">
        <f t="shared" ca="1" si="51"/>
        <v/>
      </c>
      <c r="K1610" s="23">
        <f>IF(A1610="","",COUNTIFS(Resumen!$N$2:$N$2999,ROW(),Resumen!$V$2:$V$2999,1))</f>
        <v/>
      </c>
      <c r="L1610" s="26"/>
      <c r="N16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1" spans="1:14">
      <c r="A1611" s="16"/>
      <c r="B1611" s="16"/>
      <c r="C1611" s="25"/>
      <c r="D1611" s="25"/>
      <c r="E1611" s="16"/>
      <c r="F1611" s="18"/>
      <c r="G1611" s="19" t="str">
        <f t="shared" ca="1" si="50"/>
        <v/>
      </c>
      <c r="H1611" s="18"/>
      <c r="I1611" s="18"/>
      <c r="J1611" s="77" t="str">
        <f t="shared" ca="1" si="51"/>
        <v/>
      </c>
      <c r="K1611" s="23">
        <f>IF(A1611="","",COUNTIFS(Resumen!$N$2:$N$2999,ROW(),Resumen!$V$2:$V$2999,1))</f>
        <v/>
      </c>
      <c r="L1611" s="26"/>
      <c r="N16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2" spans="1:14">
      <c r="A1612" s="16"/>
      <c r="B1612" s="16"/>
      <c r="C1612" s="25"/>
      <c r="D1612" s="25"/>
      <c r="E1612" s="16"/>
      <c r="F1612" s="18"/>
      <c r="G1612" s="19" t="str">
        <f t="shared" ca="1" si="50"/>
        <v/>
      </c>
      <c r="H1612" s="18"/>
      <c r="I1612" s="18"/>
      <c r="J1612" s="77" t="str">
        <f t="shared" ca="1" si="51"/>
        <v/>
      </c>
      <c r="K1612" s="23">
        <f>IF(A1612="","",COUNTIFS(Resumen!$N$2:$N$2999,ROW(),Resumen!$V$2:$V$2999,1))</f>
        <v/>
      </c>
      <c r="L1612" s="26"/>
      <c r="N16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3" spans="1:14">
      <c r="A1613" s="16"/>
      <c r="B1613" s="16"/>
      <c r="C1613" s="25"/>
      <c r="D1613" s="25"/>
      <c r="E1613" s="16"/>
      <c r="F1613" s="18"/>
      <c r="G1613" s="19" t="str">
        <f t="shared" ca="1" si="50"/>
        <v/>
      </c>
      <c r="H1613" s="18"/>
      <c r="I1613" s="18"/>
      <c r="J1613" s="77" t="str">
        <f t="shared" ca="1" si="51"/>
        <v/>
      </c>
      <c r="K1613" s="23">
        <f>IF(A1613="","",COUNTIFS(Resumen!$N$2:$N$2999,ROW(),Resumen!$V$2:$V$2999,1))</f>
        <v/>
      </c>
      <c r="L1613" s="26"/>
      <c r="N16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4" spans="1:14">
      <c r="A1614" s="16"/>
      <c r="B1614" s="16"/>
      <c r="C1614" s="25"/>
      <c r="D1614" s="25"/>
      <c r="E1614" s="16"/>
      <c r="F1614" s="18"/>
      <c r="G1614" s="19" t="str">
        <f t="shared" ca="1" si="50"/>
        <v/>
      </c>
      <c r="H1614" s="18"/>
      <c r="I1614" s="18"/>
      <c r="J1614" s="77" t="str">
        <f t="shared" ca="1" si="51"/>
        <v/>
      </c>
      <c r="K1614" s="23">
        <f>IF(A1614="","",COUNTIFS(Resumen!$N$2:$N$2999,ROW(),Resumen!$V$2:$V$2999,1))</f>
        <v/>
      </c>
      <c r="L1614" s="26"/>
      <c r="N16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5" spans="1:14">
      <c r="A1615" s="16"/>
      <c r="B1615" s="16"/>
      <c r="C1615" s="25"/>
      <c r="D1615" s="25"/>
      <c r="E1615" s="16"/>
      <c r="F1615" s="18"/>
      <c r="G1615" s="19" t="str">
        <f t="shared" ca="1" si="50"/>
        <v/>
      </c>
      <c r="H1615" s="18"/>
      <c r="I1615" s="18"/>
      <c r="J1615" s="77" t="str">
        <f t="shared" ca="1" si="51"/>
        <v/>
      </c>
      <c r="K1615" s="23">
        <f>IF(A1615="","",COUNTIFS(Resumen!$N$2:$N$2999,ROW(),Resumen!$V$2:$V$2999,1))</f>
        <v/>
      </c>
      <c r="L1615" s="26"/>
      <c r="N16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6" spans="1:14">
      <c r="A1616" s="16"/>
      <c r="B1616" s="16"/>
      <c r="C1616" s="25"/>
      <c r="D1616" s="25"/>
      <c r="E1616" s="16"/>
      <c r="F1616" s="18"/>
      <c r="G1616" s="19" t="str">
        <f t="shared" ca="1" si="50"/>
        <v/>
      </c>
      <c r="H1616" s="18"/>
      <c r="I1616" s="18"/>
      <c r="J1616" s="77" t="str">
        <f t="shared" ca="1" si="51"/>
        <v/>
      </c>
      <c r="K1616" s="23">
        <f>IF(A1616="","",COUNTIFS(Resumen!$N$2:$N$2999,ROW(),Resumen!$V$2:$V$2999,1))</f>
        <v/>
      </c>
      <c r="L1616" s="26"/>
      <c r="N16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7" spans="1:14">
      <c r="A1617" s="16"/>
      <c r="B1617" s="16"/>
      <c r="C1617" s="25"/>
      <c r="D1617" s="25"/>
      <c r="E1617" s="16"/>
      <c r="F1617" s="18"/>
      <c r="G1617" s="19" t="str">
        <f t="shared" ca="1" si="50"/>
        <v/>
      </c>
      <c r="H1617" s="18"/>
      <c r="I1617" s="18"/>
      <c r="J1617" s="77" t="str">
        <f t="shared" ca="1" si="51"/>
        <v/>
      </c>
      <c r="K1617" s="23">
        <f>IF(A1617="","",COUNTIFS(Resumen!$N$2:$N$2999,ROW(),Resumen!$V$2:$V$2999,1))</f>
        <v/>
      </c>
      <c r="L1617" s="26"/>
      <c r="N16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8" spans="1:14">
      <c r="A1618" s="16"/>
      <c r="B1618" s="16"/>
      <c r="C1618" s="25"/>
      <c r="D1618" s="25"/>
      <c r="E1618" s="16"/>
      <c r="F1618" s="18"/>
      <c r="G1618" s="19" t="str">
        <f t="shared" ca="1" si="50"/>
        <v/>
      </c>
      <c r="H1618" s="18"/>
      <c r="I1618" s="18"/>
      <c r="J1618" s="77" t="str">
        <f t="shared" ca="1" si="51"/>
        <v/>
      </c>
      <c r="K1618" s="23">
        <f>IF(A1618="","",COUNTIFS(Resumen!$N$2:$N$2999,ROW(),Resumen!$V$2:$V$2999,1))</f>
        <v/>
      </c>
      <c r="L1618" s="26"/>
      <c r="N16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19" spans="1:14">
      <c r="A1619" s="16"/>
      <c r="B1619" s="16"/>
      <c r="C1619" s="25"/>
      <c r="D1619" s="25"/>
      <c r="E1619" s="16"/>
      <c r="F1619" s="18"/>
      <c r="G1619" s="19" t="str">
        <f t="shared" ca="1" si="50"/>
        <v/>
      </c>
      <c r="H1619" s="18"/>
      <c r="I1619" s="18"/>
      <c r="J1619" s="77" t="str">
        <f t="shared" ca="1" si="51"/>
        <v/>
      </c>
      <c r="K1619" s="23">
        <f>IF(A1619="","",COUNTIFS(Resumen!$N$2:$N$2999,ROW(),Resumen!$V$2:$V$2999,1))</f>
        <v/>
      </c>
      <c r="L1619" s="26"/>
      <c r="N16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0" spans="1:14">
      <c r="A1620" s="16"/>
      <c r="B1620" s="16"/>
      <c r="C1620" s="25"/>
      <c r="D1620" s="25"/>
      <c r="E1620" s="16"/>
      <c r="F1620" s="18"/>
      <c r="G1620" s="19" t="str">
        <f t="shared" ca="1" si="50"/>
        <v/>
      </c>
      <c r="H1620" s="18"/>
      <c r="I1620" s="18"/>
      <c r="J1620" s="77" t="str">
        <f t="shared" ca="1" si="51"/>
        <v/>
      </c>
      <c r="K1620" s="23">
        <f>IF(A1620="","",COUNTIFS(Resumen!$N$2:$N$2999,ROW(),Resumen!$V$2:$V$2999,1))</f>
        <v/>
      </c>
      <c r="L1620" s="26"/>
      <c r="N16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1" spans="1:14">
      <c r="A1621" s="16"/>
      <c r="B1621" s="16"/>
      <c r="C1621" s="25"/>
      <c r="D1621" s="25"/>
      <c r="E1621" s="16"/>
      <c r="F1621" s="18"/>
      <c r="G1621" s="19" t="str">
        <f t="shared" ca="1" si="50"/>
        <v/>
      </c>
      <c r="H1621" s="18"/>
      <c r="I1621" s="18"/>
      <c r="J1621" s="77" t="str">
        <f t="shared" ca="1" si="51"/>
        <v/>
      </c>
      <c r="K1621" s="23">
        <f>IF(A1621="","",COUNTIFS(Resumen!$N$2:$N$2999,ROW(),Resumen!$V$2:$V$2999,1))</f>
        <v/>
      </c>
      <c r="L1621" s="26"/>
      <c r="N16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2" spans="1:14">
      <c r="A1622" s="16"/>
      <c r="B1622" s="16"/>
      <c r="C1622" s="25"/>
      <c r="D1622" s="25"/>
      <c r="E1622" s="16"/>
      <c r="F1622" s="18"/>
      <c r="G1622" s="19" t="str">
        <f t="shared" ca="1" si="50"/>
        <v/>
      </c>
      <c r="H1622" s="18"/>
      <c r="I1622" s="18"/>
      <c r="J1622" s="77" t="str">
        <f t="shared" ca="1" si="51"/>
        <v/>
      </c>
      <c r="K1622" s="23">
        <f>IF(A1622="","",COUNTIFS(Resumen!$N$2:$N$2999,ROW(),Resumen!$V$2:$V$2999,1))</f>
        <v/>
      </c>
      <c r="L1622" s="26"/>
      <c r="N16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3" spans="1:14">
      <c r="A1623" s="16"/>
      <c r="B1623" s="16"/>
      <c r="C1623" s="25"/>
      <c r="D1623" s="25"/>
      <c r="E1623" s="16"/>
      <c r="F1623" s="18"/>
      <c r="G1623" s="19" t="str">
        <f t="shared" ca="1" si="50"/>
        <v/>
      </c>
      <c r="H1623" s="18"/>
      <c r="I1623" s="18"/>
      <c r="J1623" s="77" t="str">
        <f t="shared" ca="1" si="51"/>
        <v/>
      </c>
      <c r="K1623" s="23">
        <f>IF(A1623="","",COUNTIFS(Resumen!$N$2:$N$2999,ROW(),Resumen!$V$2:$V$2999,1))</f>
        <v/>
      </c>
      <c r="L1623" s="26"/>
      <c r="N16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4" spans="1:14">
      <c r="A1624" s="16"/>
      <c r="B1624" s="16"/>
      <c r="C1624" s="25"/>
      <c r="D1624" s="25"/>
      <c r="E1624" s="16"/>
      <c r="F1624" s="18"/>
      <c r="G1624" s="19" t="str">
        <f t="shared" ca="1" si="50"/>
        <v/>
      </c>
      <c r="H1624" s="18"/>
      <c r="I1624" s="18"/>
      <c r="J1624" s="77" t="str">
        <f t="shared" ca="1" si="51"/>
        <v/>
      </c>
      <c r="K1624" s="23">
        <f>IF(A1624="","",COUNTIFS(Resumen!$N$2:$N$2999,ROW(),Resumen!$V$2:$V$2999,1))</f>
        <v/>
      </c>
      <c r="L1624" s="26"/>
      <c r="N16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5" spans="1:14">
      <c r="A1625" s="16"/>
      <c r="B1625" s="16"/>
      <c r="C1625" s="25"/>
      <c r="D1625" s="25"/>
      <c r="E1625" s="16"/>
      <c r="F1625" s="18"/>
      <c r="G1625" s="19" t="str">
        <f t="shared" ca="1" si="50"/>
        <v/>
      </c>
      <c r="H1625" s="18"/>
      <c r="I1625" s="18"/>
      <c r="J1625" s="77" t="str">
        <f t="shared" ca="1" si="51"/>
        <v/>
      </c>
      <c r="K1625" s="23">
        <f>IF(A1625="","",COUNTIFS(Resumen!$N$2:$N$2999,ROW(),Resumen!$V$2:$V$2999,1))</f>
        <v/>
      </c>
      <c r="L1625" s="26"/>
      <c r="N16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6" spans="1:14">
      <c r="A1626" s="16"/>
      <c r="B1626" s="16"/>
      <c r="C1626" s="25"/>
      <c r="D1626" s="25"/>
      <c r="E1626" s="16"/>
      <c r="F1626" s="18"/>
      <c r="G1626" s="19" t="str">
        <f t="shared" ca="1" si="50"/>
        <v/>
      </c>
      <c r="H1626" s="18"/>
      <c r="I1626" s="18"/>
      <c r="J1626" s="77" t="str">
        <f t="shared" ca="1" si="51"/>
        <v/>
      </c>
      <c r="K1626" s="23">
        <f>IF(A1626="","",COUNTIFS(Resumen!$N$2:$N$2999,ROW(),Resumen!$V$2:$V$2999,1))</f>
        <v/>
      </c>
      <c r="L1626" s="26"/>
      <c r="N16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7" spans="1:14">
      <c r="A1627" s="16"/>
      <c r="B1627" s="16"/>
      <c r="C1627" s="25"/>
      <c r="D1627" s="25"/>
      <c r="E1627" s="16"/>
      <c r="F1627" s="18"/>
      <c r="G1627" s="19" t="str">
        <f t="shared" ca="1" si="50"/>
        <v/>
      </c>
      <c r="H1627" s="18"/>
      <c r="I1627" s="18"/>
      <c r="J1627" s="77" t="str">
        <f t="shared" ca="1" si="51"/>
        <v/>
      </c>
      <c r="K1627" s="23">
        <f>IF(A1627="","",COUNTIFS(Resumen!$N$2:$N$2999,ROW(),Resumen!$V$2:$V$2999,1))</f>
        <v/>
      </c>
      <c r="L1627" s="26"/>
      <c r="N16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8" spans="1:14">
      <c r="A1628" s="16"/>
      <c r="B1628" s="16"/>
      <c r="C1628" s="25"/>
      <c r="D1628" s="25"/>
      <c r="E1628" s="16"/>
      <c r="F1628" s="18"/>
      <c r="G1628" s="19" t="str">
        <f t="shared" ca="1" si="50"/>
        <v/>
      </c>
      <c r="H1628" s="18"/>
      <c r="I1628" s="18"/>
      <c r="J1628" s="77" t="str">
        <f t="shared" ca="1" si="51"/>
        <v/>
      </c>
      <c r="K1628" s="23">
        <f>IF(A1628="","",COUNTIFS(Resumen!$N$2:$N$2999,ROW(),Resumen!$V$2:$V$2999,1))</f>
        <v/>
      </c>
      <c r="L1628" s="26"/>
      <c r="N16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29" spans="1:14">
      <c r="A1629" s="16"/>
      <c r="B1629" s="16"/>
      <c r="C1629" s="25"/>
      <c r="D1629" s="25"/>
      <c r="E1629" s="16"/>
      <c r="F1629" s="18"/>
      <c r="G1629" s="19" t="str">
        <f t="shared" ca="1" si="50"/>
        <v/>
      </c>
      <c r="H1629" s="18"/>
      <c r="I1629" s="18"/>
      <c r="J1629" s="77" t="str">
        <f t="shared" ca="1" si="51"/>
        <v/>
      </c>
      <c r="K1629" s="23">
        <f>IF(A1629="","",COUNTIFS(Resumen!$N$2:$N$2999,ROW(),Resumen!$V$2:$V$2999,1))</f>
        <v/>
      </c>
      <c r="L1629" s="26"/>
      <c r="N16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0" spans="1:14">
      <c r="A1630" s="16"/>
      <c r="B1630" s="16"/>
      <c r="C1630" s="25"/>
      <c r="D1630" s="25"/>
      <c r="E1630" s="16"/>
      <c r="F1630" s="18"/>
      <c r="G1630" s="19" t="str">
        <f t="shared" ca="1" si="50"/>
        <v/>
      </c>
      <c r="H1630" s="18"/>
      <c r="I1630" s="18"/>
      <c r="J1630" s="77" t="str">
        <f t="shared" ca="1" si="51"/>
        <v/>
      </c>
      <c r="K1630" s="23">
        <f>IF(A1630="","",COUNTIFS(Resumen!$N$2:$N$2999,ROW(),Resumen!$V$2:$V$2999,1))</f>
        <v/>
      </c>
      <c r="L1630" s="26"/>
      <c r="N16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1" spans="1:14">
      <c r="A1631" s="16"/>
      <c r="B1631" s="16"/>
      <c r="C1631" s="25"/>
      <c r="D1631" s="25"/>
      <c r="E1631" s="16"/>
      <c r="F1631" s="18"/>
      <c r="G1631" s="19" t="str">
        <f t="shared" ca="1" si="50"/>
        <v/>
      </c>
      <c r="H1631" s="18"/>
      <c r="I1631" s="18"/>
      <c r="J1631" s="77" t="str">
        <f t="shared" ca="1" si="51"/>
        <v/>
      </c>
      <c r="K1631" s="23">
        <f>IF(A1631="","",COUNTIFS(Resumen!$N$2:$N$2999,ROW(),Resumen!$V$2:$V$2999,1))</f>
        <v/>
      </c>
      <c r="L1631" s="26"/>
      <c r="N16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2" spans="1:14">
      <c r="A1632" s="16"/>
      <c r="B1632" s="16"/>
      <c r="C1632" s="25"/>
      <c r="D1632" s="25"/>
      <c r="E1632" s="16"/>
      <c r="F1632" s="18"/>
      <c r="G1632" s="19" t="str">
        <f t="shared" ca="1" si="50"/>
        <v/>
      </c>
      <c r="H1632" s="18"/>
      <c r="I1632" s="18"/>
      <c r="J1632" s="77" t="str">
        <f t="shared" ca="1" si="51"/>
        <v/>
      </c>
      <c r="K1632" s="23">
        <f>IF(A1632="","",COUNTIFS(Resumen!$N$2:$N$2999,ROW(),Resumen!$V$2:$V$2999,1))</f>
        <v/>
      </c>
      <c r="L1632" s="26"/>
      <c r="N16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3" spans="1:14">
      <c r="A1633" s="16"/>
      <c r="B1633" s="16"/>
      <c r="C1633" s="25"/>
      <c r="D1633" s="25"/>
      <c r="E1633" s="16"/>
      <c r="F1633" s="18"/>
      <c r="G1633" s="19" t="str">
        <f t="shared" ca="1" si="50"/>
        <v/>
      </c>
      <c r="H1633" s="18"/>
      <c r="I1633" s="18"/>
      <c r="J1633" s="77" t="str">
        <f t="shared" ca="1" si="51"/>
        <v/>
      </c>
      <c r="K1633" s="23">
        <f>IF(A1633="","",COUNTIFS(Resumen!$N$2:$N$2999,ROW(),Resumen!$V$2:$V$2999,1))</f>
        <v/>
      </c>
      <c r="L1633" s="26"/>
      <c r="N16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4" spans="1:14">
      <c r="A1634" s="16"/>
      <c r="B1634" s="16"/>
      <c r="C1634" s="25"/>
      <c r="D1634" s="25"/>
      <c r="E1634" s="16"/>
      <c r="F1634" s="18"/>
      <c r="G1634" s="19" t="str">
        <f t="shared" ca="1" si="50"/>
        <v/>
      </c>
      <c r="H1634" s="18"/>
      <c r="I1634" s="18"/>
      <c r="J1634" s="77" t="str">
        <f t="shared" ca="1" si="51"/>
        <v/>
      </c>
      <c r="K1634" s="23">
        <f>IF(A1634="","",COUNTIFS(Resumen!$N$2:$N$2999,ROW(),Resumen!$V$2:$V$2999,1))</f>
        <v/>
      </c>
      <c r="L1634" s="26"/>
      <c r="N16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5" spans="1:14">
      <c r="A1635" s="16"/>
      <c r="B1635" s="16"/>
      <c r="C1635" s="25"/>
      <c r="D1635" s="25"/>
      <c r="E1635" s="16"/>
      <c r="F1635" s="18"/>
      <c r="G1635" s="19" t="str">
        <f t="shared" ca="1" si="50"/>
        <v/>
      </c>
      <c r="H1635" s="18"/>
      <c r="I1635" s="18"/>
      <c r="J1635" s="77" t="str">
        <f t="shared" ca="1" si="51"/>
        <v/>
      </c>
      <c r="K1635" s="23">
        <f>IF(A1635="","",COUNTIFS(Resumen!$N$2:$N$2999,ROW(),Resumen!$V$2:$V$2999,1))</f>
        <v/>
      </c>
      <c r="L1635" s="26"/>
      <c r="N16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6" spans="1:14">
      <c r="A1636" s="16"/>
      <c r="B1636" s="16"/>
      <c r="C1636" s="25"/>
      <c r="D1636" s="25"/>
      <c r="E1636" s="16"/>
      <c r="F1636" s="18"/>
      <c r="G1636" s="19" t="str">
        <f t="shared" ca="1" si="50"/>
        <v/>
      </c>
      <c r="H1636" s="18"/>
      <c r="I1636" s="18"/>
      <c r="J1636" s="77" t="str">
        <f t="shared" ca="1" si="51"/>
        <v/>
      </c>
      <c r="K1636" s="23">
        <f>IF(A1636="","",COUNTIFS(Resumen!$N$2:$N$2999,ROW(),Resumen!$V$2:$V$2999,1))</f>
        <v/>
      </c>
      <c r="L1636" s="26"/>
      <c r="N16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7" spans="1:14">
      <c r="A1637" s="16"/>
      <c r="B1637" s="16"/>
      <c r="C1637" s="25"/>
      <c r="D1637" s="25"/>
      <c r="E1637" s="16"/>
      <c r="F1637" s="18"/>
      <c r="G1637" s="19" t="str">
        <f t="shared" ca="1" si="50"/>
        <v/>
      </c>
      <c r="H1637" s="18"/>
      <c r="I1637" s="18"/>
      <c r="J1637" s="77" t="str">
        <f t="shared" ca="1" si="51"/>
        <v/>
      </c>
      <c r="K1637" s="23">
        <f>IF(A1637="","",COUNTIFS(Resumen!$N$2:$N$2999,ROW(),Resumen!$V$2:$V$2999,1))</f>
        <v/>
      </c>
      <c r="L1637" s="26"/>
      <c r="N16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8" spans="1:14">
      <c r="A1638" s="16"/>
      <c r="B1638" s="16"/>
      <c r="C1638" s="25"/>
      <c r="D1638" s="25"/>
      <c r="E1638" s="16"/>
      <c r="F1638" s="18"/>
      <c r="G1638" s="19" t="str">
        <f t="shared" ca="1" si="50"/>
        <v/>
      </c>
      <c r="H1638" s="18"/>
      <c r="I1638" s="18"/>
      <c r="J1638" s="77" t="str">
        <f t="shared" ca="1" si="51"/>
        <v/>
      </c>
      <c r="K1638" s="23">
        <f>IF(A1638="","",COUNTIFS(Resumen!$N$2:$N$2999,ROW(),Resumen!$V$2:$V$2999,1))</f>
        <v/>
      </c>
      <c r="L1638" s="26"/>
      <c r="N16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39" spans="1:14">
      <c r="A1639" s="16"/>
      <c r="B1639" s="16"/>
      <c r="C1639" s="25"/>
      <c r="D1639" s="25"/>
      <c r="E1639" s="16"/>
      <c r="F1639" s="18"/>
      <c r="G1639" s="19" t="str">
        <f t="shared" ca="1" si="50"/>
        <v/>
      </c>
      <c r="H1639" s="18"/>
      <c r="I1639" s="18"/>
      <c r="J1639" s="77" t="str">
        <f t="shared" ca="1" si="51"/>
        <v/>
      </c>
      <c r="K1639" s="23">
        <f>IF(A1639="","",COUNTIFS(Resumen!$N$2:$N$2999,ROW(),Resumen!$V$2:$V$2999,1))</f>
        <v/>
      </c>
      <c r="L1639" s="26"/>
      <c r="N16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0" spans="1:14">
      <c r="A1640" s="16"/>
      <c r="B1640" s="16"/>
      <c r="C1640" s="25"/>
      <c r="D1640" s="25"/>
      <c r="E1640" s="16"/>
      <c r="F1640" s="18"/>
      <c r="G1640" s="19" t="str">
        <f t="shared" ca="1" si="50"/>
        <v/>
      </c>
      <c r="H1640" s="18"/>
      <c r="I1640" s="18"/>
      <c r="J1640" s="77" t="str">
        <f t="shared" ca="1" si="51"/>
        <v/>
      </c>
      <c r="K1640" s="23">
        <f>IF(A1640="","",COUNTIFS(Resumen!$N$2:$N$2999,ROW(),Resumen!$V$2:$V$2999,1))</f>
        <v/>
      </c>
      <c r="L1640" s="26"/>
      <c r="N16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1" spans="1:14">
      <c r="A1641" s="16"/>
      <c r="B1641" s="16"/>
      <c r="C1641" s="25"/>
      <c r="D1641" s="25"/>
      <c r="E1641" s="16"/>
      <c r="F1641" s="18"/>
      <c r="G1641" s="19" t="str">
        <f t="shared" ca="1" si="50"/>
        <v/>
      </c>
      <c r="H1641" s="18"/>
      <c r="I1641" s="18"/>
      <c r="J1641" s="77" t="str">
        <f t="shared" ca="1" si="51"/>
        <v/>
      </c>
      <c r="K1641" s="23">
        <f>IF(A1641="","",COUNTIFS(Resumen!$N$2:$N$2999,ROW(),Resumen!$V$2:$V$2999,1))</f>
        <v/>
      </c>
      <c r="L1641" s="26"/>
      <c r="N16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2" spans="1:14">
      <c r="A1642" s="16"/>
      <c r="B1642" s="16"/>
      <c r="C1642" s="25"/>
      <c r="D1642" s="25"/>
      <c r="E1642" s="16"/>
      <c r="F1642" s="18"/>
      <c r="G1642" s="19" t="str">
        <f t="shared" ca="1" si="50"/>
        <v/>
      </c>
      <c r="H1642" s="18"/>
      <c r="I1642" s="18"/>
      <c r="J1642" s="77" t="str">
        <f t="shared" ca="1" si="51"/>
        <v/>
      </c>
      <c r="K1642" s="23">
        <f>IF(A1642="","",COUNTIFS(Resumen!$N$2:$N$2999,ROW(),Resumen!$V$2:$V$2999,1))</f>
        <v/>
      </c>
      <c r="L1642" s="26"/>
      <c r="N16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3" spans="1:14">
      <c r="A1643" s="16"/>
      <c r="B1643" s="16"/>
      <c r="C1643" s="25"/>
      <c r="D1643" s="25"/>
      <c r="E1643" s="16"/>
      <c r="F1643" s="18"/>
      <c r="G1643" s="19" t="str">
        <f t="shared" ca="1" si="50"/>
        <v/>
      </c>
      <c r="H1643" s="18"/>
      <c r="I1643" s="18"/>
      <c r="J1643" s="77" t="str">
        <f t="shared" ca="1" si="51"/>
        <v/>
      </c>
      <c r="K1643" s="23">
        <f>IF(A1643="","",COUNTIFS(Resumen!$N$2:$N$2999,ROW(),Resumen!$V$2:$V$2999,1))</f>
        <v/>
      </c>
      <c r="L1643" s="26"/>
      <c r="N16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4" spans="1:14">
      <c r="A1644" s="16"/>
      <c r="B1644" s="16"/>
      <c r="C1644" s="25"/>
      <c r="D1644" s="25"/>
      <c r="E1644" s="16"/>
      <c r="F1644" s="18"/>
      <c r="G1644" s="19" t="str">
        <f t="shared" ca="1" si="50"/>
        <v/>
      </c>
      <c r="H1644" s="18"/>
      <c r="I1644" s="18"/>
      <c r="J1644" s="77" t="str">
        <f t="shared" ca="1" si="51"/>
        <v/>
      </c>
      <c r="K1644" s="23">
        <f>IF(A1644="","",COUNTIFS(Resumen!$N$2:$N$2999,ROW(),Resumen!$V$2:$V$2999,1))</f>
        <v/>
      </c>
      <c r="L1644" s="26"/>
      <c r="N16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5" spans="1:14">
      <c r="A1645" s="16"/>
      <c r="B1645" s="16"/>
      <c r="C1645" s="25"/>
      <c r="D1645" s="25"/>
      <c r="E1645" s="16"/>
      <c r="F1645" s="18"/>
      <c r="G1645" s="19" t="str">
        <f t="shared" ca="1" si="50"/>
        <v/>
      </c>
      <c r="H1645" s="18"/>
      <c r="I1645" s="18"/>
      <c r="J1645" s="77" t="str">
        <f t="shared" ca="1" si="51"/>
        <v/>
      </c>
      <c r="K1645" s="23">
        <f>IF(A1645="","",COUNTIFS(Resumen!$N$2:$N$2999,ROW(),Resumen!$V$2:$V$2999,1))</f>
        <v/>
      </c>
      <c r="L1645" s="26"/>
      <c r="N16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6" spans="1:14">
      <c r="A1646" s="16"/>
      <c r="B1646" s="16"/>
      <c r="C1646" s="25"/>
      <c r="D1646" s="25"/>
      <c r="E1646" s="16"/>
      <c r="F1646" s="18"/>
      <c r="G1646" s="19" t="str">
        <f t="shared" ca="1" si="50"/>
        <v/>
      </c>
      <c r="H1646" s="18"/>
      <c r="I1646" s="18"/>
      <c r="J1646" s="77" t="str">
        <f t="shared" ca="1" si="51"/>
        <v/>
      </c>
      <c r="K1646" s="23">
        <f>IF(A1646="","",COUNTIFS(Resumen!$N$2:$N$2999,ROW(),Resumen!$V$2:$V$2999,1))</f>
        <v/>
      </c>
      <c r="L1646" s="26"/>
      <c r="N16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7" spans="1:14">
      <c r="A1647" s="16"/>
      <c r="B1647" s="16"/>
      <c r="C1647" s="25"/>
      <c r="D1647" s="25"/>
      <c r="E1647" s="16"/>
      <c r="F1647" s="18"/>
      <c r="G1647" s="19" t="str">
        <f t="shared" ca="1" si="50"/>
        <v/>
      </c>
      <c r="H1647" s="18"/>
      <c r="I1647" s="18"/>
      <c r="J1647" s="77" t="str">
        <f t="shared" ca="1" si="51"/>
        <v/>
      </c>
      <c r="K1647" s="23">
        <f>IF(A1647="","",COUNTIFS(Resumen!$N$2:$N$2999,ROW(),Resumen!$V$2:$V$2999,1))</f>
        <v/>
      </c>
      <c r="L1647" s="26"/>
      <c r="N16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8" spans="1:14">
      <c r="A1648" s="16"/>
      <c r="B1648" s="16"/>
      <c r="C1648" s="25"/>
      <c r="D1648" s="25"/>
      <c r="E1648" s="16"/>
      <c r="F1648" s="18"/>
      <c r="G1648" s="19" t="str">
        <f t="shared" ca="1" si="50"/>
        <v/>
      </c>
      <c r="H1648" s="18"/>
      <c r="I1648" s="18"/>
      <c r="J1648" s="77" t="str">
        <f t="shared" ca="1" si="51"/>
        <v/>
      </c>
      <c r="K1648" s="23">
        <f>IF(A1648="","",COUNTIFS(Resumen!$N$2:$N$2999,ROW(),Resumen!$V$2:$V$2999,1))</f>
        <v/>
      </c>
      <c r="L1648" s="26"/>
      <c r="N16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49" spans="1:14">
      <c r="A1649" s="16"/>
      <c r="B1649" s="16"/>
      <c r="C1649" s="25"/>
      <c r="D1649" s="25"/>
      <c r="E1649" s="16"/>
      <c r="F1649" s="18"/>
      <c r="G1649" s="19" t="str">
        <f t="shared" ca="1" si="50"/>
        <v/>
      </c>
      <c r="H1649" s="18"/>
      <c r="I1649" s="18"/>
      <c r="J1649" s="77" t="str">
        <f t="shared" ca="1" si="51"/>
        <v/>
      </c>
      <c r="K1649" s="23">
        <f>IF(A1649="","",COUNTIFS(Resumen!$N$2:$N$2999,ROW(),Resumen!$V$2:$V$2999,1))</f>
        <v/>
      </c>
      <c r="L1649" s="26"/>
      <c r="N16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0" spans="1:14">
      <c r="A1650" s="16"/>
      <c r="B1650" s="16"/>
      <c r="C1650" s="25"/>
      <c r="D1650" s="25"/>
      <c r="E1650" s="16"/>
      <c r="F1650" s="18"/>
      <c r="G1650" s="19" t="str">
        <f t="shared" ca="1" si="50"/>
        <v/>
      </c>
      <c r="H1650" s="18"/>
      <c r="I1650" s="18"/>
      <c r="J1650" s="77" t="str">
        <f t="shared" ca="1" si="51"/>
        <v/>
      </c>
      <c r="K1650" s="23">
        <f>IF(A1650="","",COUNTIFS(Resumen!$N$2:$N$2999,ROW(),Resumen!$V$2:$V$2999,1))</f>
        <v/>
      </c>
      <c r="L1650" s="26"/>
      <c r="N16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1" spans="1:14">
      <c r="A1651" s="16"/>
      <c r="B1651" s="16"/>
      <c r="C1651" s="25"/>
      <c r="D1651" s="25"/>
      <c r="E1651" s="16"/>
      <c r="F1651" s="18"/>
      <c r="G1651" s="19" t="str">
        <f t="shared" ca="1" si="50"/>
        <v/>
      </c>
      <c r="H1651" s="18"/>
      <c r="I1651" s="18"/>
      <c r="J1651" s="77" t="str">
        <f t="shared" ca="1" si="51"/>
        <v/>
      </c>
      <c r="K1651" s="23">
        <f>IF(A1651="","",COUNTIFS(Resumen!$N$2:$N$2999,ROW(),Resumen!$V$2:$V$2999,1))</f>
        <v/>
      </c>
      <c r="L1651" s="26"/>
      <c r="N16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2" spans="1:14">
      <c r="A1652" s="16"/>
      <c r="B1652" s="16"/>
      <c r="C1652" s="25"/>
      <c r="D1652" s="25"/>
      <c r="E1652" s="16"/>
      <c r="F1652" s="18"/>
      <c r="G1652" s="19" t="str">
        <f t="shared" ca="1" si="50"/>
        <v/>
      </c>
      <c r="H1652" s="18"/>
      <c r="I1652" s="18"/>
      <c r="J1652" s="77" t="str">
        <f t="shared" ca="1" si="51"/>
        <v/>
      </c>
      <c r="K1652" s="23">
        <f>IF(A1652="","",COUNTIFS(Resumen!$N$2:$N$2999,ROW(),Resumen!$V$2:$V$2999,1))</f>
        <v/>
      </c>
      <c r="L1652" s="26"/>
      <c r="N16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3" spans="1:14">
      <c r="A1653" s="16"/>
      <c r="B1653" s="16"/>
      <c r="C1653" s="25"/>
      <c r="D1653" s="25"/>
      <c r="E1653" s="16"/>
      <c r="F1653" s="18"/>
      <c r="G1653" s="19" t="str">
        <f t="shared" ca="1" si="50"/>
        <v/>
      </c>
      <c r="H1653" s="18"/>
      <c r="I1653" s="18"/>
      <c r="J1653" s="77" t="str">
        <f t="shared" ca="1" si="51"/>
        <v/>
      </c>
      <c r="K1653" s="23">
        <f>IF(A1653="","",COUNTIFS(Resumen!$N$2:$N$2999,ROW(),Resumen!$V$2:$V$2999,1))</f>
        <v/>
      </c>
      <c r="L1653" s="26"/>
      <c r="N16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4" spans="1:14">
      <c r="A1654" s="16"/>
      <c r="B1654" s="16"/>
      <c r="C1654" s="25"/>
      <c r="D1654" s="25"/>
      <c r="E1654" s="16"/>
      <c r="F1654" s="18"/>
      <c r="G1654" s="19" t="str">
        <f t="shared" ca="1" si="50"/>
        <v/>
      </c>
      <c r="H1654" s="18"/>
      <c r="I1654" s="18"/>
      <c r="J1654" s="77" t="str">
        <f t="shared" ca="1" si="51"/>
        <v/>
      </c>
      <c r="K1654" s="23">
        <f>IF(A1654="","",COUNTIFS(Resumen!$N$2:$N$2999,ROW(),Resumen!$V$2:$V$2999,1))</f>
        <v/>
      </c>
      <c r="L1654" s="26"/>
      <c r="N16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5" spans="1:14">
      <c r="A1655" s="16"/>
      <c r="B1655" s="16"/>
      <c r="C1655" s="25"/>
      <c r="D1655" s="25"/>
      <c r="E1655" s="16"/>
      <c r="F1655" s="18"/>
      <c r="G1655" s="19" t="str">
        <f t="shared" ca="1" si="50"/>
        <v/>
      </c>
      <c r="H1655" s="18"/>
      <c r="I1655" s="18"/>
      <c r="J1655" s="77" t="str">
        <f t="shared" ca="1" si="51"/>
        <v/>
      </c>
      <c r="K1655" s="23">
        <f>IF(A1655="","",COUNTIFS(Resumen!$N$2:$N$2999,ROW(),Resumen!$V$2:$V$2999,1))</f>
        <v/>
      </c>
      <c r="L1655" s="26"/>
      <c r="N16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6" spans="1:14">
      <c r="A1656" s="16"/>
      <c r="B1656" s="16"/>
      <c r="C1656" s="25"/>
      <c r="D1656" s="25"/>
      <c r="E1656" s="16"/>
      <c r="F1656" s="18"/>
      <c r="G1656" s="19" t="str">
        <f t="shared" ca="1" si="50"/>
        <v/>
      </c>
      <c r="H1656" s="18"/>
      <c r="I1656" s="18"/>
      <c r="J1656" s="77" t="str">
        <f t="shared" ca="1" si="51"/>
        <v/>
      </c>
      <c r="K1656" s="23">
        <f>IF(A1656="","",COUNTIFS(Resumen!$N$2:$N$2999,ROW(),Resumen!$V$2:$V$2999,1))</f>
        <v/>
      </c>
      <c r="L1656" s="26"/>
      <c r="N16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7" spans="1:14">
      <c r="A1657" s="16"/>
      <c r="B1657" s="16"/>
      <c r="C1657" s="25"/>
      <c r="D1657" s="25"/>
      <c r="E1657" s="16"/>
      <c r="F1657" s="18"/>
      <c r="G1657" s="19" t="str">
        <f t="shared" ca="1" si="50"/>
        <v/>
      </c>
      <c r="H1657" s="18"/>
      <c r="I1657" s="18"/>
      <c r="J1657" s="77" t="str">
        <f t="shared" ca="1" si="51"/>
        <v/>
      </c>
      <c r="K1657" s="23">
        <f>IF(A1657="","",COUNTIFS(Resumen!$N$2:$N$2999,ROW(),Resumen!$V$2:$V$2999,1))</f>
        <v/>
      </c>
      <c r="L1657" s="26"/>
      <c r="N16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8" spans="1:14">
      <c r="A1658" s="16"/>
      <c r="B1658" s="16"/>
      <c r="C1658" s="25"/>
      <c r="D1658" s="25"/>
      <c r="E1658" s="16"/>
      <c r="F1658" s="18"/>
      <c r="G1658" s="19" t="str">
        <f t="shared" ca="1" si="50"/>
        <v/>
      </c>
      <c r="H1658" s="18"/>
      <c r="I1658" s="18"/>
      <c r="J1658" s="77" t="str">
        <f t="shared" ca="1" si="51"/>
        <v/>
      </c>
      <c r="K1658" s="23">
        <f>IF(A1658="","",COUNTIFS(Resumen!$N$2:$N$2999,ROW(),Resumen!$V$2:$V$2999,1))</f>
        <v/>
      </c>
      <c r="L1658" s="26"/>
      <c r="N16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59" spans="1:14">
      <c r="A1659" s="16"/>
      <c r="B1659" s="16"/>
      <c r="C1659" s="25"/>
      <c r="D1659" s="25"/>
      <c r="E1659" s="16"/>
      <c r="F1659" s="18"/>
      <c r="G1659" s="19" t="str">
        <f t="shared" ca="1" si="50"/>
        <v/>
      </c>
      <c r="H1659" s="18"/>
      <c r="I1659" s="18"/>
      <c r="J1659" s="77" t="str">
        <f t="shared" ca="1" si="51"/>
        <v/>
      </c>
      <c r="K1659" s="23">
        <f>IF(A1659="","",COUNTIFS(Resumen!$N$2:$N$2999,ROW(),Resumen!$V$2:$V$2999,1))</f>
        <v/>
      </c>
      <c r="L1659" s="26"/>
      <c r="N16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0" spans="1:14">
      <c r="A1660" s="16"/>
      <c r="B1660" s="16"/>
      <c r="C1660" s="25"/>
      <c r="D1660" s="25"/>
      <c r="E1660" s="16"/>
      <c r="F1660" s="18"/>
      <c r="G1660" s="19" t="str">
        <f t="shared" ca="1" si="50"/>
        <v/>
      </c>
      <c r="H1660" s="18"/>
      <c r="I1660" s="18"/>
      <c r="J1660" s="77" t="str">
        <f t="shared" ca="1" si="51"/>
        <v/>
      </c>
      <c r="K1660" s="23">
        <f>IF(A1660="","",COUNTIFS(Resumen!$N$2:$N$2999,ROW(),Resumen!$V$2:$V$2999,1))</f>
        <v/>
      </c>
      <c r="L1660" s="26"/>
      <c r="N16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1" spans="1:14">
      <c r="A1661" s="16"/>
      <c r="B1661" s="16"/>
      <c r="C1661" s="25"/>
      <c r="D1661" s="25"/>
      <c r="E1661" s="16"/>
      <c r="F1661" s="18"/>
      <c r="G1661" s="19" t="str">
        <f t="shared" ca="1" si="50"/>
        <v/>
      </c>
      <c r="H1661" s="18"/>
      <c r="I1661" s="18"/>
      <c r="J1661" s="77" t="str">
        <f t="shared" ca="1" si="51"/>
        <v/>
      </c>
      <c r="K1661" s="23">
        <f>IF(A1661="","",COUNTIFS(Resumen!$N$2:$N$2999,ROW(),Resumen!$V$2:$V$2999,1))</f>
        <v/>
      </c>
      <c r="L1661" s="26"/>
      <c r="N16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2" spans="1:14">
      <c r="A1662" s="16"/>
      <c r="B1662" s="16"/>
      <c r="C1662" s="25"/>
      <c r="D1662" s="25"/>
      <c r="E1662" s="16"/>
      <c r="F1662" s="18"/>
      <c r="G1662" s="19" t="str">
        <f t="shared" ca="1" si="50"/>
        <v/>
      </c>
      <c r="H1662" s="18"/>
      <c r="I1662" s="18"/>
      <c r="J1662" s="77" t="str">
        <f t="shared" ca="1" si="51"/>
        <v/>
      </c>
      <c r="K1662" s="23">
        <f>IF(A1662="","",COUNTIFS(Resumen!$N$2:$N$2999,ROW(),Resumen!$V$2:$V$2999,1))</f>
        <v/>
      </c>
      <c r="L1662" s="26"/>
      <c r="N16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3" spans="1:14">
      <c r="A1663" s="16"/>
      <c r="B1663" s="16"/>
      <c r="C1663" s="25"/>
      <c r="D1663" s="25"/>
      <c r="E1663" s="16"/>
      <c r="F1663" s="18"/>
      <c r="G1663" s="19" t="str">
        <f t="shared" ca="1" si="50"/>
        <v/>
      </c>
      <c r="H1663" s="18"/>
      <c r="I1663" s="18"/>
      <c r="J1663" s="77" t="str">
        <f t="shared" ca="1" si="51"/>
        <v/>
      </c>
      <c r="K1663" s="23">
        <f>IF(A1663="","",COUNTIFS(Resumen!$N$2:$N$2999,ROW(),Resumen!$V$2:$V$2999,1))</f>
        <v/>
      </c>
      <c r="L1663" s="26"/>
      <c r="N16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4" spans="1:14">
      <c r="A1664" s="16"/>
      <c r="B1664" s="16"/>
      <c r="C1664" s="25"/>
      <c r="D1664" s="25"/>
      <c r="E1664" s="16"/>
      <c r="F1664" s="18"/>
      <c r="G1664" s="19" t="str">
        <f t="shared" ca="1" si="50"/>
        <v/>
      </c>
      <c r="H1664" s="18"/>
      <c r="I1664" s="18"/>
      <c r="J1664" s="77" t="str">
        <f t="shared" ca="1" si="51"/>
        <v/>
      </c>
      <c r="K1664" s="23">
        <f>IF(A1664="","",COUNTIFS(Resumen!$N$2:$N$2999,ROW(),Resumen!$V$2:$V$2999,1))</f>
        <v/>
      </c>
      <c r="L1664" s="26"/>
      <c r="N16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5" spans="1:14">
      <c r="A1665" s="16"/>
      <c r="B1665" s="16"/>
      <c r="C1665" s="25"/>
      <c r="D1665" s="25"/>
      <c r="E1665" s="16"/>
      <c r="F1665" s="18"/>
      <c r="G1665" s="19" t="str">
        <f t="shared" ca="1" si="50"/>
        <v/>
      </c>
      <c r="H1665" s="18"/>
      <c r="I1665" s="18"/>
      <c r="J1665" s="77" t="str">
        <f t="shared" ca="1" si="51"/>
        <v/>
      </c>
      <c r="K1665" s="23">
        <f>IF(A1665="","",COUNTIFS(Resumen!$N$2:$N$2999,ROW(),Resumen!$V$2:$V$2999,1))</f>
        <v/>
      </c>
      <c r="L1665" s="26"/>
      <c r="N16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6" spans="1:14">
      <c r="A1666" s="16"/>
      <c r="B1666" s="16"/>
      <c r="C1666" s="25"/>
      <c r="D1666" s="25"/>
      <c r="E1666" s="16"/>
      <c r="F1666" s="18"/>
      <c r="G1666" s="19" t="str">
        <f t="shared" ref="G1666:G1729" ca="1" si="52">IF(F1666="", "", DATEDIF(F1666, TODAY(), "Y"))</f>
        <v/>
      </c>
      <c r="H1666" s="18"/>
      <c r="I1666" s="18"/>
      <c r="J1666" s="77" t="str">
        <f t="shared" ref="J1666:J1729" ca="1" si="53">IFERROR(IF(ISNUMBER(INDEX(VigenciasFamilia,ROW())),INDEX(VigenciasFamilia,ROW())-TODAY(),""),"")</f>
        <v/>
      </c>
      <c r="K1666" s="23">
        <f>IF(A1666="","",COUNTIFS(Resumen!$N$2:$N$2999,ROW(),Resumen!$V$2:$V$2999,1))</f>
        <v/>
      </c>
      <c r="L1666" s="26"/>
      <c r="N16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7" spans="1:14">
      <c r="A1667" s="16"/>
      <c r="B1667" s="16"/>
      <c r="C1667" s="25"/>
      <c r="D1667" s="25"/>
      <c r="E1667" s="16"/>
      <c r="F1667" s="18"/>
      <c r="G1667" s="19" t="str">
        <f t="shared" ca="1" si="52"/>
        <v/>
      </c>
      <c r="H1667" s="18"/>
      <c r="I1667" s="18"/>
      <c r="J1667" s="77" t="str">
        <f t="shared" ca="1" si="53"/>
        <v/>
      </c>
      <c r="K1667" s="23">
        <f>IF(A1667="","",COUNTIFS(Resumen!$N$2:$N$2999,ROW(),Resumen!$V$2:$V$2999,1))</f>
        <v/>
      </c>
      <c r="L1667" s="26"/>
      <c r="N16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8" spans="1:14">
      <c r="A1668" s="16"/>
      <c r="B1668" s="16"/>
      <c r="C1668" s="25"/>
      <c r="D1668" s="25"/>
      <c r="E1668" s="16"/>
      <c r="F1668" s="18"/>
      <c r="G1668" s="19" t="str">
        <f t="shared" ca="1" si="52"/>
        <v/>
      </c>
      <c r="H1668" s="18"/>
      <c r="I1668" s="18"/>
      <c r="J1668" s="77" t="str">
        <f t="shared" ca="1" si="53"/>
        <v/>
      </c>
      <c r="K1668" s="23">
        <f>IF(A1668="","",COUNTIFS(Resumen!$N$2:$N$2999,ROW(),Resumen!$V$2:$V$2999,1))</f>
        <v/>
      </c>
      <c r="L1668" s="26"/>
      <c r="N16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69" spans="1:14">
      <c r="A1669" s="16"/>
      <c r="B1669" s="16"/>
      <c r="C1669" s="25"/>
      <c r="D1669" s="25"/>
      <c r="E1669" s="16"/>
      <c r="F1669" s="18"/>
      <c r="G1669" s="19" t="str">
        <f t="shared" ca="1" si="52"/>
        <v/>
      </c>
      <c r="H1669" s="18"/>
      <c r="I1669" s="18"/>
      <c r="J1669" s="77" t="str">
        <f t="shared" ca="1" si="53"/>
        <v/>
      </c>
      <c r="K1669" s="23">
        <f>IF(A1669="","",COUNTIFS(Resumen!$N$2:$N$2999,ROW(),Resumen!$V$2:$V$2999,1))</f>
        <v/>
      </c>
      <c r="L1669" s="26"/>
      <c r="N16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0" spans="1:14">
      <c r="A1670" s="16"/>
      <c r="B1670" s="16"/>
      <c r="C1670" s="25"/>
      <c r="D1670" s="25"/>
      <c r="E1670" s="16"/>
      <c r="F1670" s="18"/>
      <c r="G1670" s="19" t="str">
        <f t="shared" ca="1" si="52"/>
        <v/>
      </c>
      <c r="H1670" s="18"/>
      <c r="I1670" s="18"/>
      <c r="J1670" s="77" t="str">
        <f t="shared" ca="1" si="53"/>
        <v/>
      </c>
      <c r="K1670" s="23">
        <f>IF(A1670="","",COUNTIFS(Resumen!$N$2:$N$2999,ROW(),Resumen!$V$2:$V$2999,1))</f>
        <v/>
      </c>
      <c r="L1670" s="26"/>
      <c r="N16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1" spans="1:14">
      <c r="A1671" s="16"/>
      <c r="B1671" s="16"/>
      <c r="C1671" s="25"/>
      <c r="D1671" s="25"/>
      <c r="E1671" s="16"/>
      <c r="F1671" s="18"/>
      <c r="G1671" s="19" t="str">
        <f t="shared" ca="1" si="52"/>
        <v/>
      </c>
      <c r="H1671" s="18"/>
      <c r="I1671" s="18"/>
      <c r="J1671" s="77" t="str">
        <f t="shared" ca="1" si="53"/>
        <v/>
      </c>
      <c r="K1671" s="23">
        <f>IF(A1671="","",COUNTIFS(Resumen!$N$2:$N$2999,ROW(),Resumen!$V$2:$V$2999,1))</f>
        <v/>
      </c>
      <c r="L1671" s="26"/>
      <c r="N16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2" spans="1:14">
      <c r="A1672" s="16"/>
      <c r="B1672" s="16"/>
      <c r="C1672" s="25"/>
      <c r="D1672" s="25"/>
      <c r="E1672" s="16"/>
      <c r="F1672" s="18"/>
      <c r="G1672" s="19" t="str">
        <f t="shared" ca="1" si="52"/>
        <v/>
      </c>
      <c r="H1672" s="18"/>
      <c r="I1672" s="18"/>
      <c r="J1672" s="77" t="str">
        <f t="shared" ca="1" si="53"/>
        <v/>
      </c>
      <c r="K1672" s="23">
        <f>IF(A1672="","",COUNTIFS(Resumen!$N$2:$N$2999,ROW(),Resumen!$V$2:$V$2999,1))</f>
        <v/>
      </c>
      <c r="L1672" s="26"/>
      <c r="N16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3" spans="1:14">
      <c r="A1673" s="16"/>
      <c r="B1673" s="16"/>
      <c r="C1673" s="25"/>
      <c r="D1673" s="25"/>
      <c r="E1673" s="16"/>
      <c r="F1673" s="18"/>
      <c r="G1673" s="19" t="str">
        <f t="shared" ca="1" si="52"/>
        <v/>
      </c>
      <c r="H1673" s="18"/>
      <c r="I1673" s="18"/>
      <c r="J1673" s="77" t="str">
        <f t="shared" ca="1" si="53"/>
        <v/>
      </c>
      <c r="K1673" s="23">
        <f>IF(A1673="","",COUNTIFS(Resumen!$N$2:$N$2999,ROW(),Resumen!$V$2:$V$2999,1))</f>
        <v/>
      </c>
      <c r="L1673" s="26"/>
      <c r="N16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4" spans="1:14">
      <c r="A1674" s="16"/>
      <c r="B1674" s="16"/>
      <c r="C1674" s="25"/>
      <c r="D1674" s="25"/>
      <c r="E1674" s="16"/>
      <c r="F1674" s="18"/>
      <c r="G1674" s="19" t="str">
        <f t="shared" ca="1" si="52"/>
        <v/>
      </c>
      <c r="H1674" s="18"/>
      <c r="I1674" s="18"/>
      <c r="J1674" s="77" t="str">
        <f t="shared" ca="1" si="53"/>
        <v/>
      </c>
      <c r="K1674" s="23">
        <f>IF(A1674="","",COUNTIFS(Resumen!$N$2:$N$2999,ROW(),Resumen!$V$2:$V$2999,1))</f>
        <v/>
      </c>
      <c r="L1674" s="26"/>
      <c r="N16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5" spans="1:14">
      <c r="A1675" s="16"/>
      <c r="B1675" s="16"/>
      <c r="C1675" s="25"/>
      <c r="D1675" s="25"/>
      <c r="E1675" s="16"/>
      <c r="F1675" s="18"/>
      <c r="G1675" s="19" t="str">
        <f t="shared" ca="1" si="52"/>
        <v/>
      </c>
      <c r="H1675" s="18"/>
      <c r="I1675" s="18"/>
      <c r="J1675" s="77" t="str">
        <f t="shared" ca="1" si="53"/>
        <v/>
      </c>
      <c r="K1675" s="23">
        <f>IF(A1675="","",COUNTIFS(Resumen!$N$2:$N$2999,ROW(),Resumen!$V$2:$V$2999,1))</f>
        <v/>
      </c>
      <c r="L1675" s="26"/>
      <c r="N16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6" spans="1:14">
      <c r="A1676" s="16"/>
      <c r="B1676" s="16"/>
      <c r="C1676" s="25"/>
      <c r="D1676" s="25"/>
      <c r="E1676" s="16"/>
      <c r="F1676" s="18"/>
      <c r="G1676" s="19" t="str">
        <f t="shared" ca="1" si="52"/>
        <v/>
      </c>
      <c r="H1676" s="18"/>
      <c r="I1676" s="18"/>
      <c r="J1676" s="77" t="str">
        <f t="shared" ca="1" si="53"/>
        <v/>
      </c>
      <c r="K1676" s="23">
        <f>IF(A1676="","",COUNTIFS(Resumen!$N$2:$N$2999,ROW(),Resumen!$V$2:$V$2999,1))</f>
        <v/>
      </c>
      <c r="L1676" s="26"/>
      <c r="N16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7" spans="1:14">
      <c r="A1677" s="16"/>
      <c r="B1677" s="16"/>
      <c r="C1677" s="25"/>
      <c r="D1677" s="25"/>
      <c r="E1677" s="16"/>
      <c r="F1677" s="18"/>
      <c r="G1677" s="19" t="str">
        <f t="shared" ca="1" si="52"/>
        <v/>
      </c>
      <c r="H1677" s="18"/>
      <c r="I1677" s="18"/>
      <c r="J1677" s="77" t="str">
        <f t="shared" ca="1" si="53"/>
        <v/>
      </c>
      <c r="K1677" s="23">
        <f>IF(A1677="","",COUNTIFS(Resumen!$N$2:$N$2999,ROW(),Resumen!$V$2:$V$2999,1))</f>
        <v/>
      </c>
      <c r="L1677" s="26"/>
      <c r="N16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8" spans="1:14">
      <c r="A1678" s="16"/>
      <c r="B1678" s="16"/>
      <c r="C1678" s="25"/>
      <c r="D1678" s="25"/>
      <c r="E1678" s="16"/>
      <c r="F1678" s="18"/>
      <c r="G1678" s="19" t="str">
        <f t="shared" ca="1" si="52"/>
        <v/>
      </c>
      <c r="H1678" s="18"/>
      <c r="I1678" s="18"/>
      <c r="J1678" s="77" t="str">
        <f t="shared" ca="1" si="53"/>
        <v/>
      </c>
      <c r="K1678" s="23">
        <f>IF(A1678="","",COUNTIFS(Resumen!$N$2:$N$2999,ROW(),Resumen!$V$2:$V$2999,1))</f>
        <v/>
      </c>
      <c r="L1678" s="26"/>
      <c r="N16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79" spans="1:14">
      <c r="A1679" s="16"/>
      <c r="B1679" s="16"/>
      <c r="C1679" s="25"/>
      <c r="D1679" s="25"/>
      <c r="E1679" s="16"/>
      <c r="F1679" s="18"/>
      <c r="G1679" s="19" t="str">
        <f t="shared" ca="1" si="52"/>
        <v/>
      </c>
      <c r="H1679" s="18"/>
      <c r="I1679" s="18"/>
      <c r="J1679" s="77" t="str">
        <f t="shared" ca="1" si="53"/>
        <v/>
      </c>
      <c r="K1679" s="23">
        <f>IF(A1679="","",COUNTIFS(Resumen!$N$2:$N$2999,ROW(),Resumen!$V$2:$V$2999,1))</f>
        <v/>
      </c>
      <c r="L1679" s="26"/>
      <c r="N16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0" spans="1:14">
      <c r="A1680" s="16"/>
      <c r="B1680" s="16"/>
      <c r="C1680" s="25"/>
      <c r="D1680" s="25"/>
      <c r="E1680" s="16"/>
      <c r="F1680" s="18"/>
      <c r="G1680" s="19" t="str">
        <f t="shared" ca="1" si="52"/>
        <v/>
      </c>
      <c r="H1680" s="18"/>
      <c r="I1680" s="18"/>
      <c r="J1680" s="77" t="str">
        <f t="shared" ca="1" si="53"/>
        <v/>
      </c>
      <c r="K1680" s="23">
        <f>IF(A1680="","",COUNTIFS(Resumen!$N$2:$N$2999,ROW(),Resumen!$V$2:$V$2999,1))</f>
        <v/>
      </c>
      <c r="L1680" s="26"/>
      <c r="N16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1" spans="1:14">
      <c r="A1681" s="16"/>
      <c r="B1681" s="16"/>
      <c r="C1681" s="25"/>
      <c r="D1681" s="25"/>
      <c r="E1681" s="16"/>
      <c r="F1681" s="18"/>
      <c r="G1681" s="19" t="str">
        <f t="shared" ca="1" si="52"/>
        <v/>
      </c>
      <c r="H1681" s="18"/>
      <c r="I1681" s="18"/>
      <c r="J1681" s="77" t="str">
        <f t="shared" ca="1" si="53"/>
        <v/>
      </c>
      <c r="K1681" s="23">
        <f>IF(A1681="","",COUNTIFS(Resumen!$N$2:$N$2999,ROW(),Resumen!$V$2:$V$2999,1))</f>
        <v/>
      </c>
      <c r="L1681" s="26"/>
      <c r="N16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2" spans="1:14">
      <c r="A1682" s="16"/>
      <c r="B1682" s="16"/>
      <c r="C1682" s="25"/>
      <c r="D1682" s="25"/>
      <c r="E1682" s="16"/>
      <c r="F1682" s="18"/>
      <c r="G1682" s="19" t="str">
        <f t="shared" ca="1" si="52"/>
        <v/>
      </c>
      <c r="H1682" s="18"/>
      <c r="I1682" s="18"/>
      <c r="J1682" s="77" t="str">
        <f t="shared" ca="1" si="53"/>
        <v/>
      </c>
      <c r="K1682" s="23">
        <f>IF(A1682="","",COUNTIFS(Resumen!$N$2:$N$2999,ROW(),Resumen!$V$2:$V$2999,1))</f>
        <v/>
      </c>
      <c r="L1682" s="26"/>
      <c r="N16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3" spans="1:14">
      <c r="A1683" s="16"/>
      <c r="B1683" s="16"/>
      <c r="C1683" s="25"/>
      <c r="D1683" s="25"/>
      <c r="E1683" s="16"/>
      <c r="F1683" s="18"/>
      <c r="G1683" s="19" t="str">
        <f t="shared" ca="1" si="52"/>
        <v/>
      </c>
      <c r="H1683" s="18"/>
      <c r="I1683" s="18"/>
      <c r="J1683" s="77" t="str">
        <f t="shared" ca="1" si="53"/>
        <v/>
      </c>
      <c r="K1683" s="23">
        <f>IF(A1683="","",COUNTIFS(Resumen!$N$2:$N$2999,ROW(),Resumen!$V$2:$V$2999,1))</f>
        <v/>
      </c>
      <c r="L1683" s="26"/>
      <c r="N16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4" spans="1:14">
      <c r="A1684" s="16"/>
      <c r="B1684" s="16"/>
      <c r="C1684" s="25"/>
      <c r="D1684" s="25"/>
      <c r="E1684" s="16"/>
      <c r="F1684" s="18"/>
      <c r="G1684" s="19" t="str">
        <f t="shared" ca="1" si="52"/>
        <v/>
      </c>
      <c r="H1684" s="18"/>
      <c r="I1684" s="18"/>
      <c r="J1684" s="77" t="str">
        <f t="shared" ca="1" si="53"/>
        <v/>
      </c>
      <c r="K1684" s="23">
        <f>IF(A1684="","",COUNTIFS(Resumen!$N$2:$N$2999,ROW(),Resumen!$V$2:$V$2999,1))</f>
        <v/>
      </c>
      <c r="L1684" s="26"/>
      <c r="N16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5" spans="1:14">
      <c r="A1685" s="16"/>
      <c r="B1685" s="16"/>
      <c r="C1685" s="25"/>
      <c r="D1685" s="25"/>
      <c r="E1685" s="16"/>
      <c r="F1685" s="18"/>
      <c r="G1685" s="19" t="str">
        <f t="shared" ca="1" si="52"/>
        <v/>
      </c>
      <c r="H1685" s="18"/>
      <c r="I1685" s="18"/>
      <c r="J1685" s="77" t="str">
        <f t="shared" ca="1" si="53"/>
        <v/>
      </c>
      <c r="K1685" s="23">
        <f>IF(A1685="","",COUNTIFS(Resumen!$N$2:$N$2999,ROW(),Resumen!$V$2:$V$2999,1))</f>
        <v/>
      </c>
      <c r="L1685" s="26"/>
      <c r="N16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6" spans="1:14">
      <c r="A1686" s="16"/>
      <c r="B1686" s="16"/>
      <c r="C1686" s="25"/>
      <c r="D1686" s="25"/>
      <c r="E1686" s="16"/>
      <c r="F1686" s="18"/>
      <c r="G1686" s="19" t="str">
        <f t="shared" ca="1" si="52"/>
        <v/>
      </c>
      <c r="H1686" s="18"/>
      <c r="I1686" s="18"/>
      <c r="J1686" s="77" t="str">
        <f t="shared" ca="1" si="53"/>
        <v/>
      </c>
      <c r="K1686" s="23">
        <f>IF(A1686="","",COUNTIFS(Resumen!$N$2:$N$2999,ROW(),Resumen!$V$2:$V$2999,1))</f>
        <v/>
      </c>
      <c r="L1686" s="26"/>
      <c r="N16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7" spans="1:14">
      <c r="A1687" s="16"/>
      <c r="B1687" s="16"/>
      <c r="C1687" s="25"/>
      <c r="D1687" s="25"/>
      <c r="E1687" s="16"/>
      <c r="F1687" s="18"/>
      <c r="G1687" s="19" t="str">
        <f t="shared" ca="1" si="52"/>
        <v/>
      </c>
      <c r="H1687" s="18"/>
      <c r="I1687" s="18"/>
      <c r="J1687" s="77" t="str">
        <f t="shared" ca="1" si="53"/>
        <v/>
      </c>
      <c r="K1687" s="23">
        <f>IF(A1687="","",COUNTIFS(Resumen!$N$2:$N$2999,ROW(),Resumen!$V$2:$V$2999,1))</f>
        <v/>
      </c>
      <c r="L1687" s="26"/>
      <c r="N16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8" spans="1:14">
      <c r="A1688" s="16"/>
      <c r="B1688" s="16"/>
      <c r="C1688" s="25"/>
      <c r="D1688" s="25"/>
      <c r="E1688" s="16"/>
      <c r="F1688" s="18"/>
      <c r="G1688" s="19" t="str">
        <f t="shared" ca="1" si="52"/>
        <v/>
      </c>
      <c r="H1688" s="18"/>
      <c r="I1688" s="18"/>
      <c r="J1688" s="77" t="str">
        <f t="shared" ca="1" si="53"/>
        <v/>
      </c>
      <c r="K1688" s="23">
        <f>IF(A1688="","",COUNTIFS(Resumen!$N$2:$N$2999,ROW(),Resumen!$V$2:$V$2999,1))</f>
        <v/>
      </c>
      <c r="L1688" s="26"/>
      <c r="N16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89" spans="1:14">
      <c r="A1689" s="16"/>
      <c r="B1689" s="16"/>
      <c r="C1689" s="25"/>
      <c r="D1689" s="25"/>
      <c r="E1689" s="16"/>
      <c r="F1689" s="18"/>
      <c r="G1689" s="19" t="str">
        <f t="shared" ca="1" si="52"/>
        <v/>
      </c>
      <c r="H1689" s="18"/>
      <c r="I1689" s="18"/>
      <c r="J1689" s="77" t="str">
        <f t="shared" ca="1" si="53"/>
        <v/>
      </c>
      <c r="K1689" s="23">
        <f>IF(A1689="","",COUNTIFS(Resumen!$N$2:$N$2999,ROW(),Resumen!$V$2:$V$2999,1))</f>
        <v/>
      </c>
      <c r="L1689" s="26"/>
      <c r="N16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0" spans="1:14">
      <c r="A1690" s="16"/>
      <c r="B1690" s="16"/>
      <c r="C1690" s="25"/>
      <c r="D1690" s="25"/>
      <c r="E1690" s="16"/>
      <c r="F1690" s="18"/>
      <c r="G1690" s="19" t="str">
        <f t="shared" ca="1" si="52"/>
        <v/>
      </c>
      <c r="H1690" s="18"/>
      <c r="I1690" s="18"/>
      <c r="J1690" s="77" t="str">
        <f t="shared" ca="1" si="53"/>
        <v/>
      </c>
      <c r="K1690" s="23">
        <f>IF(A1690="","",COUNTIFS(Resumen!$N$2:$N$2999,ROW(),Resumen!$V$2:$V$2999,1))</f>
        <v/>
      </c>
      <c r="L1690" s="26"/>
      <c r="N16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1" spans="1:14">
      <c r="A1691" s="16"/>
      <c r="B1691" s="16"/>
      <c r="C1691" s="25"/>
      <c r="D1691" s="25"/>
      <c r="E1691" s="16"/>
      <c r="F1691" s="18"/>
      <c r="G1691" s="19" t="str">
        <f t="shared" ca="1" si="52"/>
        <v/>
      </c>
      <c r="H1691" s="18"/>
      <c r="I1691" s="18"/>
      <c r="J1691" s="77" t="str">
        <f t="shared" ca="1" si="53"/>
        <v/>
      </c>
      <c r="K1691" s="23">
        <f>IF(A1691="","",COUNTIFS(Resumen!$N$2:$N$2999,ROW(),Resumen!$V$2:$V$2999,1))</f>
        <v/>
      </c>
      <c r="L1691" s="26"/>
      <c r="N16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2" spans="1:14">
      <c r="A1692" s="16"/>
      <c r="B1692" s="16"/>
      <c r="C1692" s="25"/>
      <c r="D1692" s="25"/>
      <c r="E1692" s="16"/>
      <c r="F1692" s="18"/>
      <c r="G1692" s="19" t="str">
        <f t="shared" ca="1" si="52"/>
        <v/>
      </c>
      <c r="H1692" s="18"/>
      <c r="I1692" s="18"/>
      <c r="J1692" s="77" t="str">
        <f t="shared" ca="1" si="53"/>
        <v/>
      </c>
      <c r="K1692" s="23">
        <f>IF(A1692="","",COUNTIFS(Resumen!$N$2:$N$2999,ROW(),Resumen!$V$2:$V$2999,1))</f>
        <v/>
      </c>
      <c r="L1692" s="26"/>
      <c r="N16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3" spans="1:14">
      <c r="A1693" s="16"/>
      <c r="B1693" s="16"/>
      <c r="C1693" s="25"/>
      <c r="D1693" s="25"/>
      <c r="E1693" s="16"/>
      <c r="F1693" s="18"/>
      <c r="G1693" s="19" t="str">
        <f t="shared" ca="1" si="52"/>
        <v/>
      </c>
      <c r="H1693" s="18"/>
      <c r="I1693" s="18"/>
      <c r="J1693" s="77" t="str">
        <f t="shared" ca="1" si="53"/>
        <v/>
      </c>
      <c r="K1693" s="23">
        <f>IF(A1693="","",COUNTIFS(Resumen!$N$2:$N$2999,ROW(),Resumen!$V$2:$V$2999,1))</f>
        <v/>
      </c>
      <c r="L1693" s="26"/>
      <c r="N16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4" spans="1:14">
      <c r="A1694" s="16"/>
      <c r="B1694" s="16"/>
      <c r="C1694" s="25"/>
      <c r="D1694" s="25"/>
      <c r="E1694" s="16"/>
      <c r="F1694" s="18"/>
      <c r="G1694" s="19" t="str">
        <f t="shared" ca="1" si="52"/>
        <v/>
      </c>
      <c r="H1694" s="18"/>
      <c r="I1694" s="18"/>
      <c r="J1694" s="77" t="str">
        <f t="shared" ca="1" si="53"/>
        <v/>
      </c>
      <c r="K1694" s="23">
        <f>IF(A1694="","",COUNTIFS(Resumen!$N$2:$N$2999,ROW(),Resumen!$V$2:$V$2999,1))</f>
        <v/>
      </c>
      <c r="L1694" s="26"/>
      <c r="N16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5" spans="1:14">
      <c r="A1695" s="16"/>
      <c r="B1695" s="16"/>
      <c r="C1695" s="25"/>
      <c r="D1695" s="25"/>
      <c r="E1695" s="16"/>
      <c r="F1695" s="18"/>
      <c r="G1695" s="19" t="str">
        <f t="shared" ca="1" si="52"/>
        <v/>
      </c>
      <c r="H1695" s="18"/>
      <c r="I1695" s="18"/>
      <c r="J1695" s="77" t="str">
        <f t="shared" ca="1" si="53"/>
        <v/>
      </c>
      <c r="K1695" s="23">
        <f>IF(A1695="","",COUNTIFS(Resumen!$N$2:$N$2999,ROW(),Resumen!$V$2:$V$2999,1))</f>
        <v/>
      </c>
      <c r="L1695" s="26"/>
      <c r="N16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6" spans="1:14">
      <c r="A1696" s="16"/>
      <c r="B1696" s="16"/>
      <c r="C1696" s="25"/>
      <c r="D1696" s="25"/>
      <c r="E1696" s="16"/>
      <c r="F1696" s="18"/>
      <c r="G1696" s="19" t="str">
        <f t="shared" ca="1" si="52"/>
        <v/>
      </c>
      <c r="H1696" s="18"/>
      <c r="I1696" s="18"/>
      <c r="J1696" s="77" t="str">
        <f t="shared" ca="1" si="53"/>
        <v/>
      </c>
      <c r="K1696" s="23">
        <f>IF(A1696="","",COUNTIFS(Resumen!$N$2:$N$2999,ROW(),Resumen!$V$2:$V$2999,1))</f>
        <v/>
      </c>
      <c r="L1696" s="26"/>
      <c r="N16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7" spans="1:14">
      <c r="A1697" s="16"/>
      <c r="B1697" s="16"/>
      <c r="C1697" s="25"/>
      <c r="D1697" s="25"/>
      <c r="E1697" s="16"/>
      <c r="F1697" s="18"/>
      <c r="G1697" s="19" t="str">
        <f t="shared" ca="1" si="52"/>
        <v/>
      </c>
      <c r="H1697" s="18"/>
      <c r="I1697" s="18"/>
      <c r="J1697" s="77" t="str">
        <f t="shared" ca="1" si="53"/>
        <v/>
      </c>
      <c r="K1697" s="23">
        <f>IF(A1697="","",COUNTIFS(Resumen!$N$2:$N$2999,ROW(),Resumen!$V$2:$V$2999,1))</f>
        <v/>
      </c>
      <c r="L1697" s="26"/>
      <c r="N16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8" spans="1:14">
      <c r="A1698" s="16"/>
      <c r="B1698" s="16"/>
      <c r="C1698" s="25"/>
      <c r="D1698" s="25"/>
      <c r="E1698" s="16"/>
      <c r="F1698" s="18"/>
      <c r="G1698" s="19" t="str">
        <f t="shared" ca="1" si="52"/>
        <v/>
      </c>
      <c r="H1698" s="18"/>
      <c r="I1698" s="18"/>
      <c r="J1698" s="77" t="str">
        <f t="shared" ca="1" si="53"/>
        <v/>
      </c>
      <c r="K1698" s="23">
        <f>IF(A1698="","",COUNTIFS(Resumen!$N$2:$N$2999,ROW(),Resumen!$V$2:$V$2999,1))</f>
        <v/>
      </c>
      <c r="L1698" s="26"/>
      <c r="N16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699" spans="1:14">
      <c r="A1699" s="16"/>
      <c r="B1699" s="16"/>
      <c r="C1699" s="25"/>
      <c r="D1699" s="25"/>
      <c r="E1699" s="16"/>
      <c r="F1699" s="18"/>
      <c r="G1699" s="19" t="str">
        <f t="shared" ca="1" si="52"/>
        <v/>
      </c>
      <c r="H1699" s="18"/>
      <c r="I1699" s="18"/>
      <c r="J1699" s="77" t="str">
        <f t="shared" ca="1" si="53"/>
        <v/>
      </c>
      <c r="K1699" s="23">
        <f>IF(A1699="","",COUNTIFS(Resumen!$N$2:$N$2999,ROW(),Resumen!$V$2:$V$2999,1))</f>
        <v/>
      </c>
      <c r="L1699" s="26"/>
      <c r="N16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0" spans="1:14">
      <c r="A1700" s="16"/>
      <c r="B1700" s="16"/>
      <c r="C1700" s="25"/>
      <c r="D1700" s="25"/>
      <c r="E1700" s="16"/>
      <c r="F1700" s="18"/>
      <c r="G1700" s="19" t="str">
        <f t="shared" ca="1" si="52"/>
        <v/>
      </c>
      <c r="H1700" s="18"/>
      <c r="I1700" s="18"/>
      <c r="J1700" s="77" t="str">
        <f t="shared" ca="1" si="53"/>
        <v/>
      </c>
      <c r="K1700" s="23">
        <f>IF(A1700="","",COUNTIFS(Resumen!$N$2:$N$2999,ROW(),Resumen!$V$2:$V$2999,1))</f>
        <v/>
      </c>
      <c r="L1700" s="26"/>
      <c r="N17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1" spans="1:14">
      <c r="A1701" s="16"/>
      <c r="B1701" s="16"/>
      <c r="C1701" s="25"/>
      <c r="D1701" s="25"/>
      <c r="E1701" s="16"/>
      <c r="F1701" s="18"/>
      <c r="G1701" s="19" t="str">
        <f t="shared" ca="1" si="52"/>
        <v/>
      </c>
      <c r="H1701" s="18"/>
      <c r="I1701" s="18"/>
      <c r="J1701" s="77" t="str">
        <f t="shared" ca="1" si="53"/>
        <v/>
      </c>
      <c r="K1701" s="23">
        <f>IF(A1701="","",COUNTIFS(Resumen!$N$2:$N$2999,ROW(),Resumen!$V$2:$V$2999,1))</f>
        <v/>
      </c>
      <c r="L1701" s="26"/>
      <c r="N17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2" spans="1:14">
      <c r="A1702" s="16"/>
      <c r="B1702" s="16"/>
      <c r="C1702" s="25"/>
      <c r="D1702" s="25"/>
      <c r="E1702" s="16"/>
      <c r="F1702" s="18"/>
      <c r="G1702" s="19" t="str">
        <f t="shared" ca="1" si="52"/>
        <v/>
      </c>
      <c r="H1702" s="18"/>
      <c r="I1702" s="18"/>
      <c r="J1702" s="77" t="str">
        <f t="shared" ca="1" si="53"/>
        <v/>
      </c>
      <c r="K1702" s="23">
        <f>IF(A1702="","",COUNTIFS(Resumen!$N$2:$N$2999,ROW(),Resumen!$V$2:$V$2999,1))</f>
        <v/>
      </c>
      <c r="L1702" s="26"/>
      <c r="N17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3" spans="1:14">
      <c r="A1703" s="16"/>
      <c r="B1703" s="16"/>
      <c r="C1703" s="25"/>
      <c r="D1703" s="25"/>
      <c r="E1703" s="16"/>
      <c r="F1703" s="18"/>
      <c r="G1703" s="19" t="str">
        <f t="shared" ca="1" si="52"/>
        <v/>
      </c>
      <c r="H1703" s="18"/>
      <c r="I1703" s="18"/>
      <c r="J1703" s="77" t="str">
        <f t="shared" ca="1" si="53"/>
        <v/>
      </c>
      <c r="K1703" s="23">
        <f>IF(A1703="","",COUNTIFS(Resumen!$N$2:$N$2999,ROW(),Resumen!$V$2:$V$2999,1))</f>
        <v/>
      </c>
      <c r="L1703" s="26"/>
      <c r="N17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4" spans="1:14">
      <c r="A1704" s="16"/>
      <c r="B1704" s="16"/>
      <c r="C1704" s="25"/>
      <c r="D1704" s="25"/>
      <c r="E1704" s="16"/>
      <c r="F1704" s="18"/>
      <c r="G1704" s="19" t="str">
        <f t="shared" ca="1" si="52"/>
        <v/>
      </c>
      <c r="H1704" s="18"/>
      <c r="I1704" s="18"/>
      <c r="J1704" s="77" t="str">
        <f t="shared" ca="1" si="53"/>
        <v/>
      </c>
      <c r="K1704" s="23">
        <f>IF(A1704="","",COUNTIFS(Resumen!$N$2:$N$2999,ROW(),Resumen!$V$2:$V$2999,1))</f>
        <v/>
      </c>
      <c r="L1704" s="26"/>
      <c r="N17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5" spans="1:14">
      <c r="A1705" s="16"/>
      <c r="B1705" s="16"/>
      <c r="C1705" s="25"/>
      <c r="D1705" s="25"/>
      <c r="E1705" s="16"/>
      <c r="F1705" s="18"/>
      <c r="G1705" s="19" t="str">
        <f t="shared" ca="1" si="52"/>
        <v/>
      </c>
      <c r="H1705" s="18"/>
      <c r="I1705" s="18"/>
      <c r="J1705" s="77" t="str">
        <f t="shared" ca="1" si="53"/>
        <v/>
      </c>
      <c r="K1705" s="23">
        <f>IF(A1705="","",COUNTIFS(Resumen!$N$2:$N$2999,ROW(),Resumen!$V$2:$V$2999,1))</f>
        <v/>
      </c>
      <c r="L1705" s="26"/>
      <c r="N17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6" spans="1:14">
      <c r="A1706" s="16"/>
      <c r="B1706" s="16"/>
      <c r="C1706" s="25"/>
      <c r="D1706" s="25"/>
      <c r="E1706" s="16"/>
      <c r="F1706" s="18"/>
      <c r="G1706" s="19" t="str">
        <f t="shared" ca="1" si="52"/>
        <v/>
      </c>
      <c r="H1706" s="18"/>
      <c r="I1706" s="18"/>
      <c r="J1706" s="77" t="str">
        <f t="shared" ca="1" si="53"/>
        <v/>
      </c>
      <c r="K1706" s="23">
        <f>IF(A1706="","",COUNTIFS(Resumen!$N$2:$N$2999,ROW(),Resumen!$V$2:$V$2999,1))</f>
        <v/>
      </c>
      <c r="L1706" s="26"/>
      <c r="N17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7" spans="1:14">
      <c r="A1707" s="16"/>
      <c r="B1707" s="16"/>
      <c r="C1707" s="25"/>
      <c r="D1707" s="25"/>
      <c r="E1707" s="16"/>
      <c r="F1707" s="18"/>
      <c r="G1707" s="19" t="str">
        <f t="shared" ca="1" si="52"/>
        <v/>
      </c>
      <c r="H1707" s="18"/>
      <c r="I1707" s="18"/>
      <c r="J1707" s="77" t="str">
        <f t="shared" ca="1" si="53"/>
        <v/>
      </c>
      <c r="K1707" s="23">
        <f>IF(A1707="","",COUNTIFS(Resumen!$N$2:$N$2999,ROW(),Resumen!$V$2:$V$2999,1))</f>
        <v/>
      </c>
      <c r="L1707" s="26"/>
      <c r="N17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8" spans="1:14">
      <c r="A1708" s="16"/>
      <c r="B1708" s="16"/>
      <c r="C1708" s="25"/>
      <c r="D1708" s="25"/>
      <c r="E1708" s="16"/>
      <c r="F1708" s="18"/>
      <c r="G1708" s="19" t="str">
        <f t="shared" ca="1" si="52"/>
        <v/>
      </c>
      <c r="H1708" s="18"/>
      <c r="I1708" s="18"/>
      <c r="J1708" s="77" t="str">
        <f t="shared" ca="1" si="53"/>
        <v/>
      </c>
      <c r="K1708" s="23">
        <f>IF(A1708="","",COUNTIFS(Resumen!$N$2:$N$2999,ROW(),Resumen!$V$2:$V$2999,1))</f>
        <v/>
      </c>
      <c r="L1708" s="26"/>
      <c r="N17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09" spans="1:14">
      <c r="A1709" s="16"/>
      <c r="B1709" s="16"/>
      <c r="C1709" s="25"/>
      <c r="D1709" s="25"/>
      <c r="E1709" s="16"/>
      <c r="F1709" s="18"/>
      <c r="G1709" s="19" t="str">
        <f t="shared" ca="1" si="52"/>
        <v/>
      </c>
      <c r="H1709" s="18"/>
      <c r="I1709" s="18"/>
      <c r="J1709" s="77" t="str">
        <f t="shared" ca="1" si="53"/>
        <v/>
      </c>
      <c r="K1709" s="23">
        <f>IF(A1709="","",COUNTIFS(Resumen!$N$2:$N$2999,ROW(),Resumen!$V$2:$V$2999,1))</f>
        <v/>
      </c>
      <c r="L1709" s="26"/>
      <c r="N17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0" spans="1:14">
      <c r="A1710" s="16"/>
      <c r="B1710" s="16"/>
      <c r="C1710" s="25"/>
      <c r="D1710" s="25"/>
      <c r="E1710" s="16"/>
      <c r="F1710" s="18"/>
      <c r="G1710" s="19" t="str">
        <f t="shared" ca="1" si="52"/>
        <v/>
      </c>
      <c r="H1710" s="18"/>
      <c r="I1710" s="18"/>
      <c r="J1710" s="77" t="str">
        <f t="shared" ca="1" si="53"/>
        <v/>
      </c>
      <c r="K1710" s="23">
        <f>IF(A1710="","",COUNTIFS(Resumen!$N$2:$N$2999,ROW(),Resumen!$V$2:$V$2999,1))</f>
        <v/>
      </c>
      <c r="L1710" s="26"/>
      <c r="N17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1" spans="1:14">
      <c r="A1711" s="16"/>
      <c r="B1711" s="16"/>
      <c r="C1711" s="25"/>
      <c r="D1711" s="25"/>
      <c r="E1711" s="16"/>
      <c r="F1711" s="18"/>
      <c r="G1711" s="19" t="str">
        <f t="shared" ca="1" si="52"/>
        <v/>
      </c>
      <c r="H1711" s="18"/>
      <c r="I1711" s="18"/>
      <c r="J1711" s="77" t="str">
        <f t="shared" ca="1" si="53"/>
        <v/>
      </c>
      <c r="K1711" s="23">
        <f>IF(A1711="","",COUNTIFS(Resumen!$N$2:$N$2999,ROW(),Resumen!$V$2:$V$2999,1))</f>
        <v/>
      </c>
      <c r="L1711" s="26"/>
      <c r="N17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2" spans="1:14">
      <c r="A1712" s="16"/>
      <c r="B1712" s="16"/>
      <c r="C1712" s="25"/>
      <c r="D1712" s="25"/>
      <c r="E1712" s="16"/>
      <c r="F1712" s="18"/>
      <c r="G1712" s="19" t="str">
        <f t="shared" ca="1" si="52"/>
        <v/>
      </c>
      <c r="H1712" s="18"/>
      <c r="I1712" s="18"/>
      <c r="J1712" s="77" t="str">
        <f t="shared" ca="1" si="53"/>
        <v/>
      </c>
      <c r="K1712" s="23">
        <f>IF(A1712="","",COUNTIFS(Resumen!$N$2:$N$2999,ROW(),Resumen!$V$2:$V$2999,1))</f>
        <v/>
      </c>
      <c r="L1712" s="26"/>
      <c r="N17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3" spans="1:14">
      <c r="A1713" s="16"/>
      <c r="B1713" s="16"/>
      <c r="C1713" s="25"/>
      <c r="D1713" s="25"/>
      <c r="E1713" s="16"/>
      <c r="F1713" s="18"/>
      <c r="G1713" s="19" t="str">
        <f t="shared" ca="1" si="52"/>
        <v/>
      </c>
      <c r="H1713" s="18"/>
      <c r="I1713" s="18"/>
      <c r="J1713" s="77" t="str">
        <f t="shared" ca="1" si="53"/>
        <v/>
      </c>
      <c r="K1713" s="23">
        <f>IF(A1713="","",COUNTIFS(Resumen!$N$2:$N$2999,ROW(),Resumen!$V$2:$V$2999,1))</f>
        <v/>
      </c>
      <c r="L1713" s="26"/>
      <c r="N17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4" spans="1:14">
      <c r="A1714" s="16"/>
      <c r="B1714" s="16"/>
      <c r="C1714" s="25"/>
      <c r="D1714" s="25"/>
      <c r="E1714" s="16"/>
      <c r="F1714" s="18"/>
      <c r="G1714" s="19" t="str">
        <f t="shared" ca="1" si="52"/>
        <v/>
      </c>
      <c r="H1714" s="18"/>
      <c r="I1714" s="18"/>
      <c r="J1714" s="77" t="str">
        <f t="shared" ca="1" si="53"/>
        <v/>
      </c>
      <c r="K1714" s="23">
        <f>IF(A1714="","",COUNTIFS(Resumen!$N$2:$N$2999,ROW(),Resumen!$V$2:$V$2999,1))</f>
        <v/>
      </c>
      <c r="L1714" s="26"/>
      <c r="N17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5" spans="1:14">
      <c r="A1715" s="16"/>
      <c r="B1715" s="16"/>
      <c r="C1715" s="25"/>
      <c r="D1715" s="25"/>
      <c r="E1715" s="16"/>
      <c r="F1715" s="18"/>
      <c r="G1715" s="19" t="str">
        <f t="shared" ca="1" si="52"/>
        <v/>
      </c>
      <c r="H1715" s="18"/>
      <c r="I1715" s="18"/>
      <c r="J1715" s="77" t="str">
        <f t="shared" ca="1" si="53"/>
        <v/>
      </c>
      <c r="K1715" s="23">
        <f>IF(A1715="","",COUNTIFS(Resumen!$N$2:$N$2999,ROW(),Resumen!$V$2:$V$2999,1))</f>
        <v/>
      </c>
      <c r="L1715" s="26"/>
      <c r="N17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6" spans="1:14">
      <c r="A1716" s="16"/>
      <c r="B1716" s="16"/>
      <c r="C1716" s="25"/>
      <c r="D1716" s="25"/>
      <c r="E1716" s="16"/>
      <c r="F1716" s="18"/>
      <c r="G1716" s="19" t="str">
        <f t="shared" ca="1" si="52"/>
        <v/>
      </c>
      <c r="H1716" s="18"/>
      <c r="I1716" s="18"/>
      <c r="J1716" s="77" t="str">
        <f t="shared" ca="1" si="53"/>
        <v/>
      </c>
      <c r="K1716" s="23">
        <f>IF(A1716="","",COUNTIFS(Resumen!$N$2:$N$2999,ROW(),Resumen!$V$2:$V$2999,1))</f>
        <v/>
      </c>
      <c r="L1716" s="26"/>
      <c r="N17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7" spans="1:14">
      <c r="A1717" s="16"/>
      <c r="B1717" s="16"/>
      <c r="C1717" s="25"/>
      <c r="D1717" s="25"/>
      <c r="E1717" s="16"/>
      <c r="F1717" s="18"/>
      <c r="G1717" s="19" t="str">
        <f t="shared" ca="1" si="52"/>
        <v/>
      </c>
      <c r="H1717" s="18"/>
      <c r="I1717" s="18"/>
      <c r="J1717" s="77" t="str">
        <f t="shared" ca="1" si="53"/>
        <v/>
      </c>
      <c r="K1717" s="23">
        <f>IF(A1717="","",COUNTIFS(Resumen!$N$2:$N$2999,ROW(),Resumen!$V$2:$V$2999,1))</f>
        <v/>
      </c>
      <c r="L1717" s="26"/>
      <c r="N17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8" spans="1:14">
      <c r="A1718" s="16"/>
      <c r="B1718" s="16"/>
      <c r="C1718" s="25"/>
      <c r="D1718" s="25"/>
      <c r="E1718" s="16"/>
      <c r="F1718" s="18"/>
      <c r="G1718" s="19" t="str">
        <f t="shared" ca="1" si="52"/>
        <v/>
      </c>
      <c r="H1718" s="18"/>
      <c r="I1718" s="18"/>
      <c r="J1718" s="77" t="str">
        <f t="shared" ca="1" si="53"/>
        <v/>
      </c>
      <c r="K1718" s="23">
        <f>IF(A1718="","",COUNTIFS(Resumen!$N$2:$N$2999,ROW(),Resumen!$V$2:$V$2999,1))</f>
        <v/>
      </c>
      <c r="L1718" s="26"/>
      <c r="N17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19" spans="1:14">
      <c r="A1719" s="16"/>
      <c r="B1719" s="16"/>
      <c r="C1719" s="25"/>
      <c r="D1719" s="25"/>
      <c r="E1719" s="16"/>
      <c r="F1719" s="18"/>
      <c r="G1719" s="19" t="str">
        <f t="shared" ca="1" si="52"/>
        <v/>
      </c>
      <c r="H1719" s="18"/>
      <c r="I1719" s="18"/>
      <c r="J1719" s="77" t="str">
        <f t="shared" ca="1" si="53"/>
        <v/>
      </c>
      <c r="K1719" s="23">
        <f>IF(A1719="","",COUNTIFS(Resumen!$N$2:$N$2999,ROW(),Resumen!$V$2:$V$2999,1))</f>
        <v/>
      </c>
      <c r="L1719" s="26"/>
      <c r="N17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0" spans="1:14">
      <c r="A1720" s="16"/>
      <c r="B1720" s="16"/>
      <c r="C1720" s="25"/>
      <c r="D1720" s="25"/>
      <c r="E1720" s="16"/>
      <c r="F1720" s="18"/>
      <c r="G1720" s="19" t="str">
        <f t="shared" ca="1" si="52"/>
        <v/>
      </c>
      <c r="H1720" s="18"/>
      <c r="I1720" s="18"/>
      <c r="J1720" s="77" t="str">
        <f t="shared" ca="1" si="53"/>
        <v/>
      </c>
      <c r="K1720" s="23">
        <f>IF(A1720="","",COUNTIFS(Resumen!$N$2:$N$2999,ROW(),Resumen!$V$2:$V$2999,1))</f>
        <v/>
      </c>
      <c r="L1720" s="26"/>
      <c r="N17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1" spans="1:14">
      <c r="A1721" s="16"/>
      <c r="B1721" s="16"/>
      <c r="C1721" s="25"/>
      <c r="D1721" s="25"/>
      <c r="E1721" s="16"/>
      <c r="F1721" s="18"/>
      <c r="G1721" s="19" t="str">
        <f t="shared" ca="1" si="52"/>
        <v/>
      </c>
      <c r="H1721" s="18"/>
      <c r="I1721" s="18"/>
      <c r="J1721" s="77" t="str">
        <f t="shared" ca="1" si="53"/>
        <v/>
      </c>
      <c r="K1721" s="23">
        <f>IF(A1721="","",COUNTIFS(Resumen!$N$2:$N$2999,ROW(),Resumen!$V$2:$V$2999,1))</f>
        <v/>
      </c>
      <c r="L1721" s="26"/>
      <c r="N17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2" spans="1:14">
      <c r="A1722" s="16"/>
      <c r="B1722" s="16"/>
      <c r="C1722" s="25"/>
      <c r="D1722" s="25"/>
      <c r="E1722" s="16"/>
      <c r="F1722" s="18"/>
      <c r="G1722" s="19" t="str">
        <f t="shared" ca="1" si="52"/>
        <v/>
      </c>
      <c r="H1722" s="18"/>
      <c r="I1722" s="18"/>
      <c r="J1722" s="77" t="str">
        <f t="shared" ca="1" si="53"/>
        <v/>
      </c>
      <c r="K1722" s="23">
        <f>IF(A1722="","",COUNTIFS(Resumen!$N$2:$N$2999,ROW(),Resumen!$V$2:$V$2999,1))</f>
        <v/>
      </c>
      <c r="L1722" s="26"/>
      <c r="N17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3" spans="1:14">
      <c r="A1723" s="16"/>
      <c r="B1723" s="16"/>
      <c r="C1723" s="25"/>
      <c r="D1723" s="25"/>
      <c r="E1723" s="16"/>
      <c r="F1723" s="18"/>
      <c r="G1723" s="19" t="str">
        <f t="shared" ca="1" si="52"/>
        <v/>
      </c>
      <c r="H1723" s="18"/>
      <c r="I1723" s="18"/>
      <c r="J1723" s="77" t="str">
        <f t="shared" ca="1" si="53"/>
        <v/>
      </c>
      <c r="K1723" s="23">
        <f>IF(A1723="","",COUNTIFS(Resumen!$N$2:$N$2999,ROW(),Resumen!$V$2:$V$2999,1))</f>
        <v/>
      </c>
      <c r="L1723" s="26"/>
      <c r="N17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4" spans="1:14">
      <c r="A1724" s="16"/>
      <c r="B1724" s="16"/>
      <c r="C1724" s="25"/>
      <c r="D1724" s="25"/>
      <c r="E1724" s="16"/>
      <c r="F1724" s="18"/>
      <c r="G1724" s="19" t="str">
        <f t="shared" ca="1" si="52"/>
        <v/>
      </c>
      <c r="H1724" s="18"/>
      <c r="I1724" s="18"/>
      <c r="J1724" s="77" t="str">
        <f t="shared" ca="1" si="53"/>
        <v/>
      </c>
      <c r="K1724" s="23">
        <f>IF(A1724="","",COUNTIFS(Resumen!$N$2:$N$2999,ROW(),Resumen!$V$2:$V$2999,1))</f>
        <v/>
      </c>
      <c r="L1724" s="26"/>
      <c r="N17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5" spans="1:14">
      <c r="A1725" s="16"/>
      <c r="B1725" s="16"/>
      <c r="C1725" s="25"/>
      <c r="D1725" s="25"/>
      <c r="E1725" s="16"/>
      <c r="F1725" s="18"/>
      <c r="G1725" s="19" t="str">
        <f t="shared" ca="1" si="52"/>
        <v/>
      </c>
      <c r="H1725" s="18"/>
      <c r="I1725" s="18"/>
      <c r="J1725" s="77" t="str">
        <f t="shared" ca="1" si="53"/>
        <v/>
      </c>
      <c r="K1725" s="23">
        <f>IF(A1725="","",COUNTIFS(Resumen!$N$2:$N$2999,ROW(),Resumen!$V$2:$V$2999,1))</f>
        <v/>
      </c>
      <c r="L1725" s="26"/>
      <c r="N17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6" spans="1:14">
      <c r="A1726" s="16"/>
      <c r="B1726" s="16"/>
      <c r="C1726" s="25"/>
      <c r="D1726" s="25"/>
      <c r="E1726" s="16"/>
      <c r="F1726" s="18"/>
      <c r="G1726" s="19" t="str">
        <f t="shared" ca="1" si="52"/>
        <v/>
      </c>
      <c r="H1726" s="18"/>
      <c r="I1726" s="18"/>
      <c r="J1726" s="77" t="str">
        <f t="shared" ca="1" si="53"/>
        <v/>
      </c>
      <c r="K1726" s="23">
        <f>IF(A1726="","",COUNTIFS(Resumen!$N$2:$N$2999,ROW(),Resumen!$V$2:$V$2999,1))</f>
        <v/>
      </c>
      <c r="L1726" s="26"/>
      <c r="N17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7" spans="1:14">
      <c r="A1727" s="16"/>
      <c r="B1727" s="16"/>
      <c r="C1727" s="25"/>
      <c r="D1727" s="25"/>
      <c r="E1727" s="16"/>
      <c r="F1727" s="18"/>
      <c r="G1727" s="19" t="str">
        <f t="shared" ca="1" si="52"/>
        <v/>
      </c>
      <c r="H1727" s="18"/>
      <c r="I1727" s="18"/>
      <c r="J1727" s="77" t="str">
        <f t="shared" ca="1" si="53"/>
        <v/>
      </c>
      <c r="K1727" s="23">
        <f>IF(A1727="","",COUNTIFS(Resumen!$N$2:$N$2999,ROW(),Resumen!$V$2:$V$2999,1))</f>
        <v/>
      </c>
      <c r="L1727" s="26"/>
      <c r="N17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8" spans="1:14">
      <c r="A1728" s="16"/>
      <c r="B1728" s="16"/>
      <c r="C1728" s="25"/>
      <c r="D1728" s="25"/>
      <c r="E1728" s="16"/>
      <c r="F1728" s="18"/>
      <c r="G1728" s="19" t="str">
        <f t="shared" ca="1" si="52"/>
        <v/>
      </c>
      <c r="H1728" s="18"/>
      <c r="I1728" s="18"/>
      <c r="J1728" s="77" t="str">
        <f t="shared" ca="1" si="53"/>
        <v/>
      </c>
      <c r="K1728" s="23">
        <f>IF(A1728="","",COUNTIFS(Resumen!$N$2:$N$2999,ROW(),Resumen!$V$2:$V$2999,1))</f>
        <v/>
      </c>
      <c r="L1728" s="26"/>
      <c r="N17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29" spans="1:14">
      <c r="A1729" s="16"/>
      <c r="B1729" s="16"/>
      <c r="C1729" s="25"/>
      <c r="D1729" s="25"/>
      <c r="E1729" s="16"/>
      <c r="F1729" s="18"/>
      <c r="G1729" s="19" t="str">
        <f t="shared" ca="1" si="52"/>
        <v/>
      </c>
      <c r="H1729" s="18"/>
      <c r="I1729" s="18"/>
      <c r="J1729" s="77" t="str">
        <f t="shared" ca="1" si="53"/>
        <v/>
      </c>
      <c r="K1729" s="23">
        <f>IF(A1729="","",COUNTIFS(Resumen!$N$2:$N$2999,ROW(),Resumen!$V$2:$V$2999,1))</f>
        <v/>
      </c>
      <c r="L1729" s="26"/>
      <c r="N17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0" spans="1:14">
      <c r="A1730" s="16"/>
      <c r="B1730" s="16"/>
      <c r="C1730" s="25"/>
      <c r="D1730" s="25"/>
      <c r="E1730" s="16"/>
      <c r="F1730" s="18"/>
      <c r="G1730" s="19" t="str">
        <f t="shared" ref="G1730:G1793" ca="1" si="54">IF(F1730="", "", DATEDIF(F1730, TODAY(), "Y"))</f>
        <v/>
      </c>
      <c r="H1730" s="18"/>
      <c r="I1730" s="18"/>
      <c r="J1730" s="77" t="str">
        <f t="shared" ref="J1730:J1793" ca="1" si="55">IFERROR(IF(ISNUMBER(INDEX(VigenciasFamilia,ROW())),INDEX(VigenciasFamilia,ROW())-TODAY(),""),"")</f>
        <v/>
      </c>
      <c r="K1730" s="23">
        <f>IF(A1730="","",COUNTIFS(Resumen!$N$2:$N$2999,ROW(),Resumen!$V$2:$V$2999,1))</f>
        <v/>
      </c>
      <c r="L1730" s="26"/>
      <c r="N17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1" spans="1:14">
      <c r="A1731" s="16"/>
      <c r="B1731" s="16"/>
      <c r="C1731" s="25"/>
      <c r="D1731" s="25"/>
      <c r="E1731" s="16"/>
      <c r="F1731" s="18"/>
      <c r="G1731" s="19" t="str">
        <f t="shared" ca="1" si="54"/>
        <v/>
      </c>
      <c r="H1731" s="18"/>
      <c r="I1731" s="18"/>
      <c r="J1731" s="77" t="str">
        <f t="shared" ca="1" si="55"/>
        <v/>
      </c>
      <c r="K1731" s="23">
        <f>IF(A1731="","",COUNTIFS(Resumen!$N$2:$N$2999,ROW(),Resumen!$V$2:$V$2999,1))</f>
        <v/>
      </c>
      <c r="L1731" s="26"/>
      <c r="N17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2" spans="1:14">
      <c r="A1732" s="16"/>
      <c r="B1732" s="16"/>
      <c r="C1732" s="25"/>
      <c r="D1732" s="25"/>
      <c r="E1732" s="16"/>
      <c r="F1732" s="18"/>
      <c r="G1732" s="19" t="str">
        <f t="shared" ca="1" si="54"/>
        <v/>
      </c>
      <c r="H1732" s="18"/>
      <c r="I1732" s="18"/>
      <c r="J1732" s="77" t="str">
        <f t="shared" ca="1" si="55"/>
        <v/>
      </c>
      <c r="K1732" s="23">
        <f>IF(A1732="","",COUNTIFS(Resumen!$N$2:$N$2999,ROW(),Resumen!$V$2:$V$2999,1))</f>
        <v/>
      </c>
      <c r="L1732" s="26"/>
      <c r="N17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3" spans="1:14">
      <c r="A1733" s="16"/>
      <c r="B1733" s="16"/>
      <c r="C1733" s="25"/>
      <c r="D1733" s="25"/>
      <c r="E1733" s="16"/>
      <c r="F1733" s="18"/>
      <c r="G1733" s="19" t="str">
        <f t="shared" ca="1" si="54"/>
        <v/>
      </c>
      <c r="H1733" s="18"/>
      <c r="I1733" s="18"/>
      <c r="J1733" s="77" t="str">
        <f t="shared" ca="1" si="55"/>
        <v/>
      </c>
      <c r="K1733" s="23">
        <f>IF(A1733="","",COUNTIFS(Resumen!$N$2:$N$2999,ROW(),Resumen!$V$2:$V$2999,1))</f>
        <v/>
      </c>
      <c r="L1733" s="26"/>
      <c r="N17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4" spans="1:14">
      <c r="A1734" s="16"/>
      <c r="B1734" s="16"/>
      <c r="C1734" s="25"/>
      <c r="D1734" s="25"/>
      <c r="E1734" s="16"/>
      <c r="F1734" s="18"/>
      <c r="G1734" s="19" t="str">
        <f t="shared" ca="1" si="54"/>
        <v/>
      </c>
      <c r="H1734" s="18"/>
      <c r="I1734" s="18"/>
      <c r="J1734" s="77" t="str">
        <f t="shared" ca="1" si="55"/>
        <v/>
      </c>
      <c r="K1734" s="23">
        <f>IF(A1734="","",COUNTIFS(Resumen!$N$2:$N$2999,ROW(),Resumen!$V$2:$V$2999,1))</f>
        <v/>
      </c>
      <c r="L1734" s="26"/>
      <c r="N17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5" spans="1:14">
      <c r="A1735" s="16"/>
      <c r="B1735" s="16"/>
      <c r="C1735" s="25"/>
      <c r="D1735" s="25"/>
      <c r="E1735" s="16"/>
      <c r="F1735" s="18"/>
      <c r="G1735" s="19" t="str">
        <f t="shared" ca="1" si="54"/>
        <v/>
      </c>
      <c r="H1735" s="18"/>
      <c r="I1735" s="18"/>
      <c r="J1735" s="77" t="str">
        <f t="shared" ca="1" si="55"/>
        <v/>
      </c>
      <c r="K1735" s="23">
        <f>IF(A1735="","",COUNTIFS(Resumen!$N$2:$N$2999,ROW(),Resumen!$V$2:$V$2999,1))</f>
        <v/>
      </c>
      <c r="L1735" s="26"/>
      <c r="N17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6" spans="1:14">
      <c r="A1736" s="16"/>
      <c r="B1736" s="16"/>
      <c r="C1736" s="25"/>
      <c r="D1736" s="25"/>
      <c r="E1736" s="16"/>
      <c r="F1736" s="18"/>
      <c r="G1736" s="19" t="str">
        <f t="shared" ca="1" si="54"/>
        <v/>
      </c>
      <c r="H1736" s="18"/>
      <c r="I1736" s="18"/>
      <c r="J1736" s="77" t="str">
        <f t="shared" ca="1" si="55"/>
        <v/>
      </c>
      <c r="K1736" s="23">
        <f>IF(A1736="","",COUNTIFS(Resumen!$N$2:$N$2999,ROW(),Resumen!$V$2:$V$2999,1))</f>
        <v/>
      </c>
      <c r="L1736" s="26"/>
      <c r="N17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7" spans="1:14">
      <c r="A1737" s="16"/>
      <c r="B1737" s="16"/>
      <c r="C1737" s="25"/>
      <c r="D1737" s="25"/>
      <c r="E1737" s="16"/>
      <c r="F1737" s="18"/>
      <c r="G1737" s="19" t="str">
        <f t="shared" ca="1" si="54"/>
        <v/>
      </c>
      <c r="H1737" s="18"/>
      <c r="I1737" s="18"/>
      <c r="J1737" s="77" t="str">
        <f t="shared" ca="1" si="55"/>
        <v/>
      </c>
      <c r="K1737" s="23">
        <f>IF(A1737="","",COUNTIFS(Resumen!$N$2:$N$2999,ROW(),Resumen!$V$2:$V$2999,1))</f>
        <v/>
      </c>
      <c r="L1737" s="26"/>
      <c r="N17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8" spans="1:14">
      <c r="A1738" s="16"/>
      <c r="B1738" s="16"/>
      <c r="C1738" s="25"/>
      <c r="D1738" s="25"/>
      <c r="E1738" s="16"/>
      <c r="F1738" s="18"/>
      <c r="G1738" s="19" t="str">
        <f t="shared" ca="1" si="54"/>
        <v/>
      </c>
      <c r="H1738" s="18"/>
      <c r="I1738" s="18"/>
      <c r="J1738" s="77" t="str">
        <f t="shared" ca="1" si="55"/>
        <v/>
      </c>
      <c r="K1738" s="23">
        <f>IF(A1738="","",COUNTIFS(Resumen!$N$2:$N$2999,ROW(),Resumen!$V$2:$V$2999,1))</f>
        <v/>
      </c>
      <c r="L1738" s="26"/>
      <c r="N17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39" spans="1:14">
      <c r="A1739" s="16"/>
      <c r="B1739" s="16"/>
      <c r="C1739" s="25"/>
      <c r="D1739" s="25"/>
      <c r="E1739" s="16"/>
      <c r="F1739" s="18"/>
      <c r="G1739" s="19" t="str">
        <f t="shared" ca="1" si="54"/>
        <v/>
      </c>
      <c r="H1739" s="18"/>
      <c r="I1739" s="18"/>
      <c r="J1739" s="77" t="str">
        <f t="shared" ca="1" si="55"/>
        <v/>
      </c>
      <c r="K1739" s="23">
        <f>IF(A1739="","",COUNTIFS(Resumen!$N$2:$N$2999,ROW(),Resumen!$V$2:$V$2999,1))</f>
        <v/>
      </c>
      <c r="L1739" s="26"/>
      <c r="N17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0" spans="1:14">
      <c r="A1740" s="16"/>
      <c r="B1740" s="16"/>
      <c r="C1740" s="25"/>
      <c r="D1740" s="25"/>
      <c r="E1740" s="16"/>
      <c r="F1740" s="18"/>
      <c r="G1740" s="19" t="str">
        <f t="shared" ca="1" si="54"/>
        <v/>
      </c>
      <c r="H1740" s="18"/>
      <c r="I1740" s="18"/>
      <c r="J1740" s="77" t="str">
        <f t="shared" ca="1" si="55"/>
        <v/>
      </c>
      <c r="K1740" s="23">
        <f>IF(A1740="","",COUNTIFS(Resumen!$N$2:$N$2999,ROW(),Resumen!$V$2:$V$2999,1))</f>
        <v/>
      </c>
      <c r="L1740" s="26"/>
      <c r="N17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1" spans="1:14">
      <c r="A1741" s="16"/>
      <c r="B1741" s="16"/>
      <c r="C1741" s="25"/>
      <c r="D1741" s="25"/>
      <c r="E1741" s="16"/>
      <c r="F1741" s="18"/>
      <c r="G1741" s="19" t="str">
        <f t="shared" ca="1" si="54"/>
        <v/>
      </c>
      <c r="H1741" s="18"/>
      <c r="I1741" s="18"/>
      <c r="J1741" s="77" t="str">
        <f t="shared" ca="1" si="55"/>
        <v/>
      </c>
      <c r="K1741" s="23">
        <f>IF(A1741="","",COUNTIFS(Resumen!$N$2:$N$2999,ROW(),Resumen!$V$2:$V$2999,1))</f>
        <v/>
      </c>
      <c r="L1741" s="26"/>
      <c r="N17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2" spans="1:14">
      <c r="A1742" s="16"/>
      <c r="B1742" s="16"/>
      <c r="C1742" s="25"/>
      <c r="D1742" s="25"/>
      <c r="E1742" s="16"/>
      <c r="F1742" s="18"/>
      <c r="G1742" s="19" t="str">
        <f t="shared" ca="1" si="54"/>
        <v/>
      </c>
      <c r="H1742" s="18"/>
      <c r="I1742" s="18"/>
      <c r="J1742" s="77" t="str">
        <f t="shared" ca="1" si="55"/>
        <v/>
      </c>
      <c r="K1742" s="23">
        <f>IF(A1742="","",COUNTIFS(Resumen!$N$2:$N$2999,ROW(),Resumen!$V$2:$V$2999,1))</f>
        <v/>
      </c>
      <c r="L1742" s="26"/>
      <c r="N17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3" spans="1:14">
      <c r="A1743" s="16"/>
      <c r="B1743" s="16"/>
      <c r="C1743" s="25"/>
      <c r="D1743" s="25"/>
      <c r="E1743" s="16"/>
      <c r="F1743" s="18"/>
      <c r="G1743" s="19" t="str">
        <f t="shared" ca="1" si="54"/>
        <v/>
      </c>
      <c r="H1743" s="18"/>
      <c r="I1743" s="18"/>
      <c r="J1743" s="77" t="str">
        <f t="shared" ca="1" si="55"/>
        <v/>
      </c>
      <c r="K1743" s="23">
        <f>IF(A1743="","",COUNTIFS(Resumen!$N$2:$N$2999,ROW(),Resumen!$V$2:$V$2999,1))</f>
        <v/>
      </c>
      <c r="L1743" s="26"/>
      <c r="N17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4" spans="1:14">
      <c r="A1744" s="16"/>
      <c r="B1744" s="16"/>
      <c r="C1744" s="25"/>
      <c r="D1744" s="25"/>
      <c r="E1744" s="16"/>
      <c r="F1744" s="18"/>
      <c r="G1744" s="19" t="str">
        <f t="shared" ca="1" si="54"/>
        <v/>
      </c>
      <c r="H1744" s="18"/>
      <c r="I1744" s="18"/>
      <c r="J1744" s="77" t="str">
        <f t="shared" ca="1" si="55"/>
        <v/>
      </c>
      <c r="K1744" s="23">
        <f>IF(A1744="","",COUNTIFS(Resumen!$N$2:$N$2999,ROW(),Resumen!$V$2:$V$2999,1))</f>
        <v/>
      </c>
      <c r="L1744" s="26"/>
      <c r="N17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5" spans="1:14">
      <c r="A1745" s="16"/>
      <c r="B1745" s="16"/>
      <c r="C1745" s="25"/>
      <c r="D1745" s="25"/>
      <c r="E1745" s="16"/>
      <c r="F1745" s="18"/>
      <c r="G1745" s="19" t="str">
        <f t="shared" ca="1" si="54"/>
        <v/>
      </c>
      <c r="H1745" s="18"/>
      <c r="I1745" s="18"/>
      <c r="J1745" s="77" t="str">
        <f t="shared" ca="1" si="55"/>
        <v/>
      </c>
      <c r="K1745" s="23">
        <f>IF(A1745="","",COUNTIFS(Resumen!$N$2:$N$2999,ROW(),Resumen!$V$2:$V$2999,1))</f>
        <v/>
      </c>
      <c r="L1745" s="26"/>
      <c r="N17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6" spans="1:14">
      <c r="A1746" s="16"/>
      <c r="B1746" s="16"/>
      <c r="C1746" s="25"/>
      <c r="D1746" s="25"/>
      <c r="E1746" s="16"/>
      <c r="F1746" s="18"/>
      <c r="G1746" s="19" t="str">
        <f t="shared" ca="1" si="54"/>
        <v/>
      </c>
      <c r="H1746" s="18"/>
      <c r="I1746" s="18"/>
      <c r="J1746" s="77" t="str">
        <f t="shared" ca="1" si="55"/>
        <v/>
      </c>
      <c r="K1746" s="23">
        <f>IF(A1746="","",COUNTIFS(Resumen!$N$2:$N$2999,ROW(),Resumen!$V$2:$V$2999,1))</f>
        <v/>
      </c>
      <c r="L1746" s="26"/>
      <c r="N17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7" spans="1:14">
      <c r="A1747" s="16"/>
      <c r="B1747" s="16"/>
      <c r="C1747" s="25"/>
      <c r="D1747" s="25"/>
      <c r="E1747" s="16"/>
      <c r="F1747" s="18"/>
      <c r="G1747" s="19" t="str">
        <f t="shared" ca="1" si="54"/>
        <v/>
      </c>
      <c r="H1747" s="18"/>
      <c r="I1747" s="18"/>
      <c r="J1747" s="77" t="str">
        <f t="shared" ca="1" si="55"/>
        <v/>
      </c>
      <c r="K1747" s="23">
        <f>IF(A1747="","",COUNTIFS(Resumen!$N$2:$N$2999,ROW(),Resumen!$V$2:$V$2999,1))</f>
        <v/>
      </c>
      <c r="L1747" s="26"/>
      <c r="N17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8" spans="1:14">
      <c r="A1748" s="16"/>
      <c r="B1748" s="16"/>
      <c r="C1748" s="25"/>
      <c r="D1748" s="25"/>
      <c r="E1748" s="16"/>
      <c r="F1748" s="18"/>
      <c r="G1748" s="19" t="str">
        <f t="shared" ca="1" si="54"/>
        <v/>
      </c>
      <c r="H1748" s="18"/>
      <c r="I1748" s="18"/>
      <c r="J1748" s="77" t="str">
        <f t="shared" ca="1" si="55"/>
        <v/>
      </c>
      <c r="K1748" s="23">
        <f>IF(A1748="","",COUNTIFS(Resumen!$N$2:$N$2999,ROW(),Resumen!$V$2:$V$2999,1))</f>
        <v/>
      </c>
      <c r="L1748" s="26"/>
      <c r="N17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49" spans="1:14">
      <c r="A1749" s="16"/>
      <c r="B1749" s="16"/>
      <c r="C1749" s="25"/>
      <c r="D1749" s="25"/>
      <c r="E1749" s="16"/>
      <c r="F1749" s="18"/>
      <c r="G1749" s="19" t="str">
        <f t="shared" ca="1" si="54"/>
        <v/>
      </c>
      <c r="H1749" s="18"/>
      <c r="I1749" s="18"/>
      <c r="J1749" s="77" t="str">
        <f t="shared" ca="1" si="55"/>
        <v/>
      </c>
      <c r="K1749" s="23">
        <f>IF(A1749="","",COUNTIFS(Resumen!$N$2:$N$2999,ROW(),Resumen!$V$2:$V$2999,1))</f>
        <v/>
      </c>
      <c r="L1749" s="26"/>
      <c r="N17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0" spans="1:14">
      <c r="A1750" s="16"/>
      <c r="B1750" s="16"/>
      <c r="C1750" s="25"/>
      <c r="D1750" s="25"/>
      <c r="E1750" s="16"/>
      <c r="F1750" s="18"/>
      <c r="G1750" s="19" t="str">
        <f t="shared" ca="1" si="54"/>
        <v/>
      </c>
      <c r="H1750" s="18"/>
      <c r="I1750" s="18"/>
      <c r="J1750" s="77" t="str">
        <f t="shared" ca="1" si="55"/>
        <v/>
      </c>
      <c r="K1750" s="23">
        <f>IF(A1750="","",COUNTIFS(Resumen!$N$2:$N$2999,ROW(),Resumen!$V$2:$V$2999,1))</f>
        <v/>
      </c>
      <c r="L1750" s="26"/>
      <c r="N17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1" spans="1:14">
      <c r="A1751" s="16"/>
      <c r="B1751" s="16"/>
      <c r="C1751" s="25"/>
      <c r="D1751" s="25"/>
      <c r="E1751" s="16"/>
      <c r="F1751" s="18"/>
      <c r="G1751" s="19" t="str">
        <f t="shared" ca="1" si="54"/>
        <v/>
      </c>
      <c r="H1751" s="18"/>
      <c r="I1751" s="18"/>
      <c r="J1751" s="77" t="str">
        <f t="shared" ca="1" si="55"/>
        <v/>
      </c>
      <c r="K1751" s="23">
        <f>IF(A1751="","",COUNTIFS(Resumen!$N$2:$N$2999,ROW(),Resumen!$V$2:$V$2999,1))</f>
        <v/>
      </c>
      <c r="L1751" s="26"/>
      <c r="N17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2" spans="1:14">
      <c r="A1752" s="16"/>
      <c r="B1752" s="16"/>
      <c r="C1752" s="25"/>
      <c r="D1752" s="25"/>
      <c r="E1752" s="16"/>
      <c r="F1752" s="18"/>
      <c r="G1752" s="19" t="str">
        <f t="shared" ca="1" si="54"/>
        <v/>
      </c>
      <c r="H1752" s="18"/>
      <c r="I1752" s="18"/>
      <c r="J1752" s="77" t="str">
        <f t="shared" ca="1" si="55"/>
        <v/>
      </c>
      <c r="K1752" s="23">
        <f>IF(A1752="","",COUNTIFS(Resumen!$N$2:$N$2999,ROW(),Resumen!$V$2:$V$2999,1))</f>
        <v/>
      </c>
      <c r="L1752" s="26"/>
      <c r="N17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3" spans="1:14">
      <c r="A1753" s="16"/>
      <c r="B1753" s="16"/>
      <c r="C1753" s="25"/>
      <c r="D1753" s="25"/>
      <c r="E1753" s="16"/>
      <c r="F1753" s="18"/>
      <c r="G1753" s="19" t="str">
        <f t="shared" ca="1" si="54"/>
        <v/>
      </c>
      <c r="H1753" s="18"/>
      <c r="I1753" s="18"/>
      <c r="J1753" s="77" t="str">
        <f t="shared" ca="1" si="55"/>
        <v/>
      </c>
      <c r="K1753" s="23">
        <f>IF(A1753="","",COUNTIFS(Resumen!$N$2:$N$2999,ROW(),Resumen!$V$2:$V$2999,1))</f>
        <v/>
      </c>
      <c r="L1753" s="26"/>
      <c r="N17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4" spans="1:14">
      <c r="A1754" s="16"/>
      <c r="B1754" s="16"/>
      <c r="C1754" s="25"/>
      <c r="D1754" s="25"/>
      <c r="E1754" s="16"/>
      <c r="F1754" s="18"/>
      <c r="G1754" s="19" t="str">
        <f t="shared" ca="1" si="54"/>
        <v/>
      </c>
      <c r="H1754" s="18"/>
      <c r="I1754" s="18"/>
      <c r="J1754" s="77" t="str">
        <f t="shared" ca="1" si="55"/>
        <v/>
      </c>
      <c r="K1754" s="23">
        <f>IF(A1754="","",COUNTIFS(Resumen!$N$2:$N$2999,ROW(),Resumen!$V$2:$V$2999,1))</f>
        <v/>
      </c>
      <c r="L1754" s="26"/>
      <c r="N17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5" spans="1:14">
      <c r="A1755" s="16"/>
      <c r="B1755" s="16"/>
      <c r="C1755" s="25"/>
      <c r="D1755" s="25"/>
      <c r="E1755" s="16"/>
      <c r="F1755" s="18"/>
      <c r="G1755" s="19" t="str">
        <f t="shared" ca="1" si="54"/>
        <v/>
      </c>
      <c r="H1755" s="18"/>
      <c r="I1755" s="18"/>
      <c r="J1755" s="77" t="str">
        <f t="shared" ca="1" si="55"/>
        <v/>
      </c>
      <c r="K1755" s="23">
        <f>IF(A1755="","",COUNTIFS(Resumen!$N$2:$N$2999,ROW(),Resumen!$V$2:$V$2999,1))</f>
        <v/>
      </c>
      <c r="L1755" s="26"/>
      <c r="N17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6" spans="1:14">
      <c r="A1756" s="16"/>
      <c r="B1756" s="16"/>
      <c r="C1756" s="25"/>
      <c r="D1756" s="25"/>
      <c r="E1756" s="16"/>
      <c r="F1756" s="18"/>
      <c r="G1756" s="19" t="str">
        <f t="shared" ca="1" si="54"/>
        <v/>
      </c>
      <c r="H1756" s="18"/>
      <c r="I1756" s="18"/>
      <c r="J1756" s="77" t="str">
        <f t="shared" ca="1" si="55"/>
        <v/>
      </c>
      <c r="K1756" s="23">
        <f>IF(A1756="","",COUNTIFS(Resumen!$N$2:$N$2999,ROW(),Resumen!$V$2:$V$2999,1))</f>
        <v/>
      </c>
      <c r="L1756" s="26"/>
      <c r="N17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7" spans="1:14">
      <c r="A1757" s="16"/>
      <c r="B1757" s="16"/>
      <c r="C1757" s="25"/>
      <c r="D1757" s="25"/>
      <c r="E1757" s="16"/>
      <c r="F1757" s="18"/>
      <c r="G1757" s="19" t="str">
        <f t="shared" ca="1" si="54"/>
        <v/>
      </c>
      <c r="H1757" s="18"/>
      <c r="I1757" s="18"/>
      <c r="J1757" s="77" t="str">
        <f t="shared" ca="1" si="55"/>
        <v/>
      </c>
      <c r="K1757" s="23">
        <f>IF(A1757="","",COUNTIFS(Resumen!$N$2:$N$2999,ROW(),Resumen!$V$2:$V$2999,1))</f>
        <v/>
      </c>
      <c r="L1757" s="26"/>
      <c r="N17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8" spans="1:14">
      <c r="A1758" s="16"/>
      <c r="B1758" s="16"/>
      <c r="C1758" s="25"/>
      <c r="D1758" s="25"/>
      <c r="E1758" s="16"/>
      <c r="F1758" s="18"/>
      <c r="G1758" s="19" t="str">
        <f t="shared" ca="1" si="54"/>
        <v/>
      </c>
      <c r="H1758" s="18"/>
      <c r="I1758" s="18"/>
      <c r="J1758" s="77" t="str">
        <f t="shared" ca="1" si="55"/>
        <v/>
      </c>
      <c r="K1758" s="23">
        <f>IF(A1758="","",COUNTIFS(Resumen!$N$2:$N$2999,ROW(),Resumen!$V$2:$V$2999,1))</f>
        <v/>
      </c>
      <c r="L1758" s="26"/>
      <c r="N17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59" spans="1:14">
      <c r="A1759" s="16"/>
      <c r="B1759" s="16"/>
      <c r="C1759" s="25"/>
      <c r="D1759" s="25"/>
      <c r="E1759" s="16"/>
      <c r="F1759" s="18"/>
      <c r="G1759" s="19" t="str">
        <f t="shared" ca="1" si="54"/>
        <v/>
      </c>
      <c r="H1759" s="18"/>
      <c r="I1759" s="18"/>
      <c r="J1759" s="77" t="str">
        <f t="shared" ca="1" si="55"/>
        <v/>
      </c>
      <c r="K1759" s="23">
        <f>IF(A1759="","",COUNTIFS(Resumen!$N$2:$N$2999,ROW(),Resumen!$V$2:$V$2999,1))</f>
        <v/>
      </c>
      <c r="L1759" s="26"/>
      <c r="N17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0" spans="1:14">
      <c r="A1760" s="16"/>
      <c r="B1760" s="16"/>
      <c r="C1760" s="25"/>
      <c r="D1760" s="25"/>
      <c r="E1760" s="16"/>
      <c r="F1760" s="18"/>
      <c r="G1760" s="19" t="str">
        <f t="shared" ca="1" si="54"/>
        <v/>
      </c>
      <c r="H1760" s="18"/>
      <c r="I1760" s="18"/>
      <c r="J1760" s="77" t="str">
        <f t="shared" ca="1" si="55"/>
        <v/>
      </c>
      <c r="K1760" s="23">
        <f>IF(A1760="","",COUNTIFS(Resumen!$N$2:$N$2999,ROW(),Resumen!$V$2:$V$2999,1))</f>
        <v/>
      </c>
      <c r="L1760" s="26"/>
      <c r="N17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1" spans="1:14">
      <c r="A1761" s="16"/>
      <c r="B1761" s="16"/>
      <c r="C1761" s="25"/>
      <c r="D1761" s="25"/>
      <c r="E1761" s="16"/>
      <c r="F1761" s="18"/>
      <c r="G1761" s="19" t="str">
        <f t="shared" ca="1" si="54"/>
        <v/>
      </c>
      <c r="H1761" s="18"/>
      <c r="I1761" s="18"/>
      <c r="J1761" s="77" t="str">
        <f t="shared" ca="1" si="55"/>
        <v/>
      </c>
      <c r="K1761" s="23">
        <f>IF(A1761="","",COUNTIFS(Resumen!$N$2:$N$2999,ROW(),Resumen!$V$2:$V$2999,1))</f>
        <v/>
      </c>
      <c r="L1761" s="26"/>
      <c r="N17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2" spans="1:14">
      <c r="A1762" s="16"/>
      <c r="B1762" s="16"/>
      <c r="C1762" s="25"/>
      <c r="D1762" s="25"/>
      <c r="E1762" s="16"/>
      <c r="F1762" s="18"/>
      <c r="G1762" s="19" t="str">
        <f t="shared" ca="1" si="54"/>
        <v/>
      </c>
      <c r="H1762" s="18"/>
      <c r="I1762" s="18"/>
      <c r="J1762" s="77" t="str">
        <f t="shared" ca="1" si="55"/>
        <v/>
      </c>
      <c r="K1762" s="23">
        <f>IF(A1762="","",COUNTIFS(Resumen!$N$2:$N$2999,ROW(),Resumen!$V$2:$V$2999,1))</f>
        <v/>
      </c>
      <c r="L1762" s="26"/>
      <c r="N17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3" spans="1:14">
      <c r="A1763" s="16"/>
      <c r="B1763" s="16"/>
      <c r="C1763" s="25"/>
      <c r="D1763" s="25"/>
      <c r="E1763" s="16"/>
      <c r="F1763" s="18"/>
      <c r="G1763" s="19" t="str">
        <f t="shared" ca="1" si="54"/>
        <v/>
      </c>
      <c r="H1763" s="18"/>
      <c r="I1763" s="18"/>
      <c r="J1763" s="77" t="str">
        <f t="shared" ca="1" si="55"/>
        <v/>
      </c>
      <c r="K1763" s="23">
        <f>IF(A1763="","",COUNTIFS(Resumen!$N$2:$N$2999,ROW(),Resumen!$V$2:$V$2999,1))</f>
        <v/>
      </c>
      <c r="L1763" s="26"/>
      <c r="N17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4" spans="1:14">
      <c r="A1764" s="16"/>
      <c r="B1764" s="16"/>
      <c r="C1764" s="25"/>
      <c r="D1764" s="25"/>
      <c r="E1764" s="16"/>
      <c r="F1764" s="18"/>
      <c r="G1764" s="19" t="str">
        <f t="shared" ca="1" si="54"/>
        <v/>
      </c>
      <c r="H1764" s="18"/>
      <c r="I1764" s="18"/>
      <c r="J1764" s="77" t="str">
        <f t="shared" ca="1" si="55"/>
        <v/>
      </c>
      <c r="K1764" s="23">
        <f>IF(A1764="","",COUNTIFS(Resumen!$N$2:$N$2999,ROW(),Resumen!$V$2:$V$2999,1))</f>
        <v/>
      </c>
      <c r="L1764" s="26"/>
      <c r="N17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5" spans="1:14">
      <c r="A1765" s="16"/>
      <c r="B1765" s="16"/>
      <c r="C1765" s="25"/>
      <c r="D1765" s="25"/>
      <c r="E1765" s="16"/>
      <c r="F1765" s="18"/>
      <c r="G1765" s="19" t="str">
        <f t="shared" ca="1" si="54"/>
        <v/>
      </c>
      <c r="H1765" s="18"/>
      <c r="I1765" s="18"/>
      <c r="J1765" s="77" t="str">
        <f t="shared" ca="1" si="55"/>
        <v/>
      </c>
      <c r="K1765" s="23">
        <f>IF(A1765="","",COUNTIFS(Resumen!$N$2:$N$2999,ROW(),Resumen!$V$2:$V$2999,1))</f>
        <v/>
      </c>
      <c r="L1765" s="26"/>
      <c r="N17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6" spans="1:14">
      <c r="A1766" s="16"/>
      <c r="B1766" s="16"/>
      <c r="C1766" s="25"/>
      <c r="D1766" s="25"/>
      <c r="E1766" s="16"/>
      <c r="F1766" s="18"/>
      <c r="G1766" s="19" t="str">
        <f t="shared" ca="1" si="54"/>
        <v/>
      </c>
      <c r="H1766" s="18"/>
      <c r="I1766" s="18"/>
      <c r="J1766" s="77" t="str">
        <f t="shared" ca="1" si="55"/>
        <v/>
      </c>
      <c r="K1766" s="23">
        <f>IF(A1766="","",COUNTIFS(Resumen!$N$2:$N$2999,ROW(),Resumen!$V$2:$V$2999,1))</f>
        <v/>
      </c>
      <c r="L1766" s="26"/>
      <c r="N17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7" spans="1:14">
      <c r="A1767" s="16"/>
      <c r="B1767" s="16"/>
      <c r="C1767" s="25"/>
      <c r="D1767" s="25"/>
      <c r="E1767" s="16"/>
      <c r="F1767" s="18"/>
      <c r="G1767" s="19" t="str">
        <f t="shared" ca="1" si="54"/>
        <v/>
      </c>
      <c r="H1767" s="18"/>
      <c r="I1767" s="18"/>
      <c r="J1767" s="77" t="str">
        <f t="shared" ca="1" si="55"/>
        <v/>
      </c>
      <c r="K1767" s="23">
        <f>IF(A1767="","",COUNTIFS(Resumen!$N$2:$N$2999,ROW(),Resumen!$V$2:$V$2999,1))</f>
        <v/>
      </c>
      <c r="L1767" s="26"/>
      <c r="N17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8" spans="1:14">
      <c r="A1768" s="16"/>
      <c r="B1768" s="16"/>
      <c r="C1768" s="25"/>
      <c r="D1768" s="25"/>
      <c r="E1768" s="16"/>
      <c r="F1768" s="18"/>
      <c r="G1768" s="19" t="str">
        <f t="shared" ca="1" si="54"/>
        <v/>
      </c>
      <c r="H1768" s="18"/>
      <c r="I1768" s="18"/>
      <c r="J1768" s="77" t="str">
        <f t="shared" ca="1" si="55"/>
        <v/>
      </c>
      <c r="K1768" s="23">
        <f>IF(A1768="","",COUNTIFS(Resumen!$N$2:$N$2999,ROW(),Resumen!$V$2:$V$2999,1))</f>
        <v/>
      </c>
      <c r="L1768" s="26"/>
      <c r="N17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69" spans="1:14">
      <c r="A1769" s="16"/>
      <c r="B1769" s="16"/>
      <c r="C1769" s="25"/>
      <c r="D1769" s="25"/>
      <c r="E1769" s="16"/>
      <c r="F1769" s="18"/>
      <c r="G1769" s="19" t="str">
        <f t="shared" ca="1" si="54"/>
        <v/>
      </c>
      <c r="H1769" s="18"/>
      <c r="I1769" s="18"/>
      <c r="J1769" s="77" t="str">
        <f t="shared" ca="1" si="55"/>
        <v/>
      </c>
      <c r="K1769" s="23">
        <f>IF(A1769="","",COUNTIFS(Resumen!$N$2:$N$2999,ROW(),Resumen!$V$2:$V$2999,1))</f>
        <v/>
      </c>
      <c r="L1769" s="26"/>
      <c r="N17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0" spans="1:14">
      <c r="A1770" s="16"/>
      <c r="B1770" s="16"/>
      <c r="C1770" s="25"/>
      <c r="D1770" s="25"/>
      <c r="E1770" s="16"/>
      <c r="F1770" s="18"/>
      <c r="G1770" s="19" t="str">
        <f t="shared" ca="1" si="54"/>
        <v/>
      </c>
      <c r="H1770" s="18"/>
      <c r="I1770" s="18"/>
      <c r="J1770" s="77" t="str">
        <f t="shared" ca="1" si="55"/>
        <v/>
      </c>
      <c r="K1770" s="23">
        <f>IF(A1770="","",COUNTIFS(Resumen!$N$2:$N$2999,ROW(),Resumen!$V$2:$V$2999,1))</f>
        <v/>
      </c>
      <c r="L1770" s="26"/>
      <c r="N17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1" spans="1:14">
      <c r="A1771" s="16"/>
      <c r="B1771" s="16"/>
      <c r="C1771" s="25"/>
      <c r="D1771" s="25"/>
      <c r="E1771" s="16"/>
      <c r="F1771" s="18"/>
      <c r="G1771" s="19" t="str">
        <f t="shared" ca="1" si="54"/>
        <v/>
      </c>
      <c r="H1771" s="18"/>
      <c r="I1771" s="18"/>
      <c r="J1771" s="77" t="str">
        <f t="shared" ca="1" si="55"/>
        <v/>
      </c>
      <c r="K1771" s="23">
        <f>IF(A1771="","",COUNTIFS(Resumen!$N$2:$N$2999,ROW(),Resumen!$V$2:$V$2999,1))</f>
        <v/>
      </c>
      <c r="L1771" s="26"/>
      <c r="N17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2" spans="1:14">
      <c r="A1772" s="16"/>
      <c r="B1772" s="16"/>
      <c r="C1772" s="25"/>
      <c r="D1772" s="25"/>
      <c r="E1772" s="16"/>
      <c r="F1772" s="18"/>
      <c r="G1772" s="19" t="str">
        <f t="shared" ca="1" si="54"/>
        <v/>
      </c>
      <c r="H1772" s="18"/>
      <c r="I1772" s="18"/>
      <c r="J1772" s="77" t="str">
        <f t="shared" ca="1" si="55"/>
        <v/>
      </c>
      <c r="K1772" s="23">
        <f>IF(A1772="","",COUNTIFS(Resumen!$N$2:$N$2999,ROW(),Resumen!$V$2:$V$2999,1))</f>
        <v/>
      </c>
      <c r="L1772" s="26"/>
      <c r="N17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3" spans="1:14">
      <c r="A1773" s="16"/>
      <c r="B1773" s="16"/>
      <c r="C1773" s="25"/>
      <c r="D1773" s="25"/>
      <c r="E1773" s="16"/>
      <c r="F1773" s="18"/>
      <c r="G1773" s="19" t="str">
        <f t="shared" ca="1" si="54"/>
        <v/>
      </c>
      <c r="H1773" s="18"/>
      <c r="I1773" s="18"/>
      <c r="J1773" s="77" t="str">
        <f t="shared" ca="1" si="55"/>
        <v/>
      </c>
      <c r="K1773" s="23">
        <f>IF(A1773="","",COUNTIFS(Resumen!$N$2:$N$2999,ROW(),Resumen!$V$2:$V$2999,1))</f>
        <v/>
      </c>
      <c r="L1773" s="26"/>
      <c r="N17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4" spans="1:14">
      <c r="A1774" s="16"/>
      <c r="B1774" s="16"/>
      <c r="C1774" s="25"/>
      <c r="D1774" s="25"/>
      <c r="E1774" s="16"/>
      <c r="F1774" s="18"/>
      <c r="G1774" s="19" t="str">
        <f t="shared" ca="1" si="54"/>
        <v/>
      </c>
      <c r="H1774" s="18"/>
      <c r="I1774" s="18"/>
      <c r="J1774" s="77" t="str">
        <f t="shared" ca="1" si="55"/>
        <v/>
      </c>
      <c r="K1774" s="23">
        <f>IF(A1774="","",COUNTIFS(Resumen!$N$2:$N$2999,ROW(),Resumen!$V$2:$V$2999,1))</f>
        <v/>
      </c>
      <c r="L1774" s="26"/>
      <c r="N17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5" spans="1:14">
      <c r="A1775" s="16"/>
      <c r="B1775" s="16"/>
      <c r="C1775" s="25"/>
      <c r="D1775" s="25"/>
      <c r="E1775" s="16"/>
      <c r="F1775" s="18"/>
      <c r="G1775" s="19" t="str">
        <f t="shared" ca="1" si="54"/>
        <v/>
      </c>
      <c r="H1775" s="18"/>
      <c r="I1775" s="18"/>
      <c r="J1775" s="77" t="str">
        <f t="shared" ca="1" si="55"/>
        <v/>
      </c>
      <c r="K1775" s="23">
        <f>IF(A1775="","",COUNTIFS(Resumen!$N$2:$N$2999,ROW(),Resumen!$V$2:$V$2999,1))</f>
        <v/>
      </c>
      <c r="L1775" s="26"/>
      <c r="N17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6" spans="1:14">
      <c r="A1776" s="16"/>
      <c r="B1776" s="16"/>
      <c r="C1776" s="25"/>
      <c r="D1776" s="25"/>
      <c r="E1776" s="16"/>
      <c r="F1776" s="18"/>
      <c r="G1776" s="19" t="str">
        <f t="shared" ca="1" si="54"/>
        <v/>
      </c>
      <c r="H1776" s="18"/>
      <c r="I1776" s="18"/>
      <c r="J1776" s="77" t="str">
        <f t="shared" ca="1" si="55"/>
        <v/>
      </c>
      <c r="K1776" s="23">
        <f>IF(A1776="","",COUNTIFS(Resumen!$N$2:$N$2999,ROW(),Resumen!$V$2:$V$2999,1))</f>
        <v/>
      </c>
      <c r="L1776" s="26"/>
      <c r="N17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7" spans="1:14">
      <c r="A1777" s="16"/>
      <c r="B1777" s="16"/>
      <c r="C1777" s="25"/>
      <c r="D1777" s="25"/>
      <c r="E1777" s="16"/>
      <c r="F1777" s="18"/>
      <c r="G1777" s="19" t="str">
        <f t="shared" ca="1" si="54"/>
        <v/>
      </c>
      <c r="H1777" s="18"/>
      <c r="I1777" s="18"/>
      <c r="J1777" s="77" t="str">
        <f t="shared" ca="1" si="55"/>
        <v/>
      </c>
      <c r="K1777" s="23">
        <f>IF(A1777="","",COUNTIFS(Resumen!$N$2:$N$2999,ROW(),Resumen!$V$2:$V$2999,1))</f>
        <v/>
      </c>
      <c r="L1777" s="26"/>
      <c r="N17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8" spans="1:14">
      <c r="A1778" s="16"/>
      <c r="B1778" s="16"/>
      <c r="C1778" s="25"/>
      <c r="D1778" s="25"/>
      <c r="E1778" s="16"/>
      <c r="F1778" s="18"/>
      <c r="G1778" s="19" t="str">
        <f t="shared" ca="1" si="54"/>
        <v/>
      </c>
      <c r="H1778" s="18"/>
      <c r="I1778" s="18"/>
      <c r="J1778" s="77" t="str">
        <f t="shared" ca="1" si="55"/>
        <v/>
      </c>
      <c r="K1778" s="23">
        <f>IF(A1778="","",COUNTIFS(Resumen!$N$2:$N$2999,ROW(),Resumen!$V$2:$V$2999,1))</f>
        <v/>
      </c>
      <c r="L1778" s="26"/>
      <c r="N17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79" spans="1:14">
      <c r="A1779" s="16"/>
      <c r="B1779" s="16"/>
      <c r="C1779" s="25"/>
      <c r="D1779" s="25"/>
      <c r="E1779" s="16"/>
      <c r="F1779" s="18"/>
      <c r="G1779" s="19" t="str">
        <f t="shared" ca="1" si="54"/>
        <v/>
      </c>
      <c r="H1779" s="18"/>
      <c r="I1779" s="18"/>
      <c r="J1779" s="77" t="str">
        <f t="shared" ca="1" si="55"/>
        <v/>
      </c>
      <c r="K1779" s="23">
        <f>IF(A1779="","",COUNTIFS(Resumen!$N$2:$N$2999,ROW(),Resumen!$V$2:$V$2999,1))</f>
        <v/>
      </c>
      <c r="L1779" s="26"/>
      <c r="N17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0" spans="1:14">
      <c r="A1780" s="16"/>
      <c r="B1780" s="16"/>
      <c r="C1780" s="25"/>
      <c r="D1780" s="25"/>
      <c r="E1780" s="16"/>
      <c r="F1780" s="18"/>
      <c r="G1780" s="19" t="str">
        <f t="shared" ca="1" si="54"/>
        <v/>
      </c>
      <c r="H1780" s="18"/>
      <c r="I1780" s="18"/>
      <c r="J1780" s="77" t="str">
        <f t="shared" ca="1" si="55"/>
        <v/>
      </c>
      <c r="K1780" s="23">
        <f>IF(A1780="","",COUNTIFS(Resumen!$N$2:$N$2999,ROW(),Resumen!$V$2:$V$2999,1))</f>
        <v/>
      </c>
      <c r="L1780" s="26"/>
      <c r="N17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1" spans="1:14">
      <c r="A1781" s="16"/>
      <c r="B1781" s="16"/>
      <c r="C1781" s="25"/>
      <c r="D1781" s="25"/>
      <c r="E1781" s="16"/>
      <c r="F1781" s="18"/>
      <c r="G1781" s="19" t="str">
        <f t="shared" ca="1" si="54"/>
        <v/>
      </c>
      <c r="H1781" s="18"/>
      <c r="I1781" s="18"/>
      <c r="J1781" s="77" t="str">
        <f t="shared" ca="1" si="55"/>
        <v/>
      </c>
      <c r="K1781" s="23">
        <f>IF(A1781="","",COUNTIFS(Resumen!$N$2:$N$2999,ROW(),Resumen!$V$2:$V$2999,1))</f>
        <v/>
      </c>
      <c r="L1781" s="26"/>
      <c r="N17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2" spans="1:14">
      <c r="A1782" s="16"/>
      <c r="B1782" s="16"/>
      <c r="C1782" s="25"/>
      <c r="D1782" s="25"/>
      <c r="E1782" s="16"/>
      <c r="F1782" s="18"/>
      <c r="G1782" s="19" t="str">
        <f t="shared" ca="1" si="54"/>
        <v/>
      </c>
      <c r="H1782" s="18"/>
      <c r="I1782" s="18"/>
      <c r="J1782" s="77" t="str">
        <f t="shared" ca="1" si="55"/>
        <v/>
      </c>
      <c r="K1782" s="23">
        <f>IF(A1782="","",COUNTIFS(Resumen!$N$2:$N$2999,ROW(),Resumen!$V$2:$V$2999,1))</f>
        <v/>
      </c>
      <c r="L1782" s="26"/>
      <c r="N17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3" spans="1:14">
      <c r="A1783" s="16"/>
      <c r="B1783" s="16"/>
      <c r="C1783" s="25"/>
      <c r="D1783" s="25"/>
      <c r="E1783" s="16"/>
      <c r="F1783" s="18"/>
      <c r="G1783" s="19" t="str">
        <f t="shared" ca="1" si="54"/>
        <v/>
      </c>
      <c r="H1783" s="18"/>
      <c r="I1783" s="18"/>
      <c r="J1783" s="77" t="str">
        <f t="shared" ca="1" si="55"/>
        <v/>
      </c>
      <c r="K1783" s="23">
        <f>IF(A1783="","",COUNTIFS(Resumen!$N$2:$N$2999,ROW(),Resumen!$V$2:$V$2999,1))</f>
        <v/>
      </c>
      <c r="L1783" s="26"/>
      <c r="N17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4" spans="1:14">
      <c r="A1784" s="16"/>
      <c r="B1784" s="16"/>
      <c r="C1784" s="25"/>
      <c r="D1784" s="25"/>
      <c r="E1784" s="16"/>
      <c r="F1784" s="18"/>
      <c r="G1784" s="19" t="str">
        <f t="shared" ca="1" si="54"/>
        <v/>
      </c>
      <c r="H1784" s="18"/>
      <c r="I1784" s="18"/>
      <c r="J1784" s="77" t="str">
        <f t="shared" ca="1" si="55"/>
        <v/>
      </c>
      <c r="K1784" s="23">
        <f>IF(A1784="","",COUNTIFS(Resumen!$N$2:$N$2999,ROW(),Resumen!$V$2:$V$2999,1))</f>
        <v/>
      </c>
      <c r="L1784" s="26"/>
      <c r="N17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5" spans="1:14">
      <c r="A1785" s="16"/>
      <c r="B1785" s="16"/>
      <c r="C1785" s="25"/>
      <c r="D1785" s="25"/>
      <c r="E1785" s="16"/>
      <c r="F1785" s="18"/>
      <c r="G1785" s="19" t="str">
        <f t="shared" ca="1" si="54"/>
        <v/>
      </c>
      <c r="H1785" s="18"/>
      <c r="I1785" s="18"/>
      <c r="J1785" s="77" t="str">
        <f t="shared" ca="1" si="55"/>
        <v/>
      </c>
      <c r="K1785" s="23">
        <f>IF(A1785="","",COUNTIFS(Resumen!$N$2:$N$2999,ROW(),Resumen!$V$2:$V$2999,1))</f>
        <v/>
      </c>
      <c r="L1785" s="26"/>
      <c r="N17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6" spans="1:14">
      <c r="A1786" s="16"/>
      <c r="B1786" s="16"/>
      <c r="C1786" s="25"/>
      <c r="D1786" s="25"/>
      <c r="E1786" s="16"/>
      <c r="F1786" s="18"/>
      <c r="G1786" s="19" t="str">
        <f t="shared" ca="1" si="54"/>
        <v/>
      </c>
      <c r="H1786" s="18"/>
      <c r="I1786" s="18"/>
      <c r="J1786" s="77" t="str">
        <f t="shared" ca="1" si="55"/>
        <v/>
      </c>
      <c r="K1786" s="23">
        <f>IF(A1786="","",COUNTIFS(Resumen!$N$2:$N$2999,ROW(),Resumen!$V$2:$V$2999,1))</f>
        <v/>
      </c>
      <c r="L1786" s="26"/>
      <c r="N17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7" spans="1:14">
      <c r="A1787" s="16"/>
      <c r="B1787" s="16"/>
      <c r="C1787" s="25"/>
      <c r="D1787" s="25"/>
      <c r="E1787" s="16"/>
      <c r="F1787" s="18"/>
      <c r="G1787" s="19" t="str">
        <f t="shared" ca="1" si="54"/>
        <v/>
      </c>
      <c r="H1787" s="18"/>
      <c r="I1787" s="18"/>
      <c r="J1787" s="77" t="str">
        <f t="shared" ca="1" si="55"/>
        <v/>
      </c>
      <c r="K1787" s="23">
        <f>IF(A1787="","",COUNTIFS(Resumen!$N$2:$N$2999,ROW(),Resumen!$V$2:$V$2999,1))</f>
        <v/>
      </c>
      <c r="L1787" s="26"/>
      <c r="N17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8" spans="1:14">
      <c r="A1788" s="16"/>
      <c r="B1788" s="16"/>
      <c r="C1788" s="25"/>
      <c r="D1788" s="25"/>
      <c r="E1788" s="16"/>
      <c r="F1788" s="18"/>
      <c r="G1788" s="19" t="str">
        <f t="shared" ca="1" si="54"/>
        <v/>
      </c>
      <c r="H1788" s="18"/>
      <c r="I1788" s="18"/>
      <c r="J1788" s="77" t="str">
        <f t="shared" ca="1" si="55"/>
        <v/>
      </c>
      <c r="K1788" s="23">
        <f>IF(A1788="","",COUNTIFS(Resumen!$N$2:$N$2999,ROW(),Resumen!$V$2:$V$2999,1))</f>
        <v/>
      </c>
      <c r="L1788" s="26"/>
      <c r="N17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89" spans="1:14">
      <c r="A1789" s="16"/>
      <c r="B1789" s="16"/>
      <c r="C1789" s="25"/>
      <c r="D1789" s="25"/>
      <c r="E1789" s="16"/>
      <c r="F1789" s="18"/>
      <c r="G1789" s="19" t="str">
        <f t="shared" ca="1" si="54"/>
        <v/>
      </c>
      <c r="H1789" s="18"/>
      <c r="I1789" s="18"/>
      <c r="J1789" s="77" t="str">
        <f t="shared" ca="1" si="55"/>
        <v/>
      </c>
      <c r="K1789" s="23">
        <f>IF(A1789="","",COUNTIFS(Resumen!$N$2:$N$2999,ROW(),Resumen!$V$2:$V$2999,1))</f>
        <v/>
      </c>
      <c r="L1789" s="26"/>
      <c r="N17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0" spans="1:14">
      <c r="A1790" s="16"/>
      <c r="B1790" s="16"/>
      <c r="C1790" s="25"/>
      <c r="D1790" s="25"/>
      <c r="E1790" s="16"/>
      <c r="F1790" s="18"/>
      <c r="G1790" s="19" t="str">
        <f t="shared" ca="1" si="54"/>
        <v/>
      </c>
      <c r="H1790" s="18"/>
      <c r="I1790" s="18"/>
      <c r="J1790" s="77" t="str">
        <f t="shared" ca="1" si="55"/>
        <v/>
      </c>
      <c r="K1790" s="23">
        <f>IF(A1790="","",COUNTIFS(Resumen!$N$2:$N$2999,ROW(),Resumen!$V$2:$V$2999,1))</f>
        <v/>
      </c>
      <c r="L1790" s="26"/>
      <c r="N17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1" spans="1:14">
      <c r="A1791" s="16"/>
      <c r="B1791" s="16"/>
      <c r="C1791" s="25"/>
      <c r="D1791" s="25"/>
      <c r="E1791" s="16"/>
      <c r="F1791" s="18"/>
      <c r="G1791" s="19" t="str">
        <f t="shared" ca="1" si="54"/>
        <v/>
      </c>
      <c r="H1791" s="18"/>
      <c r="I1791" s="18"/>
      <c r="J1791" s="77" t="str">
        <f t="shared" ca="1" si="55"/>
        <v/>
      </c>
      <c r="K1791" s="23">
        <f>IF(A1791="","",COUNTIFS(Resumen!$N$2:$N$2999,ROW(),Resumen!$V$2:$V$2999,1))</f>
        <v/>
      </c>
      <c r="L1791" s="26"/>
      <c r="N17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2" spans="1:14">
      <c r="A1792" s="16"/>
      <c r="B1792" s="16"/>
      <c r="C1792" s="25"/>
      <c r="D1792" s="25"/>
      <c r="E1792" s="16"/>
      <c r="F1792" s="18"/>
      <c r="G1792" s="19" t="str">
        <f t="shared" ca="1" si="54"/>
        <v/>
      </c>
      <c r="H1792" s="18"/>
      <c r="I1792" s="18"/>
      <c r="J1792" s="77" t="str">
        <f t="shared" ca="1" si="55"/>
        <v/>
      </c>
      <c r="K1792" s="23">
        <f>IF(A1792="","",COUNTIFS(Resumen!$N$2:$N$2999,ROW(),Resumen!$V$2:$V$2999,1))</f>
        <v/>
      </c>
      <c r="L1792" s="26"/>
      <c r="N17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3" spans="1:14">
      <c r="A1793" s="16"/>
      <c r="B1793" s="16"/>
      <c r="C1793" s="25"/>
      <c r="D1793" s="25"/>
      <c r="E1793" s="16"/>
      <c r="F1793" s="18"/>
      <c r="G1793" s="19" t="str">
        <f t="shared" ca="1" si="54"/>
        <v/>
      </c>
      <c r="H1793" s="18"/>
      <c r="I1793" s="18"/>
      <c r="J1793" s="77" t="str">
        <f t="shared" ca="1" si="55"/>
        <v/>
      </c>
      <c r="K1793" s="23">
        <f>IF(A1793="","",COUNTIFS(Resumen!$N$2:$N$2999,ROW(),Resumen!$V$2:$V$2999,1))</f>
        <v/>
      </c>
      <c r="L1793" s="26"/>
      <c r="N17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4" spans="1:14">
      <c r="A1794" s="16"/>
      <c r="B1794" s="16"/>
      <c r="C1794" s="25"/>
      <c r="D1794" s="25"/>
      <c r="E1794" s="16"/>
      <c r="F1794" s="18"/>
      <c r="G1794" s="19" t="str">
        <f t="shared" ref="G1794:G1857" ca="1" si="56">IF(F1794="", "", DATEDIF(F1794, TODAY(), "Y"))</f>
        <v/>
      </c>
      <c r="H1794" s="18"/>
      <c r="I1794" s="18"/>
      <c r="J1794" s="77" t="str">
        <f t="shared" ref="J1794:J1857" ca="1" si="57">IFERROR(IF(ISNUMBER(INDEX(VigenciasFamilia,ROW())),INDEX(VigenciasFamilia,ROW())-TODAY(),""),"")</f>
        <v/>
      </c>
      <c r="K1794" s="23">
        <f>IF(A1794="","",COUNTIFS(Resumen!$N$2:$N$2999,ROW(),Resumen!$V$2:$V$2999,1))</f>
        <v/>
      </c>
      <c r="L1794" s="26"/>
      <c r="N17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5" spans="1:14">
      <c r="A1795" s="16"/>
      <c r="B1795" s="16"/>
      <c r="C1795" s="25"/>
      <c r="D1795" s="25"/>
      <c r="E1795" s="16"/>
      <c r="F1795" s="18"/>
      <c r="G1795" s="19" t="str">
        <f t="shared" ca="1" si="56"/>
        <v/>
      </c>
      <c r="H1795" s="18"/>
      <c r="I1795" s="18"/>
      <c r="J1795" s="77" t="str">
        <f t="shared" ca="1" si="57"/>
        <v/>
      </c>
      <c r="K1795" s="23">
        <f>IF(A1795="","",COUNTIFS(Resumen!$N$2:$N$2999,ROW(),Resumen!$V$2:$V$2999,1))</f>
        <v/>
      </c>
      <c r="L1795" s="26"/>
      <c r="N17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6" spans="1:14">
      <c r="A1796" s="16"/>
      <c r="B1796" s="16"/>
      <c r="C1796" s="25"/>
      <c r="D1796" s="25"/>
      <c r="E1796" s="16"/>
      <c r="F1796" s="18"/>
      <c r="G1796" s="19" t="str">
        <f t="shared" ca="1" si="56"/>
        <v/>
      </c>
      <c r="H1796" s="18"/>
      <c r="I1796" s="18"/>
      <c r="J1796" s="77" t="str">
        <f t="shared" ca="1" si="57"/>
        <v/>
      </c>
      <c r="K1796" s="23">
        <f>IF(A1796="","",COUNTIFS(Resumen!$N$2:$N$2999,ROW(),Resumen!$V$2:$V$2999,1))</f>
        <v/>
      </c>
      <c r="L1796" s="26"/>
      <c r="N17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7" spans="1:14">
      <c r="A1797" s="16"/>
      <c r="B1797" s="16"/>
      <c r="C1797" s="25"/>
      <c r="D1797" s="25"/>
      <c r="E1797" s="16"/>
      <c r="F1797" s="18"/>
      <c r="G1797" s="19" t="str">
        <f t="shared" ca="1" si="56"/>
        <v/>
      </c>
      <c r="H1797" s="18"/>
      <c r="I1797" s="18"/>
      <c r="J1797" s="77" t="str">
        <f t="shared" ca="1" si="57"/>
        <v/>
      </c>
      <c r="K1797" s="23">
        <f>IF(A1797="","",COUNTIFS(Resumen!$N$2:$N$2999,ROW(),Resumen!$V$2:$V$2999,1))</f>
        <v/>
      </c>
      <c r="L1797" s="26"/>
      <c r="N17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8" spans="1:14">
      <c r="A1798" s="16"/>
      <c r="B1798" s="16"/>
      <c r="C1798" s="25"/>
      <c r="D1798" s="25"/>
      <c r="E1798" s="16"/>
      <c r="F1798" s="18"/>
      <c r="G1798" s="19" t="str">
        <f t="shared" ca="1" si="56"/>
        <v/>
      </c>
      <c r="H1798" s="18"/>
      <c r="I1798" s="18"/>
      <c r="J1798" s="77" t="str">
        <f t="shared" ca="1" si="57"/>
        <v/>
      </c>
      <c r="K1798" s="23">
        <f>IF(A1798="","",COUNTIFS(Resumen!$N$2:$N$2999,ROW(),Resumen!$V$2:$V$2999,1))</f>
        <v/>
      </c>
      <c r="L1798" s="26"/>
      <c r="N17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799" spans="1:14">
      <c r="A1799" s="16"/>
      <c r="B1799" s="16"/>
      <c r="C1799" s="25"/>
      <c r="D1799" s="25"/>
      <c r="E1799" s="16"/>
      <c r="F1799" s="18"/>
      <c r="G1799" s="19" t="str">
        <f t="shared" ca="1" si="56"/>
        <v/>
      </c>
      <c r="H1799" s="18"/>
      <c r="I1799" s="18"/>
      <c r="J1799" s="77" t="str">
        <f t="shared" ca="1" si="57"/>
        <v/>
      </c>
      <c r="K1799" s="23">
        <f>IF(A1799="","",COUNTIFS(Resumen!$N$2:$N$2999,ROW(),Resumen!$V$2:$V$2999,1))</f>
        <v/>
      </c>
      <c r="L1799" s="26"/>
      <c r="N17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0" spans="1:14">
      <c r="A1800" s="16"/>
      <c r="B1800" s="16"/>
      <c r="C1800" s="25"/>
      <c r="D1800" s="25"/>
      <c r="E1800" s="16"/>
      <c r="F1800" s="18"/>
      <c r="G1800" s="19" t="str">
        <f t="shared" ca="1" si="56"/>
        <v/>
      </c>
      <c r="H1800" s="18"/>
      <c r="I1800" s="18"/>
      <c r="J1800" s="77" t="str">
        <f t="shared" ca="1" si="57"/>
        <v/>
      </c>
      <c r="K1800" s="23">
        <f>IF(A1800="","",COUNTIFS(Resumen!$N$2:$N$2999,ROW(),Resumen!$V$2:$V$2999,1))</f>
        <v/>
      </c>
      <c r="L1800" s="26"/>
      <c r="N18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1" spans="1:14">
      <c r="A1801" s="16"/>
      <c r="B1801" s="16"/>
      <c r="C1801" s="25"/>
      <c r="D1801" s="25"/>
      <c r="E1801" s="16"/>
      <c r="F1801" s="18"/>
      <c r="G1801" s="19" t="str">
        <f t="shared" ca="1" si="56"/>
        <v/>
      </c>
      <c r="H1801" s="18"/>
      <c r="I1801" s="18"/>
      <c r="J1801" s="77" t="str">
        <f t="shared" ca="1" si="57"/>
        <v/>
      </c>
      <c r="K1801" s="23">
        <f>IF(A1801="","",COUNTIFS(Resumen!$N$2:$N$2999,ROW(),Resumen!$V$2:$V$2999,1))</f>
        <v/>
      </c>
      <c r="L1801" s="26"/>
      <c r="N18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2" spans="1:14">
      <c r="A1802" s="16"/>
      <c r="B1802" s="16"/>
      <c r="C1802" s="25"/>
      <c r="D1802" s="25"/>
      <c r="E1802" s="16"/>
      <c r="F1802" s="18"/>
      <c r="G1802" s="19" t="str">
        <f t="shared" ca="1" si="56"/>
        <v/>
      </c>
      <c r="H1802" s="18"/>
      <c r="I1802" s="18"/>
      <c r="J1802" s="77" t="str">
        <f t="shared" ca="1" si="57"/>
        <v/>
      </c>
      <c r="K1802" s="23">
        <f>IF(A1802="","",COUNTIFS(Resumen!$N$2:$N$2999,ROW(),Resumen!$V$2:$V$2999,1))</f>
        <v/>
      </c>
      <c r="L1802" s="26"/>
      <c r="N18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3" spans="1:14">
      <c r="A1803" s="16"/>
      <c r="B1803" s="16"/>
      <c r="C1803" s="25"/>
      <c r="D1803" s="25"/>
      <c r="E1803" s="16"/>
      <c r="F1803" s="18"/>
      <c r="G1803" s="19" t="str">
        <f t="shared" ca="1" si="56"/>
        <v/>
      </c>
      <c r="H1803" s="18"/>
      <c r="I1803" s="18"/>
      <c r="J1803" s="77" t="str">
        <f t="shared" ca="1" si="57"/>
        <v/>
      </c>
      <c r="K1803" s="23">
        <f>IF(A1803="","",COUNTIFS(Resumen!$N$2:$N$2999,ROW(),Resumen!$V$2:$V$2999,1))</f>
        <v/>
      </c>
      <c r="L1803" s="26"/>
      <c r="N18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4" spans="1:14">
      <c r="A1804" s="16"/>
      <c r="B1804" s="16"/>
      <c r="C1804" s="25"/>
      <c r="D1804" s="25"/>
      <c r="E1804" s="16"/>
      <c r="F1804" s="18"/>
      <c r="G1804" s="19" t="str">
        <f t="shared" ca="1" si="56"/>
        <v/>
      </c>
      <c r="H1804" s="18"/>
      <c r="I1804" s="18"/>
      <c r="J1804" s="77" t="str">
        <f t="shared" ca="1" si="57"/>
        <v/>
      </c>
      <c r="K1804" s="23">
        <f>IF(A1804="","",COUNTIFS(Resumen!$N$2:$N$2999,ROW(),Resumen!$V$2:$V$2999,1))</f>
        <v/>
      </c>
      <c r="L1804" s="26"/>
      <c r="N18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5" spans="1:14">
      <c r="A1805" s="16"/>
      <c r="B1805" s="16"/>
      <c r="C1805" s="25"/>
      <c r="D1805" s="25"/>
      <c r="E1805" s="16"/>
      <c r="F1805" s="18"/>
      <c r="G1805" s="19" t="str">
        <f t="shared" ca="1" si="56"/>
        <v/>
      </c>
      <c r="H1805" s="18"/>
      <c r="I1805" s="18"/>
      <c r="J1805" s="77" t="str">
        <f t="shared" ca="1" si="57"/>
        <v/>
      </c>
      <c r="K1805" s="23">
        <f>IF(A1805="","",COUNTIFS(Resumen!$N$2:$N$2999,ROW(),Resumen!$V$2:$V$2999,1))</f>
        <v/>
      </c>
      <c r="L1805" s="26"/>
      <c r="N18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6" spans="1:14">
      <c r="A1806" s="16"/>
      <c r="B1806" s="16"/>
      <c r="C1806" s="25"/>
      <c r="D1806" s="25"/>
      <c r="E1806" s="16"/>
      <c r="F1806" s="18"/>
      <c r="G1806" s="19" t="str">
        <f t="shared" ca="1" si="56"/>
        <v/>
      </c>
      <c r="H1806" s="18"/>
      <c r="I1806" s="18"/>
      <c r="J1806" s="77" t="str">
        <f t="shared" ca="1" si="57"/>
        <v/>
      </c>
      <c r="K1806" s="23">
        <f>IF(A1806="","",COUNTIFS(Resumen!$N$2:$N$2999,ROW(),Resumen!$V$2:$V$2999,1))</f>
        <v/>
      </c>
      <c r="L1806" s="26"/>
      <c r="N18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7" spans="1:14">
      <c r="A1807" s="16"/>
      <c r="B1807" s="16"/>
      <c r="C1807" s="25"/>
      <c r="D1807" s="25"/>
      <c r="E1807" s="16"/>
      <c r="F1807" s="18"/>
      <c r="G1807" s="19" t="str">
        <f t="shared" ca="1" si="56"/>
        <v/>
      </c>
      <c r="H1807" s="18"/>
      <c r="I1807" s="18"/>
      <c r="J1807" s="77" t="str">
        <f t="shared" ca="1" si="57"/>
        <v/>
      </c>
      <c r="K1807" s="23">
        <f>IF(A1807="","",COUNTIFS(Resumen!$N$2:$N$2999,ROW(),Resumen!$V$2:$V$2999,1))</f>
        <v/>
      </c>
      <c r="L1807" s="26"/>
      <c r="N18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8" spans="1:14">
      <c r="A1808" s="16"/>
      <c r="B1808" s="16"/>
      <c r="C1808" s="25"/>
      <c r="D1808" s="25"/>
      <c r="E1808" s="16"/>
      <c r="F1808" s="18"/>
      <c r="G1808" s="19" t="str">
        <f t="shared" ca="1" si="56"/>
        <v/>
      </c>
      <c r="H1808" s="18"/>
      <c r="I1808" s="18"/>
      <c r="J1808" s="77" t="str">
        <f t="shared" ca="1" si="57"/>
        <v/>
      </c>
      <c r="K1808" s="23">
        <f>IF(A1808="","",COUNTIFS(Resumen!$N$2:$N$2999,ROW(),Resumen!$V$2:$V$2999,1))</f>
        <v/>
      </c>
      <c r="L1808" s="26"/>
      <c r="N18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09" spans="1:14">
      <c r="A1809" s="16"/>
      <c r="B1809" s="16"/>
      <c r="C1809" s="25"/>
      <c r="D1809" s="25"/>
      <c r="E1809" s="16"/>
      <c r="F1809" s="18"/>
      <c r="G1809" s="19" t="str">
        <f t="shared" ca="1" si="56"/>
        <v/>
      </c>
      <c r="H1809" s="18"/>
      <c r="I1809" s="18"/>
      <c r="J1809" s="77" t="str">
        <f t="shared" ca="1" si="57"/>
        <v/>
      </c>
      <c r="K1809" s="23">
        <f>IF(A1809="","",COUNTIFS(Resumen!$N$2:$N$2999,ROW(),Resumen!$V$2:$V$2999,1))</f>
        <v/>
      </c>
      <c r="L1809" s="26"/>
      <c r="N18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0" spans="1:14">
      <c r="A1810" s="16"/>
      <c r="B1810" s="16"/>
      <c r="C1810" s="25"/>
      <c r="D1810" s="25"/>
      <c r="E1810" s="16"/>
      <c r="F1810" s="18"/>
      <c r="G1810" s="19" t="str">
        <f t="shared" ca="1" si="56"/>
        <v/>
      </c>
      <c r="H1810" s="18"/>
      <c r="I1810" s="18"/>
      <c r="J1810" s="77" t="str">
        <f t="shared" ca="1" si="57"/>
        <v/>
      </c>
      <c r="K1810" s="23">
        <f>IF(A1810="","",COUNTIFS(Resumen!$N$2:$N$2999,ROW(),Resumen!$V$2:$V$2999,1))</f>
        <v/>
      </c>
      <c r="L1810" s="26"/>
      <c r="N18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1" spans="1:14">
      <c r="A1811" s="16"/>
      <c r="B1811" s="16"/>
      <c r="C1811" s="25"/>
      <c r="D1811" s="25"/>
      <c r="E1811" s="16"/>
      <c r="F1811" s="18"/>
      <c r="G1811" s="19" t="str">
        <f t="shared" ca="1" si="56"/>
        <v/>
      </c>
      <c r="H1811" s="18"/>
      <c r="I1811" s="18"/>
      <c r="J1811" s="77" t="str">
        <f t="shared" ca="1" si="57"/>
        <v/>
      </c>
      <c r="K1811" s="23">
        <f>IF(A1811="","",COUNTIFS(Resumen!$N$2:$N$2999,ROW(),Resumen!$V$2:$V$2999,1))</f>
        <v/>
      </c>
      <c r="L1811" s="26"/>
      <c r="N18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2" spans="1:14">
      <c r="A1812" s="16"/>
      <c r="B1812" s="16"/>
      <c r="C1812" s="25"/>
      <c r="D1812" s="25"/>
      <c r="E1812" s="16"/>
      <c r="F1812" s="18"/>
      <c r="G1812" s="19" t="str">
        <f t="shared" ca="1" si="56"/>
        <v/>
      </c>
      <c r="H1812" s="18"/>
      <c r="I1812" s="18"/>
      <c r="J1812" s="77" t="str">
        <f t="shared" ca="1" si="57"/>
        <v/>
      </c>
      <c r="K1812" s="23">
        <f>IF(A1812="","",COUNTIFS(Resumen!$N$2:$N$2999,ROW(),Resumen!$V$2:$V$2999,1))</f>
        <v/>
      </c>
      <c r="L1812" s="26"/>
      <c r="N18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3" spans="1:14">
      <c r="A1813" s="16"/>
      <c r="B1813" s="16"/>
      <c r="C1813" s="25"/>
      <c r="D1813" s="25"/>
      <c r="E1813" s="16"/>
      <c r="F1813" s="18"/>
      <c r="G1813" s="19" t="str">
        <f t="shared" ca="1" si="56"/>
        <v/>
      </c>
      <c r="H1813" s="18"/>
      <c r="I1813" s="18"/>
      <c r="J1813" s="77" t="str">
        <f t="shared" ca="1" si="57"/>
        <v/>
      </c>
      <c r="K1813" s="23">
        <f>IF(A1813="","",COUNTIFS(Resumen!$N$2:$N$2999,ROW(),Resumen!$V$2:$V$2999,1))</f>
        <v/>
      </c>
      <c r="L1813" s="26"/>
      <c r="N18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4" spans="1:14">
      <c r="A1814" s="16"/>
      <c r="B1814" s="16"/>
      <c r="C1814" s="25"/>
      <c r="D1814" s="25"/>
      <c r="E1814" s="16"/>
      <c r="F1814" s="18"/>
      <c r="G1814" s="19" t="str">
        <f t="shared" ca="1" si="56"/>
        <v/>
      </c>
      <c r="H1814" s="18"/>
      <c r="I1814" s="18"/>
      <c r="J1814" s="77" t="str">
        <f t="shared" ca="1" si="57"/>
        <v/>
      </c>
      <c r="K1814" s="23">
        <f>IF(A1814="","",COUNTIFS(Resumen!$N$2:$N$2999,ROW(),Resumen!$V$2:$V$2999,1))</f>
        <v/>
      </c>
      <c r="L1814" s="26"/>
      <c r="N18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5" spans="1:14">
      <c r="A1815" s="16"/>
      <c r="B1815" s="16"/>
      <c r="C1815" s="25"/>
      <c r="D1815" s="25"/>
      <c r="E1815" s="16"/>
      <c r="F1815" s="18"/>
      <c r="G1815" s="19" t="str">
        <f t="shared" ca="1" si="56"/>
        <v/>
      </c>
      <c r="H1815" s="18"/>
      <c r="I1815" s="18"/>
      <c r="J1815" s="77" t="str">
        <f t="shared" ca="1" si="57"/>
        <v/>
      </c>
      <c r="K1815" s="23">
        <f>IF(A1815="","",COUNTIFS(Resumen!$N$2:$N$2999,ROW(),Resumen!$V$2:$V$2999,1))</f>
        <v/>
      </c>
      <c r="L1815" s="26"/>
      <c r="N18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6" spans="1:14">
      <c r="A1816" s="16"/>
      <c r="B1816" s="16"/>
      <c r="C1816" s="25"/>
      <c r="D1816" s="25"/>
      <c r="E1816" s="16"/>
      <c r="F1816" s="18"/>
      <c r="G1816" s="19" t="str">
        <f t="shared" ca="1" si="56"/>
        <v/>
      </c>
      <c r="H1816" s="18"/>
      <c r="I1816" s="18"/>
      <c r="J1816" s="77" t="str">
        <f t="shared" ca="1" si="57"/>
        <v/>
      </c>
      <c r="K1816" s="23">
        <f>IF(A1816="","",COUNTIFS(Resumen!$N$2:$N$2999,ROW(),Resumen!$V$2:$V$2999,1))</f>
        <v/>
      </c>
      <c r="L1816" s="26"/>
      <c r="N18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7" spans="1:14">
      <c r="A1817" s="16"/>
      <c r="B1817" s="16"/>
      <c r="C1817" s="25"/>
      <c r="D1817" s="25"/>
      <c r="E1817" s="16"/>
      <c r="F1817" s="18"/>
      <c r="G1817" s="19" t="str">
        <f t="shared" ca="1" si="56"/>
        <v/>
      </c>
      <c r="H1817" s="18"/>
      <c r="I1817" s="18"/>
      <c r="J1817" s="77" t="str">
        <f t="shared" ca="1" si="57"/>
        <v/>
      </c>
      <c r="K1817" s="23">
        <f>IF(A1817="","",COUNTIFS(Resumen!$N$2:$N$2999,ROW(),Resumen!$V$2:$V$2999,1))</f>
        <v/>
      </c>
      <c r="L1817" s="26"/>
      <c r="N18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8" spans="1:14">
      <c r="A1818" s="16"/>
      <c r="B1818" s="16"/>
      <c r="C1818" s="25"/>
      <c r="D1818" s="25"/>
      <c r="E1818" s="16"/>
      <c r="F1818" s="18"/>
      <c r="G1818" s="19" t="str">
        <f t="shared" ca="1" si="56"/>
        <v/>
      </c>
      <c r="H1818" s="18"/>
      <c r="I1818" s="18"/>
      <c r="J1818" s="77" t="str">
        <f t="shared" ca="1" si="57"/>
        <v/>
      </c>
      <c r="K1818" s="23">
        <f>IF(A1818="","",COUNTIFS(Resumen!$N$2:$N$2999,ROW(),Resumen!$V$2:$V$2999,1))</f>
        <v/>
      </c>
      <c r="L1818" s="26"/>
      <c r="N18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19" spans="1:14">
      <c r="A1819" s="16"/>
      <c r="B1819" s="16"/>
      <c r="C1819" s="25"/>
      <c r="D1819" s="25"/>
      <c r="E1819" s="16"/>
      <c r="F1819" s="18"/>
      <c r="G1819" s="19" t="str">
        <f t="shared" ca="1" si="56"/>
        <v/>
      </c>
      <c r="H1819" s="18"/>
      <c r="I1819" s="18"/>
      <c r="J1819" s="77" t="str">
        <f t="shared" ca="1" si="57"/>
        <v/>
      </c>
      <c r="K1819" s="23">
        <f>IF(A1819="","",COUNTIFS(Resumen!$N$2:$N$2999,ROW(),Resumen!$V$2:$V$2999,1))</f>
        <v/>
      </c>
      <c r="L1819" s="26"/>
      <c r="N18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0" spans="1:14">
      <c r="A1820" s="16"/>
      <c r="B1820" s="16"/>
      <c r="C1820" s="25"/>
      <c r="D1820" s="25"/>
      <c r="E1820" s="16"/>
      <c r="F1820" s="18"/>
      <c r="G1820" s="19" t="str">
        <f t="shared" ca="1" si="56"/>
        <v/>
      </c>
      <c r="H1820" s="18"/>
      <c r="I1820" s="18"/>
      <c r="J1820" s="77" t="str">
        <f t="shared" ca="1" si="57"/>
        <v/>
      </c>
      <c r="K1820" s="23">
        <f>IF(A1820="","",COUNTIFS(Resumen!$N$2:$N$2999,ROW(),Resumen!$V$2:$V$2999,1))</f>
        <v/>
      </c>
      <c r="L1820" s="26"/>
      <c r="N18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1" spans="1:14">
      <c r="A1821" s="16"/>
      <c r="B1821" s="16"/>
      <c r="C1821" s="25"/>
      <c r="D1821" s="25"/>
      <c r="E1821" s="16"/>
      <c r="F1821" s="18"/>
      <c r="G1821" s="19" t="str">
        <f t="shared" ca="1" si="56"/>
        <v/>
      </c>
      <c r="H1821" s="18"/>
      <c r="I1821" s="18"/>
      <c r="J1821" s="77" t="str">
        <f t="shared" ca="1" si="57"/>
        <v/>
      </c>
      <c r="K1821" s="23">
        <f>IF(A1821="","",COUNTIFS(Resumen!$N$2:$N$2999,ROW(),Resumen!$V$2:$V$2999,1))</f>
        <v/>
      </c>
      <c r="L1821" s="26"/>
      <c r="N18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2" spans="1:14">
      <c r="A1822" s="16"/>
      <c r="B1822" s="16"/>
      <c r="C1822" s="25"/>
      <c r="D1822" s="25"/>
      <c r="E1822" s="16"/>
      <c r="F1822" s="18"/>
      <c r="G1822" s="19" t="str">
        <f t="shared" ca="1" si="56"/>
        <v/>
      </c>
      <c r="H1822" s="18"/>
      <c r="I1822" s="18"/>
      <c r="J1822" s="77" t="str">
        <f t="shared" ca="1" si="57"/>
        <v/>
      </c>
      <c r="K1822" s="23">
        <f>IF(A1822="","",COUNTIFS(Resumen!$N$2:$N$2999,ROW(),Resumen!$V$2:$V$2999,1))</f>
        <v/>
      </c>
      <c r="L1822" s="26"/>
      <c r="N18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3" spans="1:14">
      <c r="A1823" s="16"/>
      <c r="B1823" s="16"/>
      <c r="C1823" s="25"/>
      <c r="D1823" s="25"/>
      <c r="E1823" s="16"/>
      <c r="F1823" s="18"/>
      <c r="G1823" s="19" t="str">
        <f t="shared" ca="1" si="56"/>
        <v/>
      </c>
      <c r="H1823" s="18"/>
      <c r="I1823" s="18"/>
      <c r="J1823" s="77" t="str">
        <f t="shared" ca="1" si="57"/>
        <v/>
      </c>
      <c r="K1823" s="23">
        <f>IF(A1823="","",COUNTIFS(Resumen!$N$2:$N$2999,ROW(),Resumen!$V$2:$V$2999,1))</f>
        <v/>
      </c>
      <c r="L1823" s="26"/>
      <c r="N18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4" spans="1:14">
      <c r="A1824" s="16"/>
      <c r="B1824" s="16"/>
      <c r="C1824" s="25"/>
      <c r="D1824" s="25"/>
      <c r="E1824" s="16"/>
      <c r="F1824" s="18"/>
      <c r="G1824" s="19" t="str">
        <f t="shared" ca="1" si="56"/>
        <v/>
      </c>
      <c r="H1824" s="18"/>
      <c r="I1824" s="18"/>
      <c r="J1824" s="77" t="str">
        <f t="shared" ca="1" si="57"/>
        <v/>
      </c>
      <c r="K1824" s="23">
        <f>IF(A1824="","",COUNTIFS(Resumen!$N$2:$N$2999,ROW(),Resumen!$V$2:$V$2999,1))</f>
        <v/>
      </c>
      <c r="L1824" s="26"/>
      <c r="N18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5" spans="1:14">
      <c r="A1825" s="16"/>
      <c r="B1825" s="16"/>
      <c r="C1825" s="25"/>
      <c r="D1825" s="25"/>
      <c r="E1825" s="16"/>
      <c r="F1825" s="18"/>
      <c r="G1825" s="19" t="str">
        <f t="shared" ca="1" si="56"/>
        <v/>
      </c>
      <c r="H1825" s="18"/>
      <c r="I1825" s="18"/>
      <c r="J1825" s="77" t="str">
        <f t="shared" ca="1" si="57"/>
        <v/>
      </c>
      <c r="K1825" s="23">
        <f>IF(A1825="","",COUNTIFS(Resumen!$N$2:$N$2999,ROW(),Resumen!$V$2:$V$2999,1))</f>
        <v/>
      </c>
      <c r="L1825" s="26"/>
      <c r="N18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6" spans="1:14">
      <c r="A1826" s="16"/>
      <c r="B1826" s="16"/>
      <c r="C1826" s="25"/>
      <c r="D1826" s="25"/>
      <c r="E1826" s="16"/>
      <c r="F1826" s="18"/>
      <c r="G1826" s="19" t="str">
        <f t="shared" ca="1" si="56"/>
        <v/>
      </c>
      <c r="H1826" s="18"/>
      <c r="I1826" s="18"/>
      <c r="J1826" s="77" t="str">
        <f t="shared" ca="1" si="57"/>
        <v/>
      </c>
      <c r="K1826" s="23">
        <f>IF(A1826="","",COUNTIFS(Resumen!$N$2:$N$2999,ROW(),Resumen!$V$2:$V$2999,1))</f>
        <v/>
      </c>
      <c r="L1826" s="26"/>
      <c r="N18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7" spans="1:14">
      <c r="A1827" s="16"/>
      <c r="B1827" s="16"/>
      <c r="C1827" s="25"/>
      <c r="D1827" s="25"/>
      <c r="E1827" s="16"/>
      <c r="F1827" s="18"/>
      <c r="G1827" s="19" t="str">
        <f t="shared" ca="1" si="56"/>
        <v/>
      </c>
      <c r="H1827" s="18"/>
      <c r="I1827" s="18"/>
      <c r="J1827" s="77" t="str">
        <f t="shared" ca="1" si="57"/>
        <v/>
      </c>
      <c r="K1827" s="23">
        <f>IF(A1827="","",COUNTIFS(Resumen!$N$2:$N$2999,ROW(),Resumen!$V$2:$V$2999,1))</f>
        <v/>
      </c>
      <c r="L1827" s="26"/>
      <c r="N18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8" spans="1:14">
      <c r="A1828" s="16"/>
      <c r="B1828" s="16"/>
      <c r="C1828" s="25"/>
      <c r="D1828" s="25"/>
      <c r="E1828" s="16"/>
      <c r="F1828" s="18"/>
      <c r="G1828" s="19" t="str">
        <f t="shared" ca="1" si="56"/>
        <v/>
      </c>
      <c r="H1828" s="18"/>
      <c r="I1828" s="18"/>
      <c r="J1828" s="77" t="str">
        <f t="shared" ca="1" si="57"/>
        <v/>
      </c>
      <c r="K1828" s="23">
        <f>IF(A1828="","",COUNTIFS(Resumen!$N$2:$N$2999,ROW(),Resumen!$V$2:$V$2999,1))</f>
        <v/>
      </c>
      <c r="L1828" s="26"/>
      <c r="N18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29" spans="1:14">
      <c r="A1829" s="16"/>
      <c r="B1829" s="16"/>
      <c r="C1829" s="25"/>
      <c r="D1829" s="25"/>
      <c r="E1829" s="16"/>
      <c r="F1829" s="18"/>
      <c r="G1829" s="19" t="str">
        <f t="shared" ca="1" si="56"/>
        <v/>
      </c>
      <c r="H1829" s="18"/>
      <c r="I1829" s="18"/>
      <c r="J1829" s="77" t="str">
        <f t="shared" ca="1" si="57"/>
        <v/>
      </c>
      <c r="K1829" s="23">
        <f>IF(A1829="","",COUNTIFS(Resumen!$N$2:$N$2999,ROW(),Resumen!$V$2:$V$2999,1))</f>
        <v/>
      </c>
      <c r="L1829" s="26"/>
      <c r="N18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0" spans="1:14">
      <c r="A1830" s="16"/>
      <c r="B1830" s="16"/>
      <c r="C1830" s="25"/>
      <c r="D1830" s="25"/>
      <c r="E1830" s="16"/>
      <c r="F1830" s="18"/>
      <c r="G1830" s="19" t="str">
        <f t="shared" ca="1" si="56"/>
        <v/>
      </c>
      <c r="H1830" s="18"/>
      <c r="I1830" s="18"/>
      <c r="J1830" s="77" t="str">
        <f t="shared" ca="1" si="57"/>
        <v/>
      </c>
      <c r="K1830" s="23">
        <f>IF(A1830="","",COUNTIFS(Resumen!$N$2:$N$2999,ROW(),Resumen!$V$2:$V$2999,1))</f>
        <v/>
      </c>
      <c r="L1830" s="26"/>
      <c r="N18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1" spans="1:14">
      <c r="A1831" s="16"/>
      <c r="B1831" s="16"/>
      <c r="C1831" s="25"/>
      <c r="D1831" s="25"/>
      <c r="E1831" s="16"/>
      <c r="F1831" s="18"/>
      <c r="G1831" s="19" t="str">
        <f t="shared" ca="1" si="56"/>
        <v/>
      </c>
      <c r="H1831" s="18"/>
      <c r="I1831" s="18"/>
      <c r="J1831" s="77" t="str">
        <f t="shared" ca="1" si="57"/>
        <v/>
      </c>
      <c r="K1831" s="23">
        <f>IF(A1831="","",COUNTIFS(Resumen!$N$2:$N$2999,ROW(),Resumen!$V$2:$V$2999,1))</f>
        <v/>
      </c>
      <c r="L1831" s="26"/>
      <c r="N18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2" spans="1:14">
      <c r="A1832" s="16"/>
      <c r="B1832" s="16"/>
      <c r="C1832" s="25"/>
      <c r="D1832" s="25"/>
      <c r="E1832" s="16"/>
      <c r="F1832" s="18"/>
      <c r="G1832" s="19" t="str">
        <f t="shared" ca="1" si="56"/>
        <v/>
      </c>
      <c r="H1832" s="18"/>
      <c r="I1832" s="18"/>
      <c r="J1832" s="77" t="str">
        <f t="shared" ca="1" si="57"/>
        <v/>
      </c>
      <c r="K1832" s="23">
        <f>IF(A1832="","",COUNTIFS(Resumen!$N$2:$N$2999,ROW(),Resumen!$V$2:$V$2999,1))</f>
        <v/>
      </c>
      <c r="L1832" s="26"/>
      <c r="N18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3" spans="1:14">
      <c r="A1833" s="16"/>
      <c r="B1833" s="16"/>
      <c r="C1833" s="25"/>
      <c r="D1833" s="25"/>
      <c r="E1833" s="16"/>
      <c r="F1833" s="18"/>
      <c r="G1833" s="19" t="str">
        <f t="shared" ca="1" si="56"/>
        <v/>
      </c>
      <c r="H1833" s="18"/>
      <c r="I1833" s="18"/>
      <c r="J1833" s="77" t="str">
        <f t="shared" ca="1" si="57"/>
        <v/>
      </c>
      <c r="K1833" s="23">
        <f>IF(A1833="","",COUNTIFS(Resumen!$N$2:$N$2999,ROW(),Resumen!$V$2:$V$2999,1))</f>
        <v/>
      </c>
      <c r="L1833" s="26"/>
      <c r="N18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4" spans="1:14">
      <c r="A1834" s="16"/>
      <c r="B1834" s="16"/>
      <c r="C1834" s="25"/>
      <c r="D1834" s="25"/>
      <c r="E1834" s="16"/>
      <c r="F1834" s="18"/>
      <c r="G1834" s="19" t="str">
        <f t="shared" ca="1" si="56"/>
        <v/>
      </c>
      <c r="H1834" s="18"/>
      <c r="I1834" s="18"/>
      <c r="J1834" s="77" t="str">
        <f t="shared" ca="1" si="57"/>
        <v/>
      </c>
      <c r="K1834" s="23">
        <f>IF(A1834="","",COUNTIFS(Resumen!$N$2:$N$2999,ROW(),Resumen!$V$2:$V$2999,1))</f>
        <v/>
      </c>
      <c r="L1834" s="26"/>
      <c r="N18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5" spans="1:14">
      <c r="A1835" s="16"/>
      <c r="B1835" s="16"/>
      <c r="C1835" s="25"/>
      <c r="D1835" s="25"/>
      <c r="E1835" s="16"/>
      <c r="F1835" s="18"/>
      <c r="G1835" s="19" t="str">
        <f t="shared" ca="1" si="56"/>
        <v/>
      </c>
      <c r="H1835" s="18"/>
      <c r="I1835" s="18"/>
      <c r="J1835" s="77" t="str">
        <f t="shared" ca="1" si="57"/>
        <v/>
      </c>
      <c r="K1835" s="23">
        <f>IF(A1835="","",COUNTIFS(Resumen!$N$2:$N$2999,ROW(),Resumen!$V$2:$V$2999,1))</f>
        <v/>
      </c>
      <c r="L1835" s="26"/>
      <c r="N18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6" spans="1:14">
      <c r="A1836" s="16"/>
      <c r="B1836" s="16"/>
      <c r="C1836" s="25"/>
      <c r="D1836" s="25"/>
      <c r="E1836" s="16"/>
      <c r="F1836" s="18"/>
      <c r="G1836" s="19" t="str">
        <f t="shared" ca="1" si="56"/>
        <v/>
      </c>
      <c r="H1836" s="18"/>
      <c r="I1836" s="18"/>
      <c r="J1836" s="77" t="str">
        <f t="shared" ca="1" si="57"/>
        <v/>
      </c>
      <c r="K1836" s="23">
        <f>IF(A1836="","",COUNTIFS(Resumen!$N$2:$N$2999,ROW(),Resumen!$V$2:$V$2999,1))</f>
        <v/>
      </c>
      <c r="L1836" s="26"/>
      <c r="N18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7" spans="1:14">
      <c r="A1837" s="16"/>
      <c r="B1837" s="16"/>
      <c r="C1837" s="25"/>
      <c r="D1837" s="25"/>
      <c r="E1837" s="16"/>
      <c r="F1837" s="18"/>
      <c r="G1837" s="19" t="str">
        <f t="shared" ca="1" si="56"/>
        <v/>
      </c>
      <c r="H1837" s="18"/>
      <c r="I1837" s="18"/>
      <c r="J1837" s="77" t="str">
        <f t="shared" ca="1" si="57"/>
        <v/>
      </c>
      <c r="K1837" s="23">
        <f>IF(A1837="","",COUNTIFS(Resumen!$N$2:$N$2999,ROW(),Resumen!$V$2:$V$2999,1))</f>
        <v/>
      </c>
      <c r="L1837" s="26"/>
      <c r="N18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8" spans="1:14">
      <c r="A1838" s="16"/>
      <c r="B1838" s="16"/>
      <c r="C1838" s="25"/>
      <c r="D1838" s="25"/>
      <c r="E1838" s="16"/>
      <c r="F1838" s="18"/>
      <c r="G1838" s="19" t="str">
        <f t="shared" ca="1" si="56"/>
        <v/>
      </c>
      <c r="H1838" s="18"/>
      <c r="I1838" s="18"/>
      <c r="J1838" s="77" t="str">
        <f t="shared" ca="1" si="57"/>
        <v/>
      </c>
      <c r="K1838" s="23">
        <f>IF(A1838="","",COUNTIFS(Resumen!$N$2:$N$2999,ROW(),Resumen!$V$2:$V$2999,1))</f>
        <v/>
      </c>
      <c r="L1838" s="26"/>
      <c r="N18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39" spans="1:14">
      <c r="A1839" s="16"/>
      <c r="B1839" s="16"/>
      <c r="C1839" s="25"/>
      <c r="D1839" s="25"/>
      <c r="E1839" s="16"/>
      <c r="F1839" s="18"/>
      <c r="G1839" s="19" t="str">
        <f t="shared" ca="1" si="56"/>
        <v/>
      </c>
      <c r="H1839" s="18"/>
      <c r="I1839" s="18"/>
      <c r="J1839" s="77" t="str">
        <f t="shared" ca="1" si="57"/>
        <v/>
      </c>
      <c r="K1839" s="23">
        <f>IF(A1839="","",COUNTIFS(Resumen!$N$2:$N$2999,ROW(),Resumen!$V$2:$V$2999,1))</f>
        <v/>
      </c>
      <c r="L1839" s="26"/>
      <c r="N18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0" spans="1:14">
      <c r="A1840" s="16"/>
      <c r="B1840" s="16"/>
      <c r="C1840" s="25"/>
      <c r="D1840" s="25"/>
      <c r="E1840" s="16"/>
      <c r="F1840" s="18"/>
      <c r="G1840" s="19" t="str">
        <f t="shared" ca="1" si="56"/>
        <v/>
      </c>
      <c r="H1840" s="18"/>
      <c r="I1840" s="18"/>
      <c r="J1840" s="77" t="str">
        <f t="shared" ca="1" si="57"/>
        <v/>
      </c>
      <c r="K1840" s="23">
        <f>IF(A1840="","",COUNTIFS(Resumen!$N$2:$N$2999,ROW(),Resumen!$V$2:$V$2999,1))</f>
        <v/>
      </c>
      <c r="L1840" s="26"/>
      <c r="N18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1" spans="1:14">
      <c r="A1841" s="16"/>
      <c r="B1841" s="16"/>
      <c r="C1841" s="25"/>
      <c r="D1841" s="25"/>
      <c r="E1841" s="16"/>
      <c r="F1841" s="18"/>
      <c r="G1841" s="19" t="str">
        <f t="shared" ca="1" si="56"/>
        <v/>
      </c>
      <c r="H1841" s="18"/>
      <c r="I1841" s="18"/>
      <c r="J1841" s="77" t="str">
        <f t="shared" ca="1" si="57"/>
        <v/>
      </c>
      <c r="K1841" s="23">
        <f>IF(A1841="","",COUNTIFS(Resumen!$N$2:$N$2999,ROW(),Resumen!$V$2:$V$2999,1))</f>
        <v/>
      </c>
      <c r="L1841" s="26"/>
      <c r="N18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2" spans="1:14">
      <c r="A1842" s="16"/>
      <c r="B1842" s="16"/>
      <c r="C1842" s="25"/>
      <c r="D1842" s="25"/>
      <c r="E1842" s="16"/>
      <c r="F1842" s="18"/>
      <c r="G1842" s="19" t="str">
        <f t="shared" ca="1" si="56"/>
        <v/>
      </c>
      <c r="H1842" s="18"/>
      <c r="I1842" s="18"/>
      <c r="J1842" s="77" t="str">
        <f t="shared" ca="1" si="57"/>
        <v/>
      </c>
      <c r="K1842" s="23">
        <f>IF(A1842="","",COUNTIFS(Resumen!$N$2:$N$2999,ROW(),Resumen!$V$2:$V$2999,1))</f>
        <v/>
      </c>
      <c r="L1842" s="26"/>
      <c r="N18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3" spans="1:14">
      <c r="A1843" s="16"/>
      <c r="B1843" s="16"/>
      <c r="C1843" s="25"/>
      <c r="D1843" s="25"/>
      <c r="E1843" s="16"/>
      <c r="F1843" s="18"/>
      <c r="G1843" s="19" t="str">
        <f t="shared" ca="1" si="56"/>
        <v/>
      </c>
      <c r="H1843" s="18"/>
      <c r="I1843" s="18"/>
      <c r="J1843" s="77" t="str">
        <f t="shared" ca="1" si="57"/>
        <v/>
      </c>
      <c r="K1843" s="23">
        <f>IF(A1843="","",COUNTIFS(Resumen!$N$2:$N$2999,ROW(),Resumen!$V$2:$V$2999,1))</f>
        <v/>
      </c>
      <c r="L1843" s="26"/>
      <c r="N18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4" spans="1:14">
      <c r="A1844" s="16"/>
      <c r="B1844" s="16"/>
      <c r="C1844" s="25"/>
      <c r="D1844" s="25"/>
      <c r="E1844" s="16"/>
      <c r="F1844" s="18"/>
      <c r="G1844" s="19" t="str">
        <f t="shared" ca="1" si="56"/>
        <v/>
      </c>
      <c r="H1844" s="18"/>
      <c r="I1844" s="18"/>
      <c r="J1844" s="77" t="str">
        <f t="shared" ca="1" si="57"/>
        <v/>
      </c>
      <c r="K1844" s="23">
        <f>IF(A1844="","",COUNTIFS(Resumen!$N$2:$N$2999,ROW(),Resumen!$V$2:$V$2999,1))</f>
        <v/>
      </c>
      <c r="L1844" s="26"/>
      <c r="N18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5" spans="1:14">
      <c r="A1845" s="16"/>
      <c r="B1845" s="16"/>
      <c r="C1845" s="25"/>
      <c r="D1845" s="25"/>
      <c r="E1845" s="16"/>
      <c r="F1845" s="18"/>
      <c r="G1845" s="19" t="str">
        <f t="shared" ca="1" si="56"/>
        <v/>
      </c>
      <c r="H1845" s="18"/>
      <c r="I1845" s="18"/>
      <c r="J1845" s="77" t="str">
        <f t="shared" ca="1" si="57"/>
        <v/>
      </c>
      <c r="K1845" s="23">
        <f>IF(A1845="","",COUNTIFS(Resumen!$N$2:$N$2999,ROW(),Resumen!$V$2:$V$2999,1))</f>
        <v/>
      </c>
      <c r="L1845" s="26"/>
      <c r="N18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6" spans="1:14">
      <c r="A1846" s="16"/>
      <c r="B1846" s="16"/>
      <c r="C1846" s="25"/>
      <c r="D1846" s="25"/>
      <c r="E1846" s="16"/>
      <c r="F1846" s="18"/>
      <c r="G1846" s="19" t="str">
        <f t="shared" ca="1" si="56"/>
        <v/>
      </c>
      <c r="H1846" s="18"/>
      <c r="I1846" s="18"/>
      <c r="J1846" s="77" t="str">
        <f t="shared" ca="1" si="57"/>
        <v/>
      </c>
      <c r="K1846" s="23">
        <f>IF(A1846="","",COUNTIFS(Resumen!$N$2:$N$2999,ROW(),Resumen!$V$2:$V$2999,1))</f>
        <v/>
      </c>
      <c r="L1846" s="26"/>
      <c r="N18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7" spans="1:14">
      <c r="A1847" s="16"/>
      <c r="B1847" s="16"/>
      <c r="C1847" s="25"/>
      <c r="D1847" s="25"/>
      <c r="E1847" s="16"/>
      <c r="F1847" s="18"/>
      <c r="G1847" s="19" t="str">
        <f t="shared" ca="1" si="56"/>
        <v/>
      </c>
      <c r="H1847" s="18"/>
      <c r="I1847" s="18"/>
      <c r="J1847" s="77" t="str">
        <f t="shared" ca="1" si="57"/>
        <v/>
      </c>
      <c r="K1847" s="23">
        <f>IF(A1847="","",COUNTIFS(Resumen!$N$2:$N$2999,ROW(),Resumen!$V$2:$V$2999,1))</f>
        <v/>
      </c>
      <c r="L1847" s="26"/>
      <c r="N18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8" spans="1:14">
      <c r="A1848" s="16"/>
      <c r="B1848" s="16"/>
      <c r="C1848" s="25"/>
      <c r="D1848" s="25"/>
      <c r="E1848" s="16"/>
      <c r="F1848" s="18"/>
      <c r="G1848" s="19" t="str">
        <f t="shared" ca="1" si="56"/>
        <v/>
      </c>
      <c r="H1848" s="18"/>
      <c r="I1848" s="18"/>
      <c r="J1848" s="77" t="str">
        <f t="shared" ca="1" si="57"/>
        <v/>
      </c>
      <c r="K1848" s="23">
        <f>IF(A1848="","",COUNTIFS(Resumen!$N$2:$N$2999,ROW(),Resumen!$V$2:$V$2999,1))</f>
        <v/>
      </c>
      <c r="L1848" s="26"/>
      <c r="N18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49" spans="1:14">
      <c r="A1849" s="16"/>
      <c r="B1849" s="16"/>
      <c r="C1849" s="25"/>
      <c r="D1849" s="25"/>
      <c r="E1849" s="16"/>
      <c r="F1849" s="18"/>
      <c r="G1849" s="19" t="str">
        <f t="shared" ca="1" si="56"/>
        <v/>
      </c>
      <c r="H1849" s="18"/>
      <c r="I1849" s="18"/>
      <c r="J1849" s="77" t="str">
        <f t="shared" ca="1" si="57"/>
        <v/>
      </c>
      <c r="K1849" s="23">
        <f>IF(A1849="","",COUNTIFS(Resumen!$N$2:$N$2999,ROW(),Resumen!$V$2:$V$2999,1))</f>
        <v/>
      </c>
      <c r="L1849" s="26"/>
      <c r="N18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0" spans="1:14">
      <c r="A1850" s="16"/>
      <c r="B1850" s="16"/>
      <c r="C1850" s="25"/>
      <c r="D1850" s="25"/>
      <c r="E1850" s="16"/>
      <c r="F1850" s="18"/>
      <c r="G1850" s="19" t="str">
        <f t="shared" ca="1" si="56"/>
        <v/>
      </c>
      <c r="H1850" s="18"/>
      <c r="I1850" s="18"/>
      <c r="J1850" s="77" t="str">
        <f t="shared" ca="1" si="57"/>
        <v/>
      </c>
      <c r="K1850" s="23">
        <f>IF(A1850="","",COUNTIFS(Resumen!$N$2:$N$2999,ROW(),Resumen!$V$2:$V$2999,1))</f>
        <v/>
      </c>
      <c r="L1850" s="26"/>
      <c r="N18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1" spans="1:14">
      <c r="A1851" s="16"/>
      <c r="B1851" s="16"/>
      <c r="C1851" s="25"/>
      <c r="D1851" s="25"/>
      <c r="E1851" s="16"/>
      <c r="F1851" s="18"/>
      <c r="G1851" s="19" t="str">
        <f t="shared" ca="1" si="56"/>
        <v/>
      </c>
      <c r="H1851" s="18"/>
      <c r="I1851" s="18"/>
      <c r="J1851" s="77" t="str">
        <f t="shared" ca="1" si="57"/>
        <v/>
      </c>
      <c r="K1851" s="23">
        <f>IF(A1851="","",COUNTIFS(Resumen!$N$2:$N$2999,ROW(),Resumen!$V$2:$V$2999,1))</f>
        <v/>
      </c>
      <c r="L1851" s="26"/>
      <c r="N18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2" spans="1:14">
      <c r="A1852" s="16"/>
      <c r="B1852" s="16"/>
      <c r="C1852" s="25"/>
      <c r="D1852" s="25"/>
      <c r="E1852" s="16"/>
      <c r="F1852" s="18"/>
      <c r="G1852" s="19" t="str">
        <f t="shared" ca="1" si="56"/>
        <v/>
      </c>
      <c r="H1852" s="18"/>
      <c r="I1852" s="18"/>
      <c r="J1852" s="77" t="str">
        <f t="shared" ca="1" si="57"/>
        <v/>
      </c>
      <c r="K1852" s="23">
        <f>IF(A1852="","",COUNTIFS(Resumen!$N$2:$N$2999,ROW(),Resumen!$V$2:$V$2999,1))</f>
        <v/>
      </c>
      <c r="L1852" s="26"/>
      <c r="N18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3" spans="1:14">
      <c r="A1853" s="16"/>
      <c r="B1853" s="16"/>
      <c r="C1853" s="25"/>
      <c r="D1853" s="25"/>
      <c r="E1853" s="16"/>
      <c r="F1853" s="18"/>
      <c r="G1853" s="19" t="str">
        <f t="shared" ca="1" si="56"/>
        <v/>
      </c>
      <c r="H1853" s="18"/>
      <c r="I1853" s="18"/>
      <c r="J1853" s="77" t="str">
        <f t="shared" ca="1" si="57"/>
        <v/>
      </c>
      <c r="K1853" s="23">
        <f>IF(A1853="","",COUNTIFS(Resumen!$N$2:$N$2999,ROW(),Resumen!$V$2:$V$2999,1))</f>
        <v/>
      </c>
      <c r="L1853" s="26"/>
      <c r="N18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4" spans="1:14">
      <c r="A1854" s="16"/>
      <c r="B1854" s="16"/>
      <c r="C1854" s="25"/>
      <c r="D1854" s="25"/>
      <c r="E1854" s="16"/>
      <c r="F1854" s="18"/>
      <c r="G1854" s="19" t="str">
        <f t="shared" ca="1" si="56"/>
        <v/>
      </c>
      <c r="H1854" s="18"/>
      <c r="I1854" s="18"/>
      <c r="J1854" s="77" t="str">
        <f t="shared" ca="1" si="57"/>
        <v/>
      </c>
      <c r="K1854" s="23">
        <f>IF(A1854="","",COUNTIFS(Resumen!$N$2:$N$2999,ROW(),Resumen!$V$2:$V$2999,1))</f>
        <v/>
      </c>
      <c r="L1854" s="26"/>
      <c r="N18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5" spans="1:14">
      <c r="A1855" s="16"/>
      <c r="B1855" s="16"/>
      <c r="C1855" s="25"/>
      <c r="D1855" s="25"/>
      <c r="E1855" s="16"/>
      <c r="F1855" s="18"/>
      <c r="G1855" s="19" t="str">
        <f t="shared" ca="1" si="56"/>
        <v/>
      </c>
      <c r="H1855" s="18"/>
      <c r="I1855" s="18"/>
      <c r="J1855" s="77" t="str">
        <f t="shared" ca="1" si="57"/>
        <v/>
      </c>
      <c r="K1855" s="23">
        <f>IF(A1855="","",COUNTIFS(Resumen!$N$2:$N$2999,ROW(),Resumen!$V$2:$V$2999,1))</f>
        <v/>
      </c>
      <c r="L1855" s="26"/>
      <c r="N18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6" spans="1:14">
      <c r="A1856" s="16"/>
      <c r="B1856" s="16"/>
      <c r="C1856" s="25"/>
      <c r="D1856" s="25"/>
      <c r="E1856" s="16"/>
      <c r="F1856" s="18"/>
      <c r="G1856" s="19" t="str">
        <f t="shared" ca="1" si="56"/>
        <v/>
      </c>
      <c r="H1856" s="18"/>
      <c r="I1856" s="18"/>
      <c r="J1856" s="77" t="str">
        <f t="shared" ca="1" si="57"/>
        <v/>
      </c>
      <c r="K1856" s="23">
        <f>IF(A1856="","",COUNTIFS(Resumen!$N$2:$N$2999,ROW(),Resumen!$V$2:$V$2999,1))</f>
        <v/>
      </c>
      <c r="L1856" s="26"/>
      <c r="N18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7" spans="1:14">
      <c r="A1857" s="16"/>
      <c r="B1857" s="16"/>
      <c r="C1857" s="25"/>
      <c r="D1857" s="25"/>
      <c r="E1857" s="16"/>
      <c r="F1857" s="18"/>
      <c r="G1857" s="19" t="str">
        <f t="shared" ca="1" si="56"/>
        <v/>
      </c>
      <c r="H1857" s="18"/>
      <c r="I1857" s="18"/>
      <c r="J1857" s="77" t="str">
        <f t="shared" ca="1" si="57"/>
        <v/>
      </c>
      <c r="K1857" s="23">
        <f>IF(A1857="","",COUNTIFS(Resumen!$N$2:$N$2999,ROW(),Resumen!$V$2:$V$2999,1))</f>
        <v/>
      </c>
      <c r="L1857" s="26"/>
      <c r="N18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8" spans="1:14">
      <c r="A1858" s="16"/>
      <c r="B1858" s="16"/>
      <c r="C1858" s="25"/>
      <c r="D1858" s="25"/>
      <c r="E1858" s="16"/>
      <c r="F1858" s="18"/>
      <c r="G1858" s="19" t="str">
        <f t="shared" ref="G1858:G1921" ca="1" si="58">IF(F1858="", "", DATEDIF(F1858, TODAY(), "Y"))</f>
        <v/>
      </c>
      <c r="H1858" s="18"/>
      <c r="I1858" s="18"/>
      <c r="J1858" s="77" t="str">
        <f t="shared" ref="J1858:J1921" ca="1" si="59">IFERROR(IF(ISNUMBER(INDEX(VigenciasFamilia,ROW())),INDEX(VigenciasFamilia,ROW())-TODAY(),""),"")</f>
        <v/>
      </c>
      <c r="K1858" s="23">
        <f>IF(A1858="","",COUNTIFS(Resumen!$N$2:$N$2999,ROW(),Resumen!$V$2:$V$2999,1))</f>
        <v/>
      </c>
      <c r="L1858" s="26"/>
      <c r="N18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59" spans="1:14">
      <c r="A1859" s="16"/>
      <c r="B1859" s="16"/>
      <c r="C1859" s="25"/>
      <c r="D1859" s="25"/>
      <c r="E1859" s="16"/>
      <c r="F1859" s="18"/>
      <c r="G1859" s="19" t="str">
        <f t="shared" ca="1" si="58"/>
        <v/>
      </c>
      <c r="H1859" s="18"/>
      <c r="I1859" s="18"/>
      <c r="J1859" s="77" t="str">
        <f t="shared" ca="1" si="59"/>
        <v/>
      </c>
      <c r="K1859" s="23">
        <f>IF(A1859="","",COUNTIFS(Resumen!$N$2:$N$2999,ROW(),Resumen!$V$2:$V$2999,1))</f>
        <v/>
      </c>
      <c r="L1859" s="26"/>
      <c r="N18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0" spans="1:14">
      <c r="A1860" s="16"/>
      <c r="B1860" s="16"/>
      <c r="C1860" s="25"/>
      <c r="D1860" s="25"/>
      <c r="E1860" s="16"/>
      <c r="F1860" s="18"/>
      <c r="G1860" s="19" t="str">
        <f t="shared" ca="1" si="58"/>
        <v/>
      </c>
      <c r="H1860" s="18"/>
      <c r="I1860" s="18"/>
      <c r="J1860" s="77" t="str">
        <f t="shared" ca="1" si="59"/>
        <v/>
      </c>
      <c r="K1860" s="23">
        <f>IF(A1860="","",COUNTIFS(Resumen!$N$2:$N$2999,ROW(),Resumen!$V$2:$V$2999,1))</f>
        <v/>
      </c>
      <c r="L1860" s="26"/>
      <c r="N18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1" spans="1:14">
      <c r="A1861" s="16"/>
      <c r="B1861" s="16"/>
      <c r="C1861" s="25"/>
      <c r="D1861" s="25"/>
      <c r="E1861" s="16"/>
      <c r="F1861" s="18"/>
      <c r="G1861" s="19" t="str">
        <f t="shared" ca="1" si="58"/>
        <v/>
      </c>
      <c r="H1861" s="18"/>
      <c r="I1861" s="18"/>
      <c r="J1861" s="77" t="str">
        <f t="shared" ca="1" si="59"/>
        <v/>
      </c>
      <c r="K1861" s="23">
        <f>IF(A1861="","",COUNTIFS(Resumen!$N$2:$N$2999,ROW(),Resumen!$V$2:$V$2999,1))</f>
        <v/>
      </c>
      <c r="L1861" s="26"/>
      <c r="N18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2" spans="1:14">
      <c r="A1862" s="16"/>
      <c r="B1862" s="16"/>
      <c r="C1862" s="25"/>
      <c r="D1862" s="25"/>
      <c r="E1862" s="16"/>
      <c r="F1862" s="18"/>
      <c r="G1862" s="19" t="str">
        <f t="shared" ca="1" si="58"/>
        <v/>
      </c>
      <c r="H1862" s="18"/>
      <c r="I1862" s="18"/>
      <c r="J1862" s="77" t="str">
        <f t="shared" ca="1" si="59"/>
        <v/>
      </c>
      <c r="K1862" s="23">
        <f>IF(A1862="","",COUNTIFS(Resumen!$N$2:$N$2999,ROW(),Resumen!$V$2:$V$2999,1))</f>
        <v/>
      </c>
      <c r="L1862" s="26"/>
      <c r="N18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3" spans="1:14">
      <c r="A1863" s="16"/>
      <c r="B1863" s="16"/>
      <c r="C1863" s="25"/>
      <c r="D1863" s="25"/>
      <c r="E1863" s="16"/>
      <c r="F1863" s="18"/>
      <c r="G1863" s="19" t="str">
        <f t="shared" ca="1" si="58"/>
        <v/>
      </c>
      <c r="H1863" s="18"/>
      <c r="I1863" s="18"/>
      <c r="J1863" s="77" t="str">
        <f t="shared" ca="1" si="59"/>
        <v/>
      </c>
      <c r="K1863" s="23">
        <f>IF(A1863="","",COUNTIFS(Resumen!$N$2:$N$2999,ROW(),Resumen!$V$2:$V$2999,1))</f>
        <v/>
      </c>
      <c r="L1863" s="26"/>
      <c r="N18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4" spans="1:14">
      <c r="A1864" s="16"/>
      <c r="B1864" s="16"/>
      <c r="C1864" s="25"/>
      <c r="D1864" s="25"/>
      <c r="E1864" s="16"/>
      <c r="F1864" s="18"/>
      <c r="G1864" s="19" t="str">
        <f t="shared" ca="1" si="58"/>
        <v/>
      </c>
      <c r="H1864" s="18"/>
      <c r="I1864" s="18"/>
      <c r="J1864" s="77" t="str">
        <f t="shared" ca="1" si="59"/>
        <v/>
      </c>
      <c r="K1864" s="23">
        <f>IF(A1864="","",COUNTIFS(Resumen!$N$2:$N$2999,ROW(),Resumen!$V$2:$V$2999,1))</f>
        <v/>
      </c>
      <c r="L1864" s="26"/>
      <c r="N18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5" spans="1:14">
      <c r="A1865" s="16"/>
      <c r="B1865" s="16"/>
      <c r="C1865" s="25"/>
      <c r="D1865" s="25"/>
      <c r="E1865" s="16"/>
      <c r="F1865" s="18"/>
      <c r="G1865" s="19" t="str">
        <f t="shared" ca="1" si="58"/>
        <v/>
      </c>
      <c r="H1865" s="18"/>
      <c r="I1865" s="18"/>
      <c r="J1865" s="77" t="str">
        <f t="shared" ca="1" si="59"/>
        <v/>
      </c>
      <c r="K1865" s="23">
        <f>IF(A1865="","",COUNTIFS(Resumen!$N$2:$N$2999,ROW(),Resumen!$V$2:$V$2999,1))</f>
        <v/>
      </c>
      <c r="L1865" s="26"/>
      <c r="N18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6" spans="1:14">
      <c r="A1866" s="16"/>
      <c r="B1866" s="16"/>
      <c r="C1866" s="25"/>
      <c r="D1866" s="25"/>
      <c r="E1866" s="16"/>
      <c r="F1866" s="18"/>
      <c r="G1866" s="19" t="str">
        <f t="shared" ca="1" si="58"/>
        <v/>
      </c>
      <c r="H1866" s="18"/>
      <c r="I1866" s="18"/>
      <c r="J1866" s="77" t="str">
        <f t="shared" ca="1" si="59"/>
        <v/>
      </c>
      <c r="K1866" s="23">
        <f>IF(A1866="","",COUNTIFS(Resumen!$N$2:$N$2999,ROW(),Resumen!$V$2:$V$2999,1))</f>
        <v/>
      </c>
      <c r="L1866" s="26"/>
      <c r="N18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7" spans="1:14">
      <c r="A1867" s="16"/>
      <c r="B1867" s="16"/>
      <c r="C1867" s="25"/>
      <c r="D1867" s="25"/>
      <c r="E1867" s="16"/>
      <c r="F1867" s="18"/>
      <c r="G1867" s="19" t="str">
        <f t="shared" ca="1" si="58"/>
        <v/>
      </c>
      <c r="H1867" s="18"/>
      <c r="I1867" s="18"/>
      <c r="J1867" s="77" t="str">
        <f t="shared" ca="1" si="59"/>
        <v/>
      </c>
      <c r="K1867" s="23">
        <f>IF(A1867="","",COUNTIFS(Resumen!$N$2:$N$2999,ROW(),Resumen!$V$2:$V$2999,1))</f>
        <v/>
      </c>
      <c r="L1867" s="26"/>
      <c r="N18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8" spans="1:14">
      <c r="A1868" s="16"/>
      <c r="B1868" s="16"/>
      <c r="C1868" s="25"/>
      <c r="D1868" s="25"/>
      <c r="E1868" s="16"/>
      <c r="F1868" s="18"/>
      <c r="G1868" s="19" t="str">
        <f t="shared" ca="1" si="58"/>
        <v/>
      </c>
      <c r="H1868" s="18"/>
      <c r="I1868" s="18"/>
      <c r="J1868" s="77" t="str">
        <f t="shared" ca="1" si="59"/>
        <v/>
      </c>
      <c r="K1868" s="23">
        <f>IF(A1868="","",COUNTIFS(Resumen!$N$2:$N$2999,ROW(),Resumen!$V$2:$V$2999,1))</f>
        <v/>
      </c>
      <c r="L1868" s="26"/>
      <c r="N18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69" spans="1:14">
      <c r="A1869" s="16"/>
      <c r="B1869" s="16"/>
      <c r="C1869" s="25"/>
      <c r="D1869" s="25"/>
      <c r="E1869" s="16"/>
      <c r="F1869" s="18"/>
      <c r="G1869" s="19" t="str">
        <f t="shared" ca="1" si="58"/>
        <v/>
      </c>
      <c r="H1869" s="18"/>
      <c r="I1869" s="18"/>
      <c r="J1869" s="77" t="str">
        <f t="shared" ca="1" si="59"/>
        <v/>
      </c>
      <c r="K1869" s="23">
        <f>IF(A1869="","",COUNTIFS(Resumen!$N$2:$N$2999,ROW(),Resumen!$V$2:$V$2999,1))</f>
        <v/>
      </c>
      <c r="L1869" s="26"/>
      <c r="N18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0" spans="1:14">
      <c r="A1870" s="16"/>
      <c r="B1870" s="16"/>
      <c r="C1870" s="25"/>
      <c r="D1870" s="25"/>
      <c r="E1870" s="16"/>
      <c r="F1870" s="18"/>
      <c r="G1870" s="19" t="str">
        <f t="shared" ca="1" si="58"/>
        <v/>
      </c>
      <c r="H1870" s="18"/>
      <c r="I1870" s="18"/>
      <c r="J1870" s="77" t="str">
        <f t="shared" ca="1" si="59"/>
        <v/>
      </c>
      <c r="K1870" s="23">
        <f>IF(A1870="","",COUNTIFS(Resumen!$N$2:$N$2999,ROW(),Resumen!$V$2:$V$2999,1))</f>
        <v/>
      </c>
      <c r="L1870" s="26"/>
      <c r="N18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1" spans="1:14">
      <c r="A1871" s="16"/>
      <c r="B1871" s="16"/>
      <c r="C1871" s="25"/>
      <c r="D1871" s="25"/>
      <c r="E1871" s="16"/>
      <c r="F1871" s="18"/>
      <c r="G1871" s="19" t="str">
        <f t="shared" ca="1" si="58"/>
        <v/>
      </c>
      <c r="H1871" s="18"/>
      <c r="I1871" s="18"/>
      <c r="J1871" s="77" t="str">
        <f t="shared" ca="1" si="59"/>
        <v/>
      </c>
      <c r="K1871" s="23">
        <f>IF(A1871="","",COUNTIFS(Resumen!$N$2:$N$2999,ROW(),Resumen!$V$2:$V$2999,1))</f>
        <v/>
      </c>
      <c r="L1871" s="26"/>
      <c r="N18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2" spans="1:14">
      <c r="A1872" s="16"/>
      <c r="B1872" s="16"/>
      <c r="C1872" s="25"/>
      <c r="D1872" s="25"/>
      <c r="E1872" s="16"/>
      <c r="F1872" s="18"/>
      <c r="G1872" s="19" t="str">
        <f t="shared" ca="1" si="58"/>
        <v/>
      </c>
      <c r="H1872" s="18"/>
      <c r="I1872" s="18"/>
      <c r="J1872" s="77" t="str">
        <f t="shared" ca="1" si="59"/>
        <v/>
      </c>
      <c r="K1872" s="23">
        <f>IF(A1872="","",COUNTIFS(Resumen!$N$2:$N$2999,ROW(),Resumen!$V$2:$V$2999,1))</f>
        <v/>
      </c>
      <c r="L1872" s="26"/>
      <c r="N18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3" spans="1:14">
      <c r="A1873" s="16"/>
      <c r="B1873" s="16"/>
      <c r="C1873" s="25"/>
      <c r="D1873" s="25"/>
      <c r="E1873" s="16"/>
      <c r="F1873" s="18"/>
      <c r="G1873" s="19" t="str">
        <f t="shared" ca="1" si="58"/>
        <v/>
      </c>
      <c r="H1873" s="18"/>
      <c r="I1873" s="18"/>
      <c r="J1873" s="77" t="str">
        <f t="shared" ca="1" si="59"/>
        <v/>
      </c>
      <c r="K1873" s="23">
        <f>IF(A1873="","",COUNTIFS(Resumen!$N$2:$N$2999,ROW(),Resumen!$V$2:$V$2999,1))</f>
        <v/>
      </c>
      <c r="L1873" s="26"/>
      <c r="N18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4" spans="1:14">
      <c r="A1874" s="16"/>
      <c r="B1874" s="16"/>
      <c r="C1874" s="25"/>
      <c r="D1874" s="25"/>
      <c r="E1874" s="16"/>
      <c r="F1874" s="18"/>
      <c r="G1874" s="19" t="str">
        <f t="shared" ca="1" si="58"/>
        <v/>
      </c>
      <c r="H1874" s="18"/>
      <c r="I1874" s="18"/>
      <c r="J1874" s="77" t="str">
        <f t="shared" ca="1" si="59"/>
        <v/>
      </c>
      <c r="K1874" s="23">
        <f>IF(A1874="","",COUNTIFS(Resumen!$N$2:$N$2999,ROW(),Resumen!$V$2:$V$2999,1))</f>
        <v/>
      </c>
      <c r="L1874" s="26"/>
      <c r="N18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5" spans="1:14">
      <c r="A1875" s="16"/>
      <c r="B1875" s="16"/>
      <c r="C1875" s="25"/>
      <c r="D1875" s="25"/>
      <c r="E1875" s="16"/>
      <c r="F1875" s="18"/>
      <c r="G1875" s="19" t="str">
        <f t="shared" ca="1" si="58"/>
        <v/>
      </c>
      <c r="H1875" s="18"/>
      <c r="I1875" s="18"/>
      <c r="J1875" s="77" t="str">
        <f t="shared" ca="1" si="59"/>
        <v/>
      </c>
      <c r="K1875" s="23">
        <f>IF(A1875="","",COUNTIFS(Resumen!$N$2:$N$2999,ROW(),Resumen!$V$2:$V$2999,1))</f>
        <v/>
      </c>
      <c r="L1875" s="26"/>
      <c r="N18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6" spans="1:14">
      <c r="A1876" s="16"/>
      <c r="B1876" s="16"/>
      <c r="C1876" s="25"/>
      <c r="D1876" s="25"/>
      <c r="E1876" s="16"/>
      <c r="F1876" s="18"/>
      <c r="G1876" s="19" t="str">
        <f t="shared" ca="1" si="58"/>
        <v/>
      </c>
      <c r="H1876" s="18"/>
      <c r="I1876" s="18"/>
      <c r="J1876" s="77" t="str">
        <f t="shared" ca="1" si="59"/>
        <v/>
      </c>
      <c r="K1876" s="23">
        <f>IF(A1876="","",COUNTIFS(Resumen!$N$2:$N$2999,ROW(),Resumen!$V$2:$V$2999,1))</f>
        <v/>
      </c>
      <c r="L1876" s="26"/>
      <c r="N18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7" spans="1:14">
      <c r="A1877" s="16"/>
      <c r="B1877" s="16"/>
      <c r="C1877" s="25"/>
      <c r="D1877" s="25"/>
      <c r="E1877" s="16"/>
      <c r="F1877" s="18"/>
      <c r="G1877" s="19" t="str">
        <f t="shared" ca="1" si="58"/>
        <v/>
      </c>
      <c r="H1877" s="18"/>
      <c r="I1877" s="18"/>
      <c r="J1877" s="77" t="str">
        <f t="shared" ca="1" si="59"/>
        <v/>
      </c>
      <c r="K1877" s="23">
        <f>IF(A1877="","",COUNTIFS(Resumen!$N$2:$N$2999,ROW(),Resumen!$V$2:$V$2999,1))</f>
        <v/>
      </c>
      <c r="L1877" s="26"/>
      <c r="N18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8" spans="1:14">
      <c r="A1878" s="16"/>
      <c r="B1878" s="16"/>
      <c r="C1878" s="25"/>
      <c r="D1878" s="25"/>
      <c r="E1878" s="16"/>
      <c r="F1878" s="18"/>
      <c r="G1878" s="19" t="str">
        <f t="shared" ca="1" si="58"/>
        <v/>
      </c>
      <c r="H1878" s="18"/>
      <c r="I1878" s="18"/>
      <c r="J1878" s="77" t="str">
        <f t="shared" ca="1" si="59"/>
        <v/>
      </c>
      <c r="K1878" s="23">
        <f>IF(A1878="","",COUNTIFS(Resumen!$N$2:$N$2999,ROW(),Resumen!$V$2:$V$2999,1))</f>
        <v/>
      </c>
      <c r="L1878" s="26"/>
      <c r="N18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79" spans="1:14">
      <c r="A1879" s="16"/>
      <c r="B1879" s="16"/>
      <c r="C1879" s="25"/>
      <c r="D1879" s="25"/>
      <c r="E1879" s="16"/>
      <c r="F1879" s="18"/>
      <c r="G1879" s="19" t="str">
        <f t="shared" ca="1" si="58"/>
        <v/>
      </c>
      <c r="H1879" s="18"/>
      <c r="I1879" s="18"/>
      <c r="J1879" s="77" t="str">
        <f t="shared" ca="1" si="59"/>
        <v/>
      </c>
      <c r="K1879" s="23">
        <f>IF(A1879="","",COUNTIFS(Resumen!$N$2:$N$2999,ROW(),Resumen!$V$2:$V$2999,1))</f>
        <v/>
      </c>
      <c r="L1879" s="26"/>
      <c r="N18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0" spans="1:14">
      <c r="A1880" s="16"/>
      <c r="B1880" s="16"/>
      <c r="C1880" s="25"/>
      <c r="D1880" s="25"/>
      <c r="E1880" s="16"/>
      <c r="F1880" s="18"/>
      <c r="G1880" s="19" t="str">
        <f t="shared" ca="1" si="58"/>
        <v/>
      </c>
      <c r="H1880" s="18"/>
      <c r="I1880" s="18"/>
      <c r="J1880" s="77" t="str">
        <f t="shared" ca="1" si="59"/>
        <v/>
      </c>
      <c r="K1880" s="23">
        <f>IF(A1880="","",COUNTIFS(Resumen!$N$2:$N$2999,ROW(),Resumen!$V$2:$V$2999,1))</f>
        <v/>
      </c>
      <c r="L1880" s="26"/>
      <c r="N18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1" spans="1:14">
      <c r="A1881" s="16"/>
      <c r="B1881" s="16"/>
      <c r="C1881" s="25"/>
      <c r="D1881" s="25"/>
      <c r="E1881" s="16"/>
      <c r="F1881" s="18"/>
      <c r="G1881" s="19" t="str">
        <f t="shared" ca="1" si="58"/>
        <v/>
      </c>
      <c r="H1881" s="18"/>
      <c r="I1881" s="18"/>
      <c r="J1881" s="77" t="str">
        <f t="shared" ca="1" si="59"/>
        <v/>
      </c>
      <c r="K1881" s="23">
        <f>IF(A1881="","",COUNTIFS(Resumen!$N$2:$N$2999,ROW(),Resumen!$V$2:$V$2999,1))</f>
        <v/>
      </c>
      <c r="L1881" s="26"/>
      <c r="N18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2" spans="1:14">
      <c r="A1882" s="16"/>
      <c r="B1882" s="16"/>
      <c r="C1882" s="25"/>
      <c r="D1882" s="25"/>
      <c r="E1882" s="16"/>
      <c r="F1882" s="18"/>
      <c r="G1882" s="19" t="str">
        <f t="shared" ca="1" si="58"/>
        <v/>
      </c>
      <c r="H1882" s="18"/>
      <c r="I1882" s="18"/>
      <c r="J1882" s="77" t="str">
        <f t="shared" ca="1" si="59"/>
        <v/>
      </c>
      <c r="K1882" s="23">
        <f>IF(A1882="","",COUNTIFS(Resumen!$N$2:$N$2999,ROW(),Resumen!$V$2:$V$2999,1))</f>
        <v/>
      </c>
      <c r="L1882" s="26"/>
      <c r="N18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3" spans="1:14">
      <c r="A1883" s="16"/>
      <c r="B1883" s="16"/>
      <c r="C1883" s="25"/>
      <c r="D1883" s="25"/>
      <c r="E1883" s="16"/>
      <c r="F1883" s="18"/>
      <c r="G1883" s="19" t="str">
        <f t="shared" ca="1" si="58"/>
        <v/>
      </c>
      <c r="H1883" s="18"/>
      <c r="I1883" s="18"/>
      <c r="J1883" s="77" t="str">
        <f t="shared" ca="1" si="59"/>
        <v/>
      </c>
      <c r="K1883" s="23">
        <f>IF(A1883="","",COUNTIFS(Resumen!$N$2:$N$2999,ROW(),Resumen!$V$2:$V$2999,1))</f>
        <v/>
      </c>
      <c r="L1883" s="26"/>
      <c r="N18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4" spans="1:14">
      <c r="A1884" s="16"/>
      <c r="B1884" s="16"/>
      <c r="C1884" s="25"/>
      <c r="D1884" s="25"/>
      <c r="E1884" s="16"/>
      <c r="F1884" s="18"/>
      <c r="G1884" s="19" t="str">
        <f t="shared" ca="1" si="58"/>
        <v/>
      </c>
      <c r="H1884" s="18"/>
      <c r="I1884" s="18"/>
      <c r="J1884" s="77" t="str">
        <f t="shared" ca="1" si="59"/>
        <v/>
      </c>
      <c r="K1884" s="23">
        <f>IF(A1884="","",COUNTIFS(Resumen!$N$2:$N$2999,ROW(),Resumen!$V$2:$V$2999,1))</f>
        <v/>
      </c>
      <c r="L1884" s="26"/>
      <c r="N18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5" spans="1:14">
      <c r="A1885" s="16"/>
      <c r="B1885" s="16"/>
      <c r="C1885" s="25"/>
      <c r="D1885" s="25"/>
      <c r="E1885" s="16"/>
      <c r="F1885" s="18"/>
      <c r="G1885" s="19" t="str">
        <f t="shared" ca="1" si="58"/>
        <v/>
      </c>
      <c r="H1885" s="18"/>
      <c r="I1885" s="18"/>
      <c r="J1885" s="77" t="str">
        <f t="shared" ca="1" si="59"/>
        <v/>
      </c>
      <c r="K1885" s="23">
        <f>IF(A1885="","",COUNTIFS(Resumen!$N$2:$N$2999,ROW(),Resumen!$V$2:$V$2999,1))</f>
        <v/>
      </c>
      <c r="L1885" s="26"/>
      <c r="N18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6" spans="1:14">
      <c r="A1886" s="16"/>
      <c r="B1886" s="16"/>
      <c r="C1886" s="25"/>
      <c r="D1886" s="25"/>
      <c r="E1886" s="16"/>
      <c r="F1886" s="18"/>
      <c r="G1886" s="19" t="str">
        <f t="shared" ca="1" si="58"/>
        <v/>
      </c>
      <c r="H1886" s="18"/>
      <c r="I1886" s="18"/>
      <c r="J1886" s="77" t="str">
        <f t="shared" ca="1" si="59"/>
        <v/>
      </c>
      <c r="K1886" s="23">
        <f>IF(A1886="","",COUNTIFS(Resumen!$N$2:$N$2999,ROW(),Resumen!$V$2:$V$2999,1))</f>
        <v/>
      </c>
      <c r="L1886" s="26"/>
      <c r="N18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7" spans="1:14">
      <c r="A1887" s="16"/>
      <c r="B1887" s="16"/>
      <c r="C1887" s="25"/>
      <c r="D1887" s="25"/>
      <c r="E1887" s="16"/>
      <c r="F1887" s="18"/>
      <c r="G1887" s="19" t="str">
        <f t="shared" ca="1" si="58"/>
        <v/>
      </c>
      <c r="H1887" s="18"/>
      <c r="I1887" s="18"/>
      <c r="J1887" s="77" t="str">
        <f t="shared" ca="1" si="59"/>
        <v/>
      </c>
      <c r="K1887" s="23">
        <f>IF(A1887="","",COUNTIFS(Resumen!$N$2:$N$2999,ROW(),Resumen!$V$2:$V$2999,1))</f>
        <v/>
      </c>
      <c r="L1887" s="26"/>
      <c r="N18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8" spans="1:14">
      <c r="A1888" s="16"/>
      <c r="B1888" s="16"/>
      <c r="C1888" s="25"/>
      <c r="D1888" s="25"/>
      <c r="E1888" s="16"/>
      <c r="F1888" s="18"/>
      <c r="G1888" s="19" t="str">
        <f t="shared" ca="1" si="58"/>
        <v/>
      </c>
      <c r="H1888" s="18"/>
      <c r="I1888" s="18"/>
      <c r="J1888" s="77" t="str">
        <f t="shared" ca="1" si="59"/>
        <v/>
      </c>
      <c r="K1888" s="23">
        <f>IF(A1888="","",COUNTIFS(Resumen!$N$2:$N$2999,ROW(),Resumen!$V$2:$V$2999,1))</f>
        <v/>
      </c>
      <c r="L1888" s="26"/>
      <c r="N18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89" spans="1:14">
      <c r="A1889" s="16"/>
      <c r="B1889" s="16"/>
      <c r="C1889" s="25"/>
      <c r="D1889" s="25"/>
      <c r="E1889" s="16"/>
      <c r="F1889" s="18"/>
      <c r="G1889" s="19" t="str">
        <f t="shared" ca="1" si="58"/>
        <v/>
      </c>
      <c r="H1889" s="18"/>
      <c r="I1889" s="18"/>
      <c r="J1889" s="77" t="str">
        <f t="shared" ca="1" si="59"/>
        <v/>
      </c>
      <c r="K1889" s="23">
        <f>IF(A1889="","",COUNTIFS(Resumen!$N$2:$N$2999,ROW(),Resumen!$V$2:$V$2999,1))</f>
        <v/>
      </c>
      <c r="L1889" s="26"/>
      <c r="N18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0" spans="1:14">
      <c r="A1890" s="16"/>
      <c r="B1890" s="16"/>
      <c r="C1890" s="25"/>
      <c r="D1890" s="25"/>
      <c r="E1890" s="16"/>
      <c r="F1890" s="18"/>
      <c r="G1890" s="19" t="str">
        <f t="shared" ca="1" si="58"/>
        <v/>
      </c>
      <c r="H1890" s="18"/>
      <c r="I1890" s="18"/>
      <c r="J1890" s="77" t="str">
        <f t="shared" ca="1" si="59"/>
        <v/>
      </c>
      <c r="K1890" s="23">
        <f>IF(A1890="","",COUNTIFS(Resumen!$N$2:$N$2999,ROW(),Resumen!$V$2:$V$2999,1))</f>
        <v/>
      </c>
      <c r="L1890" s="26"/>
      <c r="N18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1" spans="1:14">
      <c r="A1891" s="16"/>
      <c r="B1891" s="16"/>
      <c r="C1891" s="25"/>
      <c r="D1891" s="25"/>
      <c r="E1891" s="16"/>
      <c r="F1891" s="18"/>
      <c r="G1891" s="19" t="str">
        <f t="shared" ca="1" si="58"/>
        <v/>
      </c>
      <c r="H1891" s="18"/>
      <c r="I1891" s="18"/>
      <c r="J1891" s="77" t="str">
        <f t="shared" ca="1" si="59"/>
        <v/>
      </c>
      <c r="K1891" s="23">
        <f>IF(A1891="","",COUNTIFS(Resumen!$N$2:$N$2999,ROW(),Resumen!$V$2:$V$2999,1))</f>
        <v/>
      </c>
      <c r="L1891" s="26"/>
      <c r="N18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2" spans="1:14">
      <c r="A1892" s="16"/>
      <c r="B1892" s="16"/>
      <c r="C1892" s="25"/>
      <c r="D1892" s="25"/>
      <c r="E1892" s="16"/>
      <c r="F1892" s="18"/>
      <c r="G1892" s="19" t="str">
        <f t="shared" ca="1" si="58"/>
        <v/>
      </c>
      <c r="H1892" s="18"/>
      <c r="I1892" s="18"/>
      <c r="J1892" s="77" t="str">
        <f t="shared" ca="1" si="59"/>
        <v/>
      </c>
      <c r="K1892" s="23">
        <f>IF(A1892="","",COUNTIFS(Resumen!$N$2:$N$2999,ROW(),Resumen!$V$2:$V$2999,1))</f>
        <v/>
      </c>
      <c r="L1892" s="26"/>
      <c r="N18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3" spans="1:14">
      <c r="A1893" s="16"/>
      <c r="B1893" s="16"/>
      <c r="C1893" s="25"/>
      <c r="D1893" s="25"/>
      <c r="E1893" s="16"/>
      <c r="F1893" s="18"/>
      <c r="G1893" s="19" t="str">
        <f t="shared" ca="1" si="58"/>
        <v/>
      </c>
      <c r="H1893" s="18"/>
      <c r="I1893" s="18"/>
      <c r="J1893" s="77" t="str">
        <f t="shared" ca="1" si="59"/>
        <v/>
      </c>
      <c r="K1893" s="23">
        <f>IF(A1893="","",COUNTIFS(Resumen!$N$2:$N$2999,ROW(),Resumen!$V$2:$V$2999,1))</f>
        <v/>
      </c>
      <c r="L1893" s="26"/>
      <c r="N18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4" spans="1:14">
      <c r="A1894" s="16"/>
      <c r="B1894" s="16"/>
      <c r="C1894" s="25"/>
      <c r="D1894" s="25"/>
      <c r="E1894" s="16"/>
      <c r="F1894" s="18"/>
      <c r="G1894" s="19" t="str">
        <f t="shared" ca="1" si="58"/>
        <v/>
      </c>
      <c r="H1894" s="18"/>
      <c r="I1894" s="18"/>
      <c r="J1894" s="77" t="str">
        <f t="shared" ca="1" si="59"/>
        <v/>
      </c>
      <c r="K1894" s="23">
        <f>IF(A1894="","",COUNTIFS(Resumen!$N$2:$N$2999,ROW(),Resumen!$V$2:$V$2999,1))</f>
        <v/>
      </c>
      <c r="L1894" s="26"/>
      <c r="N18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5" spans="1:14">
      <c r="A1895" s="16"/>
      <c r="B1895" s="16"/>
      <c r="C1895" s="25"/>
      <c r="D1895" s="25"/>
      <c r="E1895" s="16"/>
      <c r="F1895" s="18"/>
      <c r="G1895" s="19" t="str">
        <f t="shared" ca="1" si="58"/>
        <v/>
      </c>
      <c r="H1895" s="18"/>
      <c r="I1895" s="18"/>
      <c r="J1895" s="77" t="str">
        <f t="shared" ca="1" si="59"/>
        <v/>
      </c>
      <c r="K1895" s="23">
        <f>IF(A1895="","",COUNTIFS(Resumen!$N$2:$N$2999,ROW(),Resumen!$V$2:$V$2999,1))</f>
        <v/>
      </c>
      <c r="L1895" s="26"/>
      <c r="N18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6" spans="1:14">
      <c r="A1896" s="16"/>
      <c r="B1896" s="16"/>
      <c r="C1896" s="25"/>
      <c r="D1896" s="25"/>
      <c r="E1896" s="16"/>
      <c r="F1896" s="18"/>
      <c r="G1896" s="19" t="str">
        <f t="shared" ca="1" si="58"/>
        <v/>
      </c>
      <c r="H1896" s="18"/>
      <c r="I1896" s="18"/>
      <c r="J1896" s="77" t="str">
        <f t="shared" ca="1" si="59"/>
        <v/>
      </c>
      <c r="K1896" s="23">
        <f>IF(A1896="","",COUNTIFS(Resumen!$N$2:$N$2999,ROW(),Resumen!$V$2:$V$2999,1))</f>
        <v/>
      </c>
      <c r="L1896" s="26"/>
      <c r="N18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7" spans="1:14">
      <c r="A1897" s="16"/>
      <c r="B1897" s="16"/>
      <c r="C1897" s="25"/>
      <c r="D1897" s="25"/>
      <c r="E1897" s="16"/>
      <c r="F1897" s="18"/>
      <c r="G1897" s="19" t="str">
        <f t="shared" ca="1" si="58"/>
        <v/>
      </c>
      <c r="H1897" s="18"/>
      <c r="I1897" s="18"/>
      <c r="J1897" s="77" t="str">
        <f t="shared" ca="1" si="59"/>
        <v/>
      </c>
      <c r="K1897" s="23">
        <f>IF(A1897="","",COUNTIFS(Resumen!$N$2:$N$2999,ROW(),Resumen!$V$2:$V$2999,1))</f>
        <v/>
      </c>
      <c r="L1897" s="26"/>
      <c r="N18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8" spans="1:14">
      <c r="A1898" s="16"/>
      <c r="B1898" s="16"/>
      <c r="C1898" s="25"/>
      <c r="D1898" s="25"/>
      <c r="E1898" s="16"/>
      <c r="F1898" s="18"/>
      <c r="G1898" s="19" t="str">
        <f t="shared" ca="1" si="58"/>
        <v/>
      </c>
      <c r="H1898" s="18"/>
      <c r="I1898" s="18"/>
      <c r="J1898" s="77" t="str">
        <f t="shared" ca="1" si="59"/>
        <v/>
      </c>
      <c r="K1898" s="23">
        <f>IF(A1898="","",COUNTIFS(Resumen!$N$2:$N$2999,ROW(),Resumen!$V$2:$V$2999,1))</f>
        <v/>
      </c>
      <c r="L1898" s="26"/>
      <c r="N18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899" spans="1:14">
      <c r="A1899" s="16"/>
      <c r="B1899" s="16"/>
      <c r="C1899" s="25"/>
      <c r="D1899" s="25"/>
      <c r="E1899" s="16"/>
      <c r="F1899" s="18"/>
      <c r="G1899" s="19" t="str">
        <f t="shared" ca="1" si="58"/>
        <v/>
      </c>
      <c r="H1899" s="18"/>
      <c r="I1899" s="18"/>
      <c r="J1899" s="77" t="str">
        <f t="shared" ca="1" si="59"/>
        <v/>
      </c>
      <c r="K1899" s="23">
        <f>IF(A1899="","",COUNTIFS(Resumen!$N$2:$N$2999,ROW(),Resumen!$V$2:$V$2999,1))</f>
        <v/>
      </c>
      <c r="L1899" s="26"/>
      <c r="N18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0" spans="1:14">
      <c r="A1900" s="16"/>
      <c r="B1900" s="16"/>
      <c r="C1900" s="25"/>
      <c r="D1900" s="25"/>
      <c r="E1900" s="16"/>
      <c r="F1900" s="18"/>
      <c r="G1900" s="19" t="str">
        <f t="shared" ca="1" si="58"/>
        <v/>
      </c>
      <c r="H1900" s="18"/>
      <c r="I1900" s="18"/>
      <c r="J1900" s="77" t="str">
        <f t="shared" ca="1" si="59"/>
        <v/>
      </c>
      <c r="K1900" s="23">
        <f>IF(A1900="","",COUNTIFS(Resumen!$N$2:$N$2999,ROW(),Resumen!$V$2:$V$2999,1))</f>
        <v/>
      </c>
      <c r="L1900" s="26"/>
      <c r="N19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1" spans="1:14">
      <c r="A1901" s="16"/>
      <c r="B1901" s="16"/>
      <c r="C1901" s="25"/>
      <c r="D1901" s="25"/>
      <c r="E1901" s="16"/>
      <c r="F1901" s="18"/>
      <c r="G1901" s="19" t="str">
        <f t="shared" ca="1" si="58"/>
        <v/>
      </c>
      <c r="H1901" s="18"/>
      <c r="I1901" s="18"/>
      <c r="J1901" s="77" t="str">
        <f t="shared" ca="1" si="59"/>
        <v/>
      </c>
      <c r="K1901" s="23">
        <f>IF(A1901="","",COUNTIFS(Resumen!$N$2:$N$2999,ROW(),Resumen!$V$2:$V$2999,1))</f>
        <v/>
      </c>
      <c r="L1901" s="26"/>
      <c r="N19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2" spans="1:14">
      <c r="A1902" s="16"/>
      <c r="B1902" s="16"/>
      <c r="C1902" s="25"/>
      <c r="D1902" s="25"/>
      <c r="E1902" s="16"/>
      <c r="F1902" s="18"/>
      <c r="G1902" s="19" t="str">
        <f t="shared" ca="1" si="58"/>
        <v/>
      </c>
      <c r="H1902" s="18"/>
      <c r="I1902" s="18"/>
      <c r="J1902" s="77" t="str">
        <f t="shared" ca="1" si="59"/>
        <v/>
      </c>
      <c r="K1902" s="23">
        <f>IF(A1902="","",COUNTIFS(Resumen!$N$2:$N$2999,ROW(),Resumen!$V$2:$V$2999,1))</f>
        <v/>
      </c>
      <c r="L1902" s="26"/>
      <c r="N19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3" spans="1:14">
      <c r="A1903" s="16"/>
      <c r="B1903" s="16"/>
      <c r="C1903" s="25"/>
      <c r="D1903" s="25"/>
      <c r="E1903" s="16"/>
      <c r="F1903" s="18"/>
      <c r="G1903" s="19" t="str">
        <f t="shared" ca="1" si="58"/>
        <v/>
      </c>
      <c r="H1903" s="18"/>
      <c r="I1903" s="18"/>
      <c r="J1903" s="77" t="str">
        <f t="shared" ca="1" si="59"/>
        <v/>
      </c>
      <c r="K1903" s="23">
        <f>IF(A1903="","",COUNTIFS(Resumen!$N$2:$N$2999,ROW(),Resumen!$V$2:$V$2999,1))</f>
        <v/>
      </c>
      <c r="L1903" s="26"/>
      <c r="N19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4" spans="1:14">
      <c r="A1904" s="16"/>
      <c r="B1904" s="16"/>
      <c r="C1904" s="25"/>
      <c r="D1904" s="25"/>
      <c r="E1904" s="16"/>
      <c r="F1904" s="18"/>
      <c r="G1904" s="19" t="str">
        <f t="shared" ca="1" si="58"/>
        <v/>
      </c>
      <c r="H1904" s="18"/>
      <c r="I1904" s="18"/>
      <c r="J1904" s="77" t="str">
        <f t="shared" ca="1" si="59"/>
        <v/>
      </c>
      <c r="K1904" s="23">
        <f>IF(A1904="","",COUNTIFS(Resumen!$N$2:$N$2999,ROW(),Resumen!$V$2:$V$2999,1))</f>
        <v/>
      </c>
      <c r="L1904" s="26"/>
      <c r="N19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5" spans="1:14">
      <c r="A1905" s="16"/>
      <c r="B1905" s="16"/>
      <c r="C1905" s="25"/>
      <c r="D1905" s="25"/>
      <c r="E1905" s="16"/>
      <c r="F1905" s="18"/>
      <c r="G1905" s="19" t="str">
        <f t="shared" ca="1" si="58"/>
        <v/>
      </c>
      <c r="H1905" s="18"/>
      <c r="I1905" s="18"/>
      <c r="J1905" s="77" t="str">
        <f t="shared" ca="1" si="59"/>
        <v/>
      </c>
      <c r="K1905" s="23">
        <f>IF(A1905="","",COUNTIFS(Resumen!$N$2:$N$2999,ROW(),Resumen!$V$2:$V$2999,1))</f>
        <v/>
      </c>
      <c r="L1905" s="26"/>
      <c r="N19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6" spans="1:14">
      <c r="A1906" s="16"/>
      <c r="B1906" s="16"/>
      <c r="C1906" s="25"/>
      <c r="D1906" s="25"/>
      <c r="E1906" s="16"/>
      <c r="F1906" s="18"/>
      <c r="G1906" s="19" t="str">
        <f t="shared" ca="1" si="58"/>
        <v/>
      </c>
      <c r="H1906" s="18"/>
      <c r="I1906" s="18"/>
      <c r="J1906" s="77" t="str">
        <f t="shared" ca="1" si="59"/>
        <v/>
      </c>
      <c r="K1906" s="23">
        <f>IF(A1906="","",COUNTIFS(Resumen!$N$2:$N$2999,ROW(),Resumen!$V$2:$V$2999,1))</f>
        <v/>
      </c>
      <c r="L1906" s="26"/>
      <c r="N19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7" spans="1:14">
      <c r="A1907" s="16"/>
      <c r="B1907" s="16"/>
      <c r="C1907" s="25"/>
      <c r="D1907" s="25"/>
      <c r="E1907" s="16"/>
      <c r="F1907" s="18"/>
      <c r="G1907" s="19" t="str">
        <f t="shared" ca="1" si="58"/>
        <v/>
      </c>
      <c r="H1907" s="18"/>
      <c r="I1907" s="18"/>
      <c r="J1907" s="77" t="str">
        <f t="shared" ca="1" si="59"/>
        <v/>
      </c>
      <c r="K1907" s="23">
        <f>IF(A1907="","",COUNTIFS(Resumen!$N$2:$N$2999,ROW(),Resumen!$V$2:$V$2999,1))</f>
        <v/>
      </c>
      <c r="L1907" s="26"/>
      <c r="N19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8" spans="1:14">
      <c r="A1908" s="16"/>
      <c r="B1908" s="16"/>
      <c r="C1908" s="25"/>
      <c r="D1908" s="25"/>
      <c r="E1908" s="16"/>
      <c r="F1908" s="18"/>
      <c r="G1908" s="19" t="str">
        <f t="shared" ca="1" si="58"/>
        <v/>
      </c>
      <c r="H1908" s="18"/>
      <c r="I1908" s="18"/>
      <c r="J1908" s="77" t="str">
        <f t="shared" ca="1" si="59"/>
        <v/>
      </c>
      <c r="K1908" s="23">
        <f>IF(A1908="","",COUNTIFS(Resumen!$N$2:$N$2999,ROW(),Resumen!$V$2:$V$2999,1))</f>
        <v/>
      </c>
      <c r="L1908" s="26"/>
      <c r="N19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09" spans="1:14">
      <c r="A1909" s="16"/>
      <c r="B1909" s="16"/>
      <c r="C1909" s="25"/>
      <c r="D1909" s="25"/>
      <c r="E1909" s="16"/>
      <c r="F1909" s="18"/>
      <c r="G1909" s="19" t="str">
        <f t="shared" ca="1" si="58"/>
        <v/>
      </c>
      <c r="H1909" s="18"/>
      <c r="I1909" s="18"/>
      <c r="J1909" s="77" t="str">
        <f t="shared" ca="1" si="59"/>
        <v/>
      </c>
      <c r="K1909" s="23">
        <f>IF(A1909="","",COUNTIFS(Resumen!$N$2:$N$2999,ROW(),Resumen!$V$2:$V$2999,1))</f>
        <v/>
      </c>
      <c r="L1909" s="26"/>
      <c r="N19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0" spans="1:14">
      <c r="A1910" s="16"/>
      <c r="B1910" s="16"/>
      <c r="C1910" s="25"/>
      <c r="D1910" s="25"/>
      <c r="E1910" s="16"/>
      <c r="F1910" s="18"/>
      <c r="G1910" s="19" t="str">
        <f t="shared" ca="1" si="58"/>
        <v/>
      </c>
      <c r="H1910" s="18"/>
      <c r="I1910" s="18"/>
      <c r="J1910" s="77" t="str">
        <f t="shared" ca="1" si="59"/>
        <v/>
      </c>
      <c r="K1910" s="23">
        <f>IF(A1910="","",COUNTIFS(Resumen!$N$2:$N$2999,ROW(),Resumen!$V$2:$V$2999,1))</f>
        <v/>
      </c>
      <c r="L1910" s="26"/>
      <c r="N19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1" spans="1:14">
      <c r="A1911" s="16"/>
      <c r="B1911" s="16"/>
      <c r="C1911" s="25"/>
      <c r="D1911" s="25"/>
      <c r="E1911" s="16"/>
      <c r="F1911" s="18"/>
      <c r="G1911" s="19" t="str">
        <f t="shared" ca="1" si="58"/>
        <v/>
      </c>
      <c r="H1911" s="18"/>
      <c r="I1911" s="18"/>
      <c r="J1911" s="77" t="str">
        <f t="shared" ca="1" si="59"/>
        <v/>
      </c>
      <c r="K1911" s="23">
        <f>IF(A1911="","",COUNTIFS(Resumen!$N$2:$N$2999,ROW(),Resumen!$V$2:$V$2999,1))</f>
        <v/>
      </c>
      <c r="L1911" s="26"/>
      <c r="N19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2" spans="1:14">
      <c r="A1912" s="16"/>
      <c r="B1912" s="16"/>
      <c r="C1912" s="25"/>
      <c r="D1912" s="25"/>
      <c r="E1912" s="16"/>
      <c r="F1912" s="18"/>
      <c r="G1912" s="19" t="str">
        <f t="shared" ca="1" si="58"/>
        <v/>
      </c>
      <c r="H1912" s="18"/>
      <c r="I1912" s="18"/>
      <c r="J1912" s="77" t="str">
        <f t="shared" ca="1" si="59"/>
        <v/>
      </c>
      <c r="K1912" s="23">
        <f>IF(A1912="","",COUNTIFS(Resumen!$N$2:$N$2999,ROW(),Resumen!$V$2:$V$2999,1))</f>
        <v/>
      </c>
      <c r="L1912" s="26"/>
      <c r="N19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3" spans="1:14">
      <c r="A1913" s="16"/>
      <c r="B1913" s="16"/>
      <c r="C1913" s="25"/>
      <c r="D1913" s="25"/>
      <c r="E1913" s="16"/>
      <c r="F1913" s="18"/>
      <c r="G1913" s="19" t="str">
        <f t="shared" ca="1" si="58"/>
        <v/>
      </c>
      <c r="H1913" s="18"/>
      <c r="I1913" s="18"/>
      <c r="J1913" s="77" t="str">
        <f t="shared" ca="1" si="59"/>
        <v/>
      </c>
      <c r="K1913" s="23">
        <f>IF(A1913="","",COUNTIFS(Resumen!$N$2:$N$2999,ROW(),Resumen!$V$2:$V$2999,1))</f>
        <v/>
      </c>
      <c r="L1913" s="26"/>
      <c r="N19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4" spans="1:14">
      <c r="A1914" s="16"/>
      <c r="B1914" s="16"/>
      <c r="C1914" s="25"/>
      <c r="D1914" s="25"/>
      <c r="E1914" s="16"/>
      <c r="F1914" s="18"/>
      <c r="G1914" s="19" t="str">
        <f t="shared" ca="1" si="58"/>
        <v/>
      </c>
      <c r="H1914" s="18"/>
      <c r="I1914" s="18"/>
      <c r="J1914" s="77" t="str">
        <f t="shared" ca="1" si="59"/>
        <v/>
      </c>
      <c r="K1914" s="23">
        <f>IF(A1914="","",COUNTIFS(Resumen!$N$2:$N$2999,ROW(),Resumen!$V$2:$V$2999,1))</f>
        <v/>
      </c>
      <c r="L1914" s="26"/>
      <c r="N19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5" spans="1:14">
      <c r="A1915" s="16"/>
      <c r="B1915" s="16"/>
      <c r="C1915" s="25"/>
      <c r="D1915" s="25"/>
      <c r="E1915" s="16"/>
      <c r="F1915" s="18"/>
      <c r="G1915" s="19" t="str">
        <f t="shared" ca="1" si="58"/>
        <v/>
      </c>
      <c r="H1915" s="18"/>
      <c r="I1915" s="18"/>
      <c r="J1915" s="77" t="str">
        <f t="shared" ca="1" si="59"/>
        <v/>
      </c>
      <c r="K1915" s="23">
        <f>IF(A1915="","",COUNTIFS(Resumen!$N$2:$N$2999,ROW(),Resumen!$V$2:$V$2999,1))</f>
        <v/>
      </c>
      <c r="L1915" s="26"/>
      <c r="N19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6" spans="1:14">
      <c r="A1916" s="16"/>
      <c r="B1916" s="16"/>
      <c r="C1916" s="25"/>
      <c r="D1916" s="25"/>
      <c r="E1916" s="16"/>
      <c r="F1916" s="18"/>
      <c r="G1916" s="19" t="str">
        <f t="shared" ca="1" si="58"/>
        <v/>
      </c>
      <c r="H1916" s="18"/>
      <c r="I1916" s="18"/>
      <c r="J1916" s="77" t="str">
        <f t="shared" ca="1" si="59"/>
        <v/>
      </c>
      <c r="K1916" s="23">
        <f>IF(A1916="","",COUNTIFS(Resumen!$N$2:$N$2999,ROW(),Resumen!$V$2:$V$2999,1))</f>
        <v/>
      </c>
      <c r="L1916" s="26"/>
      <c r="N19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7" spans="1:14">
      <c r="A1917" s="16"/>
      <c r="B1917" s="16"/>
      <c r="C1917" s="25"/>
      <c r="D1917" s="25"/>
      <c r="E1917" s="16"/>
      <c r="F1917" s="18"/>
      <c r="G1917" s="19" t="str">
        <f t="shared" ca="1" si="58"/>
        <v/>
      </c>
      <c r="H1917" s="18"/>
      <c r="I1917" s="18"/>
      <c r="J1917" s="77" t="str">
        <f t="shared" ca="1" si="59"/>
        <v/>
      </c>
      <c r="K1917" s="23">
        <f>IF(A1917="","",COUNTIFS(Resumen!$N$2:$N$2999,ROW(),Resumen!$V$2:$V$2999,1))</f>
        <v/>
      </c>
      <c r="L1917" s="26"/>
      <c r="N19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8" spans="1:14">
      <c r="A1918" s="16"/>
      <c r="B1918" s="16"/>
      <c r="C1918" s="25"/>
      <c r="D1918" s="25"/>
      <c r="E1918" s="16"/>
      <c r="F1918" s="18"/>
      <c r="G1918" s="19" t="str">
        <f t="shared" ca="1" si="58"/>
        <v/>
      </c>
      <c r="H1918" s="18"/>
      <c r="I1918" s="18"/>
      <c r="J1918" s="77" t="str">
        <f t="shared" ca="1" si="59"/>
        <v/>
      </c>
      <c r="K1918" s="23">
        <f>IF(A1918="","",COUNTIFS(Resumen!$N$2:$N$2999,ROW(),Resumen!$V$2:$V$2999,1))</f>
        <v/>
      </c>
      <c r="L1918" s="26"/>
      <c r="N19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19" spans="1:14">
      <c r="A1919" s="16"/>
      <c r="B1919" s="16"/>
      <c r="C1919" s="25"/>
      <c r="D1919" s="25"/>
      <c r="E1919" s="16"/>
      <c r="F1919" s="18"/>
      <c r="G1919" s="19" t="str">
        <f t="shared" ca="1" si="58"/>
        <v/>
      </c>
      <c r="H1919" s="18"/>
      <c r="I1919" s="18"/>
      <c r="J1919" s="77" t="str">
        <f t="shared" ca="1" si="59"/>
        <v/>
      </c>
      <c r="K1919" s="23">
        <f>IF(A1919="","",COUNTIFS(Resumen!$N$2:$N$2999,ROW(),Resumen!$V$2:$V$2999,1))</f>
        <v/>
      </c>
      <c r="L1919" s="26"/>
      <c r="N19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0" spans="1:14">
      <c r="A1920" s="16"/>
      <c r="B1920" s="16"/>
      <c r="C1920" s="25"/>
      <c r="D1920" s="25"/>
      <c r="E1920" s="16"/>
      <c r="F1920" s="18"/>
      <c r="G1920" s="19" t="str">
        <f t="shared" ca="1" si="58"/>
        <v/>
      </c>
      <c r="H1920" s="18"/>
      <c r="I1920" s="18"/>
      <c r="J1920" s="77" t="str">
        <f t="shared" ca="1" si="59"/>
        <v/>
      </c>
      <c r="K1920" s="23">
        <f>IF(A1920="","",COUNTIFS(Resumen!$N$2:$N$2999,ROW(),Resumen!$V$2:$V$2999,1))</f>
        <v/>
      </c>
      <c r="L1920" s="26"/>
      <c r="N19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1" spans="1:14">
      <c r="A1921" s="16"/>
      <c r="B1921" s="16"/>
      <c r="C1921" s="25"/>
      <c r="D1921" s="25"/>
      <c r="E1921" s="16"/>
      <c r="F1921" s="18"/>
      <c r="G1921" s="19" t="str">
        <f t="shared" ca="1" si="58"/>
        <v/>
      </c>
      <c r="H1921" s="18"/>
      <c r="I1921" s="18"/>
      <c r="J1921" s="77" t="str">
        <f t="shared" ca="1" si="59"/>
        <v/>
      </c>
      <c r="K1921" s="23">
        <f>IF(A1921="","",COUNTIFS(Resumen!$N$2:$N$2999,ROW(),Resumen!$V$2:$V$2999,1))</f>
        <v/>
      </c>
      <c r="L1921" s="26"/>
      <c r="N19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2" spans="1:14">
      <c r="A1922" s="16"/>
      <c r="B1922" s="16"/>
      <c r="C1922" s="25"/>
      <c r="D1922" s="25"/>
      <c r="E1922" s="16"/>
      <c r="F1922" s="18"/>
      <c r="G1922" s="19" t="str">
        <f t="shared" ref="G1922:G1985" ca="1" si="60">IF(F1922="", "", DATEDIF(F1922, TODAY(), "Y"))</f>
        <v/>
      </c>
      <c r="H1922" s="18"/>
      <c r="I1922" s="18"/>
      <c r="J1922" s="77" t="str">
        <f t="shared" ref="J1922:J1985" ca="1" si="61">IFERROR(IF(ISNUMBER(INDEX(VigenciasFamilia,ROW())),INDEX(VigenciasFamilia,ROW())-TODAY(),""),"")</f>
        <v/>
      </c>
      <c r="K1922" s="23">
        <f>IF(A1922="","",COUNTIFS(Resumen!$N$2:$N$2999,ROW(),Resumen!$V$2:$V$2999,1))</f>
        <v/>
      </c>
      <c r="L1922" s="26"/>
      <c r="N19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3" spans="1:14">
      <c r="A1923" s="16"/>
      <c r="B1923" s="16"/>
      <c r="C1923" s="25"/>
      <c r="D1923" s="25"/>
      <c r="E1923" s="16"/>
      <c r="F1923" s="18"/>
      <c r="G1923" s="19" t="str">
        <f t="shared" ca="1" si="60"/>
        <v/>
      </c>
      <c r="H1923" s="18"/>
      <c r="I1923" s="18"/>
      <c r="J1923" s="77" t="str">
        <f t="shared" ca="1" si="61"/>
        <v/>
      </c>
      <c r="K1923" s="23">
        <f>IF(A1923="","",COUNTIFS(Resumen!$N$2:$N$2999,ROW(),Resumen!$V$2:$V$2999,1))</f>
        <v/>
      </c>
      <c r="L1923" s="26"/>
      <c r="N19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4" spans="1:14">
      <c r="A1924" s="16"/>
      <c r="B1924" s="16"/>
      <c r="C1924" s="25"/>
      <c r="D1924" s="25"/>
      <c r="E1924" s="16"/>
      <c r="F1924" s="18"/>
      <c r="G1924" s="19" t="str">
        <f t="shared" ca="1" si="60"/>
        <v/>
      </c>
      <c r="H1924" s="18"/>
      <c r="I1924" s="18"/>
      <c r="J1924" s="77" t="str">
        <f t="shared" ca="1" si="61"/>
        <v/>
      </c>
      <c r="K1924" s="23">
        <f>IF(A1924="","",COUNTIFS(Resumen!$N$2:$N$2999,ROW(),Resumen!$V$2:$V$2999,1))</f>
        <v/>
      </c>
      <c r="L1924" s="26"/>
      <c r="N19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5" spans="1:14">
      <c r="A1925" s="16"/>
      <c r="B1925" s="16"/>
      <c r="C1925" s="25"/>
      <c r="D1925" s="25"/>
      <c r="E1925" s="16"/>
      <c r="F1925" s="18"/>
      <c r="G1925" s="19" t="str">
        <f t="shared" ca="1" si="60"/>
        <v/>
      </c>
      <c r="H1925" s="18"/>
      <c r="I1925" s="18"/>
      <c r="J1925" s="77" t="str">
        <f t="shared" ca="1" si="61"/>
        <v/>
      </c>
      <c r="K1925" s="23">
        <f>IF(A1925="","",COUNTIFS(Resumen!$N$2:$N$2999,ROW(),Resumen!$V$2:$V$2999,1))</f>
        <v/>
      </c>
      <c r="L1925" s="26"/>
      <c r="N19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6" spans="1:14">
      <c r="A1926" s="16"/>
      <c r="B1926" s="16"/>
      <c r="C1926" s="25"/>
      <c r="D1926" s="25"/>
      <c r="E1926" s="16"/>
      <c r="F1926" s="18"/>
      <c r="G1926" s="19" t="str">
        <f t="shared" ca="1" si="60"/>
        <v/>
      </c>
      <c r="H1926" s="18"/>
      <c r="I1926" s="18"/>
      <c r="J1926" s="77" t="str">
        <f t="shared" ca="1" si="61"/>
        <v/>
      </c>
      <c r="K1926" s="23">
        <f>IF(A1926="","",COUNTIFS(Resumen!$N$2:$N$2999,ROW(),Resumen!$V$2:$V$2999,1))</f>
        <v/>
      </c>
      <c r="L1926" s="26"/>
      <c r="N19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7" spans="1:14">
      <c r="A1927" s="16"/>
      <c r="B1927" s="16"/>
      <c r="C1927" s="25"/>
      <c r="D1927" s="25"/>
      <c r="E1927" s="16"/>
      <c r="F1927" s="18"/>
      <c r="G1927" s="19" t="str">
        <f t="shared" ca="1" si="60"/>
        <v/>
      </c>
      <c r="H1927" s="18"/>
      <c r="I1927" s="18"/>
      <c r="J1927" s="77" t="str">
        <f t="shared" ca="1" si="61"/>
        <v/>
      </c>
      <c r="K1927" s="23">
        <f>IF(A1927="","",COUNTIFS(Resumen!$N$2:$N$2999,ROW(),Resumen!$V$2:$V$2999,1))</f>
        <v/>
      </c>
      <c r="L1927" s="26"/>
      <c r="N19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8" spans="1:14">
      <c r="A1928" s="16"/>
      <c r="B1928" s="16"/>
      <c r="C1928" s="25"/>
      <c r="D1928" s="25"/>
      <c r="E1928" s="16"/>
      <c r="F1928" s="18"/>
      <c r="G1928" s="19" t="str">
        <f t="shared" ca="1" si="60"/>
        <v/>
      </c>
      <c r="H1928" s="18"/>
      <c r="I1928" s="18"/>
      <c r="J1928" s="77" t="str">
        <f t="shared" ca="1" si="61"/>
        <v/>
      </c>
      <c r="K1928" s="23">
        <f>IF(A1928="","",COUNTIFS(Resumen!$N$2:$N$2999,ROW(),Resumen!$V$2:$V$2999,1))</f>
        <v/>
      </c>
      <c r="L1928" s="26"/>
      <c r="N19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29" spans="1:14">
      <c r="A1929" s="16"/>
      <c r="B1929" s="16"/>
      <c r="C1929" s="25"/>
      <c r="D1929" s="25"/>
      <c r="E1929" s="16"/>
      <c r="F1929" s="18"/>
      <c r="G1929" s="19" t="str">
        <f t="shared" ca="1" si="60"/>
        <v/>
      </c>
      <c r="H1929" s="18"/>
      <c r="I1929" s="18"/>
      <c r="J1929" s="77" t="str">
        <f t="shared" ca="1" si="61"/>
        <v/>
      </c>
      <c r="K1929" s="23">
        <f>IF(A1929="","",COUNTIFS(Resumen!$N$2:$N$2999,ROW(),Resumen!$V$2:$V$2999,1))</f>
        <v/>
      </c>
      <c r="L1929" s="26"/>
      <c r="N19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0" spans="1:14">
      <c r="A1930" s="16"/>
      <c r="B1930" s="16"/>
      <c r="C1930" s="25"/>
      <c r="D1930" s="25"/>
      <c r="E1930" s="16"/>
      <c r="F1930" s="18"/>
      <c r="G1930" s="19" t="str">
        <f t="shared" ca="1" si="60"/>
        <v/>
      </c>
      <c r="H1930" s="18"/>
      <c r="I1930" s="18"/>
      <c r="J1930" s="77" t="str">
        <f t="shared" ca="1" si="61"/>
        <v/>
      </c>
      <c r="K1930" s="23">
        <f>IF(A1930="","",COUNTIFS(Resumen!$N$2:$N$2999,ROW(),Resumen!$V$2:$V$2999,1))</f>
        <v/>
      </c>
      <c r="L1930" s="26"/>
      <c r="N19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1" spans="1:14">
      <c r="A1931" s="16"/>
      <c r="B1931" s="16"/>
      <c r="C1931" s="25"/>
      <c r="D1931" s="25"/>
      <c r="E1931" s="16"/>
      <c r="F1931" s="18"/>
      <c r="G1931" s="19" t="str">
        <f t="shared" ca="1" si="60"/>
        <v/>
      </c>
      <c r="H1931" s="18"/>
      <c r="I1931" s="18"/>
      <c r="J1931" s="77" t="str">
        <f t="shared" ca="1" si="61"/>
        <v/>
      </c>
      <c r="K1931" s="23">
        <f>IF(A1931="","",COUNTIFS(Resumen!$N$2:$N$2999,ROW(),Resumen!$V$2:$V$2999,1))</f>
        <v/>
      </c>
      <c r="L1931" s="26"/>
      <c r="N19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2" spans="1:14">
      <c r="A1932" s="16"/>
      <c r="B1932" s="16"/>
      <c r="C1932" s="25"/>
      <c r="D1932" s="25"/>
      <c r="E1932" s="16"/>
      <c r="F1932" s="18"/>
      <c r="G1932" s="19" t="str">
        <f t="shared" ca="1" si="60"/>
        <v/>
      </c>
      <c r="H1932" s="18"/>
      <c r="I1932" s="18"/>
      <c r="J1932" s="77" t="str">
        <f t="shared" ca="1" si="61"/>
        <v/>
      </c>
      <c r="K1932" s="23">
        <f>IF(A1932="","",COUNTIFS(Resumen!$N$2:$N$2999,ROW(),Resumen!$V$2:$V$2999,1))</f>
        <v/>
      </c>
      <c r="L1932" s="26"/>
      <c r="N19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3" spans="1:14">
      <c r="A1933" s="16"/>
      <c r="B1933" s="16"/>
      <c r="C1933" s="25"/>
      <c r="D1933" s="25"/>
      <c r="E1933" s="16"/>
      <c r="F1933" s="18"/>
      <c r="G1933" s="19" t="str">
        <f t="shared" ca="1" si="60"/>
        <v/>
      </c>
      <c r="H1933" s="18"/>
      <c r="I1933" s="18"/>
      <c r="J1933" s="77" t="str">
        <f t="shared" ca="1" si="61"/>
        <v/>
      </c>
      <c r="K1933" s="23">
        <f>IF(A1933="","",COUNTIFS(Resumen!$N$2:$N$2999,ROW(),Resumen!$V$2:$V$2999,1))</f>
        <v/>
      </c>
      <c r="L1933" s="26"/>
      <c r="N19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4" spans="1:14">
      <c r="A1934" s="16"/>
      <c r="B1934" s="16"/>
      <c r="C1934" s="25"/>
      <c r="D1934" s="25"/>
      <c r="E1934" s="16"/>
      <c r="F1934" s="18"/>
      <c r="G1934" s="19" t="str">
        <f t="shared" ca="1" si="60"/>
        <v/>
      </c>
      <c r="H1934" s="18"/>
      <c r="I1934" s="18"/>
      <c r="J1934" s="77" t="str">
        <f t="shared" ca="1" si="61"/>
        <v/>
      </c>
      <c r="K1934" s="23">
        <f>IF(A1934="","",COUNTIFS(Resumen!$N$2:$N$2999,ROW(),Resumen!$V$2:$V$2999,1))</f>
        <v/>
      </c>
      <c r="L1934" s="26"/>
      <c r="N19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5" spans="1:14">
      <c r="A1935" s="16"/>
      <c r="B1935" s="16"/>
      <c r="C1935" s="25"/>
      <c r="D1935" s="25"/>
      <c r="E1935" s="16"/>
      <c r="F1935" s="18"/>
      <c r="G1935" s="19" t="str">
        <f t="shared" ca="1" si="60"/>
        <v/>
      </c>
      <c r="H1935" s="18"/>
      <c r="I1935" s="18"/>
      <c r="J1935" s="77" t="str">
        <f t="shared" ca="1" si="61"/>
        <v/>
      </c>
      <c r="K1935" s="23">
        <f>IF(A1935="","",COUNTIFS(Resumen!$N$2:$N$2999,ROW(),Resumen!$V$2:$V$2999,1))</f>
        <v/>
      </c>
      <c r="L1935" s="26"/>
      <c r="N19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6" spans="1:14">
      <c r="A1936" s="16"/>
      <c r="B1936" s="16"/>
      <c r="C1936" s="25"/>
      <c r="D1936" s="25"/>
      <c r="E1936" s="16"/>
      <c r="F1936" s="18"/>
      <c r="G1936" s="19" t="str">
        <f t="shared" ca="1" si="60"/>
        <v/>
      </c>
      <c r="H1936" s="18"/>
      <c r="I1936" s="18"/>
      <c r="J1936" s="77" t="str">
        <f t="shared" ca="1" si="61"/>
        <v/>
      </c>
      <c r="K1936" s="23">
        <f>IF(A1936="","",COUNTIFS(Resumen!$N$2:$N$2999,ROW(),Resumen!$V$2:$V$2999,1))</f>
        <v/>
      </c>
      <c r="L1936" s="26"/>
      <c r="N19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7" spans="1:14">
      <c r="A1937" s="16"/>
      <c r="B1937" s="16"/>
      <c r="C1937" s="25"/>
      <c r="D1937" s="25"/>
      <c r="E1937" s="16"/>
      <c r="F1937" s="18"/>
      <c r="G1937" s="19" t="str">
        <f t="shared" ca="1" si="60"/>
        <v/>
      </c>
      <c r="H1937" s="18"/>
      <c r="I1937" s="18"/>
      <c r="J1937" s="77" t="str">
        <f t="shared" ca="1" si="61"/>
        <v/>
      </c>
      <c r="K1937" s="23">
        <f>IF(A1937="","",COUNTIFS(Resumen!$N$2:$N$2999,ROW(),Resumen!$V$2:$V$2999,1))</f>
        <v/>
      </c>
      <c r="L1937" s="26"/>
      <c r="N19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8" spans="1:14">
      <c r="A1938" s="16"/>
      <c r="B1938" s="16"/>
      <c r="C1938" s="25"/>
      <c r="D1938" s="25"/>
      <c r="E1938" s="16"/>
      <c r="F1938" s="18"/>
      <c r="G1938" s="19" t="str">
        <f t="shared" ca="1" si="60"/>
        <v/>
      </c>
      <c r="H1938" s="18"/>
      <c r="I1938" s="18"/>
      <c r="J1938" s="77" t="str">
        <f t="shared" ca="1" si="61"/>
        <v/>
      </c>
      <c r="K1938" s="23">
        <f>IF(A1938="","",COUNTIFS(Resumen!$N$2:$N$2999,ROW(),Resumen!$V$2:$V$2999,1))</f>
        <v/>
      </c>
      <c r="L1938" s="26"/>
      <c r="N19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39" spans="1:14">
      <c r="A1939" s="16"/>
      <c r="B1939" s="16"/>
      <c r="C1939" s="25"/>
      <c r="D1939" s="25"/>
      <c r="E1939" s="16"/>
      <c r="F1939" s="18"/>
      <c r="G1939" s="19" t="str">
        <f t="shared" ca="1" si="60"/>
        <v/>
      </c>
      <c r="H1939" s="18"/>
      <c r="I1939" s="18"/>
      <c r="J1939" s="77" t="str">
        <f t="shared" ca="1" si="61"/>
        <v/>
      </c>
      <c r="K1939" s="23">
        <f>IF(A1939="","",COUNTIFS(Resumen!$N$2:$N$2999,ROW(),Resumen!$V$2:$V$2999,1))</f>
        <v/>
      </c>
      <c r="L1939" s="26"/>
      <c r="N19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0" spans="1:14">
      <c r="A1940" s="16"/>
      <c r="B1940" s="16"/>
      <c r="C1940" s="25"/>
      <c r="D1940" s="25"/>
      <c r="E1940" s="16"/>
      <c r="F1940" s="18"/>
      <c r="G1940" s="19" t="str">
        <f t="shared" ca="1" si="60"/>
        <v/>
      </c>
      <c r="H1940" s="18"/>
      <c r="I1940" s="18"/>
      <c r="J1940" s="77" t="str">
        <f t="shared" ca="1" si="61"/>
        <v/>
      </c>
      <c r="K1940" s="23">
        <f>IF(A1940="","",COUNTIFS(Resumen!$N$2:$N$2999,ROW(),Resumen!$V$2:$V$2999,1))</f>
        <v/>
      </c>
      <c r="L1940" s="26"/>
      <c r="N19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1" spans="1:14">
      <c r="A1941" s="16"/>
      <c r="B1941" s="16"/>
      <c r="C1941" s="25"/>
      <c r="D1941" s="25"/>
      <c r="E1941" s="16"/>
      <c r="F1941" s="18"/>
      <c r="G1941" s="19" t="str">
        <f t="shared" ca="1" si="60"/>
        <v/>
      </c>
      <c r="H1941" s="18"/>
      <c r="I1941" s="18"/>
      <c r="J1941" s="77" t="str">
        <f t="shared" ca="1" si="61"/>
        <v/>
      </c>
      <c r="K1941" s="23">
        <f>IF(A1941="","",COUNTIFS(Resumen!$N$2:$N$2999,ROW(),Resumen!$V$2:$V$2999,1))</f>
        <v/>
      </c>
      <c r="L1941" s="26"/>
      <c r="N19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2" spans="1:14">
      <c r="A1942" s="16"/>
      <c r="B1942" s="16"/>
      <c r="C1942" s="25"/>
      <c r="D1942" s="25"/>
      <c r="E1942" s="16"/>
      <c r="F1942" s="18"/>
      <c r="G1942" s="19" t="str">
        <f t="shared" ca="1" si="60"/>
        <v/>
      </c>
      <c r="H1942" s="18"/>
      <c r="I1942" s="18"/>
      <c r="J1942" s="77" t="str">
        <f t="shared" ca="1" si="61"/>
        <v/>
      </c>
      <c r="K1942" s="23">
        <f>IF(A1942="","",COUNTIFS(Resumen!$N$2:$N$2999,ROW(),Resumen!$V$2:$V$2999,1))</f>
        <v/>
      </c>
      <c r="L1942" s="26"/>
      <c r="N19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3" spans="1:14">
      <c r="A1943" s="16"/>
      <c r="B1943" s="16"/>
      <c r="C1943" s="25"/>
      <c r="D1943" s="25"/>
      <c r="E1943" s="16"/>
      <c r="F1943" s="18"/>
      <c r="G1943" s="19" t="str">
        <f t="shared" ca="1" si="60"/>
        <v/>
      </c>
      <c r="H1943" s="18"/>
      <c r="I1943" s="18"/>
      <c r="J1943" s="77" t="str">
        <f t="shared" ca="1" si="61"/>
        <v/>
      </c>
      <c r="K1943" s="23">
        <f>IF(A1943="","",COUNTIFS(Resumen!$N$2:$N$2999,ROW(),Resumen!$V$2:$V$2999,1))</f>
        <v/>
      </c>
      <c r="L1943" s="26"/>
      <c r="N19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4" spans="1:14">
      <c r="A1944" s="16"/>
      <c r="B1944" s="16"/>
      <c r="C1944" s="25"/>
      <c r="D1944" s="25"/>
      <c r="E1944" s="16"/>
      <c r="F1944" s="18"/>
      <c r="G1944" s="19" t="str">
        <f t="shared" ca="1" si="60"/>
        <v/>
      </c>
      <c r="H1944" s="18"/>
      <c r="I1944" s="18"/>
      <c r="J1944" s="77" t="str">
        <f t="shared" ca="1" si="61"/>
        <v/>
      </c>
      <c r="K1944" s="23">
        <f>IF(A1944="","",COUNTIFS(Resumen!$N$2:$N$2999,ROW(),Resumen!$V$2:$V$2999,1))</f>
        <v/>
      </c>
      <c r="L1944" s="26"/>
      <c r="N19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5" spans="1:14">
      <c r="A1945" s="16"/>
      <c r="B1945" s="16"/>
      <c r="C1945" s="25"/>
      <c r="D1945" s="25"/>
      <c r="E1945" s="16"/>
      <c r="F1945" s="18"/>
      <c r="G1945" s="19" t="str">
        <f t="shared" ca="1" si="60"/>
        <v/>
      </c>
      <c r="H1945" s="18"/>
      <c r="I1945" s="18"/>
      <c r="J1945" s="77" t="str">
        <f t="shared" ca="1" si="61"/>
        <v/>
      </c>
      <c r="K1945" s="23">
        <f>IF(A1945="","",COUNTIFS(Resumen!$N$2:$N$2999,ROW(),Resumen!$V$2:$V$2999,1))</f>
        <v/>
      </c>
      <c r="L1945" s="26"/>
      <c r="N19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6" spans="1:14">
      <c r="A1946" s="16"/>
      <c r="B1946" s="16"/>
      <c r="C1946" s="25"/>
      <c r="D1946" s="25"/>
      <c r="E1946" s="16"/>
      <c r="F1946" s="18"/>
      <c r="G1946" s="19" t="str">
        <f t="shared" ca="1" si="60"/>
        <v/>
      </c>
      <c r="H1946" s="18"/>
      <c r="I1946" s="18"/>
      <c r="J1946" s="77" t="str">
        <f t="shared" ca="1" si="61"/>
        <v/>
      </c>
      <c r="K1946" s="23">
        <f>IF(A1946="","",COUNTIFS(Resumen!$N$2:$N$2999,ROW(),Resumen!$V$2:$V$2999,1))</f>
        <v/>
      </c>
      <c r="L1946" s="26"/>
      <c r="N19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7" spans="1:14">
      <c r="A1947" s="16"/>
      <c r="B1947" s="16"/>
      <c r="C1947" s="25"/>
      <c r="D1947" s="25"/>
      <c r="E1947" s="16"/>
      <c r="F1947" s="18"/>
      <c r="G1947" s="19" t="str">
        <f t="shared" ca="1" si="60"/>
        <v/>
      </c>
      <c r="H1947" s="18"/>
      <c r="I1947" s="18"/>
      <c r="J1947" s="77" t="str">
        <f t="shared" ca="1" si="61"/>
        <v/>
      </c>
      <c r="K1947" s="23">
        <f>IF(A1947="","",COUNTIFS(Resumen!$N$2:$N$2999,ROW(),Resumen!$V$2:$V$2999,1))</f>
        <v/>
      </c>
      <c r="L1947" s="26"/>
      <c r="N19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8" spans="1:14">
      <c r="A1948" s="16"/>
      <c r="B1948" s="16"/>
      <c r="C1948" s="25"/>
      <c r="D1948" s="25"/>
      <c r="E1948" s="16"/>
      <c r="F1948" s="18"/>
      <c r="G1948" s="19" t="str">
        <f t="shared" ca="1" si="60"/>
        <v/>
      </c>
      <c r="H1948" s="18"/>
      <c r="I1948" s="18"/>
      <c r="J1948" s="77" t="str">
        <f t="shared" ca="1" si="61"/>
        <v/>
      </c>
      <c r="K1948" s="23">
        <f>IF(A1948="","",COUNTIFS(Resumen!$N$2:$N$2999,ROW(),Resumen!$V$2:$V$2999,1))</f>
        <v/>
      </c>
      <c r="L1948" s="26"/>
      <c r="N19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49" spans="1:14">
      <c r="A1949" s="16"/>
      <c r="B1949" s="16"/>
      <c r="C1949" s="25"/>
      <c r="D1949" s="25"/>
      <c r="E1949" s="16"/>
      <c r="F1949" s="18"/>
      <c r="G1949" s="19" t="str">
        <f t="shared" ca="1" si="60"/>
        <v/>
      </c>
      <c r="H1949" s="18"/>
      <c r="I1949" s="18"/>
      <c r="J1949" s="77" t="str">
        <f t="shared" ca="1" si="61"/>
        <v/>
      </c>
      <c r="K1949" s="23">
        <f>IF(A1949="","",COUNTIFS(Resumen!$N$2:$N$2999,ROW(),Resumen!$V$2:$V$2999,1))</f>
        <v/>
      </c>
      <c r="L1949" s="26"/>
      <c r="N19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0" spans="1:14">
      <c r="A1950" s="16"/>
      <c r="B1950" s="16"/>
      <c r="C1950" s="25"/>
      <c r="D1950" s="25"/>
      <c r="E1950" s="16"/>
      <c r="F1950" s="18"/>
      <c r="G1950" s="19" t="str">
        <f t="shared" ca="1" si="60"/>
        <v/>
      </c>
      <c r="H1950" s="18"/>
      <c r="I1950" s="18"/>
      <c r="J1950" s="77" t="str">
        <f t="shared" ca="1" si="61"/>
        <v/>
      </c>
      <c r="K1950" s="23">
        <f>IF(A1950="","",COUNTIFS(Resumen!$N$2:$N$2999,ROW(),Resumen!$V$2:$V$2999,1))</f>
        <v/>
      </c>
      <c r="L1950" s="26"/>
      <c r="N19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1" spans="1:14">
      <c r="A1951" s="16"/>
      <c r="B1951" s="16"/>
      <c r="C1951" s="25"/>
      <c r="D1951" s="25"/>
      <c r="E1951" s="16"/>
      <c r="F1951" s="18"/>
      <c r="G1951" s="19" t="str">
        <f t="shared" ca="1" si="60"/>
        <v/>
      </c>
      <c r="H1951" s="18"/>
      <c r="I1951" s="18"/>
      <c r="J1951" s="77" t="str">
        <f t="shared" ca="1" si="61"/>
        <v/>
      </c>
      <c r="K1951" s="23">
        <f>IF(A1951="","",COUNTIFS(Resumen!$N$2:$N$2999,ROW(),Resumen!$V$2:$V$2999,1))</f>
        <v/>
      </c>
      <c r="L1951" s="26"/>
      <c r="N19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2" spans="1:14">
      <c r="A1952" s="16"/>
      <c r="B1952" s="16"/>
      <c r="C1952" s="25"/>
      <c r="D1952" s="25"/>
      <c r="E1952" s="16"/>
      <c r="F1952" s="18"/>
      <c r="G1952" s="19" t="str">
        <f t="shared" ca="1" si="60"/>
        <v/>
      </c>
      <c r="H1952" s="18"/>
      <c r="I1952" s="18"/>
      <c r="J1952" s="77" t="str">
        <f t="shared" ca="1" si="61"/>
        <v/>
      </c>
      <c r="K1952" s="23">
        <f>IF(A1952="","",COUNTIFS(Resumen!$N$2:$N$2999,ROW(),Resumen!$V$2:$V$2999,1))</f>
        <v/>
      </c>
      <c r="L1952" s="26"/>
      <c r="N19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3" spans="1:14">
      <c r="A1953" s="16"/>
      <c r="B1953" s="16"/>
      <c r="C1953" s="25"/>
      <c r="D1953" s="25"/>
      <c r="E1953" s="16"/>
      <c r="F1953" s="18"/>
      <c r="G1953" s="19" t="str">
        <f t="shared" ca="1" si="60"/>
        <v/>
      </c>
      <c r="H1953" s="18"/>
      <c r="I1953" s="18"/>
      <c r="J1953" s="77" t="str">
        <f t="shared" ca="1" si="61"/>
        <v/>
      </c>
      <c r="K1953" s="23">
        <f>IF(A1953="","",COUNTIFS(Resumen!$N$2:$N$2999,ROW(),Resumen!$V$2:$V$2999,1))</f>
        <v/>
      </c>
      <c r="L1953" s="26"/>
      <c r="N19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4" spans="1:14">
      <c r="A1954" s="16"/>
      <c r="B1954" s="16"/>
      <c r="C1954" s="25"/>
      <c r="D1954" s="25"/>
      <c r="E1954" s="16"/>
      <c r="F1954" s="18"/>
      <c r="G1954" s="19" t="str">
        <f t="shared" ca="1" si="60"/>
        <v/>
      </c>
      <c r="H1954" s="18"/>
      <c r="I1954" s="18"/>
      <c r="J1954" s="77" t="str">
        <f t="shared" ca="1" si="61"/>
        <v/>
      </c>
      <c r="K1954" s="23">
        <f>IF(A1954="","",COUNTIFS(Resumen!$N$2:$N$2999,ROW(),Resumen!$V$2:$V$2999,1))</f>
        <v/>
      </c>
      <c r="L1954" s="26"/>
      <c r="N19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5" spans="1:14">
      <c r="A1955" s="16"/>
      <c r="B1955" s="16"/>
      <c r="C1955" s="25"/>
      <c r="D1955" s="25"/>
      <c r="E1955" s="16"/>
      <c r="F1955" s="18"/>
      <c r="G1955" s="19" t="str">
        <f t="shared" ca="1" si="60"/>
        <v/>
      </c>
      <c r="H1955" s="18"/>
      <c r="I1955" s="18"/>
      <c r="J1955" s="77" t="str">
        <f t="shared" ca="1" si="61"/>
        <v/>
      </c>
      <c r="K1955" s="23">
        <f>IF(A1955="","",COUNTIFS(Resumen!$N$2:$N$2999,ROW(),Resumen!$V$2:$V$2999,1))</f>
        <v/>
      </c>
      <c r="L1955" s="26"/>
      <c r="N19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6" spans="1:14">
      <c r="A1956" s="16"/>
      <c r="B1956" s="16"/>
      <c r="C1956" s="25"/>
      <c r="D1956" s="25"/>
      <c r="E1956" s="16"/>
      <c r="F1956" s="18"/>
      <c r="G1956" s="19" t="str">
        <f t="shared" ca="1" si="60"/>
        <v/>
      </c>
      <c r="H1956" s="18"/>
      <c r="I1956" s="18"/>
      <c r="J1956" s="77" t="str">
        <f t="shared" ca="1" si="61"/>
        <v/>
      </c>
      <c r="K1956" s="23">
        <f>IF(A1956="","",COUNTIFS(Resumen!$N$2:$N$2999,ROW(),Resumen!$V$2:$V$2999,1))</f>
        <v/>
      </c>
      <c r="L1956" s="26"/>
      <c r="N19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7" spans="1:14">
      <c r="A1957" s="16"/>
      <c r="B1957" s="16"/>
      <c r="C1957" s="25"/>
      <c r="D1957" s="25"/>
      <c r="E1957" s="16"/>
      <c r="F1957" s="18"/>
      <c r="G1957" s="19" t="str">
        <f t="shared" ca="1" si="60"/>
        <v/>
      </c>
      <c r="H1957" s="18"/>
      <c r="I1957" s="18"/>
      <c r="J1957" s="77" t="str">
        <f t="shared" ca="1" si="61"/>
        <v/>
      </c>
      <c r="K1957" s="23">
        <f>IF(A1957="","",COUNTIFS(Resumen!$N$2:$N$2999,ROW(),Resumen!$V$2:$V$2999,1))</f>
        <v/>
      </c>
      <c r="L1957" s="26"/>
      <c r="N19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8" spans="1:14">
      <c r="A1958" s="16"/>
      <c r="B1958" s="16"/>
      <c r="C1958" s="25"/>
      <c r="D1958" s="25"/>
      <c r="E1958" s="16"/>
      <c r="F1958" s="18"/>
      <c r="G1958" s="19" t="str">
        <f t="shared" ca="1" si="60"/>
        <v/>
      </c>
      <c r="H1958" s="18"/>
      <c r="I1958" s="18"/>
      <c r="J1958" s="77" t="str">
        <f t="shared" ca="1" si="61"/>
        <v/>
      </c>
      <c r="K1958" s="23">
        <f>IF(A1958="","",COUNTIFS(Resumen!$N$2:$N$2999,ROW(),Resumen!$V$2:$V$2999,1))</f>
        <v/>
      </c>
      <c r="L1958" s="26"/>
      <c r="N19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59" spans="1:14">
      <c r="A1959" s="16"/>
      <c r="B1959" s="16"/>
      <c r="C1959" s="25"/>
      <c r="D1959" s="25"/>
      <c r="E1959" s="16"/>
      <c r="F1959" s="18"/>
      <c r="G1959" s="19" t="str">
        <f t="shared" ca="1" si="60"/>
        <v/>
      </c>
      <c r="H1959" s="18"/>
      <c r="I1959" s="18"/>
      <c r="J1959" s="77" t="str">
        <f t="shared" ca="1" si="61"/>
        <v/>
      </c>
      <c r="K1959" s="23">
        <f>IF(A1959="","",COUNTIFS(Resumen!$N$2:$N$2999,ROW(),Resumen!$V$2:$V$2999,1))</f>
        <v/>
      </c>
      <c r="L1959" s="26"/>
      <c r="N19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0" spans="1:14">
      <c r="A1960" s="16"/>
      <c r="B1960" s="16"/>
      <c r="C1960" s="25"/>
      <c r="D1960" s="25"/>
      <c r="E1960" s="16"/>
      <c r="F1960" s="18"/>
      <c r="G1960" s="19" t="str">
        <f t="shared" ca="1" si="60"/>
        <v/>
      </c>
      <c r="H1960" s="18"/>
      <c r="I1960" s="18"/>
      <c r="J1960" s="77" t="str">
        <f t="shared" ca="1" si="61"/>
        <v/>
      </c>
      <c r="K1960" s="23">
        <f>IF(A1960="","",COUNTIFS(Resumen!$N$2:$N$2999,ROW(),Resumen!$V$2:$V$2999,1))</f>
        <v/>
      </c>
      <c r="L1960" s="26"/>
      <c r="N19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1" spans="1:14">
      <c r="A1961" s="16"/>
      <c r="B1961" s="16"/>
      <c r="C1961" s="25"/>
      <c r="D1961" s="25"/>
      <c r="E1961" s="16"/>
      <c r="F1961" s="18"/>
      <c r="G1961" s="19" t="str">
        <f t="shared" ca="1" si="60"/>
        <v/>
      </c>
      <c r="H1961" s="18"/>
      <c r="I1961" s="18"/>
      <c r="J1961" s="77" t="str">
        <f t="shared" ca="1" si="61"/>
        <v/>
      </c>
      <c r="K1961" s="23">
        <f>IF(A1961="","",COUNTIFS(Resumen!$N$2:$N$2999,ROW(),Resumen!$V$2:$V$2999,1))</f>
        <v/>
      </c>
      <c r="L1961" s="26"/>
      <c r="N19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2" spans="1:14">
      <c r="A1962" s="16"/>
      <c r="B1962" s="16"/>
      <c r="C1962" s="25"/>
      <c r="D1962" s="25"/>
      <c r="E1962" s="16"/>
      <c r="F1962" s="18"/>
      <c r="G1962" s="19" t="str">
        <f t="shared" ca="1" si="60"/>
        <v/>
      </c>
      <c r="H1962" s="18"/>
      <c r="I1962" s="18"/>
      <c r="J1962" s="77" t="str">
        <f t="shared" ca="1" si="61"/>
        <v/>
      </c>
      <c r="K1962" s="23">
        <f>IF(A1962="","",COUNTIFS(Resumen!$N$2:$N$2999,ROW(),Resumen!$V$2:$V$2999,1))</f>
        <v/>
      </c>
      <c r="L1962" s="26"/>
      <c r="N19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3" spans="1:14">
      <c r="A1963" s="16"/>
      <c r="B1963" s="16"/>
      <c r="C1963" s="25"/>
      <c r="D1963" s="25"/>
      <c r="E1963" s="16"/>
      <c r="F1963" s="18"/>
      <c r="G1963" s="19" t="str">
        <f t="shared" ca="1" si="60"/>
        <v/>
      </c>
      <c r="H1963" s="18"/>
      <c r="I1963" s="18"/>
      <c r="J1963" s="77" t="str">
        <f t="shared" ca="1" si="61"/>
        <v/>
      </c>
      <c r="K1963" s="23">
        <f>IF(A1963="","",COUNTIFS(Resumen!$N$2:$N$2999,ROW(),Resumen!$V$2:$V$2999,1))</f>
        <v/>
      </c>
      <c r="L1963" s="26"/>
      <c r="N19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4" spans="1:14">
      <c r="A1964" s="16"/>
      <c r="B1964" s="16"/>
      <c r="C1964" s="25"/>
      <c r="D1964" s="25"/>
      <c r="E1964" s="16"/>
      <c r="F1964" s="18"/>
      <c r="G1964" s="19" t="str">
        <f t="shared" ca="1" si="60"/>
        <v/>
      </c>
      <c r="H1964" s="18"/>
      <c r="I1964" s="18"/>
      <c r="J1964" s="77" t="str">
        <f t="shared" ca="1" si="61"/>
        <v/>
      </c>
      <c r="K1964" s="23">
        <f>IF(A1964="","",COUNTIFS(Resumen!$N$2:$N$2999,ROW(),Resumen!$V$2:$V$2999,1))</f>
        <v/>
      </c>
      <c r="L1964" s="26"/>
      <c r="N19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5" spans="1:14">
      <c r="A1965" s="16"/>
      <c r="B1965" s="16"/>
      <c r="C1965" s="25"/>
      <c r="D1965" s="25"/>
      <c r="E1965" s="16"/>
      <c r="F1965" s="18"/>
      <c r="G1965" s="19" t="str">
        <f t="shared" ca="1" si="60"/>
        <v/>
      </c>
      <c r="H1965" s="18"/>
      <c r="I1965" s="18"/>
      <c r="J1965" s="77" t="str">
        <f t="shared" ca="1" si="61"/>
        <v/>
      </c>
      <c r="K1965" s="23">
        <f>IF(A1965="","",COUNTIFS(Resumen!$N$2:$N$2999,ROW(),Resumen!$V$2:$V$2999,1))</f>
        <v/>
      </c>
      <c r="L1965" s="26"/>
      <c r="N19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6" spans="1:14">
      <c r="A1966" s="16"/>
      <c r="B1966" s="16"/>
      <c r="C1966" s="25"/>
      <c r="D1966" s="25"/>
      <c r="E1966" s="16"/>
      <c r="F1966" s="18"/>
      <c r="G1966" s="19" t="str">
        <f t="shared" ca="1" si="60"/>
        <v/>
      </c>
      <c r="H1966" s="18"/>
      <c r="I1966" s="18"/>
      <c r="J1966" s="77" t="str">
        <f t="shared" ca="1" si="61"/>
        <v/>
      </c>
      <c r="K1966" s="23">
        <f>IF(A1966="","",COUNTIFS(Resumen!$N$2:$N$2999,ROW(),Resumen!$V$2:$V$2999,1))</f>
        <v/>
      </c>
      <c r="L1966" s="26"/>
      <c r="N19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7" spans="1:14">
      <c r="A1967" s="16"/>
      <c r="B1967" s="16"/>
      <c r="C1967" s="25"/>
      <c r="D1967" s="25"/>
      <c r="E1967" s="16"/>
      <c r="F1967" s="18"/>
      <c r="G1967" s="19" t="str">
        <f t="shared" ca="1" si="60"/>
        <v/>
      </c>
      <c r="H1967" s="18"/>
      <c r="I1967" s="18"/>
      <c r="J1967" s="77" t="str">
        <f t="shared" ca="1" si="61"/>
        <v/>
      </c>
      <c r="K1967" s="23">
        <f>IF(A1967="","",COUNTIFS(Resumen!$N$2:$N$2999,ROW(),Resumen!$V$2:$V$2999,1))</f>
        <v/>
      </c>
      <c r="L1967" s="26"/>
      <c r="N19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8" spans="1:14">
      <c r="A1968" s="16"/>
      <c r="B1968" s="16"/>
      <c r="C1968" s="25"/>
      <c r="D1968" s="25"/>
      <c r="E1968" s="16"/>
      <c r="F1968" s="18"/>
      <c r="G1968" s="19" t="str">
        <f t="shared" ca="1" si="60"/>
        <v/>
      </c>
      <c r="H1968" s="18"/>
      <c r="I1968" s="18"/>
      <c r="J1968" s="77" t="str">
        <f t="shared" ca="1" si="61"/>
        <v/>
      </c>
      <c r="K1968" s="23">
        <f>IF(A1968="","",COUNTIFS(Resumen!$N$2:$N$2999,ROW(),Resumen!$V$2:$V$2999,1))</f>
        <v/>
      </c>
      <c r="L1968" s="26"/>
      <c r="N19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69" spans="1:14">
      <c r="A1969" s="16"/>
      <c r="B1969" s="16"/>
      <c r="C1969" s="25"/>
      <c r="D1969" s="25"/>
      <c r="E1969" s="16"/>
      <c r="F1969" s="18"/>
      <c r="G1969" s="19" t="str">
        <f t="shared" ca="1" si="60"/>
        <v/>
      </c>
      <c r="H1969" s="18"/>
      <c r="I1969" s="18"/>
      <c r="J1969" s="77" t="str">
        <f t="shared" ca="1" si="61"/>
        <v/>
      </c>
      <c r="K1969" s="23">
        <f>IF(A1969="","",COUNTIFS(Resumen!$N$2:$N$2999,ROW(),Resumen!$V$2:$V$2999,1))</f>
        <v/>
      </c>
      <c r="L1969" s="26"/>
      <c r="N19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0" spans="1:14">
      <c r="A1970" s="16"/>
      <c r="B1970" s="16"/>
      <c r="C1970" s="25"/>
      <c r="D1970" s="25"/>
      <c r="E1970" s="16"/>
      <c r="F1970" s="18"/>
      <c r="G1970" s="19" t="str">
        <f t="shared" ca="1" si="60"/>
        <v/>
      </c>
      <c r="H1970" s="18"/>
      <c r="I1970" s="18"/>
      <c r="J1970" s="77" t="str">
        <f t="shared" ca="1" si="61"/>
        <v/>
      </c>
      <c r="K1970" s="23">
        <f>IF(A1970="","",COUNTIFS(Resumen!$N$2:$N$2999,ROW(),Resumen!$V$2:$V$2999,1))</f>
        <v/>
      </c>
      <c r="L1970" s="26"/>
      <c r="N19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1" spans="1:14">
      <c r="A1971" s="16"/>
      <c r="B1971" s="16"/>
      <c r="C1971" s="25"/>
      <c r="D1971" s="25"/>
      <c r="E1971" s="16"/>
      <c r="F1971" s="18"/>
      <c r="G1971" s="19" t="str">
        <f t="shared" ca="1" si="60"/>
        <v/>
      </c>
      <c r="H1971" s="18"/>
      <c r="I1971" s="18"/>
      <c r="J1971" s="77" t="str">
        <f t="shared" ca="1" si="61"/>
        <v/>
      </c>
      <c r="K1971" s="23">
        <f>IF(A1971="","",COUNTIFS(Resumen!$N$2:$N$2999,ROW(),Resumen!$V$2:$V$2999,1))</f>
        <v/>
      </c>
      <c r="L1971" s="26"/>
      <c r="N19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2" spans="1:14">
      <c r="A1972" s="16"/>
      <c r="B1972" s="16"/>
      <c r="C1972" s="25"/>
      <c r="D1972" s="25"/>
      <c r="E1972" s="16"/>
      <c r="F1972" s="18"/>
      <c r="G1972" s="19" t="str">
        <f t="shared" ca="1" si="60"/>
        <v/>
      </c>
      <c r="H1972" s="18"/>
      <c r="I1972" s="18"/>
      <c r="J1972" s="77" t="str">
        <f t="shared" ca="1" si="61"/>
        <v/>
      </c>
      <c r="K1972" s="23">
        <f>IF(A1972="","",COUNTIFS(Resumen!$N$2:$N$2999,ROW(),Resumen!$V$2:$V$2999,1))</f>
        <v/>
      </c>
      <c r="L1972" s="26"/>
      <c r="N19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3" spans="1:14">
      <c r="A1973" s="16"/>
      <c r="B1973" s="16"/>
      <c r="C1973" s="25"/>
      <c r="D1973" s="25"/>
      <c r="E1973" s="16"/>
      <c r="F1973" s="18"/>
      <c r="G1973" s="19" t="str">
        <f t="shared" ca="1" si="60"/>
        <v/>
      </c>
      <c r="H1973" s="18"/>
      <c r="I1973" s="18"/>
      <c r="J1973" s="77" t="str">
        <f t="shared" ca="1" si="61"/>
        <v/>
      </c>
      <c r="K1973" s="23">
        <f>IF(A1973="","",COUNTIFS(Resumen!$N$2:$N$2999,ROW(),Resumen!$V$2:$V$2999,1))</f>
        <v/>
      </c>
      <c r="L1973" s="26"/>
      <c r="N19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4" spans="1:14">
      <c r="A1974" s="16"/>
      <c r="B1974" s="16"/>
      <c r="C1974" s="25"/>
      <c r="D1974" s="25"/>
      <c r="E1974" s="16"/>
      <c r="F1974" s="18"/>
      <c r="G1974" s="19" t="str">
        <f t="shared" ca="1" si="60"/>
        <v/>
      </c>
      <c r="H1974" s="18"/>
      <c r="I1974" s="18"/>
      <c r="J1974" s="77" t="str">
        <f t="shared" ca="1" si="61"/>
        <v/>
      </c>
      <c r="K1974" s="23">
        <f>IF(A1974="","",COUNTIFS(Resumen!$N$2:$N$2999,ROW(),Resumen!$V$2:$V$2999,1))</f>
        <v/>
      </c>
      <c r="L1974" s="26"/>
      <c r="N19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5" spans="1:14">
      <c r="A1975" s="16"/>
      <c r="B1975" s="16"/>
      <c r="C1975" s="25"/>
      <c r="D1975" s="25"/>
      <c r="E1975" s="16"/>
      <c r="F1975" s="18"/>
      <c r="G1975" s="19" t="str">
        <f t="shared" ca="1" si="60"/>
        <v/>
      </c>
      <c r="H1975" s="18"/>
      <c r="I1975" s="18"/>
      <c r="J1975" s="77" t="str">
        <f t="shared" ca="1" si="61"/>
        <v/>
      </c>
      <c r="K1975" s="23">
        <f>IF(A1975="","",COUNTIFS(Resumen!$N$2:$N$2999,ROW(),Resumen!$V$2:$V$2999,1))</f>
        <v/>
      </c>
      <c r="L1975" s="26"/>
      <c r="N19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6" spans="1:14">
      <c r="A1976" s="16"/>
      <c r="B1976" s="16"/>
      <c r="C1976" s="25"/>
      <c r="D1976" s="25"/>
      <c r="E1976" s="16"/>
      <c r="F1976" s="18"/>
      <c r="G1976" s="19" t="str">
        <f t="shared" ca="1" si="60"/>
        <v/>
      </c>
      <c r="H1976" s="18"/>
      <c r="I1976" s="18"/>
      <c r="J1976" s="77" t="str">
        <f t="shared" ca="1" si="61"/>
        <v/>
      </c>
      <c r="K1976" s="23">
        <f>IF(A1976="","",COUNTIFS(Resumen!$N$2:$N$2999,ROW(),Resumen!$V$2:$V$2999,1))</f>
        <v/>
      </c>
      <c r="L1976" s="26"/>
      <c r="N19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7" spans="1:14">
      <c r="A1977" s="16"/>
      <c r="B1977" s="16"/>
      <c r="C1977" s="25"/>
      <c r="D1977" s="25"/>
      <c r="E1977" s="16"/>
      <c r="F1977" s="18"/>
      <c r="G1977" s="19" t="str">
        <f t="shared" ca="1" si="60"/>
        <v/>
      </c>
      <c r="H1977" s="18"/>
      <c r="I1977" s="18"/>
      <c r="J1977" s="77" t="str">
        <f t="shared" ca="1" si="61"/>
        <v/>
      </c>
      <c r="K1977" s="23">
        <f>IF(A1977="","",COUNTIFS(Resumen!$N$2:$N$2999,ROW(),Resumen!$V$2:$V$2999,1))</f>
        <v/>
      </c>
      <c r="L1977" s="26"/>
      <c r="N19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8" spans="1:14">
      <c r="A1978" s="16"/>
      <c r="B1978" s="16"/>
      <c r="C1978" s="25"/>
      <c r="D1978" s="25"/>
      <c r="E1978" s="16"/>
      <c r="F1978" s="18"/>
      <c r="G1978" s="19" t="str">
        <f t="shared" ca="1" si="60"/>
        <v/>
      </c>
      <c r="H1978" s="18"/>
      <c r="I1978" s="18"/>
      <c r="J1978" s="77" t="str">
        <f t="shared" ca="1" si="61"/>
        <v/>
      </c>
      <c r="K1978" s="23">
        <f>IF(A1978="","",COUNTIFS(Resumen!$N$2:$N$2999,ROW(),Resumen!$V$2:$V$2999,1))</f>
        <v/>
      </c>
      <c r="L1978" s="26"/>
      <c r="N19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79" spans="1:14">
      <c r="A1979" s="16"/>
      <c r="B1979" s="16"/>
      <c r="C1979" s="25"/>
      <c r="D1979" s="25"/>
      <c r="E1979" s="16"/>
      <c r="F1979" s="18"/>
      <c r="G1979" s="19" t="str">
        <f t="shared" ca="1" si="60"/>
        <v/>
      </c>
      <c r="H1979" s="18"/>
      <c r="I1979" s="18"/>
      <c r="J1979" s="77" t="str">
        <f t="shared" ca="1" si="61"/>
        <v/>
      </c>
      <c r="K1979" s="23">
        <f>IF(A1979="","",COUNTIFS(Resumen!$N$2:$N$2999,ROW(),Resumen!$V$2:$V$2999,1))</f>
        <v/>
      </c>
      <c r="L1979" s="26"/>
      <c r="N19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0" spans="1:14">
      <c r="A1980" s="16"/>
      <c r="B1980" s="16"/>
      <c r="C1980" s="25"/>
      <c r="D1980" s="25"/>
      <c r="E1980" s="16"/>
      <c r="F1980" s="18"/>
      <c r="G1980" s="19" t="str">
        <f t="shared" ca="1" si="60"/>
        <v/>
      </c>
      <c r="H1980" s="18"/>
      <c r="I1980" s="18"/>
      <c r="J1980" s="77" t="str">
        <f t="shared" ca="1" si="61"/>
        <v/>
      </c>
      <c r="K1980" s="23">
        <f>IF(A1980="","",COUNTIFS(Resumen!$N$2:$N$2999,ROW(),Resumen!$V$2:$V$2999,1))</f>
        <v/>
      </c>
      <c r="L1980" s="26"/>
      <c r="N19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1" spans="1:14">
      <c r="A1981" s="16"/>
      <c r="B1981" s="16"/>
      <c r="C1981" s="25"/>
      <c r="D1981" s="25"/>
      <c r="E1981" s="16"/>
      <c r="F1981" s="18"/>
      <c r="G1981" s="19" t="str">
        <f t="shared" ca="1" si="60"/>
        <v/>
      </c>
      <c r="H1981" s="18"/>
      <c r="I1981" s="18"/>
      <c r="J1981" s="77" t="str">
        <f t="shared" ca="1" si="61"/>
        <v/>
      </c>
      <c r="K1981" s="23">
        <f>IF(A1981="","",COUNTIFS(Resumen!$N$2:$N$2999,ROW(),Resumen!$V$2:$V$2999,1))</f>
        <v/>
      </c>
      <c r="L1981" s="26"/>
      <c r="N19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2" spans="1:14">
      <c r="A1982" s="16"/>
      <c r="B1982" s="16"/>
      <c r="C1982" s="25"/>
      <c r="D1982" s="25"/>
      <c r="E1982" s="16"/>
      <c r="F1982" s="18"/>
      <c r="G1982" s="19" t="str">
        <f t="shared" ca="1" si="60"/>
        <v/>
      </c>
      <c r="H1982" s="18"/>
      <c r="I1982" s="18"/>
      <c r="J1982" s="77" t="str">
        <f t="shared" ca="1" si="61"/>
        <v/>
      </c>
      <c r="K1982" s="23">
        <f>IF(A1982="","",COUNTIFS(Resumen!$N$2:$N$2999,ROW(),Resumen!$V$2:$V$2999,1))</f>
        <v/>
      </c>
      <c r="L1982" s="26"/>
      <c r="N19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3" spans="1:14">
      <c r="A1983" s="16"/>
      <c r="B1983" s="16"/>
      <c r="C1983" s="25"/>
      <c r="D1983" s="25"/>
      <c r="E1983" s="16"/>
      <c r="F1983" s="18"/>
      <c r="G1983" s="19" t="str">
        <f t="shared" ca="1" si="60"/>
        <v/>
      </c>
      <c r="H1983" s="18"/>
      <c r="I1983" s="18"/>
      <c r="J1983" s="77" t="str">
        <f t="shared" ca="1" si="61"/>
        <v/>
      </c>
      <c r="K1983" s="23">
        <f>IF(A1983="","",COUNTIFS(Resumen!$N$2:$N$2999,ROW(),Resumen!$V$2:$V$2999,1))</f>
        <v/>
      </c>
      <c r="L1983" s="26"/>
      <c r="N19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4" spans="1:14">
      <c r="A1984" s="16"/>
      <c r="B1984" s="16"/>
      <c r="C1984" s="25"/>
      <c r="D1984" s="25"/>
      <c r="E1984" s="16"/>
      <c r="F1984" s="18"/>
      <c r="G1984" s="19" t="str">
        <f t="shared" ca="1" si="60"/>
        <v/>
      </c>
      <c r="H1984" s="18"/>
      <c r="I1984" s="18"/>
      <c r="J1984" s="77" t="str">
        <f t="shared" ca="1" si="61"/>
        <v/>
      </c>
      <c r="K1984" s="23">
        <f>IF(A1984="","",COUNTIFS(Resumen!$N$2:$N$2999,ROW(),Resumen!$V$2:$V$2999,1))</f>
        <v/>
      </c>
      <c r="L1984" s="26"/>
      <c r="N19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5" spans="1:14">
      <c r="A1985" s="16"/>
      <c r="B1985" s="16"/>
      <c r="C1985" s="25"/>
      <c r="D1985" s="25"/>
      <c r="E1985" s="16"/>
      <c r="F1985" s="18"/>
      <c r="G1985" s="19" t="str">
        <f t="shared" ca="1" si="60"/>
        <v/>
      </c>
      <c r="H1985" s="18"/>
      <c r="I1985" s="18"/>
      <c r="J1985" s="77" t="str">
        <f t="shared" ca="1" si="61"/>
        <v/>
      </c>
      <c r="K1985" s="23">
        <f>IF(A1985="","",COUNTIFS(Resumen!$N$2:$N$2999,ROW(),Resumen!$V$2:$V$2999,1))</f>
        <v/>
      </c>
      <c r="L1985" s="26"/>
      <c r="N19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6" spans="1:14">
      <c r="A1986" s="16"/>
      <c r="B1986" s="16"/>
      <c r="C1986" s="25"/>
      <c r="D1986" s="25"/>
      <c r="E1986" s="16"/>
      <c r="F1986" s="18"/>
      <c r="G1986" s="19" t="str">
        <f t="shared" ref="G1986:G2049" ca="1" si="62">IF(F1986="", "", DATEDIF(F1986, TODAY(), "Y"))</f>
        <v/>
      </c>
      <c r="H1986" s="18"/>
      <c r="I1986" s="18"/>
      <c r="J1986" s="77" t="str">
        <f t="shared" ref="J1986:J2049" ca="1" si="63">IFERROR(IF(ISNUMBER(INDEX(VigenciasFamilia,ROW())),INDEX(VigenciasFamilia,ROW())-TODAY(),""),"")</f>
        <v/>
      </c>
      <c r="K1986" s="23">
        <f>IF(A1986="","",COUNTIFS(Resumen!$N$2:$N$2999,ROW(),Resumen!$V$2:$V$2999,1))</f>
        <v/>
      </c>
      <c r="L1986" s="26"/>
      <c r="N19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7" spans="1:14">
      <c r="A1987" s="16"/>
      <c r="B1987" s="16"/>
      <c r="C1987" s="25"/>
      <c r="D1987" s="25"/>
      <c r="E1987" s="16"/>
      <c r="F1987" s="18"/>
      <c r="G1987" s="19" t="str">
        <f t="shared" ca="1" si="62"/>
        <v/>
      </c>
      <c r="H1987" s="18"/>
      <c r="I1987" s="18"/>
      <c r="J1987" s="77" t="str">
        <f t="shared" ca="1" si="63"/>
        <v/>
      </c>
      <c r="K1987" s="23">
        <f>IF(A1987="","",COUNTIFS(Resumen!$N$2:$N$2999,ROW(),Resumen!$V$2:$V$2999,1))</f>
        <v/>
      </c>
      <c r="L1987" s="26"/>
      <c r="N19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8" spans="1:14">
      <c r="A1988" s="16"/>
      <c r="B1988" s="16"/>
      <c r="C1988" s="25"/>
      <c r="D1988" s="25"/>
      <c r="E1988" s="16"/>
      <c r="F1988" s="18"/>
      <c r="G1988" s="19" t="str">
        <f t="shared" ca="1" si="62"/>
        <v/>
      </c>
      <c r="H1988" s="18"/>
      <c r="I1988" s="18"/>
      <c r="J1988" s="77" t="str">
        <f t="shared" ca="1" si="63"/>
        <v/>
      </c>
      <c r="K1988" s="23">
        <f>IF(A1988="","",COUNTIFS(Resumen!$N$2:$N$2999,ROW(),Resumen!$V$2:$V$2999,1))</f>
        <v/>
      </c>
      <c r="L1988" s="26"/>
      <c r="N19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89" spans="1:14">
      <c r="A1989" s="16"/>
      <c r="B1989" s="16"/>
      <c r="C1989" s="25"/>
      <c r="D1989" s="25"/>
      <c r="E1989" s="16"/>
      <c r="F1989" s="18"/>
      <c r="G1989" s="19" t="str">
        <f t="shared" ca="1" si="62"/>
        <v/>
      </c>
      <c r="H1989" s="18"/>
      <c r="I1989" s="18"/>
      <c r="J1989" s="77" t="str">
        <f t="shared" ca="1" si="63"/>
        <v/>
      </c>
      <c r="K1989" s="23">
        <f>IF(A1989="","",COUNTIFS(Resumen!$N$2:$N$2999,ROW(),Resumen!$V$2:$V$2999,1))</f>
        <v/>
      </c>
      <c r="L1989" s="26"/>
      <c r="N19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0" spans="1:14">
      <c r="A1990" s="16"/>
      <c r="B1990" s="16"/>
      <c r="C1990" s="25"/>
      <c r="D1990" s="25"/>
      <c r="E1990" s="16"/>
      <c r="F1990" s="18"/>
      <c r="G1990" s="19" t="str">
        <f t="shared" ca="1" si="62"/>
        <v/>
      </c>
      <c r="H1990" s="18"/>
      <c r="I1990" s="18"/>
      <c r="J1990" s="77" t="str">
        <f t="shared" ca="1" si="63"/>
        <v/>
      </c>
      <c r="K1990" s="23">
        <f>IF(A1990="","",COUNTIFS(Resumen!$N$2:$N$2999,ROW(),Resumen!$V$2:$V$2999,1))</f>
        <v/>
      </c>
      <c r="L1990" s="26"/>
      <c r="N19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1" spans="1:14">
      <c r="A1991" s="16"/>
      <c r="B1991" s="16"/>
      <c r="C1991" s="25"/>
      <c r="D1991" s="25"/>
      <c r="E1991" s="16"/>
      <c r="F1991" s="18"/>
      <c r="G1991" s="19" t="str">
        <f t="shared" ca="1" si="62"/>
        <v/>
      </c>
      <c r="H1991" s="18"/>
      <c r="I1991" s="18"/>
      <c r="J1991" s="77" t="str">
        <f t="shared" ca="1" si="63"/>
        <v/>
      </c>
      <c r="K1991" s="23">
        <f>IF(A1991="","",COUNTIFS(Resumen!$N$2:$N$2999,ROW(),Resumen!$V$2:$V$2999,1))</f>
        <v/>
      </c>
      <c r="L1991" s="26"/>
      <c r="N19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2" spans="1:14">
      <c r="A1992" s="16"/>
      <c r="B1992" s="16"/>
      <c r="C1992" s="25"/>
      <c r="D1992" s="25"/>
      <c r="E1992" s="16"/>
      <c r="F1992" s="18"/>
      <c r="G1992" s="19" t="str">
        <f t="shared" ca="1" si="62"/>
        <v/>
      </c>
      <c r="H1992" s="18"/>
      <c r="I1992" s="18"/>
      <c r="J1992" s="77" t="str">
        <f t="shared" ca="1" si="63"/>
        <v/>
      </c>
      <c r="K1992" s="23">
        <f>IF(A1992="","",COUNTIFS(Resumen!$N$2:$N$2999,ROW(),Resumen!$V$2:$V$2999,1))</f>
        <v/>
      </c>
      <c r="L1992" s="26"/>
      <c r="N19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3" spans="1:14">
      <c r="A1993" s="16"/>
      <c r="B1993" s="16"/>
      <c r="C1993" s="25"/>
      <c r="D1993" s="25"/>
      <c r="E1993" s="16"/>
      <c r="F1993" s="18"/>
      <c r="G1993" s="19" t="str">
        <f t="shared" ca="1" si="62"/>
        <v/>
      </c>
      <c r="H1993" s="18"/>
      <c r="I1993" s="18"/>
      <c r="J1993" s="77" t="str">
        <f t="shared" ca="1" si="63"/>
        <v/>
      </c>
      <c r="K1993" s="23">
        <f>IF(A1993="","",COUNTIFS(Resumen!$N$2:$N$2999,ROW(),Resumen!$V$2:$V$2999,1))</f>
        <v/>
      </c>
      <c r="L1993" s="26"/>
      <c r="N19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4" spans="1:14">
      <c r="A1994" s="16"/>
      <c r="B1994" s="16"/>
      <c r="C1994" s="25"/>
      <c r="D1994" s="25"/>
      <c r="E1994" s="16"/>
      <c r="F1994" s="18"/>
      <c r="G1994" s="19" t="str">
        <f t="shared" ca="1" si="62"/>
        <v/>
      </c>
      <c r="H1994" s="18"/>
      <c r="I1994" s="18"/>
      <c r="J1994" s="77" t="str">
        <f t="shared" ca="1" si="63"/>
        <v/>
      </c>
      <c r="K1994" s="23">
        <f>IF(A1994="","",COUNTIFS(Resumen!$N$2:$N$2999,ROW(),Resumen!$V$2:$V$2999,1))</f>
        <v/>
      </c>
      <c r="L1994" s="26"/>
      <c r="N19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5" spans="1:14">
      <c r="A1995" s="16"/>
      <c r="B1995" s="16"/>
      <c r="C1995" s="25"/>
      <c r="D1995" s="25"/>
      <c r="E1995" s="16"/>
      <c r="F1995" s="18"/>
      <c r="G1995" s="19" t="str">
        <f t="shared" ca="1" si="62"/>
        <v/>
      </c>
      <c r="H1995" s="18"/>
      <c r="I1995" s="18"/>
      <c r="J1995" s="77" t="str">
        <f t="shared" ca="1" si="63"/>
        <v/>
      </c>
      <c r="K1995" s="23">
        <f>IF(A1995="","",COUNTIFS(Resumen!$N$2:$N$2999,ROW(),Resumen!$V$2:$V$2999,1))</f>
        <v/>
      </c>
      <c r="L1995" s="26"/>
      <c r="N19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6" spans="1:14">
      <c r="A1996" s="16"/>
      <c r="B1996" s="16"/>
      <c r="C1996" s="25"/>
      <c r="D1996" s="25"/>
      <c r="E1996" s="16"/>
      <c r="F1996" s="18"/>
      <c r="G1996" s="19" t="str">
        <f t="shared" ca="1" si="62"/>
        <v/>
      </c>
      <c r="H1996" s="18"/>
      <c r="I1996" s="18"/>
      <c r="J1996" s="77" t="str">
        <f t="shared" ca="1" si="63"/>
        <v/>
      </c>
      <c r="K1996" s="23">
        <f>IF(A1996="","",COUNTIFS(Resumen!$N$2:$N$2999,ROW(),Resumen!$V$2:$V$2999,1))</f>
        <v/>
      </c>
      <c r="L1996" s="26"/>
      <c r="N19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7" spans="1:14">
      <c r="A1997" s="16"/>
      <c r="B1997" s="16"/>
      <c r="C1997" s="25"/>
      <c r="D1997" s="25"/>
      <c r="E1997" s="16"/>
      <c r="F1997" s="18"/>
      <c r="G1997" s="19" t="str">
        <f t="shared" ca="1" si="62"/>
        <v/>
      </c>
      <c r="H1997" s="18"/>
      <c r="I1997" s="18"/>
      <c r="J1997" s="77" t="str">
        <f t="shared" ca="1" si="63"/>
        <v/>
      </c>
      <c r="K1997" s="23">
        <f>IF(A1997="","",COUNTIFS(Resumen!$N$2:$N$2999,ROW(),Resumen!$V$2:$V$2999,1))</f>
        <v/>
      </c>
      <c r="L1997" s="26"/>
      <c r="N19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8" spans="1:14">
      <c r="A1998" s="16"/>
      <c r="B1998" s="16"/>
      <c r="C1998" s="25"/>
      <c r="D1998" s="25"/>
      <c r="E1998" s="16"/>
      <c r="F1998" s="18"/>
      <c r="G1998" s="19" t="str">
        <f t="shared" ca="1" si="62"/>
        <v/>
      </c>
      <c r="H1998" s="18"/>
      <c r="I1998" s="18"/>
      <c r="J1998" s="77" t="str">
        <f t="shared" ca="1" si="63"/>
        <v/>
      </c>
      <c r="K1998" s="23">
        <f>IF(A1998="","",COUNTIFS(Resumen!$N$2:$N$2999,ROW(),Resumen!$V$2:$V$2999,1))</f>
        <v/>
      </c>
      <c r="L1998" s="26"/>
      <c r="N19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1999" spans="1:14">
      <c r="A1999" s="16"/>
      <c r="B1999" s="16"/>
      <c r="C1999" s="25"/>
      <c r="D1999" s="25"/>
      <c r="E1999" s="16"/>
      <c r="F1999" s="18"/>
      <c r="G1999" s="19" t="str">
        <f t="shared" ca="1" si="62"/>
        <v/>
      </c>
      <c r="H1999" s="18"/>
      <c r="I1999" s="18"/>
      <c r="J1999" s="77" t="str">
        <f t="shared" ca="1" si="63"/>
        <v/>
      </c>
      <c r="K1999" s="23">
        <f>IF(A1999="","",COUNTIFS(Resumen!$N$2:$N$2999,ROW(),Resumen!$V$2:$V$2999,1))</f>
        <v/>
      </c>
      <c r="L1999" s="26"/>
      <c r="N19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0" spans="1:14">
      <c r="A2000" s="16"/>
      <c r="B2000" s="16"/>
      <c r="C2000" s="25"/>
      <c r="D2000" s="25"/>
      <c r="E2000" s="16"/>
      <c r="F2000" s="18"/>
      <c r="G2000" s="19" t="str">
        <f t="shared" ca="1" si="62"/>
        <v/>
      </c>
      <c r="H2000" s="27"/>
      <c r="I2000" s="27"/>
      <c r="J2000" s="77" t="str">
        <f t="shared" ca="1" si="63"/>
        <v/>
      </c>
      <c r="K2000" s="23">
        <f>IF(A2000="","",COUNTIFS(Resumen!$N$2:$N$2999,ROW(),Resumen!$V$2:$V$2999,1))</f>
        <v/>
      </c>
      <c r="L2000" s="26"/>
      <c r="N20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1" spans="1:14">
      <c r="A2001" s="16"/>
      <c r="B2001" s="16"/>
      <c r="C2001" s="25"/>
      <c r="D2001" s="25"/>
      <c r="E2001" s="16"/>
      <c r="F2001" s="18"/>
      <c r="G2001" s="19" t="str">
        <f t="shared" ca="1" si="62"/>
        <v/>
      </c>
      <c r="H2001" s="27"/>
      <c r="I2001" s="27"/>
      <c r="J2001" s="77" t="str">
        <f t="shared" ca="1" si="63"/>
        <v/>
      </c>
      <c r="K2001" s="23">
        <f>IF(A2001="","",COUNTIFS(Resumen!$N$2:$N$2999,ROW(),Resumen!$V$2:$V$2999,1))</f>
        <v/>
      </c>
      <c r="L2001" s="26"/>
      <c r="N20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2" spans="1:14">
      <c r="A2002" s="16"/>
      <c r="B2002" s="16"/>
      <c r="C2002" s="25"/>
      <c r="D2002" s="25"/>
      <c r="E2002" s="16"/>
      <c r="F2002" s="18"/>
      <c r="G2002" s="19" t="str">
        <f t="shared" ca="1" si="62"/>
        <v/>
      </c>
      <c r="H2002" s="27"/>
      <c r="I2002" s="27"/>
      <c r="J2002" s="77" t="str">
        <f t="shared" ca="1" si="63"/>
        <v/>
      </c>
      <c r="K2002" s="23">
        <f>IF(A2002="","",COUNTIFS(Resumen!$N$2:$N$2999,ROW(),Resumen!$V$2:$V$2999,1))</f>
        <v/>
      </c>
      <c r="L2002" s="26"/>
      <c r="N20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3" spans="1:14">
      <c r="A2003" s="16"/>
      <c r="B2003" s="16"/>
      <c r="C2003" s="25"/>
      <c r="D2003" s="25"/>
      <c r="E2003" s="16"/>
      <c r="F2003" s="18"/>
      <c r="G2003" s="19" t="str">
        <f t="shared" ca="1" si="62"/>
        <v/>
      </c>
      <c r="H2003" s="27"/>
      <c r="I2003" s="27"/>
      <c r="J2003" s="77" t="str">
        <f t="shared" ca="1" si="63"/>
        <v/>
      </c>
      <c r="K2003" s="23">
        <f>IF(A2003="","",COUNTIFS(Resumen!$N$2:$N$2999,ROW(),Resumen!$V$2:$V$2999,1))</f>
        <v/>
      </c>
      <c r="L2003" s="26"/>
      <c r="N20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4" spans="1:14">
      <c r="A2004" s="16"/>
      <c r="B2004" s="16"/>
      <c r="C2004" s="25"/>
      <c r="D2004" s="25"/>
      <c r="E2004" s="16"/>
      <c r="F2004" s="18"/>
      <c r="G2004" s="19" t="str">
        <f t="shared" ca="1" si="62"/>
        <v/>
      </c>
      <c r="H2004" s="27"/>
      <c r="I2004" s="27"/>
      <c r="J2004" s="77" t="str">
        <f t="shared" ca="1" si="63"/>
        <v/>
      </c>
      <c r="K2004" s="23">
        <f>IF(A2004="","",COUNTIFS(Resumen!$N$2:$N$2999,ROW(),Resumen!$V$2:$V$2999,1))</f>
        <v/>
      </c>
      <c r="L2004" s="26"/>
      <c r="N20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5" spans="1:14">
      <c r="A2005" s="16"/>
      <c r="B2005" s="16"/>
      <c r="C2005" s="25"/>
      <c r="D2005" s="25"/>
      <c r="E2005" s="16"/>
      <c r="F2005" s="18"/>
      <c r="G2005" s="19" t="str">
        <f t="shared" ca="1" si="62"/>
        <v/>
      </c>
      <c r="H2005" s="27"/>
      <c r="I2005" s="27"/>
      <c r="J2005" s="77" t="str">
        <f t="shared" ca="1" si="63"/>
        <v/>
      </c>
      <c r="K2005" s="23">
        <f>IF(A2005="","",COUNTIFS(Resumen!$N$2:$N$2999,ROW(),Resumen!$V$2:$V$2999,1))</f>
        <v/>
      </c>
      <c r="L2005" s="26"/>
      <c r="N20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6" spans="1:14">
      <c r="A2006" s="16"/>
      <c r="B2006" s="16"/>
      <c r="C2006" s="25"/>
      <c r="D2006" s="25"/>
      <c r="E2006" s="16"/>
      <c r="F2006" s="18"/>
      <c r="G2006" s="19" t="str">
        <f t="shared" ca="1" si="62"/>
        <v/>
      </c>
      <c r="H2006" s="27"/>
      <c r="I2006" s="27"/>
      <c r="J2006" s="77" t="str">
        <f t="shared" ca="1" si="63"/>
        <v/>
      </c>
      <c r="K2006" s="23">
        <f>IF(A2006="","",COUNTIFS(Resumen!$N$2:$N$2999,ROW(),Resumen!$V$2:$V$2999,1))</f>
        <v/>
      </c>
      <c r="L2006" s="26"/>
      <c r="N20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7" spans="1:14">
      <c r="A2007" s="16"/>
      <c r="B2007" s="16"/>
      <c r="C2007" s="25"/>
      <c r="D2007" s="25"/>
      <c r="E2007" s="16"/>
      <c r="F2007" s="18"/>
      <c r="G2007" s="19" t="str">
        <f t="shared" ca="1" si="62"/>
        <v/>
      </c>
      <c r="H2007" s="27"/>
      <c r="I2007" s="27"/>
      <c r="J2007" s="77" t="str">
        <f t="shared" ca="1" si="63"/>
        <v/>
      </c>
      <c r="K2007" s="23">
        <f>IF(A2007="","",COUNTIFS(Resumen!$N$2:$N$2999,ROW(),Resumen!$V$2:$V$2999,1))</f>
        <v/>
      </c>
      <c r="L2007" s="26"/>
      <c r="N20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8" spans="1:14">
      <c r="A2008" s="16"/>
      <c r="B2008" s="16"/>
      <c r="C2008" s="25"/>
      <c r="D2008" s="25"/>
      <c r="E2008" s="16"/>
      <c r="F2008" s="18"/>
      <c r="G2008" s="19" t="str">
        <f t="shared" ca="1" si="62"/>
        <v/>
      </c>
      <c r="H2008" s="27"/>
      <c r="I2008" s="27"/>
      <c r="J2008" s="77" t="str">
        <f t="shared" ca="1" si="63"/>
        <v/>
      </c>
      <c r="K2008" s="23">
        <f>IF(A2008="","",COUNTIFS(Resumen!$N$2:$N$2999,ROW(),Resumen!$V$2:$V$2999,1))</f>
        <v/>
      </c>
      <c r="L2008" s="26"/>
      <c r="N20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09" spans="1:14">
      <c r="A2009" s="16"/>
      <c r="B2009" s="16"/>
      <c r="C2009" s="25"/>
      <c r="D2009" s="25"/>
      <c r="E2009" s="16"/>
      <c r="F2009" s="18"/>
      <c r="G2009" s="19" t="str">
        <f t="shared" ca="1" si="62"/>
        <v/>
      </c>
      <c r="H2009" s="27"/>
      <c r="I2009" s="27"/>
      <c r="J2009" s="77" t="str">
        <f t="shared" ca="1" si="63"/>
        <v/>
      </c>
      <c r="K2009" s="23">
        <f>IF(A2009="","",COUNTIFS(Resumen!$N$2:$N$2999,ROW(),Resumen!$V$2:$V$2999,1))</f>
        <v/>
      </c>
      <c r="L2009" s="26"/>
      <c r="N20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0" spans="1:14">
      <c r="A2010" s="16"/>
      <c r="B2010" s="16"/>
      <c r="C2010" s="25"/>
      <c r="D2010" s="25"/>
      <c r="E2010" s="16"/>
      <c r="F2010" s="18"/>
      <c r="G2010" s="19" t="str">
        <f t="shared" ca="1" si="62"/>
        <v/>
      </c>
      <c r="H2010" s="27"/>
      <c r="I2010" s="27"/>
      <c r="J2010" s="77" t="str">
        <f t="shared" ca="1" si="63"/>
        <v/>
      </c>
      <c r="K2010" s="23">
        <f>IF(A2010="","",COUNTIFS(Resumen!$N$2:$N$2999,ROW(),Resumen!$V$2:$V$2999,1))</f>
        <v/>
      </c>
      <c r="L2010" s="26"/>
      <c r="N20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1" spans="1:14">
      <c r="A2011" s="16"/>
      <c r="B2011" s="16"/>
      <c r="C2011" s="25"/>
      <c r="D2011" s="25"/>
      <c r="E2011" s="16"/>
      <c r="F2011" s="18"/>
      <c r="G2011" s="19" t="str">
        <f t="shared" ca="1" si="62"/>
        <v/>
      </c>
      <c r="H2011" s="27"/>
      <c r="I2011" s="27"/>
      <c r="J2011" s="77" t="str">
        <f t="shared" ca="1" si="63"/>
        <v/>
      </c>
      <c r="K2011" s="23">
        <f>IF(A2011="","",COUNTIFS(Resumen!$N$2:$N$2999,ROW(),Resumen!$V$2:$V$2999,1))</f>
        <v/>
      </c>
      <c r="L2011" s="26"/>
      <c r="N20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2" spans="1:14">
      <c r="A2012" s="16"/>
      <c r="B2012" s="16"/>
      <c r="C2012" s="25"/>
      <c r="D2012" s="25"/>
      <c r="E2012" s="16"/>
      <c r="F2012" s="18"/>
      <c r="G2012" s="19" t="str">
        <f t="shared" ca="1" si="62"/>
        <v/>
      </c>
      <c r="H2012" s="27"/>
      <c r="I2012" s="27"/>
      <c r="J2012" s="77" t="str">
        <f t="shared" ca="1" si="63"/>
        <v/>
      </c>
      <c r="K2012" s="23">
        <f>IF(A2012="","",COUNTIFS(Resumen!$N$2:$N$2999,ROW(),Resumen!$V$2:$V$2999,1))</f>
        <v/>
      </c>
      <c r="L2012" s="26"/>
      <c r="N20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3" spans="1:14">
      <c r="A2013" s="16"/>
      <c r="B2013" s="16"/>
      <c r="C2013" s="25"/>
      <c r="D2013" s="25"/>
      <c r="E2013" s="16"/>
      <c r="F2013" s="18"/>
      <c r="G2013" s="19" t="str">
        <f t="shared" ca="1" si="62"/>
        <v/>
      </c>
      <c r="H2013" s="27"/>
      <c r="I2013" s="27"/>
      <c r="J2013" s="77" t="str">
        <f t="shared" ca="1" si="63"/>
        <v/>
      </c>
      <c r="K2013" s="23">
        <f>IF(A2013="","",COUNTIFS(Resumen!$N$2:$N$2999,ROW(),Resumen!$V$2:$V$2999,1))</f>
        <v/>
      </c>
      <c r="L2013" s="26"/>
      <c r="N20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4" spans="1:14">
      <c r="A2014" s="16"/>
      <c r="B2014" s="16"/>
      <c r="C2014" s="25"/>
      <c r="D2014" s="25"/>
      <c r="E2014" s="16"/>
      <c r="F2014" s="18"/>
      <c r="G2014" s="19" t="str">
        <f t="shared" ca="1" si="62"/>
        <v/>
      </c>
      <c r="H2014" s="27"/>
      <c r="I2014" s="27"/>
      <c r="J2014" s="77" t="str">
        <f t="shared" ca="1" si="63"/>
        <v/>
      </c>
      <c r="K2014" s="23">
        <f>IF(A2014="","",COUNTIFS(Resumen!$N$2:$N$2999,ROW(),Resumen!$V$2:$V$2999,1))</f>
        <v/>
      </c>
      <c r="L2014" s="26"/>
      <c r="N20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5" spans="1:14">
      <c r="A2015" s="16"/>
      <c r="B2015" s="16"/>
      <c r="C2015" s="25"/>
      <c r="D2015" s="25"/>
      <c r="E2015" s="16"/>
      <c r="F2015" s="18"/>
      <c r="G2015" s="19" t="str">
        <f t="shared" ca="1" si="62"/>
        <v/>
      </c>
      <c r="H2015" s="27"/>
      <c r="I2015" s="27"/>
      <c r="J2015" s="77" t="str">
        <f t="shared" ca="1" si="63"/>
        <v/>
      </c>
      <c r="K2015" s="23">
        <f>IF(A2015="","",COUNTIFS(Resumen!$N$2:$N$2999,ROW(),Resumen!$V$2:$V$2999,1))</f>
        <v/>
      </c>
      <c r="L2015" s="26"/>
      <c r="N20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6" spans="1:14">
      <c r="A2016" s="16"/>
      <c r="B2016" s="16"/>
      <c r="C2016" s="25"/>
      <c r="D2016" s="25"/>
      <c r="E2016" s="16"/>
      <c r="F2016" s="18"/>
      <c r="G2016" s="19" t="str">
        <f t="shared" ca="1" si="62"/>
        <v/>
      </c>
      <c r="H2016" s="27"/>
      <c r="I2016" s="27"/>
      <c r="J2016" s="77" t="str">
        <f t="shared" ca="1" si="63"/>
        <v/>
      </c>
      <c r="K2016" s="23">
        <f>IF(A2016="","",COUNTIFS(Resumen!$N$2:$N$2999,ROW(),Resumen!$V$2:$V$2999,1))</f>
        <v/>
      </c>
      <c r="L2016" s="26"/>
      <c r="N20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7" spans="1:14">
      <c r="A2017" s="16"/>
      <c r="B2017" s="16"/>
      <c r="C2017" s="25"/>
      <c r="D2017" s="25"/>
      <c r="E2017" s="16"/>
      <c r="F2017" s="18"/>
      <c r="G2017" s="19" t="str">
        <f t="shared" ca="1" si="62"/>
        <v/>
      </c>
      <c r="H2017" s="27"/>
      <c r="I2017" s="27"/>
      <c r="J2017" s="77" t="str">
        <f t="shared" ca="1" si="63"/>
        <v/>
      </c>
      <c r="K2017" s="23">
        <f>IF(A2017="","",COUNTIFS(Resumen!$N$2:$N$2999,ROW(),Resumen!$V$2:$V$2999,1))</f>
        <v/>
      </c>
      <c r="L2017" s="26"/>
      <c r="N20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8" spans="1:14">
      <c r="A2018" s="16"/>
      <c r="B2018" s="16"/>
      <c r="C2018" s="25"/>
      <c r="D2018" s="25"/>
      <c r="E2018" s="16"/>
      <c r="F2018" s="18"/>
      <c r="G2018" s="19" t="str">
        <f t="shared" ca="1" si="62"/>
        <v/>
      </c>
      <c r="H2018" s="27"/>
      <c r="I2018" s="27"/>
      <c r="J2018" s="77" t="str">
        <f t="shared" ca="1" si="63"/>
        <v/>
      </c>
      <c r="K2018" s="23">
        <f>IF(A2018="","",COUNTIFS(Resumen!$N$2:$N$2999,ROW(),Resumen!$V$2:$V$2999,1))</f>
        <v/>
      </c>
      <c r="L2018" s="26"/>
      <c r="N20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19" spans="1:14">
      <c r="A2019" s="16"/>
      <c r="B2019" s="16"/>
      <c r="C2019" s="25"/>
      <c r="D2019" s="25"/>
      <c r="E2019" s="16"/>
      <c r="F2019" s="18"/>
      <c r="G2019" s="19" t="str">
        <f t="shared" ca="1" si="62"/>
        <v/>
      </c>
      <c r="H2019" s="27"/>
      <c r="I2019" s="27"/>
      <c r="J2019" s="77" t="str">
        <f t="shared" ca="1" si="63"/>
        <v/>
      </c>
      <c r="K2019" s="23">
        <f>IF(A2019="","",COUNTIFS(Resumen!$N$2:$N$2999,ROW(),Resumen!$V$2:$V$2999,1))</f>
        <v/>
      </c>
      <c r="L2019" s="26"/>
      <c r="N20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0" spans="1:14">
      <c r="A2020" s="16"/>
      <c r="B2020" s="16"/>
      <c r="C2020" s="25"/>
      <c r="D2020" s="25"/>
      <c r="E2020" s="16"/>
      <c r="F2020" s="18"/>
      <c r="G2020" s="19" t="str">
        <f t="shared" ca="1" si="62"/>
        <v/>
      </c>
      <c r="H2020" s="27"/>
      <c r="I2020" s="27"/>
      <c r="J2020" s="77" t="str">
        <f t="shared" ca="1" si="63"/>
        <v/>
      </c>
      <c r="K2020" s="23">
        <f>IF(A2020="","",COUNTIFS(Resumen!$N$2:$N$2999,ROW(),Resumen!$V$2:$V$2999,1))</f>
        <v/>
      </c>
      <c r="L2020" s="26"/>
      <c r="N20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1" spans="1:14">
      <c r="A2021" s="16"/>
      <c r="B2021" s="16"/>
      <c r="C2021" s="25"/>
      <c r="D2021" s="25"/>
      <c r="E2021" s="16"/>
      <c r="F2021" s="18"/>
      <c r="G2021" s="19" t="str">
        <f t="shared" ca="1" si="62"/>
        <v/>
      </c>
      <c r="H2021" s="27"/>
      <c r="I2021" s="27"/>
      <c r="J2021" s="77" t="str">
        <f t="shared" ca="1" si="63"/>
        <v/>
      </c>
      <c r="K2021" s="23">
        <f>IF(A2021="","",COUNTIFS(Resumen!$N$2:$N$2999,ROW(),Resumen!$V$2:$V$2999,1))</f>
        <v/>
      </c>
      <c r="L2021" s="26"/>
      <c r="N20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2" spans="1:14">
      <c r="A2022" s="16"/>
      <c r="B2022" s="16"/>
      <c r="C2022" s="25"/>
      <c r="D2022" s="25"/>
      <c r="E2022" s="16"/>
      <c r="F2022" s="18"/>
      <c r="G2022" s="19" t="str">
        <f t="shared" ca="1" si="62"/>
        <v/>
      </c>
      <c r="H2022" s="27"/>
      <c r="I2022" s="27"/>
      <c r="J2022" s="77" t="str">
        <f t="shared" ca="1" si="63"/>
        <v/>
      </c>
      <c r="K2022" s="23">
        <f>IF(A2022="","",COUNTIFS(Resumen!$N$2:$N$2999,ROW(),Resumen!$V$2:$V$2999,1))</f>
        <v/>
      </c>
      <c r="L2022" s="26"/>
      <c r="N20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3" spans="1:14">
      <c r="A2023" s="16"/>
      <c r="B2023" s="16"/>
      <c r="C2023" s="25"/>
      <c r="D2023" s="25"/>
      <c r="E2023" s="16"/>
      <c r="F2023" s="18"/>
      <c r="G2023" s="19" t="str">
        <f t="shared" ca="1" si="62"/>
        <v/>
      </c>
      <c r="H2023" s="27"/>
      <c r="I2023" s="27"/>
      <c r="J2023" s="77" t="str">
        <f t="shared" ca="1" si="63"/>
        <v/>
      </c>
      <c r="K2023" s="23">
        <f>IF(A2023="","",COUNTIFS(Resumen!$N$2:$N$2999,ROW(),Resumen!$V$2:$V$2999,1))</f>
        <v/>
      </c>
      <c r="L2023" s="26"/>
      <c r="N20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4" spans="1:14">
      <c r="A2024" s="16"/>
      <c r="B2024" s="16"/>
      <c r="C2024" s="25"/>
      <c r="D2024" s="25"/>
      <c r="E2024" s="16"/>
      <c r="F2024" s="18"/>
      <c r="G2024" s="19" t="str">
        <f t="shared" ca="1" si="62"/>
        <v/>
      </c>
      <c r="H2024" s="27"/>
      <c r="I2024" s="27"/>
      <c r="J2024" s="77" t="str">
        <f t="shared" ca="1" si="63"/>
        <v/>
      </c>
      <c r="K2024" s="23">
        <f>IF(A2024="","",COUNTIFS(Resumen!$N$2:$N$2999,ROW(),Resumen!$V$2:$V$2999,1))</f>
        <v/>
      </c>
      <c r="L2024" s="26"/>
      <c r="N20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5" spans="1:14">
      <c r="A2025" s="16"/>
      <c r="B2025" s="16"/>
      <c r="C2025" s="25"/>
      <c r="D2025" s="25"/>
      <c r="E2025" s="16"/>
      <c r="F2025" s="18"/>
      <c r="G2025" s="19" t="str">
        <f t="shared" ca="1" si="62"/>
        <v/>
      </c>
      <c r="H2025" s="27"/>
      <c r="I2025" s="27"/>
      <c r="J2025" s="77" t="str">
        <f t="shared" ca="1" si="63"/>
        <v/>
      </c>
      <c r="K2025" s="23">
        <f>IF(A2025="","",COUNTIFS(Resumen!$N$2:$N$2999,ROW(),Resumen!$V$2:$V$2999,1))</f>
        <v/>
      </c>
      <c r="L2025" s="26"/>
      <c r="N20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6" spans="1:14">
      <c r="A2026" s="16"/>
      <c r="B2026" s="16"/>
      <c r="C2026" s="25"/>
      <c r="D2026" s="25"/>
      <c r="E2026" s="16"/>
      <c r="F2026" s="18"/>
      <c r="G2026" s="19" t="str">
        <f t="shared" ca="1" si="62"/>
        <v/>
      </c>
      <c r="H2026" s="27"/>
      <c r="I2026" s="27"/>
      <c r="J2026" s="77" t="str">
        <f t="shared" ca="1" si="63"/>
        <v/>
      </c>
      <c r="K2026" s="23">
        <f>IF(A2026="","",COUNTIFS(Resumen!$N$2:$N$2999,ROW(),Resumen!$V$2:$V$2999,1))</f>
        <v/>
      </c>
      <c r="L2026" s="26"/>
      <c r="N20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7" spans="1:14">
      <c r="A2027" s="16"/>
      <c r="B2027" s="16"/>
      <c r="C2027" s="25"/>
      <c r="D2027" s="25"/>
      <c r="E2027" s="16"/>
      <c r="F2027" s="18"/>
      <c r="G2027" s="19" t="str">
        <f t="shared" ca="1" si="62"/>
        <v/>
      </c>
      <c r="H2027" s="27"/>
      <c r="I2027" s="27"/>
      <c r="J2027" s="77" t="str">
        <f t="shared" ca="1" si="63"/>
        <v/>
      </c>
      <c r="K2027" s="23">
        <f>IF(A2027="","",COUNTIFS(Resumen!$N$2:$N$2999,ROW(),Resumen!$V$2:$V$2999,1))</f>
        <v/>
      </c>
      <c r="L2027" s="26"/>
      <c r="N20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8" spans="1:14">
      <c r="A2028" s="16"/>
      <c r="B2028" s="16"/>
      <c r="C2028" s="25"/>
      <c r="D2028" s="25"/>
      <c r="E2028" s="16"/>
      <c r="F2028" s="18"/>
      <c r="G2028" s="19" t="str">
        <f t="shared" ca="1" si="62"/>
        <v/>
      </c>
      <c r="H2028" s="27"/>
      <c r="I2028" s="27"/>
      <c r="J2028" s="77" t="str">
        <f t="shared" ca="1" si="63"/>
        <v/>
      </c>
      <c r="K2028" s="23">
        <f>IF(A2028="","",COUNTIFS(Resumen!$N$2:$N$2999,ROW(),Resumen!$V$2:$V$2999,1))</f>
        <v/>
      </c>
      <c r="L2028" s="26"/>
      <c r="N20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29" spans="1:14">
      <c r="A2029" s="16"/>
      <c r="B2029" s="16"/>
      <c r="C2029" s="25"/>
      <c r="D2029" s="25"/>
      <c r="E2029" s="16"/>
      <c r="F2029" s="18"/>
      <c r="G2029" s="19" t="str">
        <f t="shared" ca="1" si="62"/>
        <v/>
      </c>
      <c r="H2029" s="27"/>
      <c r="I2029" s="27"/>
      <c r="J2029" s="77" t="str">
        <f t="shared" ca="1" si="63"/>
        <v/>
      </c>
      <c r="K2029" s="23">
        <f>IF(A2029="","",COUNTIFS(Resumen!$N$2:$N$2999,ROW(),Resumen!$V$2:$V$2999,1))</f>
        <v/>
      </c>
      <c r="L2029" s="26"/>
      <c r="N20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0" spans="1:14">
      <c r="A2030" s="16"/>
      <c r="B2030" s="16"/>
      <c r="C2030" s="25"/>
      <c r="D2030" s="25"/>
      <c r="E2030" s="16"/>
      <c r="F2030" s="18"/>
      <c r="G2030" s="19" t="str">
        <f t="shared" ca="1" si="62"/>
        <v/>
      </c>
      <c r="H2030" s="27"/>
      <c r="I2030" s="27"/>
      <c r="J2030" s="77" t="str">
        <f t="shared" ca="1" si="63"/>
        <v/>
      </c>
      <c r="K2030" s="23">
        <f>IF(A2030="","",COUNTIFS(Resumen!$N$2:$N$2999,ROW(),Resumen!$V$2:$V$2999,1))</f>
        <v/>
      </c>
      <c r="L2030" s="26"/>
      <c r="N20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1" spans="1:14">
      <c r="A2031" s="16"/>
      <c r="B2031" s="16"/>
      <c r="C2031" s="25"/>
      <c r="D2031" s="25"/>
      <c r="E2031" s="16"/>
      <c r="F2031" s="18"/>
      <c r="G2031" s="19" t="str">
        <f t="shared" ca="1" si="62"/>
        <v/>
      </c>
      <c r="H2031" s="27"/>
      <c r="I2031" s="27"/>
      <c r="J2031" s="77" t="str">
        <f t="shared" ca="1" si="63"/>
        <v/>
      </c>
      <c r="K2031" s="23">
        <f>IF(A2031="","",COUNTIFS(Resumen!$N$2:$N$2999,ROW(),Resumen!$V$2:$V$2999,1))</f>
        <v/>
      </c>
      <c r="L2031" s="26"/>
      <c r="N20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2" spans="1:14">
      <c r="A2032" s="16"/>
      <c r="B2032" s="16"/>
      <c r="C2032" s="25"/>
      <c r="D2032" s="25"/>
      <c r="E2032" s="16"/>
      <c r="F2032" s="18"/>
      <c r="G2032" s="19" t="str">
        <f t="shared" ca="1" si="62"/>
        <v/>
      </c>
      <c r="H2032" s="27"/>
      <c r="I2032" s="27"/>
      <c r="J2032" s="77" t="str">
        <f t="shared" ca="1" si="63"/>
        <v/>
      </c>
      <c r="K2032" s="23">
        <f>IF(A2032="","",COUNTIFS(Resumen!$N$2:$N$2999,ROW(),Resumen!$V$2:$V$2999,1))</f>
        <v/>
      </c>
      <c r="L2032" s="26"/>
      <c r="N20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3" spans="1:14">
      <c r="A2033" s="16"/>
      <c r="B2033" s="16"/>
      <c r="C2033" s="25"/>
      <c r="D2033" s="25"/>
      <c r="E2033" s="16"/>
      <c r="F2033" s="18"/>
      <c r="G2033" s="19" t="str">
        <f t="shared" ca="1" si="62"/>
        <v/>
      </c>
      <c r="H2033" s="27"/>
      <c r="I2033" s="27"/>
      <c r="J2033" s="77" t="str">
        <f t="shared" ca="1" si="63"/>
        <v/>
      </c>
      <c r="K2033" s="23">
        <f>IF(A2033="","",COUNTIFS(Resumen!$N$2:$N$2999,ROW(),Resumen!$V$2:$V$2999,1))</f>
        <v/>
      </c>
      <c r="L2033" s="26"/>
      <c r="N20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4" spans="1:14">
      <c r="A2034" s="16"/>
      <c r="B2034" s="16"/>
      <c r="C2034" s="25"/>
      <c r="D2034" s="25"/>
      <c r="E2034" s="16"/>
      <c r="F2034" s="18"/>
      <c r="G2034" s="19" t="str">
        <f t="shared" ca="1" si="62"/>
        <v/>
      </c>
      <c r="H2034" s="27"/>
      <c r="I2034" s="27"/>
      <c r="J2034" s="77" t="str">
        <f t="shared" ca="1" si="63"/>
        <v/>
      </c>
      <c r="K2034" s="23">
        <f>IF(A2034="","",COUNTIFS(Resumen!$N$2:$N$2999,ROW(),Resumen!$V$2:$V$2999,1))</f>
        <v/>
      </c>
      <c r="L2034" s="26"/>
      <c r="N20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5" spans="1:14">
      <c r="A2035" s="16"/>
      <c r="B2035" s="16"/>
      <c r="C2035" s="25"/>
      <c r="D2035" s="25"/>
      <c r="E2035" s="16"/>
      <c r="F2035" s="18"/>
      <c r="G2035" s="19" t="str">
        <f t="shared" ca="1" si="62"/>
        <v/>
      </c>
      <c r="H2035" s="27"/>
      <c r="I2035" s="27"/>
      <c r="J2035" s="77" t="str">
        <f t="shared" ca="1" si="63"/>
        <v/>
      </c>
      <c r="K2035" s="23">
        <f>IF(A2035="","",COUNTIFS(Resumen!$N$2:$N$2999,ROW(),Resumen!$V$2:$V$2999,1))</f>
        <v/>
      </c>
      <c r="L2035" s="26"/>
      <c r="N20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6" spans="1:14">
      <c r="A2036" s="16"/>
      <c r="B2036" s="16"/>
      <c r="C2036" s="25"/>
      <c r="D2036" s="25"/>
      <c r="E2036" s="16"/>
      <c r="F2036" s="18"/>
      <c r="G2036" s="19" t="str">
        <f t="shared" ca="1" si="62"/>
        <v/>
      </c>
      <c r="H2036" s="27"/>
      <c r="I2036" s="27"/>
      <c r="J2036" s="77" t="str">
        <f t="shared" ca="1" si="63"/>
        <v/>
      </c>
      <c r="K2036" s="23">
        <f>IF(A2036="","",COUNTIFS(Resumen!$N$2:$N$2999,ROW(),Resumen!$V$2:$V$2999,1))</f>
        <v/>
      </c>
      <c r="L2036" s="26"/>
      <c r="N20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7" spans="1:14">
      <c r="A2037" s="16"/>
      <c r="B2037" s="16"/>
      <c r="C2037" s="25"/>
      <c r="D2037" s="25"/>
      <c r="E2037" s="16"/>
      <c r="F2037" s="18"/>
      <c r="G2037" s="19" t="str">
        <f t="shared" ca="1" si="62"/>
        <v/>
      </c>
      <c r="H2037" s="27"/>
      <c r="I2037" s="27"/>
      <c r="J2037" s="77" t="str">
        <f t="shared" ca="1" si="63"/>
        <v/>
      </c>
      <c r="K2037" s="23">
        <f>IF(A2037="","",COUNTIFS(Resumen!$N$2:$N$2999,ROW(),Resumen!$V$2:$V$2999,1))</f>
        <v/>
      </c>
      <c r="L2037" s="26"/>
      <c r="N20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8" spans="1:14">
      <c r="A2038" s="16"/>
      <c r="B2038" s="16"/>
      <c r="C2038" s="25"/>
      <c r="D2038" s="25"/>
      <c r="E2038" s="16"/>
      <c r="F2038" s="18"/>
      <c r="G2038" s="19" t="str">
        <f t="shared" ca="1" si="62"/>
        <v/>
      </c>
      <c r="H2038" s="27"/>
      <c r="I2038" s="27"/>
      <c r="J2038" s="77" t="str">
        <f t="shared" ca="1" si="63"/>
        <v/>
      </c>
      <c r="K2038" s="23">
        <f>IF(A2038="","",COUNTIFS(Resumen!$N$2:$N$2999,ROW(),Resumen!$V$2:$V$2999,1))</f>
        <v/>
      </c>
      <c r="L2038" s="26"/>
      <c r="N20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39" spans="1:14">
      <c r="A2039" s="16"/>
      <c r="B2039" s="16"/>
      <c r="C2039" s="25"/>
      <c r="D2039" s="25"/>
      <c r="E2039" s="16"/>
      <c r="F2039" s="18"/>
      <c r="G2039" s="19" t="str">
        <f t="shared" ca="1" si="62"/>
        <v/>
      </c>
      <c r="H2039" s="27"/>
      <c r="I2039" s="27"/>
      <c r="J2039" s="77" t="str">
        <f t="shared" ca="1" si="63"/>
        <v/>
      </c>
      <c r="K2039" s="23">
        <f>IF(A2039="","",COUNTIFS(Resumen!$N$2:$N$2999,ROW(),Resumen!$V$2:$V$2999,1))</f>
        <v/>
      </c>
      <c r="L2039" s="26"/>
      <c r="N20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0" spans="1:14">
      <c r="A2040" s="16"/>
      <c r="B2040" s="16"/>
      <c r="C2040" s="25"/>
      <c r="D2040" s="25"/>
      <c r="E2040" s="16"/>
      <c r="F2040" s="18"/>
      <c r="G2040" s="19" t="str">
        <f t="shared" ca="1" si="62"/>
        <v/>
      </c>
      <c r="H2040" s="27"/>
      <c r="I2040" s="27"/>
      <c r="J2040" s="77" t="str">
        <f t="shared" ca="1" si="63"/>
        <v/>
      </c>
      <c r="K2040" s="23">
        <f>IF(A2040="","",COUNTIFS(Resumen!$N$2:$N$2999,ROW(),Resumen!$V$2:$V$2999,1))</f>
        <v/>
      </c>
      <c r="L2040" s="26"/>
      <c r="N20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1" spans="1:14">
      <c r="A2041" s="16"/>
      <c r="B2041" s="16"/>
      <c r="C2041" s="25"/>
      <c r="D2041" s="25"/>
      <c r="E2041" s="16"/>
      <c r="F2041" s="18"/>
      <c r="G2041" s="19" t="str">
        <f t="shared" ca="1" si="62"/>
        <v/>
      </c>
      <c r="H2041" s="27"/>
      <c r="I2041" s="27"/>
      <c r="J2041" s="77" t="str">
        <f t="shared" ca="1" si="63"/>
        <v/>
      </c>
      <c r="K2041" s="23">
        <f>IF(A2041="","",COUNTIFS(Resumen!$N$2:$N$2999,ROW(),Resumen!$V$2:$V$2999,1))</f>
        <v/>
      </c>
      <c r="L2041" s="26"/>
      <c r="N20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2" spans="1:14">
      <c r="A2042" s="16"/>
      <c r="B2042" s="16"/>
      <c r="C2042" s="25"/>
      <c r="D2042" s="25"/>
      <c r="E2042" s="16"/>
      <c r="F2042" s="18"/>
      <c r="G2042" s="19" t="str">
        <f t="shared" ca="1" si="62"/>
        <v/>
      </c>
      <c r="H2042" s="27"/>
      <c r="I2042" s="27"/>
      <c r="J2042" s="77" t="str">
        <f t="shared" ca="1" si="63"/>
        <v/>
      </c>
      <c r="K2042" s="23">
        <f>IF(A2042="","",COUNTIFS(Resumen!$N$2:$N$2999,ROW(),Resumen!$V$2:$V$2999,1))</f>
        <v/>
      </c>
      <c r="L2042" s="26"/>
      <c r="N20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3" spans="1:14">
      <c r="A2043" s="16"/>
      <c r="B2043" s="16"/>
      <c r="C2043" s="25"/>
      <c r="D2043" s="25"/>
      <c r="E2043" s="16"/>
      <c r="F2043" s="18"/>
      <c r="G2043" s="19" t="str">
        <f t="shared" ca="1" si="62"/>
        <v/>
      </c>
      <c r="H2043" s="27"/>
      <c r="I2043" s="27"/>
      <c r="J2043" s="77" t="str">
        <f t="shared" ca="1" si="63"/>
        <v/>
      </c>
      <c r="K2043" s="23">
        <f>IF(A2043="","",COUNTIFS(Resumen!$N$2:$N$2999,ROW(),Resumen!$V$2:$V$2999,1))</f>
        <v/>
      </c>
      <c r="L2043" s="26"/>
      <c r="N20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4" spans="1:14">
      <c r="A2044" s="16"/>
      <c r="B2044" s="16"/>
      <c r="C2044" s="25"/>
      <c r="D2044" s="25"/>
      <c r="E2044" s="16"/>
      <c r="F2044" s="18"/>
      <c r="G2044" s="19" t="str">
        <f t="shared" ca="1" si="62"/>
        <v/>
      </c>
      <c r="H2044" s="27"/>
      <c r="I2044" s="27"/>
      <c r="J2044" s="77" t="str">
        <f t="shared" ca="1" si="63"/>
        <v/>
      </c>
      <c r="K2044" s="23">
        <f>IF(A2044="","",COUNTIFS(Resumen!$N$2:$N$2999,ROW(),Resumen!$V$2:$V$2999,1))</f>
        <v/>
      </c>
      <c r="L2044" s="26"/>
      <c r="N20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5" spans="1:14">
      <c r="A2045" s="16"/>
      <c r="B2045" s="16"/>
      <c r="C2045" s="25"/>
      <c r="D2045" s="25"/>
      <c r="E2045" s="16"/>
      <c r="F2045" s="18"/>
      <c r="G2045" s="19" t="str">
        <f t="shared" ca="1" si="62"/>
        <v/>
      </c>
      <c r="H2045" s="27"/>
      <c r="I2045" s="27"/>
      <c r="J2045" s="77" t="str">
        <f t="shared" ca="1" si="63"/>
        <v/>
      </c>
      <c r="K2045" s="23">
        <f>IF(A2045="","",COUNTIFS(Resumen!$N$2:$N$2999,ROW(),Resumen!$V$2:$V$2999,1))</f>
        <v/>
      </c>
      <c r="L2045" s="26"/>
      <c r="N20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6" spans="1:14">
      <c r="A2046" s="16"/>
      <c r="B2046" s="16"/>
      <c r="C2046" s="25"/>
      <c r="D2046" s="25"/>
      <c r="E2046" s="16"/>
      <c r="F2046" s="18"/>
      <c r="G2046" s="19" t="str">
        <f t="shared" ca="1" si="62"/>
        <v/>
      </c>
      <c r="H2046" s="27"/>
      <c r="I2046" s="27"/>
      <c r="J2046" s="77" t="str">
        <f t="shared" ca="1" si="63"/>
        <v/>
      </c>
      <c r="K2046" s="23">
        <f>IF(A2046="","",COUNTIFS(Resumen!$N$2:$N$2999,ROW(),Resumen!$V$2:$V$2999,1))</f>
        <v/>
      </c>
      <c r="L2046" s="26"/>
      <c r="N20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7" spans="1:14">
      <c r="A2047" s="16"/>
      <c r="B2047" s="16"/>
      <c r="C2047" s="25"/>
      <c r="D2047" s="25"/>
      <c r="E2047" s="16"/>
      <c r="F2047" s="18"/>
      <c r="G2047" s="19" t="str">
        <f t="shared" ca="1" si="62"/>
        <v/>
      </c>
      <c r="H2047" s="27"/>
      <c r="I2047" s="27"/>
      <c r="J2047" s="77" t="str">
        <f t="shared" ca="1" si="63"/>
        <v/>
      </c>
      <c r="K2047" s="23">
        <f>IF(A2047="","",COUNTIFS(Resumen!$N$2:$N$2999,ROW(),Resumen!$V$2:$V$2999,1))</f>
        <v/>
      </c>
      <c r="L2047" s="26"/>
      <c r="N20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8" spans="1:14">
      <c r="A2048" s="16"/>
      <c r="B2048" s="16"/>
      <c r="C2048" s="25"/>
      <c r="D2048" s="25"/>
      <c r="E2048" s="16"/>
      <c r="F2048" s="18"/>
      <c r="G2048" s="19" t="str">
        <f t="shared" ca="1" si="62"/>
        <v/>
      </c>
      <c r="H2048" s="27"/>
      <c r="I2048" s="27"/>
      <c r="J2048" s="77" t="str">
        <f t="shared" ca="1" si="63"/>
        <v/>
      </c>
      <c r="K2048" s="23">
        <f>IF(A2048="","",COUNTIFS(Resumen!$N$2:$N$2999,ROW(),Resumen!$V$2:$V$2999,1))</f>
        <v/>
      </c>
      <c r="L2048" s="26"/>
      <c r="N20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49" spans="1:14">
      <c r="A2049" s="16"/>
      <c r="B2049" s="16"/>
      <c r="C2049" s="25"/>
      <c r="D2049" s="25"/>
      <c r="E2049" s="16"/>
      <c r="F2049" s="18"/>
      <c r="G2049" s="19" t="str">
        <f t="shared" ca="1" si="62"/>
        <v/>
      </c>
      <c r="H2049" s="27"/>
      <c r="I2049" s="27"/>
      <c r="J2049" s="77" t="str">
        <f t="shared" ca="1" si="63"/>
        <v/>
      </c>
      <c r="K2049" s="23">
        <f>IF(A2049="","",COUNTIFS(Resumen!$N$2:$N$2999,ROW(),Resumen!$V$2:$V$2999,1))</f>
        <v/>
      </c>
      <c r="L2049" s="26"/>
      <c r="N20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0" spans="1:14">
      <c r="A2050" s="16"/>
      <c r="B2050" s="16"/>
      <c r="C2050" s="25"/>
      <c r="D2050" s="25"/>
      <c r="E2050" s="16"/>
      <c r="F2050" s="18"/>
      <c r="G2050" s="19" t="str">
        <f t="shared" ref="G2050:G2113" ca="1" si="64">IF(F2050="", "", DATEDIF(F2050, TODAY(), "Y"))</f>
        <v/>
      </c>
      <c r="H2050" s="27"/>
      <c r="I2050" s="27"/>
      <c r="J2050" s="77" t="str">
        <f t="shared" ref="J2050:J2113" ca="1" si="65">IFERROR(IF(ISNUMBER(INDEX(VigenciasFamilia,ROW())),INDEX(VigenciasFamilia,ROW())-TODAY(),""),"")</f>
        <v/>
      </c>
      <c r="K2050" s="23">
        <f>IF(A2050="","",COUNTIFS(Resumen!$N$2:$N$2999,ROW(),Resumen!$V$2:$V$2999,1))</f>
        <v/>
      </c>
      <c r="L2050" s="26"/>
      <c r="N20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1" spans="1:14">
      <c r="A2051" s="16"/>
      <c r="B2051" s="16"/>
      <c r="C2051" s="25"/>
      <c r="D2051" s="25"/>
      <c r="E2051" s="16"/>
      <c r="F2051" s="18"/>
      <c r="G2051" s="19" t="str">
        <f t="shared" ca="1" si="64"/>
        <v/>
      </c>
      <c r="H2051" s="27"/>
      <c r="I2051" s="27"/>
      <c r="J2051" s="77" t="str">
        <f t="shared" ca="1" si="65"/>
        <v/>
      </c>
      <c r="K2051" s="23">
        <f>IF(A2051="","",COUNTIFS(Resumen!$N$2:$N$2999,ROW(),Resumen!$V$2:$V$2999,1))</f>
        <v/>
      </c>
      <c r="L2051" s="26"/>
      <c r="N20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2" spans="1:14">
      <c r="A2052" s="16"/>
      <c r="B2052" s="16"/>
      <c r="C2052" s="25"/>
      <c r="D2052" s="25"/>
      <c r="E2052" s="16"/>
      <c r="F2052" s="18"/>
      <c r="G2052" s="19" t="str">
        <f t="shared" ca="1" si="64"/>
        <v/>
      </c>
      <c r="H2052" s="27"/>
      <c r="I2052" s="27"/>
      <c r="J2052" s="77" t="str">
        <f t="shared" ca="1" si="65"/>
        <v/>
      </c>
      <c r="K2052" s="23">
        <f>IF(A2052="","",COUNTIFS(Resumen!$N$2:$N$2999,ROW(),Resumen!$V$2:$V$2999,1))</f>
        <v/>
      </c>
      <c r="L2052" s="26"/>
      <c r="N20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3" spans="1:14">
      <c r="A2053" s="16"/>
      <c r="B2053" s="16"/>
      <c r="C2053" s="25"/>
      <c r="D2053" s="25"/>
      <c r="E2053" s="16"/>
      <c r="F2053" s="18"/>
      <c r="G2053" s="19" t="str">
        <f t="shared" ca="1" si="64"/>
        <v/>
      </c>
      <c r="H2053" s="27"/>
      <c r="I2053" s="27"/>
      <c r="J2053" s="77" t="str">
        <f t="shared" ca="1" si="65"/>
        <v/>
      </c>
      <c r="K2053" s="23">
        <f>IF(A2053="","",COUNTIFS(Resumen!$N$2:$N$2999,ROW(),Resumen!$V$2:$V$2999,1))</f>
        <v/>
      </c>
      <c r="L2053" s="26"/>
      <c r="N20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4" spans="1:14">
      <c r="A2054" s="16"/>
      <c r="B2054" s="16"/>
      <c r="C2054" s="25"/>
      <c r="D2054" s="25"/>
      <c r="E2054" s="16"/>
      <c r="F2054" s="18"/>
      <c r="G2054" s="19" t="str">
        <f t="shared" ca="1" si="64"/>
        <v/>
      </c>
      <c r="H2054" s="27"/>
      <c r="I2054" s="27"/>
      <c r="J2054" s="77" t="str">
        <f t="shared" ca="1" si="65"/>
        <v/>
      </c>
      <c r="K2054" s="23">
        <f>IF(A2054="","",COUNTIFS(Resumen!$N$2:$N$2999,ROW(),Resumen!$V$2:$V$2999,1))</f>
        <v/>
      </c>
      <c r="L2054" s="26"/>
      <c r="N20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5" spans="1:14">
      <c r="A2055" s="16"/>
      <c r="B2055" s="16"/>
      <c r="C2055" s="25"/>
      <c r="D2055" s="25"/>
      <c r="E2055" s="16"/>
      <c r="F2055" s="18"/>
      <c r="G2055" s="19" t="str">
        <f t="shared" ca="1" si="64"/>
        <v/>
      </c>
      <c r="H2055" s="27"/>
      <c r="I2055" s="27"/>
      <c r="J2055" s="77" t="str">
        <f t="shared" ca="1" si="65"/>
        <v/>
      </c>
      <c r="K2055" s="23">
        <f>IF(A2055="","",COUNTIFS(Resumen!$N$2:$N$2999,ROW(),Resumen!$V$2:$V$2999,1))</f>
        <v/>
      </c>
      <c r="L2055" s="26"/>
      <c r="N20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6" spans="1:14">
      <c r="A2056" s="16"/>
      <c r="B2056" s="16"/>
      <c r="C2056" s="25"/>
      <c r="D2056" s="25"/>
      <c r="E2056" s="16"/>
      <c r="F2056" s="18"/>
      <c r="G2056" s="19" t="str">
        <f t="shared" ca="1" si="64"/>
        <v/>
      </c>
      <c r="H2056" s="27"/>
      <c r="I2056" s="27"/>
      <c r="J2056" s="77" t="str">
        <f t="shared" ca="1" si="65"/>
        <v/>
      </c>
      <c r="K2056" s="23">
        <f>IF(A2056="","",COUNTIFS(Resumen!$N$2:$N$2999,ROW(),Resumen!$V$2:$V$2999,1))</f>
        <v/>
      </c>
      <c r="L2056" s="26"/>
      <c r="N20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7" spans="1:14">
      <c r="A2057" s="16"/>
      <c r="B2057" s="16"/>
      <c r="C2057" s="25"/>
      <c r="D2057" s="25"/>
      <c r="E2057" s="16"/>
      <c r="F2057" s="18"/>
      <c r="G2057" s="19" t="str">
        <f t="shared" ca="1" si="64"/>
        <v/>
      </c>
      <c r="H2057" s="27"/>
      <c r="I2057" s="27"/>
      <c r="J2057" s="77" t="str">
        <f t="shared" ca="1" si="65"/>
        <v/>
      </c>
      <c r="K2057" s="23">
        <f>IF(A2057="","",COUNTIFS(Resumen!$N$2:$N$2999,ROW(),Resumen!$V$2:$V$2999,1))</f>
        <v/>
      </c>
      <c r="L2057" s="26"/>
      <c r="N20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8" spans="1:14">
      <c r="A2058" s="16"/>
      <c r="B2058" s="16"/>
      <c r="C2058" s="25"/>
      <c r="D2058" s="25"/>
      <c r="E2058" s="16"/>
      <c r="F2058" s="18"/>
      <c r="G2058" s="19" t="str">
        <f t="shared" ca="1" si="64"/>
        <v/>
      </c>
      <c r="H2058" s="27"/>
      <c r="I2058" s="27"/>
      <c r="J2058" s="77" t="str">
        <f t="shared" ca="1" si="65"/>
        <v/>
      </c>
      <c r="K2058" s="23">
        <f>IF(A2058="","",COUNTIFS(Resumen!$N$2:$N$2999,ROW(),Resumen!$V$2:$V$2999,1))</f>
        <v/>
      </c>
      <c r="L2058" s="26"/>
      <c r="N20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59" spans="1:14">
      <c r="A2059" s="16"/>
      <c r="B2059" s="16"/>
      <c r="C2059" s="25"/>
      <c r="D2059" s="25"/>
      <c r="E2059" s="16"/>
      <c r="F2059" s="18"/>
      <c r="G2059" s="19" t="str">
        <f t="shared" ca="1" si="64"/>
        <v/>
      </c>
      <c r="H2059" s="27"/>
      <c r="I2059" s="27"/>
      <c r="J2059" s="77" t="str">
        <f t="shared" ca="1" si="65"/>
        <v/>
      </c>
      <c r="K2059" s="23">
        <f>IF(A2059="","",COUNTIFS(Resumen!$N$2:$N$2999,ROW(),Resumen!$V$2:$V$2999,1))</f>
        <v/>
      </c>
      <c r="L2059" s="26"/>
      <c r="N20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0" spans="1:14">
      <c r="A2060" s="16"/>
      <c r="B2060" s="16"/>
      <c r="C2060" s="25"/>
      <c r="D2060" s="25"/>
      <c r="E2060" s="16"/>
      <c r="F2060" s="18"/>
      <c r="G2060" s="19" t="str">
        <f t="shared" ca="1" si="64"/>
        <v/>
      </c>
      <c r="H2060" s="27"/>
      <c r="I2060" s="27"/>
      <c r="J2060" s="77" t="str">
        <f t="shared" ca="1" si="65"/>
        <v/>
      </c>
      <c r="K2060" s="23">
        <f>IF(A2060="","",COUNTIFS(Resumen!$N$2:$N$2999,ROW(),Resumen!$V$2:$V$2999,1))</f>
        <v/>
      </c>
      <c r="L2060" s="26"/>
      <c r="N20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1" spans="1:14">
      <c r="A2061" s="16"/>
      <c r="B2061" s="16"/>
      <c r="C2061" s="25"/>
      <c r="D2061" s="25"/>
      <c r="E2061" s="16"/>
      <c r="F2061" s="18"/>
      <c r="G2061" s="19" t="str">
        <f t="shared" ca="1" si="64"/>
        <v/>
      </c>
      <c r="H2061" s="27"/>
      <c r="I2061" s="27"/>
      <c r="J2061" s="77" t="str">
        <f t="shared" ca="1" si="65"/>
        <v/>
      </c>
      <c r="K2061" s="23">
        <f>IF(A2061="","",COUNTIFS(Resumen!$N$2:$N$2999,ROW(),Resumen!$V$2:$V$2999,1))</f>
        <v/>
      </c>
      <c r="L2061" s="26"/>
      <c r="N20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2" spans="1:14">
      <c r="A2062" s="16"/>
      <c r="B2062" s="16"/>
      <c r="C2062" s="25"/>
      <c r="D2062" s="25"/>
      <c r="E2062" s="16"/>
      <c r="F2062" s="18"/>
      <c r="G2062" s="19" t="str">
        <f t="shared" ca="1" si="64"/>
        <v/>
      </c>
      <c r="H2062" s="27"/>
      <c r="I2062" s="27"/>
      <c r="J2062" s="77" t="str">
        <f t="shared" ca="1" si="65"/>
        <v/>
      </c>
      <c r="K2062" s="23">
        <f>IF(A2062="","",COUNTIFS(Resumen!$N$2:$N$2999,ROW(),Resumen!$V$2:$V$2999,1))</f>
        <v/>
      </c>
      <c r="L2062" s="26"/>
      <c r="N20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3" spans="1:14">
      <c r="A2063" s="16"/>
      <c r="B2063" s="16"/>
      <c r="C2063" s="25"/>
      <c r="D2063" s="25"/>
      <c r="E2063" s="16"/>
      <c r="F2063" s="18"/>
      <c r="G2063" s="19" t="str">
        <f t="shared" ca="1" si="64"/>
        <v/>
      </c>
      <c r="H2063" s="27"/>
      <c r="I2063" s="27"/>
      <c r="J2063" s="77" t="str">
        <f t="shared" ca="1" si="65"/>
        <v/>
      </c>
      <c r="K2063" s="23">
        <f>IF(A2063="","",COUNTIFS(Resumen!$N$2:$N$2999,ROW(),Resumen!$V$2:$V$2999,1))</f>
        <v/>
      </c>
      <c r="L2063" s="26"/>
      <c r="N20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4" spans="1:14">
      <c r="A2064" s="16"/>
      <c r="B2064" s="16"/>
      <c r="C2064" s="25"/>
      <c r="D2064" s="25"/>
      <c r="E2064" s="16"/>
      <c r="F2064" s="18"/>
      <c r="G2064" s="19" t="str">
        <f t="shared" ca="1" si="64"/>
        <v/>
      </c>
      <c r="H2064" s="27"/>
      <c r="I2064" s="27"/>
      <c r="J2064" s="77" t="str">
        <f t="shared" ca="1" si="65"/>
        <v/>
      </c>
      <c r="K2064" s="23">
        <f>IF(A2064="","",COUNTIFS(Resumen!$N$2:$N$2999,ROW(),Resumen!$V$2:$V$2999,1))</f>
        <v/>
      </c>
      <c r="L2064" s="26"/>
      <c r="N20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5" spans="1:14">
      <c r="A2065" s="16"/>
      <c r="B2065" s="16"/>
      <c r="C2065" s="25"/>
      <c r="D2065" s="25"/>
      <c r="E2065" s="16"/>
      <c r="F2065" s="18"/>
      <c r="G2065" s="19" t="str">
        <f t="shared" ca="1" si="64"/>
        <v/>
      </c>
      <c r="H2065" s="27"/>
      <c r="I2065" s="27"/>
      <c r="J2065" s="77" t="str">
        <f t="shared" ca="1" si="65"/>
        <v/>
      </c>
      <c r="K2065" s="23">
        <f>IF(A2065="","",COUNTIFS(Resumen!$N$2:$N$2999,ROW(),Resumen!$V$2:$V$2999,1))</f>
        <v/>
      </c>
      <c r="L2065" s="26"/>
      <c r="N20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6" spans="1:14">
      <c r="A2066" s="16"/>
      <c r="B2066" s="16"/>
      <c r="C2066" s="25"/>
      <c r="D2066" s="25"/>
      <c r="E2066" s="16"/>
      <c r="F2066" s="18"/>
      <c r="G2066" s="19" t="str">
        <f t="shared" ca="1" si="64"/>
        <v/>
      </c>
      <c r="H2066" s="27"/>
      <c r="I2066" s="27"/>
      <c r="J2066" s="77" t="str">
        <f t="shared" ca="1" si="65"/>
        <v/>
      </c>
      <c r="K2066" s="23">
        <f>IF(A2066="","",COUNTIFS(Resumen!$N$2:$N$2999,ROW(),Resumen!$V$2:$V$2999,1))</f>
        <v/>
      </c>
      <c r="L2066" s="26"/>
      <c r="N20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7" spans="1:14">
      <c r="A2067" s="16"/>
      <c r="B2067" s="16"/>
      <c r="C2067" s="25"/>
      <c r="D2067" s="25"/>
      <c r="E2067" s="16"/>
      <c r="F2067" s="18"/>
      <c r="G2067" s="19" t="str">
        <f t="shared" ca="1" si="64"/>
        <v/>
      </c>
      <c r="H2067" s="27"/>
      <c r="I2067" s="27"/>
      <c r="J2067" s="77" t="str">
        <f t="shared" ca="1" si="65"/>
        <v/>
      </c>
      <c r="K2067" s="23">
        <f>IF(A2067="","",COUNTIFS(Resumen!$N$2:$N$2999,ROW(),Resumen!$V$2:$V$2999,1))</f>
        <v/>
      </c>
      <c r="L2067" s="26"/>
      <c r="N20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8" spans="1:14">
      <c r="A2068" s="16"/>
      <c r="B2068" s="16"/>
      <c r="C2068" s="25"/>
      <c r="D2068" s="25"/>
      <c r="E2068" s="16"/>
      <c r="F2068" s="18"/>
      <c r="G2068" s="19" t="str">
        <f t="shared" ca="1" si="64"/>
        <v/>
      </c>
      <c r="H2068" s="27"/>
      <c r="I2068" s="27"/>
      <c r="J2068" s="77" t="str">
        <f t="shared" ca="1" si="65"/>
        <v/>
      </c>
      <c r="K2068" s="23">
        <f>IF(A2068="","",COUNTIFS(Resumen!$N$2:$N$2999,ROW(),Resumen!$V$2:$V$2999,1))</f>
        <v/>
      </c>
      <c r="L2068" s="26"/>
      <c r="N20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69" spans="1:14">
      <c r="A2069" s="16"/>
      <c r="B2069" s="16"/>
      <c r="C2069" s="25"/>
      <c r="D2069" s="25"/>
      <c r="E2069" s="16"/>
      <c r="F2069" s="18"/>
      <c r="G2069" s="19" t="str">
        <f t="shared" ca="1" si="64"/>
        <v/>
      </c>
      <c r="H2069" s="27"/>
      <c r="I2069" s="27"/>
      <c r="J2069" s="77" t="str">
        <f t="shared" ca="1" si="65"/>
        <v/>
      </c>
      <c r="K2069" s="23">
        <f>IF(A2069="","",COUNTIFS(Resumen!$N$2:$N$2999,ROW(),Resumen!$V$2:$V$2999,1))</f>
        <v/>
      </c>
      <c r="L2069" s="26"/>
      <c r="N20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0" spans="1:14">
      <c r="A2070" s="16"/>
      <c r="B2070" s="16"/>
      <c r="C2070" s="25"/>
      <c r="D2070" s="25"/>
      <c r="E2070" s="16"/>
      <c r="F2070" s="18"/>
      <c r="G2070" s="19" t="str">
        <f t="shared" ca="1" si="64"/>
        <v/>
      </c>
      <c r="H2070" s="27"/>
      <c r="I2070" s="27"/>
      <c r="J2070" s="77" t="str">
        <f t="shared" ca="1" si="65"/>
        <v/>
      </c>
      <c r="K2070" s="23">
        <f>IF(A2070="","",COUNTIFS(Resumen!$N$2:$N$2999,ROW(),Resumen!$V$2:$V$2999,1))</f>
        <v/>
      </c>
      <c r="L2070" s="26"/>
      <c r="N20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1" spans="1:14">
      <c r="A2071" s="16"/>
      <c r="B2071" s="16"/>
      <c r="C2071" s="25"/>
      <c r="D2071" s="25"/>
      <c r="E2071" s="16"/>
      <c r="F2071" s="18"/>
      <c r="G2071" s="19" t="str">
        <f t="shared" ca="1" si="64"/>
        <v/>
      </c>
      <c r="H2071" s="27"/>
      <c r="I2071" s="27"/>
      <c r="J2071" s="77" t="str">
        <f t="shared" ca="1" si="65"/>
        <v/>
      </c>
      <c r="K2071" s="23">
        <f>IF(A2071="","",COUNTIFS(Resumen!$N$2:$N$2999,ROW(),Resumen!$V$2:$V$2999,1))</f>
        <v/>
      </c>
      <c r="L2071" s="26"/>
      <c r="N20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2" spans="1:14">
      <c r="A2072" s="16"/>
      <c r="B2072" s="16"/>
      <c r="C2072" s="25"/>
      <c r="D2072" s="25"/>
      <c r="E2072" s="16"/>
      <c r="F2072" s="18"/>
      <c r="G2072" s="19" t="str">
        <f t="shared" ca="1" si="64"/>
        <v/>
      </c>
      <c r="H2072" s="27"/>
      <c r="I2072" s="27"/>
      <c r="J2072" s="77" t="str">
        <f t="shared" ca="1" si="65"/>
        <v/>
      </c>
      <c r="K2072" s="23">
        <f>IF(A2072="","",COUNTIFS(Resumen!$N$2:$N$2999,ROW(),Resumen!$V$2:$V$2999,1))</f>
        <v/>
      </c>
      <c r="L2072" s="26"/>
      <c r="N20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3" spans="1:14">
      <c r="A2073" s="16"/>
      <c r="B2073" s="16"/>
      <c r="C2073" s="25"/>
      <c r="D2073" s="25"/>
      <c r="E2073" s="16"/>
      <c r="F2073" s="18"/>
      <c r="G2073" s="19" t="str">
        <f t="shared" ca="1" si="64"/>
        <v/>
      </c>
      <c r="H2073" s="27"/>
      <c r="I2073" s="27"/>
      <c r="J2073" s="77" t="str">
        <f t="shared" ca="1" si="65"/>
        <v/>
      </c>
      <c r="K2073" s="23">
        <f>IF(A2073="","",COUNTIFS(Resumen!$N$2:$N$2999,ROW(),Resumen!$V$2:$V$2999,1))</f>
        <v/>
      </c>
      <c r="L2073" s="26"/>
      <c r="N20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4" spans="1:14">
      <c r="A2074" s="16"/>
      <c r="B2074" s="16"/>
      <c r="C2074" s="25"/>
      <c r="D2074" s="25"/>
      <c r="E2074" s="16"/>
      <c r="F2074" s="18"/>
      <c r="G2074" s="19" t="str">
        <f t="shared" ca="1" si="64"/>
        <v/>
      </c>
      <c r="H2074" s="27"/>
      <c r="I2074" s="27"/>
      <c r="J2074" s="77" t="str">
        <f t="shared" ca="1" si="65"/>
        <v/>
      </c>
      <c r="K2074" s="23">
        <f>IF(A2074="","",COUNTIFS(Resumen!$N$2:$N$2999,ROW(),Resumen!$V$2:$V$2999,1))</f>
        <v/>
      </c>
      <c r="L2074" s="26"/>
      <c r="N20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5" spans="1:14">
      <c r="A2075" s="16"/>
      <c r="B2075" s="16"/>
      <c r="C2075" s="25"/>
      <c r="D2075" s="25"/>
      <c r="E2075" s="16"/>
      <c r="F2075" s="18"/>
      <c r="G2075" s="19" t="str">
        <f t="shared" ca="1" si="64"/>
        <v/>
      </c>
      <c r="H2075" s="27"/>
      <c r="I2075" s="27"/>
      <c r="J2075" s="77" t="str">
        <f t="shared" ca="1" si="65"/>
        <v/>
      </c>
      <c r="K2075" s="23">
        <f>IF(A2075="","",COUNTIFS(Resumen!$N$2:$N$2999,ROW(),Resumen!$V$2:$V$2999,1))</f>
        <v/>
      </c>
      <c r="L2075" s="26"/>
      <c r="N20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6" spans="1:14">
      <c r="A2076" s="16"/>
      <c r="B2076" s="16"/>
      <c r="C2076" s="25"/>
      <c r="D2076" s="25"/>
      <c r="E2076" s="16"/>
      <c r="F2076" s="18"/>
      <c r="G2076" s="19" t="str">
        <f t="shared" ca="1" si="64"/>
        <v/>
      </c>
      <c r="H2076" s="27"/>
      <c r="I2076" s="27"/>
      <c r="J2076" s="77" t="str">
        <f t="shared" ca="1" si="65"/>
        <v/>
      </c>
      <c r="K2076" s="23">
        <f>IF(A2076="","",COUNTIFS(Resumen!$N$2:$N$2999,ROW(),Resumen!$V$2:$V$2999,1))</f>
        <v/>
      </c>
      <c r="L2076" s="26"/>
      <c r="N20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7" spans="1:14">
      <c r="A2077" s="16"/>
      <c r="B2077" s="16"/>
      <c r="C2077" s="25"/>
      <c r="D2077" s="25"/>
      <c r="E2077" s="16"/>
      <c r="F2077" s="18"/>
      <c r="G2077" s="19" t="str">
        <f t="shared" ca="1" si="64"/>
        <v/>
      </c>
      <c r="H2077" s="27"/>
      <c r="I2077" s="27"/>
      <c r="J2077" s="77" t="str">
        <f t="shared" ca="1" si="65"/>
        <v/>
      </c>
      <c r="K2077" s="23">
        <f>IF(A2077="","",COUNTIFS(Resumen!$N$2:$N$2999,ROW(),Resumen!$V$2:$V$2999,1))</f>
        <v/>
      </c>
      <c r="L2077" s="26"/>
      <c r="N20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8" spans="1:14">
      <c r="A2078" s="16"/>
      <c r="B2078" s="16"/>
      <c r="C2078" s="25"/>
      <c r="D2078" s="25"/>
      <c r="E2078" s="16"/>
      <c r="F2078" s="18"/>
      <c r="G2078" s="19" t="str">
        <f t="shared" ca="1" si="64"/>
        <v/>
      </c>
      <c r="H2078" s="27"/>
      <c r="I2078" s="27"/>
      <c r="J2078" s="77" t="str">
        <f t="shared" ca="1" si="65"/>
        <v/>
      </c>
      <c r="K2078" s="23">
        <f>IF(A2078="","",COUNTIFS(Resumen!$N$2:$N$2999,ROW(),Resumen!$V$2:$V$2999,1))</f>
        <v/>
      </c>
      <c r="L2078" s="26"/>
      <c r="N20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79" spans="1:14">
      <c r="A2079" s="16"/>
      <c r="B2079" s="16"/>
      <c r="C2079" s="25"/>
      <c r="D2079" s="25"/>
      <c r="E2079" s="16"/>
      <c r="F2079" s="18"/>
      <c r="G2079" s="19" t="str">
        <f t="shared" ca="1" si="64"/>
        <v/>
      </c>
      <c r="H2079" s="27"/>
      <c r="I2079" s="27"/>
      <c r="J2079" s="77" t="str">
        <f t="shared" ca="1" si="65"/>
        <v/>
      </c>
      <c r="K2079" s="23">
        <f>IF(A2079="","",COUNTIFS(Resumen!$N$2:$N$2999,ROW(),Resumen!$V$2:$V$2999,1))</f>
        <v/>
      </c>
      <c r="L2079" s="26"/>
      <c r="N20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0" spans="1:14">
      <c r="A2080" s="16"/>
      <c r="B2080" s="16"/>
      <c r="C2080" s="25"/>
      <c r="D2080" s="25"/>
      <c r="E2080" s="16"/>
      <c r="F2080" s="18"/>
      <c r="G2080" s="19" t="str">
        <f t="shared" ca="1" si="64"/>
        <v/>
      </c>
      <c r="H2080" s="27"/>
      <c r="I2080" s="27"/>
      <c r="J2080" s="77" t="str">
        <f t="shared" ca="1" si="65"/>
        <v/>
      </c>
      <c r="K2080" s="23">
        <f>IF(A2080="","",COUNTIFS(Resumen!$N$2:$N$2999,ROW(),Resumen!$V$2:$V$2999,1))</f>
        <v/>
      </c>
      <c r="L2080" s="26"/>
      <c r="N20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1" spans="1:14">
      <c r="A2081" s="16"/>
      <c r="B2081" s="16"/>
      <c r="C2081" s="25"/>
      <c r="D2081" s="25"/>
      <c r="E2081" s="16"/>
      <c r="F2081" s="18"/>
      <c r="G2081" s="19" t="str">
        <f t="shared" ca="1" si="64"/>
        <v/>
      </c>
      <c r="H2081" s="27"/>
      <c r="I2081" s="27"/>
      <c r="J2081" s="77" t="str">
        <f t="shared" ca="1" si="65"/>
        <v/>
      </c>
      <c r="K2081" s="23">
        <f>IF(A2081="","",COUNTIFS(Resumen!$N$2:$N$2999,ROW(),Resumen!$V$2:$V$2999,1))</f>
        <v/>
      </c>
      <c r="L2081" s="26"/>
      <c r="N20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2" spans="1:14">
      <c r="A2082" s="16"/>
      <c r="B2082" s="16"/>
      <c r="C2082" s="25"/>
      <c r="D2082" s="25"/>
      <c r="E2082" s="16"/>
      <c r="F2082" s="18"/>
      <c r="G2082" s="19" t="str">
        <f t="shared" ca="1" si="64"/>
        <v/>
      </c>
      <c r="H2082" s="27"/>
      <c r="I2082" s="27"/>
      <c r="J2082" s="77" t="str">
        <f t="shared" ca="1" si="65"/>
        <v/>
      </c>
      <c r="K2082" s="23">
        <f>IF(A2082="","",COUNTIFS(Resumen!$N$2:$N$2999,ROW(),Resumen!$V$2:$V$2999,1))</f>
        <v/>
      </c>
      <c r="L2082" s="26"/>
      <c r="N20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3" spans="1:14">
      <c r="A2083" s="16"/>
      <c r="B2083" s="16"/>
      <c r="C2083" s="25"/>
      <c r="D2083" s="25"/>
      <c r="E2083" s="16"/>
      <c r="F2083" s="18"/>
      <c r="G2083" s="19" t="str">
        <f t="shared" ca="1" si="64"/>
        <v/>
      </c>
      <c r="H2083" s="27"/>
      <c r="I2083" s="27"/>
      <c r="J2083" s="77" t="str">
        <f t="shared" ca="1" si="65"/>
        <v/>
      </c>
      <c r="K2083" s="23">
        <f>IF(A2083="","",COUNTIFS(Resumen!$N$2:$N$2999,ROW(),Resumen!$V$2:$V$2999,1))</f>
        <v/>
      </c>
      <c r="L2083" s="26"/>
      <c r="N20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4" spans="1:14">
      <c r="A2084" s="16"/>
      <c r="B2084" s="16"/>
      <c r="C2084" s="25"/>
      <c r="D2084" s="25"/>
      <c r="E2084" s="16"/>
      <c r="F2084" s="18"/>
      <c r="G2084" s="19" t="str">
        <f t="shared" ca="1" si="64"/>
        <v/>
      </c>
      <c r="H2084" s="27"/>
      <c r="I2084" s="27"/>
      <c r="J2084" s="77" t="str">
        <f t="shared" ca="1" si="65"/>
        <v/>
      </c>
      <c r="K2084" s="23">
        <f>IF(A2084="","",COUNTIFS(Resumen!$N$2:$N$2999,ROW(),Resumen!$V$2:$V$2999,1))</f>
        <v/>
      </c>
      <c r="L2084" s="26"/>
      <c r="N20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5" spans="1:14">
      <c r="A2085" s="16"/>
      <c r="B2085" s="16"/>
      <c r="C2085" s="25"/>
      <c r="D2085" s="25"/>
      <c r="E2085" s="16"/>
      <c r="F2085" s="18"/>
      <c r="G2085" s="19" t="str">
        <f t="shared" ca="1" si="64"/>
        <v/>
      </c>
      <c r="H2085" s="27"/>
      <c r="I2085" s="27"/>
      <c r="J2085" s="77" t="str">
        <f t="shared" ca="1" si="65"/>
        <v/>
      </c>
      <c r="K2085" s="23">
        <f>IF(A2085="","",COUNTIFS(Resumen!$N$2:$N$2999,ROW(),Resumen!$V$2:$V$2999,1))</f>
        <v/>
      </c>
      <c r="L2085" s="26"/>
      <c r="N20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6" spans="1:14">
      <c r="A2086" s="16"/>
      <c r="B2086" s="16"/>
      <c r="C2086" s="25"/>
      <c r="D2086" s="25"/>
      <c r="E2086" s="16"/>
      <c r="F2086" s="18"/>
      <c r="G2086" s="19" t="str">
        <f t="shared" ca="1" si="64"/>
        <v/>
      </c>
      <c r="H2086" s="27"/>
      <c r="I2086" s="27"/>
      <c r="J2086" s="77" t="str">
        <f t="shared" ca="1" si="65"/>
        <v/>
      </c>
      <c r="K2086" s="23">
        <f>IF(A2086="","",COUNTIFS(Resumen!$N$2:$N$2999,ROW(),Resumen!$V$2:$V$2999,1))</f>
        <v/>
      </c>
      <c r="L2086" s="26"/>
      <c r="N20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7" spans="1:14">
      <c r="A2087" s="16"/>
      <c r="B2087" s="16"/>
      <c r="C2087" s="25"/>
      <c r="D2087" s="25"/>
      <c r="E2087" s="16"/>
      <c r="F2087" s="18"/>
      <c r="G2087" s="19" t="str">
        <f t="shared" ca="1" si="64"/>
        <v/>
      </c>
      <c r="H2087" s="27"/>
      <c r="I2087" s="27"/>
      <c r="J2087" s="77" t="str">
        <f t="shared" ca="1" si="65"/>
        <v/>
      </c>
      <c r="K2087" s="23">
        <f>IF(A2087="","",COUNTIFS(Resumen!$N$2:$N$2999,ROW(),Resumen!$V$2:$V$2999,1))</f>
        <v/>
      </c>
      <c r="L2087" s="26"/>
      <c r="N20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8" spans="1:14">
      <c r="A2088" s="16"/>
      <c r="B2088" s="16"/>
      <c r="C2088" s="25"/>
      <c r="D2088" s="25"/>
      <c r="E2088" s="16"/>
      <c r="F2088" s="18"/>
      <c r="G2088" s="19" t="str">
        <f t="shared" ca="1" si="64"/>
        <v/>
      </c>
      <c r="H2088" s="27"/>
      <c r="I2088" s="27"/>
      <c r="J2088" s="77" t="str">
        <f t="shared" ca="1" si="65"/>
        <v/>
      </c>
      <c r="K2088" s="23">
        <f>IF(A2088="","",COUNTIFS(Resumen!$N$2:$N$2999,ROW(),Resumen!$V$2:$V$2999,1))</f>
        <v/>
      </c>
      <c r="L2088" s="26"/>
      <c r="N20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89" spans="1:14">
      <c r="A2089" s="16"/>
      <c r="B2089" s="16"/>
      <c r="C2089" s="25"/>
      <c r="D2089" s="25"/>
      <c r="E2089" s="16"/>
      <c r="F2089" s="18"/>
      <c r="G2089" s="19" t="str">
        <f t="shared" ca="1" si="64"/>
        <v/>
      </c>
      <c r="H2089" s="27"/>
      <c r="I2089" s="27"/>
      <c r="J2089" s="77" t="str">
        <f t="shared" ca="1" si="65"/>
        <v/>
      </c>
      <c r="K2089" s="23">
        <f>IF(A2089="","",COUNTIFS(Resumen!$N$2:$N$2999,ROW(),Resumen!$V$2:$V$2999,1))</f>
        <v/>
      </c>
      <c r="L2089" s="26"/>
      <c r="N20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0" spans="1:14">
      <c r="A2090" s="16"/>
      <c r="B2090" s="16"/>
      <c r="C2090" s="25"/>
      <c r="D2090" s="25"/>
      <c r="E2090" s="16"/>
      <c r="F2090" s="18"/>
      <c r="G2090" s="19" t="str">
        <f t="shared" ca="1" si="64"/>
        <v/>
      </c>
      <c r="H2090" s="27"/>
      <c r="I2090" s="27"/>
      <c r="J2090" s="77" t="str">
        <f t="shared" ca="1" si="65"/>
        <v/>
      </c>
      <c r="K2090" s="23">
        <f>IF(A2090="","",COUNTIFS(Resumen!$N$2:$N$2999,ROW(),Resumen!$V$2:$V$2999,1))</f>
        <v/>
      </c>
      <c r="L2090" s="26"/>
      <c r="N20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1" spans="1:14">
      <c r="A2091" s="16"/>
      <c r="B2091" s="16"/>
      <c r="C2091" s="25"/>
      <c r="D2091" s="25"/>
      <c r="E2091" s="16"/>
      <c r="F2091" s="18"/>
      <c r="G2091" s="19" t="str">
        <f t="shared" ca="1" si="64"/>
        <v/>
      </c>
      <c r="H2091" s="27"/>
      <c r="I2091" s="27"/>
      <c r="J2091" s="77" t="str">
        <f t="shared" ca="1" si="65"/>
        <v/>
      </c>
      <c r="K2091" s="23">
        <f>IF(A2091="","",COUNTIFS(Resumen!$N$2:$N$2999,ROW(),Resumen!$V$2:$V$2999,1))</f>
        <v/>
      </c>
      <c r="L2091" s="26"/>
      <c r="N20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2" spans="1:14">
      <c r="A2092" s="16"/>
      <c r="B2092" s="16"/>
      <c r="C2092" s="25"/>
      <c r="D2092" s="25"/>
      <c r="E2092" s="16"/>
      <c r="F2092" s="18"/>
      <c r="G2092" s="19" t="str">
        <f t="shared" ca="1" si="64"/>
        <v/>
      </c>
      <c r="H2092" s="27"/>
      <c r="I2092" s="27"/>
      <c r="J2092" s="77" t="str">
        <f t="shared" ca="1" si="65"/>
        <v/>
      </c>
      <c r="K2092" s="23">
        <f>IF(A2092="","",COUNTIFS(Resumen!$N$2:$N$2999,ROW(),Resumen!$V$2:$V$2999,1))</f>
        <v/>
      </c>
      <c r="L2092" s="26"/>
      <c r="N20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3" spans="1:14">
      <c r="A2093" s="16"/>
      <c r="B2093" s="16"/>
      <c r="C2093" s="25"/>
      <c r="D2093" s="25"/>
      <c r="E2093" s="16"/>
      <c r="F2093" s="18"/>
      <c r="G2093" s="19" t="str">
        <f t="shared" ca="1" si="64"/>
        <v/>
      </c>
      <c r="H2093" s="27"/>
      <c r="I2093" s="27"/>
      <c r="J2093" s="77" t="str">
        <f t="shared" ca="1" si="65"/>
        <v/>
      </c>
      <c r="K2093" s="23">
        <f>IF(A2093="","",COUNTIFS(Resumen!$N$2:$N$2999,ROW(),Resumen!$V$2:$V$2999,1))</f>
        <v/>
      </c>
      <c r="L2093" s="26"/>
      <c r="N20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4" spans="1:14">
      <c r="A2094" s="16"/>
      <c r="B2094" s="16"/>
      <c r="C2094" s="25"/>
      <c r="D2094" s="25"/>
      <c r="E2094" s="16"/>
      <c r="F2094" s="18"/>
      <c r="G2094" s="19" t="str">
        <f t="shared" ca="1" si="64"/>
        <v/>
      </c>
      <c r="H2094" s="27"/>
      <c r="I2094" s="27"/>
      <c r="J2094" s="77" t="str">
        <f t="shared" ca="1" si="65"/>
        <v/>
      </c>
      <c r="K2094" s="23">
        <f>IF(A2094="","",COUNTIFS(Resumen!$N$2:$N$2999,ROW(),Resumen!$V$2:$V$2999,1))</f>
        <v/>
      </c>
      <c r="L2094" s="26"/>
      <c r="N20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5" spans="1:14">
      <c r="A2095" s="16"/>
      <c r="B2095" s="16"/>
      <c r="C2095" s="25"/>
      <c r="D2095" s="25"/>
      <c r="E2095" s="16"/>
      <c r="F2095" s="18"/>
      <c r="G2095" s="19" t="str">
        <f t="shared" ca="1" si="64"/>
        <v/>
      </c>
      <c r="H2095" s="27"/>
      <c r="I2095" s="27"/>
      <c r="J2095" s="77" t="str">
        <f t="shared" ca="1" si="65"/>
        <v/>
      </c>
      <c r="K2095" s="23">
        <f>IF(A2095="","",COUNTIFS(Resumen!$N$2:$N$2999,ROW(),Resumen!$V$2:$V$2999,1))</f>
        <v/>
      </c>
      <c r="L2095" s="26"/>
      <c r="N20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6" spans="1:14">
      <c r="A2096" s="16"/>
      <c r="B2096" s="16"/>
      <c r="C2096" s="25"/>
      <c r="D2096" s="25"/>
      <c r="E2096" s="16"/>
      <c r="F2096" s="18"/>
      <c r="G2096" s="19" t="str">
        <f t="shared" ca="1" si="64"/>
        <v/>
      </c>
      <c r="H2096" s="27"/>
      <c r="I2096" s="27"/>
      <c r="J2096" s="77" t="str">
        <f t="shared" ca="1" si="65"/>
        <v/>
      </c>
      <c r="K2096" s="23">
        <f>IF(A2096="","",COUNTIFS(Resumen!$N$2:$N$2999,ROW(),Resumen!$V$2:$V$2999,1))</f>
        <v/>
      </c>
      <c r="L2096" s="26"/>
      <c r="N20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7" spans="1:14">
      <c r="A2097" s="16"/>
      <c r="B2097" s="16"/>
      <c r="C2097" s="25"/>
      <c r="D2097" s="25"/>
      <c r="E2097" s="16"/>
      <c r="F2097" s="18"/>
      <c r="G2097" s="19" t="str">
        <f t="shared" ca="1" si="64"/>
        <v/>
      </c>
      <c r="H2097" s="27"/>
      <c r="I2097" s="27"/>
      <c r="J2097" s="77" t="str">
        <f t="shared" ca="1" si="65"/>
        <v/>
      </c>
      <c r="K2097" s="23">
        <f>IF(A2097="","",COUNTIFS(Resumen!$N$2:$N$2999,ROW(),Resumen!$V$2:$V$2999,1))</f>
        <v/>
      </c>
      <c r="L2097" s="26"/>
      <c r="N20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8" spans="1:14">
      <c r="A2098" s="16"/>
      <c r="B2098" s="16"/>
      <c r="C2098" s="25"/>
      <c r="D2098" s="25"/>
      <c r="E2098" s="16"/>
      <c r="F2098" s="18"/>
      <c r="G2098" s="19" t="str">
        <f t="shared" ca="1" si="64"/>
        <v/>
      </c>
      <c r="H2098" s="27"/>
      <c r="I2098" s="27"/>
      <c r="J2098" s="77" t="str">
        <f t="shared" ca="1" si="65"/>
        <v/>
      </c>
      <c r="K2098" s="23">
        <f>IF(A2098="","",COUNTIFS(Resumen!$N$2:$N$2999,ROW(),Resumen!$V$2:$V$2999,1))</f>
        <v/>
      </c>
      <c r="L2098" s="26"/>
      <c r="N20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099" spans="1:14">
      <c r="A2099" s="16"/>
      <c r="B2099" s="16"/>
      <c r="C2099" s="25"/>
      <c r="D2099" s="25"/>
      <c r="E2099" s="16"/>
      <c r="F2099" s="18"/>
      <c r="G2099" s="19" t="str">
        <f t="shared" ca="1" si="64"/>
        <v/>
      </c>
      <c r="H2099" s="27"/>
      <c r="I2099" s="27"/>
      <c r="J2099" s="77" t="str">
        <f t="shared" ca="1" si="65"/>
        <v/>
      </c>
      <c r="K2099" s="23">
        <f>IF(A2099="","",COUNTIFS(Resumen!$N$2:$N$2999,ROW(),Resumen!$V$2:$V$2999,1))</f>
        <v/>
      </c>
      <c r="L2099" s="26"/>
      <c r="N20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0" spans="1:14">
      <c r="A2100" s="16"/>
      <c r="B2100" s="16"/>
      <c r="C2100" s="25"/>
      <c r="D2100" s="25"/>
      <c r="E2100" s="16"/>
      <c r="F2100" s="18"/>
      <c r="G2100" s="19" t="str">
        <f t="shared" ca="1" si="64"/>
        <v/>
      </c>
      <c r="H2100" s="27"/>
      <c r="I2100" s="27"/>
      <c r="J2100" s="77" t="str">
        <f t="shared" ca="1" si="65"/>
        <v/>
      </c>
      <c r="K2100" s="23">
        <f>IF(A2100="","",COUNTIFS(Resumen!$N$2:$N$2999,ROW(),Resumen!$V$2:$V$2999,1))</f>
        <v/>
      </c>
      <c r="L2100" s="26"/>
      <c r="N21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1" spans="1:14">
      <c r="A2101" s="16"/>
      <c r="B2101" s="16"/>
      <c r="C2101" s="25"/>
      <c r="D2101" s="25"/>
      <c r="E2101" s="16"/>
      <c r="F2101" s="18"/>
      <c r="G2101" s="19" t="str">
        <f t="shared" ca="1" si="64"/>
        <v/>
      </c>
      <c r="H2101" s="27"/>
      <c r="I2101" s="27"/>
      <c r="J2101" s="77" t="str">
        <f t="shared" ca="1" si="65"/>
        <v/>
      </c>
      <c r="K2101" s="23">
        <f>IF(A2101="","",COUNTIFS(Resumen!$N$2:$N$2999,ROW(),Resumen!$V$2:$V$2999,1))</f>
        <v/>
      </c>
      <c r="L2101" s="26"/>
      <c r="N21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2" spans="1:14">
      <c r="A2102" s="16"/>
      <c r="B2102" s="16"/>
      <c r="C2102" s="25"/>
      <c r="D2102" s="25"/>
      <c r="E2102" s="16"/>
      <c r="F2102" s="18"/>
      <c r="G2102" s="19" t="str">
        <f t="shared" ca="1" si="64"/>
        <v/>
      </c>
      <c r="H2102" s="27"/>
      <c r="I2102" s="27"/>
      <c r="J2102" s="77" t="str">
        <f t="shared" ca="1" si="65"/>
        <v/>
      </c>
      <c r="K2102" s="23">
        <f>IF(A2102="","",COUNTIFS(Resumen!$N$2:$N$2999,ROW(),Resumen!$V$2:$V$2999,1))</f>
        <v/>
      </c>
      <c r="L2102" s="26"/>
      <c r="N21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3" spans="1:14">
      <c r="A2103" s="16"/>
      <c r="B2103" s="16"/>
      <c r="C2103" s="25"/>
      <c r="D2103" s="25"/>
      <c r="E2103" s="16"/>
      <c r="F2103" s="18"/>
      <c r="G2103" s="19" t="str">
        <f t="shared" ca="1" si="64"/>
        <v/>
      </c>
      <c r="H2103" s="27"/>
      <c r="I2103" s="27"/>
      <c r="J2103" s="77" t="str">
        <f t="shared" ca="1" si="65"/>
        <v/>
      </c>
      <c r="K2103" s="23">
        <f>IF(A2103="","",COUNTIFS(Resumen!$N$2:$N$2999,ROW(),Resumen!$V$2:$V$2999,1))</f>
        <v/>
      </c>
      <c r="L2103" s="26"/>
      <c r="N21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4" spans="1:14">
      <c r="A2104" s="16"/>
      <c r="B2104" s="16"/>
      <c r="C2104" s="25"/>
      <c r="D2104" s="25"/>
      <c r="E2104" s="16"/>
      <c r="F2104" s="18"/>
      <c r="G2104" s="19" t="str">
        <f t="shared" ca="1" si="64"/>
        <v/>
      </c>
      <c r="H2104" s="27"/>
      <c r="I2104" s="27"/>
      <c r="J2104" s="77" t="str">
        <f t="shared" ca="1" si="65"/>
        <v/>
      </c>
      <c r="K2104" s="23">
        <f>IF(A2104="","",COUNTIFS(Resumen!$N$2:$N$2999,ROW(),Resumen!$V$2:$V$2999,1))</f>
        <v/>
      </c>
      <c r="L2104" s="26"/>
      <c r="N21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5" spans="1:14">
      <c r="A2105" s="16"/>
      <c r="B2105" s="16"/>
      <c r="C2105" s="25"/>
      <c r="D2105" s="25"/>
      <c r="E2105" s="16"/>
      <c r="F2105" s="18"/>
      <c r="G2105" s="19" t="str">
        <f t="shared" ca="1" si="64"/>
        <v/>
      </c>
      <c r="H2105" s="27"/>
      <c r="I2105" s="27"/>
      <c r="J2105" s="77" t="str">
        <f t="shared" ca="1" si="65"/>
        <v/>
      </c>
      <c r="K2105" s="23">
        <f>IF(A2105="","",COUNTIFS(Resumen!$N$2:$N$2999,ROW(),Resumen!$V$2:$V$2999,1))</f>
        <v/>
      </c>
      <c r="L2105" s="26"/>
      <c r="N21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6" spans="1:14">
      <c r="A2106" s="16"/>
      <c r="B2106" s="16"/>
      <c r="C2106" s="25"/>
      <c r="D2106" s="25"/>
      <c r="E2106" s="16"/>
      <c r="F2106" s="18"/>
      <c r="G2106" s="19" t="str">
        <f t="shared" ca="1" si="64"/>
        <v/>
      </c>
      <c r="H2106" s="27"/>
      <c r="I2106" s="27"/>
      <c r="J2106" s="77" t="str">
        <f t="shared" ca="1" si="65"/>
        <v/>
      </c>
      <c r="K2106" s="23">
        <f>IF(A2106="","",COUNTIFS(Resumen!$N$2:$N$2999,ROW(),Resumen!$V$2:$V$2999,1))</f>
        <v/>
      </c>
      <c r="L2106" s="26"/>
      <c r="N21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7" spans="1:14">
      <c r="A2107" s="16"/>
      <c r="B2107" s="16"/>
      <c r="C2107" s="25"/>
      <c r="D2107" s="25"/>
      <c r="E2107" s="16"/>
      <c r="F2107" s="18"/>
      <c r="G2107" s="19" t="str">
        <f t="shared" ca="1" si="64"/>
        <v/>
      </c>
      <c r="H2107" s="27"/>
      <c r="I2107" s="27"/>
      <c r="J2107" s="77" t="str">
        <f t="shared" ca="1" si="65"/>
        <v/>
      </c>
      <c r="K2107" s="23">
        <f>IF(A2107="","",COUNTIFS(Resumen!$N$2:$N$2999,ROW(),Resumen!$V$2:$V$2999,1))</f>
        <v/>
      </c>
      <c r="L2107" s="26"/>
      <c r="N21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8" spans="1:14">
      <c r="A2108" s="16"/>
      <c r="B2108" s="16"/>
      <c r="C2108" s="25"/>
      <c r="D2108" s="25"/>
      <c r="E2108" s="16"/>
      <c r="F2108" s="18"/>
      <c r="G2108" s="19" t="str">
        <f t="shared" ca="1" si="64"/>
        <v/>
      </c>
      <c r="H2108" s="27"/>
      <c r="I2108" s="27"/>
      <c r="J2108" s="77" t="str">
        <f t="shared" ca="1" si="65"/>
        <v/>
      </c>
      <c r="K2108" s="23">
        <f>IF(A2108="","",COUNTIFS(Resumen!$N$2:$N$2999,ROW(),Resumen!$V$2:$V$2999,1))</f>
        <v/>
      </c>
      <c r="L2108" s="26"/>
      <c r="N21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09" spans="1:14">
      <c r="A2109" s="16"/>
      <c r="B2109" s="16"/>
      <c r="C2109" s="25"/>
      <c r="D2109" s="25"/>
      <c r="E2109" s="16"/>
      <c r="F2109" s="18"/>
      <c r="G2109" s="19" t="str">
        <f t="shared" ca="1" si="64"/>
        <v/>
      </c>
      <c r="H2109" s="27"/>
      <c r="I2109" s="27"/>
      <c r="J2109" s="77" t="str">
        <f t="shared" ca="1" si="65"/>
        <v/>
      </c>
      <c r="K2109" s="23">
        <f>IF(A2109="","",COUNTIFS(Resumen!$N$2:$N$2999,ROW(),Resumen!$V$2:$V$2999,1))</f>
        <v/>
      </c>
      <c r="L2109" s="26"/>
      <c r="N21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0" spans="1:14">
      <c r="A2110" s="16"/>
      <c r="B2110" s="16"/>
      <c r="C2110" s="25"/>
      <c r="D2110" s="25"/>
      <c r="E2110" s="16"/>
      <c r="F2110" s="18"/>
      <c r="G2110" s="19" t="str">
        <f t="shared" ca="1" si="64"/>
        <v/>
      </c>
      <c r="H2110" s="27"/>
      <c r="I2110" s="27"/>
      <c r="J2110" s="77" t="str">
        <f t="shared" ca="1" si="65"/>
        <v/>
      </c>
      <c r="K2110" s="23">
        <f>IF(A2110="","",COUNTIFS(Resumen!$N$2:$N$2999,ROW(),Resumen!$V$2:$V$2999,1))</f>
        <v/>
      </c>
      <c r="L2110" s="26"/>
      <c r="N21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1" spans="1:14">
      <c r="A2111" s="16"/>
      <c r="B2111" s="16"/>
      <c r="C2111" s="25"/>
      <c r="D2111" s="25"/>
      <c r="E2111" s="16"/>
      <c r="F2111" s="18"/>
      <c r="G2111" s="19" t="str">
        <f t="shared" ca="1" si="64"/>
        <v/>
      </c>
      <c r="H2111" s="27"/>
      <c r="I2111" s="27"/>
      <c r="J2111" s="77" t="str">
        <f t="shared" ca="1" si="65"/>
        <v/>
      </c>
      <c r="K2111" s="23">
        <f>IF(A2111="","",COUNTIFS(Resumen!$N$2:$N$2999,ROW(),Resumen!$V$2:$V$2999,1))</f>
        <v/>
      </c>
      <c r="L2111" s="26"/>
      <c r="N21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2" spans="1:14">
      <c r="A2112" s="16"/>
      <c r="B2112" s="16"/>
      <c r="C2112" s="25"/>
      <c r="D2112" s="25"/>
      <c r="E2112" s="16"/>
      <c r="F2112" s="18"/>
      <c r="G2112" s="19" t="str">
        <f t="shared" ca="1" si="64"/>
        <v/>
      </c>
      <c r="H2112" s="27"/>
      <c r="I2112" s="27"/>
      <c r="J2112" s="77" t="str">
        <f t="shared" ca="1" si="65"/>
        <v/>
      </c>
      <c r="K2112" s="23">
        <f>IF(A2112="","",COUNTIFS(Resumen!$N$2:$N$2999,ROW(),Resumen!$V$2:$V$2999,1))</f>
        <v/>
      </c>
      <c r="L2112" s="26"/>
      <c r="N21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3" spans="1:14">
      <c r="A2113" s="16"/>
      <c r="B2113" s="16"/>
      <c r="C2113" s="25"/>
      <c r="D2113" s="25"/>
      <c r="E2113" s="16"/>
      <c r="F2113" s="18"/>
      <c r="G2113" s="19" t="str">
        <f t="shared" ca="1" si="64"/>
        <v/>
      </c>
      <c r="H2113" s="27"/>
      <c r="I2113" s="27"/>
      <c r="J2113" s="77" t="str">
        <f t="shared" ca="1" si="65"/>
        <v/>
      </c>
      <c r="K2113" s="23">
        <f>IF(A2113="","",COUNTIFS(Resumen!$N$2:$N$2999,ROW(),Resumen!$V$2:$V$2999,1))</f>
        <v/>
      </c>
      <c r="L2113" s="26"/>
      <c r="N21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4" spans="1:14">
      <c r="A2114" s="16"/>
      <c r="B2114" s="16"/>
      <c r="C2114" s="25"/>
      <c r="D2114" s="25"/>
      <c r="E2114" s="16"/>
      <c r="F2114" s="18"/>
      <c r="G2114" s="19" t="str">
        <f t="shared" ref="G2114:G2177" ca="1" si="66">IF(F2114="", "", DATEDIF(F2114, TODAY(), "Y"))</f>
        <v/>
      </c>
      <c r="H2114" s="27"/>
      <c r="I2114" s="27"/>
      <c r="J2114" s="77" t="str">
        <f t="shared" ref="J2114:J2177" ca="1" si="67">IFERROR(IF(ISNUMBER(INDEX(VigenciasFamilia,ROW())),INDEX(VigenciasFamilia,ROW())-TODAY(),""),"")</f>
        <v/>
      </c>
      <c r="K2114" s="23">
        <f>IF(A2114="","",COUNTIFS(Resumen!$N$2:$N$2999,ROW(),Resumen!$V$2:$V$2999,1))</f>
        <v/>
      </c>
      <c r="L2114" s="26"/>
      <c r="N21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5" spans="1:14">
      <c r="A2115" s="16"/>
      <c r="B2115" s="16"/>
      <c r="C2115" s="25"/>
      <c r="D2115" s="25"/>
      <c r="E2115" s="16"/>
      <c r="F2115" s="18"/>
      <c r="G2115" s="19" t="str">
        <f t="shared" ca="1" si="66"/>
        <v/>
      </c>
      <c r="H2115" s="27"/>
      <c r="I2115" s="27"/>
      <c r="J2115" s="77" t="str">
        <f t="shared" ca="1" si="67"/>
        <v/>
      </c>
      <c r="K2115" s="23">
        <f>IF(A2115="","",COUNTIFS(Resumen!$N$2:$N$2999,ROW(),Resumen!$V$2:$V$2999,1))</f>
        <v/>
      </c>
      <c r="L2115" s="26"/>
      <c r="N21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6" spans="1:14">
      <c r="A2116" s="16"/>
      <c r="B2116" s="16"/>
      <c r="C2116" s="25"/>
      <c r="D2116" s="25"/>
      <c r="E2116" s="16"/>
      <c r="F2116" s="18"/>
      <c r="G2116" s="19" t="str">
        <f t="shared" ca="1" si="66"/>
        <v/>
      </c>
      <c r="H2116" s="27"/>
      <c r="I2116" s="27"/>
      <c r="J2116" s="77" t="str">
        <f t="shared" ca="1" si="67"/>
        <v/>
      </c>
      <c r="K2116" s="23">
        <f>IF(A2116="","",COUNTIFS(Resumen!$N$2:$N$2999,ROW(),Resumen!$V$2:$V$2999,1))</f>
        <v/>
      </c>
      <c r="L2116" s="26"/>
      <c r="N21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7" spans="1:14">
      <c r="A2117" s="16"/>
      <c r="B2117" s="16"/>
      <c r="C2117" s="25"/>
      <c r="D2117" s="25"/>
      <c r="E2117" s="16"/>
      <c r="F2117" s="18"/>
      <c r="G2117" s="19" t="str">
        <f t="shared" ca="1" si="66"/>
        <v/>
      </c>
      <c r="H2117" s="27"/>
      <c r="I2117" s="27"/>
      <c r="J2117" s="77" t="str">
        <f t="shared" ca="1" si="67"/>
        <v/>
      </c>
      <c r="K2117" s="23">
        <f>IF(A2117="","",COUNTIFS(Resumen!$N$2:$N$2999,ROW(),Resumen!$V$2:$V$2999,1))</f>
        <v/>
      </c>
      <c r="L2117" s="26"/>
      <c r="N21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8" spans="1:14">
      <c r="A2118" s="16"/>
      <c r="B2118" s="16"/>
      <c r="C2118" s="25"/>
      <c r="D2118" s="25"/>
      <c r="E2118" s="16"/>
      <c r="F2118" s="18"/>
      <c r="G2118" s="19" t="str">
        <f t="shared" ca="1" si="66"/>
        <v/>
      </c>
      <c r="H2118" s="27"/>
      <c r="I2118" s="27"/>
      <c r="J2118" s="77" t="str">
        <f t="shared" ca="1" si="67"/>
        <v/>
      </c>
      <c r="K2118" s="23">
        <f>IF(A2118="","",COUNTIFS(Resumen!$N$2:$N$2999,ROW(),Resumen!$V$2:$V$2999,1))</f>
        <v/>
      </c>
      <c r="L2118" s="26"/>
      <c r="N21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19" spans="1:14">
      <c r="A2119" s="16"/>
      <c r="B2119" s="16"/>
      <c r="C2119" s="25"/>
      <c r="D2119" s="25"/>
      <c r="E2119" s="16"/>
      <c r="F2119" s="18"/>
      <c r="G2119" s="19" t="str">
        <f t="shared" ca="1" si="66"/>
        <v/>
      </c>
      <c r="H2119" s="27"/>
      <c r="I2119" s="27"/>
      <c r="J2119" s="77" t="str">
        <f t="shared" ca="1" si="67"/>
        <v/>
      </c>
      <c r="K2119" s="23">
        <f>IF(A2119="","",COUNTIFS(Resumen!$N$2:$N$2999,ROW(),Resumen!$V$2:$V$2999,1))</f>
        <v/>
      </c>
      <c r="L2119" s="26"/>
      <c r="N21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0" spans="1:14">
      <c r="A2120" s="16"/>
      <c r="B2120" s="16"/>
      <c r="C2120" s="25"/>
      <c r="D2120" s="25"/>
      <c r="E2120" s="16"/>
      <c r="F2120" s="18"/>
      <c r="G2120" s="19" t="str">
        <f t="shared" ca="1" si="66"/>
        <v/>
      </c>
      <c r="H2120" s="27"/>
      <c r="I2120" s="27"/>
      <c r="J2120" s="77" t="str">
        <f t="shared" ca="1" si="67"/>
        <v/>
      </c>
      <c r="K2120" s="23">
        <f>IF(A2120="","",COUNTIFS(Resumen!$N$2:$N$2999,ROW(),Resumen!$V$2:$V$2999,1))</f>
        <v/>
      </c>
      <c r="L2120" s="26"/>
      <c r="N21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1" spans="1:14">
      <c r="A2121" s="16"/>
      <c r="B2121" s="16"/>
      <c r="C2121" s="25"/>
      <c r="D2121" s="25"/>
      <c r="E2121" s="16"/>
      <c r="F2121" s="18"/>
      <c r="G2121" s="19" t="str">
        <f t="shared" ca="1" si="66"/>
        <v/>
      </c>
      <c r="H2121" s="27"/>
      <c r="I2121" s="27"/>
      <c r="J2121" s="77" t="str">
        <f t="shared" ca="1" si="67"/>
        <v/>
      </c>
      <c r="K2121" s="23">
        <f>IF(A2121="","",COUNTIFS(Resumen!$N$2:$N$2999,ROW(),Resumen!$V$2:$V$2999,1))</f>
        <v/>
      </c>
      <c r="L2121" s="26"/>
      <c r="N21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2" spans="1:14">
      <c r="A2122" s="16"/>
      <c r="B2122" s="16"/>
      <c r="C2122" s="25"/>
      <c r="D2122" s="25"/>
      <c r="E2122" s="16"/>
      <c r="F2122" s="18"/>
      <c r="G2122" s="19" t="str">
        <f t="shared" ca="1" si="66"/>
        <v/>
      </c>
      <c r="H2122" s="27"/>
      <c r="I2122" s="27"/>
      <c r="J2122" s="77" t="str">
        <f t="shared" ca="1" si="67"/>
        <v/>
      </c>
      <c r="K2122" s="23">
        <f>IF(A2122="","",COUNTIFS(Resumen!$N$2:$N$2999,ROW(),Resumen!$V$2:$V$2999,1))</f>
        <v/>
      </c>
      <c r="L2122" s="26"/>
      <c r="N21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3" spans="1:14">
      <c r="A2123" s="16"/>
      <c r="B2123" s="16"/>
      <c r="C2123" s="25"/>
      <c r="D2123" s="25"/>
      <c r="E2123" s="16"/>
      <c r="F2123" s="18"/>
      <c r="G2123" s="19" t="str">
        <f t="shared" ca="1" si="66"/>
        <v/>
      </c>
      <c r="H2123" s="27"/>
      <c r="I2123" s="27"/>
      <c r="J2123" s="77" t="str">
        <f t="shared" ca="1" si="67"/>
        <v/>
      </c>
      <c r="K2123" s="23">
        <f>IF(A2123="","",COUNTIFS(Resumen!$N$2:$N$2999,ROW(),Resumen!$V$2:$V$2999,1))</f>
        <v/>
      </c>
      <c r="L2123" s="26"/>
      <c r="N21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4" spans="1:14">
      <c r="A2124" s="16"/>
      <c r="B2124" s="16"/>
      <c r="C2124" s="25"/>
      <c r="D2124" s="25"/>
      <c r="E2124" s="16"/>
      <c r="F2124" s="18"/>
      <c r="G2124" s="19" t="str">
        <f t="shared" ca="1" si="66"/>
        <v/>
      </c>
      <c r="H2124" s="27"/>
      <c r="I2124" s="27"/>
      <c r="J2124" s="77" t="str">
        <f t="shared" ca="1" si="67"/>
        <v/>
      </c>
      <c r="K2124" s="23">
        <f>IF(A2124="","",COUNTIFS(Resumen!$N$2:$N$2999,ROW(),Resumen!$V$2:$V$2999,1))</f>
        <v/>
      </c>
      <c r="L2124" s="26"/>
      <c r="N21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5" spans="1:14">
      <c r="A2125" s="16"/>
      <c r="B2125" s="16"/>
      <c r="C2125" s="25"/>
      <c r="D2125" s="25"/>
      <c r="E2125" s="16"/>
      <c r="F2125" s="18"/>
      <c r="G2125" s="19" t="str">
        <f t="shared" ca="1" si="66"/>
        <v/>
      </c>
      <c r="H2125" s="27"/>
      <c r="I2125" s="27"/>
      <c r="J2125" s="77" t="str">
        <f t="shared" ca="1" si="67"/>
        <v/>
      </c>
      <c r="K2125" s="23">
        <f>IF(A2125="","",COUNTIFS(Resumen!$N$2:$N$2999,ROW(),Resumen!$V$2:$V$2999,1))</f>
        <v/>
      </c>
      <c r="L2125" s="26"/>
      <c r="N21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6" spans="1:14">
      <c r="A2126" s="16"/>
      <c r="B2126" s="16"/>
      <c r="C2126" s="25"/>
      <c r="D2126" s="25"/>
      <c r="E2126" s="16"/>
      <c r="F2126" s="18"/>
      <c r="G2126" s="19" t="str">
        <f t="shared" ca="1" si="66"/>
        <v/>
      </c>
      <c r="H2126" s="27"/>
      <c r="I2126" s="27"/>
      <c r="J2126" s="77" t="str">
        <f t="shared" ca="1" si="67"/>
        <v/>
      </c>
      <c r="K2126" s="23">
        <f>IF(A2126="","",COUNTIFS(Resumen!$N$2:$N$2999,ROW(),Resumen!$V$2:$V$2999,1))</f>
        <v/>
      </c>
      <c r="L2126" s="26"/>
      <c r="N21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7" spans="1:14">
      <c r="A2127" s="16"/>
      <c r="B2127" s="16"/>
      <c r="C2127" s="25"/>
      <c r="D2127" s="25"/>
      <c r="E2127" s="16"/>
      <c r="F2127" s="18"/>
      <c r="G2127" s="19" t="str">
        <f t="shared" ca="1" si="66"/>
        <v/>
      </c>
      <c r="H2127" s="27"/>
      <c r="I2127" s="27"/>
      <c r="J2127" s="77" t="str">
        <f t="shared" ca="1" si="67"/>
        <v/>
      </c>
      <c r="K2127" s="23">
        <f>IF(A2127="","",COUNTIFS(Resumen!$N$2:$N$2999,ROW(),Resumen!$V$2:$V$2999,1))</f>
        <v/>
      </c>
      <c r="L2127" s="26"/>
      <c r="N21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8" spans="1:14">
      <c r="A2128" s="16"/>
      <c r="B2128" s="16"/>
      <c r="C2128" s="25"/>
      <c r="D2128" s="25"/>
      <c r="E2128" s="16"/>
      <c r="F2128" s="18"/>
      <c r="G2128" s="19" t="str">
        <f t="shared" ca="1" si="66"/>
        <v/>
      </c>
      <c r="H2128" s="27"/>
      <c r="I2128" s="27"/>
      <c r="J2128" s="77" t="str">
        <f t="shared" ca="1" si="67"/>
        <v/>
      </c>
      <c r="K2128" s="23">
        <f>IF(A2128="","",COUNTIFS(Resumen!$N$2:$N$2999,ROW(),Resumen!$V$2:$V$2999,1))</f>
        <v/>
      </c>
      <c r="L2128" s="26"/>
      <c r="N21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29" spans="1:14">
      <c r="A2129" s="16"/>
      <c r="B2129" s="16"/>
      <c r="C2129" s="25"/>
      <c r="D2129" s="25"/>
      <c r="E2129" s="16"/>
      <c r="F2129" s="18"/>
      <c r="G2129" s="19" t="str">
        <f t="shared" ca="1" si="66"/>
        <v/>
      </c>
      <c r="H2129" s="27"/>
      <c r="I2129" s="27"/>
      <c r="J2129" s="77" t="str">
        <f t="shared" ca="1" si="67"/>
        <v/>
      </c>
      <c r="K2129" s="23">
        <f>IF(A2129="","",COUNTIFS(Resumen!$N$2:$N$2999,ROW(),Resumen!$V$2:$V$2999,1))</f>
        <v/>
      </c>
      <c r="L2129" s="26"/>
      <c r="N21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0" spans="1:14">
      <c r="A2130" s="16"/>
      <c r="B2130" s="16"/>
      <c r="C2130" s="25"/>
      <c r="D2130" s="25"/>
      <c r="E2130" s="16"/>
      <c r="F2130" s="18"/>
      <c r="G2130" s="19" t="str">
        <f t="shared" ca="1" si="66"/>
        <v/>
      </c>
      <c r="H2130" s="27"/>
      <c r="I2130" s="27"/>
      <c r="J2130" s="77" t="str">
        <f t="shared" ca="1" si="67"/>
        <v/>
      </c>
      <c r="K2130" s="23">
        <f>IF(A2130="","",COUNTIFS(Resumen!$N$2:$N$2999,ROW(),Resumen!$V$2:$V$2999,1))</f>
        <v/>
      </c>
      <c r="L2130" s="26"/>
      <c r="N21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1" spans="1:14">
      <c r="A2131" s="16"/>
      <c r="B2131" s="16"/>
      <c r="C2131" s="25"/>
      <c r="D2131" s="25"/>
      <c r="E2131" s="16"/>
      <c r="F2131" s="18"/>
      <c r="G2131" s="19" t="str">
        <f t="shared" ca="1" si="66"/>
        <v/>
      </c>
      <c r="H2131" s="27"/>
      <c r="I2131" s="27"/>
      <c r="J2131" s="77" t="str">
        <f t="shared" ca="1" si="67"/>
        <v/>
      </c>
      <c r="K2131" s="23">
        <f>IF(A2131="","",COUNTIFS(Resumen!$N$2:$N$2999,ROW(),Resumen!$V$2:$V$2999,1))</f>
        <v/>
      </c>
      <c r="L2131" s="26"/>
      <c r="N21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2" spans="1:14">
      <c r="A2132" s="16"/>
      <c r="B2132" s="16"/>
      <c r="C2132" s="25"/>
      <c r="D2132" s="25"/>
      <c r="E2132" s="16"/>
      <c r="F2132" s="18"/>
      <c r="G2132" s="19" t="str">
        <f t="shared" ca="1" si="66"/>
        <v/>
      </c>
      <c r="H2132" s="27"/>
      <c r="I2132" s="27"/>
      <c r="J2132" s="77" t="str">
        <f t="shared" ca="1" si="67"/>
        <v/>
      </c>
      <c r="K2132" s="23">
        <f>IF(A2132="","",COUNTIFS(Resumen!$N$2:$N$2999,ROW(),Resumen!$V$2:$V$2999,1))</f>
        <v/>
      </c>
      <c r="L2132" s="26"/>
      <c r="N21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3" spans="1:14">
      <c r="A2133" s="16"/>
      <c r="B2133" s="16"/>
      <c r="C2133" s="25"/>
      <c r="D2133" s="25"/>
      <c r="E2133" s="16"/>
      <c r="F2133" s="18"/>
      <c r="G2133" s="19" t="str">
        <f t="shared" ca="1" si="66"/>
        <v/>
      </c>
      <c r="H2133" s="27"/>
      <c r="I2133" s="27"/>
      <c r="J2133" s="77" t="str">
        <f t="shared" ca="1" si="67"/>
        <v/>
      </c>
      <c r="K2133" s="23">
        <f>IF(A2133="","",COUNTIFS(Resumen!$N$2:$N$2999,ROW(),Resumen!$V$2:$V$2999,1))</f>
        <v/>
      </c>
      <c r="L2133" s="26"/>
      <c r="N21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4" spans="1:14">
      <c r="A2134" s="16"/>
      <c r="B2134" s="16"/>
      <c r="C2134" s="25"/>
      <c r="D2134" s="25"/>
      <c r="E2134" s="16"/>
      <c r="F2134" s="18"/>
      <c r="G2134" s="19" t="str">
        <f t="shared" ca="1" si="66"/>
        <v/>
      </c>
      <c r="H2134" s="27"/>
      <c r="I2134" s="27"/>
      <c r="J2134" s="77" t="str">
        <f t="shared" ca="1" si="67"/>
        <v/>
      </c>
      <c r="K2134" s="23">
        <f>IF(A2134="","",COUNTIFS(Resumen!$N$2:$N$2999,ROW(),Resumen!$V$2:$V$2999,1))</f>
        <v/>
      </c>
      <c r="L2134" s="26"/>
      <c r="N21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5" spans="1:14">
      <c r="A2135" s="16"/>
      <c r="B2135" s="16"/>
      <c r="C2135" s="25"/>
      <c r="D2135" s="25"/>
      <c r="E2135" s="16"/>
      <c r="F2135" s="18"/>
      <c r="G2135" s="19" t="str">
        <f t="shared" ca="1" si="66"/>
        <v/>
      </c>
      <c r="H2135" s="27"/>
      <c r="I2135" s="27"/>
      <c r="J2135" s="77" t="str">
        <f t="shared" ca="1" si="67"/>
        <v/>
      </c>
      <c r="K2135" s="23">
        <f>IF(A2135="","",COUNTIFS(Resumen!$N$2:$N$2999,ROW(),Resumen!$V$2:$V$2999,1))</f>
        <v/>
      </c>
      <c r="L2135" s="26"/>
      <c r="N21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6" spans="1:14">
      <c r="A2136" s="16"/>
      <c r="B2136" s="16"/>
      <c r="C2136" s="25"/>
      <c r="D2136" s="25"/>
      <c r="E2136" s="16"/>
      <c r="F2136" s="18"/>
      <c r="G2136" s="19" t="str">
        <f t="shared" ca="1" si="66"/>
        <v/>
      </c>
      <c r="H2136" s="27"/>
      <c r="I2136" s="27"/>
      <c r="J2136" s="77" t="str">
        <f t="shared" ca="1" si="67"/>
        <v/>
      </c>
      <c r="K2136" s="23">
        <f>IF(A2136="","",COUNTIFS(Resumen!$N$2:$N$2999,ROW(),Resumen!$V$2:$V$2999,1))</f>
        <v/>
      </c>
      <c r="L2136" s="26"/>
      <c r="N21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7" spans="1:14">
      <c r="A2137" s="16"/>
      <c r="B2137" s="16"/>
      <c r="C2137" s="25"/>
      <c r="D2137" s="25"/>
      <c r="E2137" s="16"/>
      <c r="F2137" s="18"/>
      <c r="G2137" s="19" t="str">
        <f t="shared" ca="1" si="66"/>
        <v/>
      </c>
      <c r="H2137" s="27"/>
      <c r="I2137" s="27"/>
      <c r="J2137" s="77" t="str">
        <f t="shared" ca="1" si="67"/>
        <v/>
      </c>
      <c r="K2137" s="23">
        <f>IF(A2137="","",COUNTIFS(Resumen!$N$2:$N$2999,ROW(),Resumen!$V$2:$V$2999,1))</f>
        <v/>
      </c>
      <c r="L2137" s="26"/>
      <c r="N21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8" spans="1:14">
      <c r="A2138" s="16"/>
      <c r="B2138" s="16"/>
      <c r="C2138" s="25"/>
      <c r="D2138" s="25"/>
      <c r="E2138" s="16"/>
      <c r="F2138" s="18"/>
      <c r="G2138" s="19" t="str">
        <f t="shared" ca="1" si="66"/>
        <v/>
      </c>
      <c r="H2138" s="27"/>
      <c r="I2138" s="27"/>
      <c r="J2138" s="77" t="str">
        <f t="shared" ca="1" si="67"/>
        <v/>
      </c>
      <c r="K2138" s="23">
        <f>IF(A2138="","",COUNTIFS(Resumen!$N$2:$N$2999,ROW(),Resumen!$V$2:$V$2999,1))</f>
        <v/>
      </c>
      <c r="L2138" s="26"/>
      <c r="N21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39" spans="1:14">
      <c r="A2139" s="16"/>
      <c r="B2139" s="16"/>
      <c r="C2139" s="25"/>
      <c r="D2139" s="25"/>
      <c r="E2139" s="16"/>
      <c r="F2139" s="18"/>
      <c r="G2139" s="19" t="str">
        <f t="shared" ca="1" si="66"/>
        <v/>
      </c>
      <c r="H2139" s="27"/>
      <c r="I2139" s="27"/>
      <c r="J2139" s="77" t="str">
        <f t="shared" ca="1" si="67"/>
        <v/>
      </c>
      <c r="K2139" s="23">
        <f>IF(A2139="","",COUNTIFS(Resumen!$N$2:$N$2999,ROW(),Resumen!$V$2:$V$2999,1))</f>
        <v/>
      </c>
      <c r="L2139" s="26"/>
      <c r="N21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0" spans="1:14">
      <c r="A2140" s="16"/>
      <c r="B2140" s="16"/>
      <c r="C2140" s="25"/>
      <c r="D2140" s="25"/>
      <c r="E2140" s="16"/>
      <c r="F2140" s="18"/>
      <c r="G2140" s="19" t="str">
        <f t="shared" ca="1" si="66"/>
        <v/>
      </c>
      <c r="H2140" s="27"/>
      <c r="I2140" s="27"/>
      <c r="J2140" s="77" t="str">
        <f t="shared" ca="1" si="67"/>
        <v/>
      </c>
      <c r="K2140" s="23">
        <f>IF(A2140="","",COUNTIFS(Resumen!$N$2:$N$2999,ROW(),Resumen!$V$2:$V$2999,1))</f>
        <v/>
      </c>
      <c r="L2140" s="26"/>
      <c r="N21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1" spans="1:14">
      <c r="A2141" s="16"/>
      <c r="B2141" s="16"/>
      <c r="C2141" s="25"/>
      <c r="D2141" s="25"/>
      <c r="E2141" s="16"/>
      <c r="F2141" s="18"/>
      <c r="G2141" s="19" t="str">
        <f t="shared" ca="1" si="66"/>
        <v/>
      </c>
      <c r="H2141" s="27"/>
      <c r="I2141" s="27"/>
      <c r="J2141" s="77" t="str">
        <f t="shared" ca="1" si="67"/>
        <v/>
      </c>
      <c r="K2141" s="23">
        <f>IF(A2141="","",COUNTIFS(Resumen!$N$2:$N$2999,ROW(),Resumen!$V$2:$V$2999,1))</f>
        <v/>
      </c>
      <c r="L2141" s="26"/>
      <c r="N21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2" spans="1:14">
      <c r="A2142" s="16"/>
      <c r="B2142" s="16"/>
      <c r="C2142" s="25"/>
      <c r="D2142" s="25"/>
      <c r="E2142" s="16"/>
      <c r="F2142" s="18"/>
      <c r="G2142" s="19" t="str">
        <f t="shared" ca="1" si="66"/>
        <v/>
      </c>
      <c r="H2142" s="27"/>
      <c r="I2142" s="27"/>
      <c r="J2142" s="77" t="str">
        <f t="shared" ca="1" si="67"/>
        <v/>
      </c>
      <c r="K2142" s="23">
        <f>IF(A2142="","",COUNTIFS(Resumen!$N$2:$N$2999,ROW(),Resumen!$V$2:$V$2999,1))</f>
        <v/>
      </c>
      <c r="L2142" s="26"/>
      <c r="N21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3" spans="1:14">
      <c r="A2143" s="16"/>
      <c r="B2143" s="16"/>
      <c r="C2143" s="25"/>
      <c r="D2143" s="25"/>
      <c r="E2143" s="16"/>
      <c r="F2143" s="18"/>
      <c r="G2143" s="19" t="str">
        <f t="shared" ca="1" si="66"/>
        <v/>
      </c>
      <c r="H2143" s="27"/>
      <c r="I2143" s="27"/>
      <c r="J2143" s="77" t="str">
        <f t="shared" ca="1" si="67"/>
        <v/>
      </c>
      <c r="K2143" s="23">
        <f>IF(A2143="","",COUNTIFS(Resumen!$N$2:$N$2999,ROW(),Resumen!$V$2:$V$2999,1))</f>
        <v/>
      </c>
      <c r="L2143" s="26"/>
      <c r="N21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4" spans="1:14">
      <c r="A2144" s="16"/>
      <c r="B2144" s="16"/>
      <c r="C2144" s="25"/>
      <c r="D2144" s="25"/>
      <c r="E2144" s="16"/>
      <c r="F2144" s="18"/>
      <c r="G2144" s="19" t="str">
        <f t="shared" ca="1" si="66"/>
        <v/>
      </c>
      <c r="H2144" s="27"/>
      <c r="I2144" s="27"/>
      <c r="J2144" s="77" t="str">
        <f t="shared" ca="1" si="67"/>
        <v/>
      </c>
      <c r="K2144" s="23">
        <f>IF(A2144="","",COUNTIFS(Resumen!$N$2:$N$2999,ROW(),Resumen!$V$2:$V$2999,1))</f>
        <v/>
      </c>
      <c r="L2144" s="26"/>
      <c r="N21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5" spans="1:14">
      <c r="A2145" s="16"/>
      <c r="B2145" s="16"/>
      <c r="C2145" s="25"/>
      <c r="D2145" s="25"/>
      <c r="E2145" s="16"/>
      <c r="F2145" s="18"/>
      <c r="G2145" s="19" t="str">
        <f t="shared" ca="1" si="66"/>
        <v/>
      </c>
      <c r="H2145" s="27"/>
      <c r="I2145" s="27"/>
      <c r="J2145" s="77" t="str">
        <f t="shared" ca="1" si="67"/>
        <v/>
      </c>
      <c r="K2145" s="23">
        <f>IF(A2145="","",COUNTIFS(Resumen!$N$2:$N$2999,ROW(),Resumen!$V$2:$V$2999,1))</f>
        <v/>
      </c>
      <c r="L2145" s="26"/>
      <c r="N21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6" spans="1:14">
      <c r="A2146" s="16"/>
      <c r="B2146" s="16"/>
      <c r="C2146" s="25"/>
      <c r="D2146" s="25"/>
      <c r="E2146" s="16"/>
      <c r="F2146" s="18"/>
      <c r="G2146" s="19" t="str">
        <f t="shared" ca="1" si="66"/>
        <v/>
      </c>
      <c r="H2146" s="27"/>
      <c r="I2146" s="27"/>
      <c r="J2146" s="77" t="str">
        <f t="shared" ca="1" si="67"/>
        <v/>
      </c>
      <c r="K2146" s="23">
        <f>IF(A2146="","",COUNTIFS(Resumen!$N$2:$N$2999,ROW(),Resumen!$V$2:$V$2999,1))</f>
        <v/>
      </c>
      <c r="L2146" s="26"/>
      <c r="N21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7" spans="1:14">
      <c r="A2147" s="16"/>
      <c r="B2147" s="16"/>
      <c r="C2147" s="25"/>
      <c r="D2147" s="25"/>
      <c r="E2147" s="16"/>
      <c r="F2147" s="18"/>
      <c r="G2147" s="19" t="str">
        <f t="shared" ca="1" si="66"/>
        <v/>
      </c>
      <c r="H2147" s="27"/>
      <c r="I2147" s="27"/>
      <c r="J2147" s="77" t="str">
        <f t="shared" ca="1" si="67"/>
        <v/>
      </c>
      <c r="K2147" s="23">
        <f>IF(A2147="","",COUNTIFS(Resumen!$N$2:$N$2999,ROW(),Resumen!$V$2:$V$2999,1))</f>
        <v/>
      </c>
      <c r="L2147" s="26"/>
      <c r="N21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8" spans="1:14">
      <c r="A2148" s="16"/>
      <c r="B2148" s="16"/>
      <c r="C2148" s="25"/>
      <c r="D2148" s="25"/>
      <c r="E2148" s="16"/>
      <c r="F2148" s="18"/>
      <c r="G2148" s="19" t="str">
        <f t="shared" ca="1" si="66"/>
        <v/>
      </c>
      <c r="H2148" s="27"/>
      <c r="I2148" s="27"/>
      <c r="J2148" s="77" t="str">
        <f t="shared" ca="1" si="67"/>
        <v/>
      </c>
      <c r="K2148" s="23">
        <f>IF(A2148="","",COUNTIFS(Resumen!$N$2:$N$2999,ROW(),Resumen!$V$2:$V$2999,1))</f>
        <v/>
      </c>
      <c r="L2148" s="26"/>
      <c r="N21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49" spans="1:14">
      <c r="A2149" s="16"/>
      <c r="B2149" s="16"/>
      <c r="C2149" s="25"/>
      <c r="D2149" s="25"/>
      <c r="E2149" s="16"/>
      <c r="F2149" s="18"/>
      <c r="G2149" s="19" t="str">
        <f t="shared" ca="1" si="66"/>
        <v/>
      </c>
      <c r="H2149" s="27"/>
      <c r="I2149" s="27"/>
      <c r="J2149" s="77" t="str">
        <f t="shared" ca="1" si="67"/>
        <v/>
      </c>
      <c r="K2149" s="23">
        <f>IF(A2149="","",COUNTIFS(Resumen!$N$2:$N$2999,ROW(),Resumen!$V$2:$V$2999,1))</f>
        <v/>
      </c>
      <c r="L2149" s="26"/>
      <c r="N21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0" spans="1:14">
      <c r="A2150" s="16"/>
      <c r="B2150" s="16"/>
      <c r="C2150" s="25"/>
      <c r="D2150" s="25"/>
      <c r="E2150" s="16"/>
      <c r="F2150" s="18"/>
      <c r="G2150" s="19" t="str">
        <f t="shared" ca="1" si="66"/>
        <v/>
      </c>
      <c r="H2150" s="27"/>
      <c r="I2150" s="27"/>
      <c r="J2150" s="77" t="str">
        <f t="shared" ca="1" si="67"/>
        <v/>
      </c>
      <c r="K2150" s="23">
        <f>IF(A2150="","",COUNTIFS(Resumen!$N$2:$N$2999,ROW(),Resumen!$V$2:$V$2999,1))</f>
        <v/>
      </c>
      <c r="L2150" s="26"/>
      <c r="N21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1" spans="1:14">
      <c r="A2151" s="16"/>
      <c r="B2151" s="16"/>
      <c r="C2151" s="25"/>
      <c r="D2151" s="25"/>
      <c r="E2151" s="16"/>
      <c r="F2151" s="18"/>
      <c r="G2151" s="19" t="str">
        <f t="shared" ca="1" si="66"/>
        <v/>
      </c>
      <c r="H2151" s="27"/>
      <c r="I2151" s="27"/>
      <c r="J2151" s="77" t="str">
        <f t="shared" ca="1" si="67"/>
        <v/>
      </c>
      <c r="K2151" s="23">
        <f>IF(A2151="","",COUNTIFS(Resumen!$N$2:$N$2999,ROW(),Resumen!$V$2:$V$2999,1))</f>
        <v/>
      </c>
      <c r="L2151" s="26"/>
      <c r="N21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2" spans="1:14">
      <c r="A2152" s="16"/>
      <c r="B2152" s="16"/>
      <c r="C2152" s="25"/>
      <c r="D2152" s="25"/>
      <c r="E2152" s="16"/>
      <c r="F2152" s="18"/>
      <c r="G2152" s="19" t="str">
        <f t="shared" ca="1" si="66"/>
        <v/>
      </c>
      <c r="H2152" s="27"/>
      <c r="I2152" s="27"/>
      <c r="J2152" s="77" t="str">
        <f t="shared" ca="1" si="67"/>
        <v/>
      </c>
      <c r="K2152" s="23">
        <f>IF(A2152="","",COUNTIFS(Resumen!$N$2:$N$2999,ROW(),Resumen!$V$2:$V$2999,1))</f>
        <v/>
      </c>
      <c r="L2152" s="26"/>
      <c r="N21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3" spans="1:14">
      <c r="A2153" s="16"/>
      <c r="B2153" s="16"/>
      <c r="C2153" s="25"/>
      <c r="D2153" s="25"/>
      <c r="E2153" s="16"/>
      <c r="F2153" s="18"/>
      <c r="G2153" s="19" t="str">
        <f t="shared" ca="1" si="66"/>
        <v/>
      </c>
      <c r="H2153" s="27"/>
      <c r="I2153" s="27"/>
      <c r="J2153" s="77" t="str">
        <f t="shared" ca="1" si="67"/>
        <v/>
      </c>
      <c r="K2153" s="23">
        <f>IF(A2153="","",COUNTIFS(Resumen!$N$2:$N$2999,ROW(),Resumen!$V$2:$V$2999,1))</f>
        <v/>
      </c>
      <c r="L2153" s="26"/>
      <c r="N21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4" spans="1:14">
      <c r="A2154" s="16"/>
      <c r="B2154" s="16"/>
      <c r="C2154" s="25"/>
      <c r="D2154" s="25"/>
      <c r="E2154" s="16"/>
      <c r="F2154" s="18"/>
      <c r="G2154" s="19" t="str">
        <f t="shared" ca="1" si="66"/>
        <v/>
      </c>
      <c r="H2154" s="27"/>
      <c r="I2154" s="27"/>
      <c r="J2154" s="77" t="str">
        <f t="shared" ca="1" si="67"/>
        <v/>
      </c>
      <c r="K2154" s="23">
        <f>IF(A2154="","",COUNTIFS(Resumen!$N$2:$N$2999,ROW(),Resumen!$V$2:$V$2999,1))</f>
        <v/>
      </c>
      <c r="L2154" s="26"/>
      <c r="N21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5" spans="1:14">
      <c r="A2155" s="16"/>
      <c r="B2155" s="16"/>
      <c r="C2155" s="25"/>
      <c r="D2155" s="25"/>
      <c r="E2155" s="16"/>
      <c r="F2155" s="18"/>
      <c r="G2155" s="19" t="str">
        <f t="shared" ca="1" si="66"/>
        <v/>
      </c>
      <c r="H2155" s="27"/>
      <c r="I2155" s="27"/>
      <c r="J2155" s="77" t="str">
        <f t="shared" ca="1" si="67"/>
        <v/>
      </c>
      <c r="K2155" s="23">
        <f>IF(A2155="","",COUNTIFS(Resumen!$N$2:$N$2999,ROW(),Resumen!$V$2:$V$2999,1))</f>
        <v/>
      </c>
      <c r="L2155" s="26"/>
      <c r="N21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6" spans="1:14">
      <c r="A2156" s="16"/>
      <c r="B2156" s="16"/>
      <c r="C2156" s="25"/>
      <c r="D2156" s="25"/>
      <c r="E2156" s="16"/>
      <c r="F2156" s="18"/>
      <c r="G2156" s="19" t="str">
        <f t="shared" ca="1" si="66"/>
        <v/>
      </c>
      <c r="H2156" s="27"/>
      <c r="I2156" s="27"/>
      <c r="J2156" s="77" t="str">
        <f t="shared" ca="1" si="67"/>
        <v/>
      </c>
      <c r="K2156" s="23">
        <f>IF(A2156="","",COUNTIFS(Resumen!$N$2:$N$2999,ROW(),Resumen!$V$2:$V$2999,1))</f>
        <v/>
      </c>
      <c r="L2156" s="26"/>
      <c r="N21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7" spans="1:14">
      <c r="A2157" s="16"/>
      <c r="B2157" s="16"/>
      <c r="C2157" s="25"/>
      <c r="D2157" s="25"/>
      <c r="E2157" s="16"/>
      <c r="F2157" s="18"/>
      <c r="G2157" s="19" t="str">
        <f t="shared" ca="1" si="66"/>
        <v/>
      </c>
      <c r="H2157" s="27"/>
      <c r="I2157" s="27"/>
      <c r="J2157" s="77" t="str">
        <f t="shared" ca="1" si="67"/>
        <v/>
      </c>
      <c r="K2157" s="23">
        <f>IF(A2157="","",COUNTIFS(Resumen!$N$2:$N$2999,ROW(),Resumen!$V$2:$V$2999,1))</f>
        <v/>
      </c>
      <c r="L2157" s="26"/>
      <c r="N21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8" spans="1:14">
      <c r="A2158" s="16"/>
      <c r="B2158" s="16"/>
      <c r="C2158" s="25"/>
      <c r="D2158" s="25"/>
      <c r="E2158" s="16"/>
      <c r="F2158" s="18"/>
      <c r="G2158" s="19" t="str">
        <f t="shared" ca="1" si="66"/>
        <v/>
      </c>
      <c r="H2158" s="27"/>
      <c r="I2158" s="27"/>
      <c r="J2158" s="77" t="str">
        <f t="shared" ca="1" si="67"/>
        <v/>
      </c>
      <c r="K2158" s="23">
        <f>IF(A2158="","",COUNTIFS(Resumen!$N$2:$N$2999,ROW(),Resumen!$V$2:$V$2999,1))</f>
        <v/>
      </c>
      <c r="L2158" s="26"/>
      <c r="N21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59" spans="1:14">
      <c r="A2159" s="16"/>
      <c r="B2159" s="16"/>
      <c r="C2159" s="25"/>
      <c r="D2159" s="25"/>
      <c r="E2159" s="16"/>
      <c r="F2159" s="18"/>
      <c r="G2159" s="19" t="str">
        <f t="shared" ca="1" si="66"/>
        <v/>
      </c>
      <c r="H2159" s="27"/>
      <c r="I2159" s="27"/>
      <c r="J2159" s="77" t="str">
        <f t="shared" ca="1" si="67"/>
        <v/>
      </c>
      <c r="K2159" s="23">
        <f>IF(A2159="","",COUNTIFS(Resumen!$N$2:$N$2999,ROW(),Resumen!$V$2:$V$2999,1))</f>
        <v/>
      </c>
      <c r="L2159" s="26"/>
      <c r="N21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0" spans="1:14">
      <c r="A2160" s="16"/>
      <c r="B2160" s="16"/>
      <c r="C2160" s="25"/>
      <c r="D2160" s="25"/>
      <c r="E2160" s="16"/>
      <c r="F2160" s="18"/>
      <c r="G2160" s="19" t="str">
        <f t="shared" ca="1" si="66"/>
        <v/>
      </c>
      <c r="H2160" s="27"/>
      <c r="I2160" s="27"/>
      <c r="J2160" s="77" t="str">
        <f t="shared" ca="1" si="67"/>
        <v/>
      </c>
      <c r="K2160" s="23">
        <f>IF(A2160="","",COUNTIFS(Resumen!$N$2:$N$2999,ROW(),Resumen!$V$2:$V$2999,1))</f>
        <v/>
      </c>
      <c r="L2160" s="26"/>
      <c r="N21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1" spans="1:14">
      <c r="A2161" s="16"/>
      <c r="B2161" s="16"/>
      <c r="C2161" s="25"/>
      <c r="D2161" s="25"/>
      <c r="E2161" s="16"/>
      <c r="F2161" s="18"/>
      <c r="G2161" s="19" t="str">
        <f t="shared" ca="1" si="66"/>
        <v/>
      </c>
      <c r="H2161" s="27"/>
      <c r="I2161" s="27"/>
      <c r="J2161" s="77" t="str">
        <f t="shared" ca="1" si="67"/>
        <v/>
      </c>
      <c r="K2161" s="23">
        <f>IF(A2161="","",COUNTIFS(Resumen!$N$2:$N$2999,ROW(),Resumen!$V$2:$V$2999,1))</f>
        <v/>
      </c>
      <c r="L2161" s="26"/>
      <c r="N21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2" spans="1:14">
      <c r="A2162" s="16"/>
      <c r="B2162" s="16"/>
      <c r="C2162" s="25"/>
      <c r="D2162" s="25"/>
      <c r="E2162" s="16"/>
      <c r="F2162" s="18"/>
      <c r="G2162" s="19" t="str">
        <f t="shared" ca="1" si="66"/>
        <v/>
      </c>
      <c r="H2162" s="27"/>
      <c r="I2162" s="27"/>
      <c r="J2162" s="77" t="str">
        <f t="shared" ca="1" si="67"/>
        <v/>
      </c>
      <c r="K2162" s="23">
        <f>IF(A2162="","",COUNTIFS(Resumen!$N$2:$N$2999,ROW(),Resumen!$V$2:$V$2999,1))</f>
        <v/>
      </c>
      <c r="L2162" s="26"/>
      <c r="N21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3" spans="1:14">
      <c r="A2163" s="16"/>
      <c r="B2163" s="16"/>
      <c r="C2163" s="25"/>
      <c r="D2163" s="25"/>
      <c r="E2163" s="16"/>
      <c r="F2163" s="18"/>
      <c r="G2163" s="19" t="str">
        <f t="shared" ca="1" si="66"/>
        <v/>
      </c>
      <c r="H2163" s="27"/>
      <c r="I2163" s="27"/>
      <c r="J2163" s="77" t="str">
        <f t="shared" ca="1" si="67"/>
        <v/>
      </c>
      <c r="K2163" s="23">
        <f>IF(A2163="","",COUNTIFS(Resumen!$N$2:$N$2999,ROW(),Resumen!$V$2:$V$2999,1))</f>
        <v/>
      </c>
      <c r="L2163" s="26"/>
      <c r="N21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4" spans="1:14">
      <c r="A2164" s="16"/>
      <c r="B2164" s="16"/>
      <c r="C2164" s="25"/>
      <c r="D2164" s="25"/>
      <c r="E2164" s="16"/>
      <c r="F2164" s="18"/>
      <c r="G2164" s="19" t="str">
        <f t="shared" ca="1" si="66"/>
        <v/>
      </c>
      <c r="H2164" s="27"/>
      <c r="I2164" s="27"/>
      <c r="J2164" s="77" t="str">
        <f t="shared" ca="1" si="67"/>
        <v/>
      </c>
      <c r="K2164" s="23">
        <f>IF(A2164="","",COUNTIFS(Resumen!$N$2:$N$2999,ROW(),Resumen!$V$2:$V$2999,1))</f>
        <v/>
      </c>
      <c r="L2164" s="26"/>
      <c r="N21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5" spans="1:14">
      <c r="A2165" s="16"/>
      <c r="B2165" s="16"/>
      <c r="C2165" s="25"/>
      <c r="D2165" s="25"/>
      <c r="E2165" s="16"/>
      <c r="F2165" s="18"/>
      <c r="G2165" s="19" t="str">
        <f t="shared" ca="1" si="66"/>
        <v/>
      </c>
      <c r="H2165" s="27"/>
      <c r="I2165" s="27"/>
      <c r="J2165" s="77" t="str">
        <f t="shared" ca="1" si="67"/>
        <v/>
      </c>
      <c r="K2165" s="23">
        <f>IF(A2165="","",COUNTIFS(Resumen!$N$2:$N$2999,ROW(),Resumen!$V$2:$V$2999,1))</f>
        <v/>
      </c>
      <c r="L2165" s="26"/>
      <c r="N21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6" spans="1:14">
      <c r="A2166" s="16"/>
      <c r="B2166" s="16"/>
      <c r="C2166" s="25"/>
      <c r="D2166" s="25"/>
      <c r="E2166" s="16"/>
      <c r="F2166" s="18"/>
      <c r="G2166" s="19" t="str">
        <f t="shared" ca="1" si="66"/>
        <v/>
      </c>
      <c r="H2166" s="27"/>
      <c r="I2166" s="27"/>
      <c r="J2166" s="77" t="str">
        <f t="shared" ca="1" si="67"/>
        <v/>
      </c>
      <c r="K2166" s="23">
        <f>IF(A2166="","",COUNTIFS(Resumen!$N$2:$N$2999,ROW(),Resumen!$V$2:$V$2999,1))</f>
        <v/>
      </c>
      <c r="L2166" s="26"/>
      <c r="N21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7" spans="1:14">
      <c r="A2167" s="16"/>
      <c r="B2167" s="16"/>
      <c r="C2167" s="25"/>
      <c r="D2167" s="25"/>
      <c r="E2167" s="16"/>
      <c r="F2167" s="18"/>
      <c r="G2167" s="19" t="str">
        <f t="shared" ca="1" si="66"/>
        <v/>
      </c>
      <c r="H2167" s="27"/>
      <c r="I2167" s="27"/>
      <c r="J2167" s="77" t="str">
        <f t="shared" ca="1" si="67"/>
        <v/>
      </c>
      <c r="K2167" s="23">
        <f>IF(A2167="","",COUNTIFS(Resumen!$N$2:$N$2999,ROW(),Resumen!$V$2:$V$2999,1))</f>
        <v/>
      </c>
      <c r="L2167" s="26"/>
      <c r="N21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8" spans="1:14">
      <c r="A2168" s="16"/>
      <c r="B2168" s="16"/>
      <c r="C2168" s="25"/>
      <c r="D2168" s="25"/>
      <c r="E2168" s="16"/>
      <c r="F2168" s="18"/>
      <c r="G2168" s="19" t="str">
        <f t="shared" ca="1" si="66"/>
        <v/>
      </c>
      <c r="H2168" s="27"/>
      <c r="I2168" s="27"/>
      <c r="J2168" s="77" t="str">
        <f t="shared" ca="1" si="67"/>
        <v/>
      </c>
      <c r="K2168" s="23">
        <f>IF(A2168="","",COUNTIFS(Resumen!$N$2:$N$2999,ROW(),Resumen!$V$2:$V$2999,1))</f>
        <v/>
      </c>
      <c r="L2168" s="26"/>
      <c r="N21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69" spans="1:14">
      <c r="A2169" s="16"/>
      <c r="B2169" s="16"/>
      <c r="C2169" s="25"/>
      <c r="D2169" s="25"/>
      <c r="E2169" s="16"/>
      <c r="F2169" s="18"/>
      <c r="G2169" s="19" t="str">
        <f t="shared" ca="1" si="66"/>
        <v/>
      </c>
      <c r="H2169" s="27"/>
      <c r="I2169" s="27"/>
      <c r="J2169" s="77" t="str">
        <f t="shared" ca="1" si="67"/>
        <v/>
      </c>
      <c r="K2169" s="23">
        <f>IF(A2169="","",COUNTIFS(Resumen!$N$2:$N$2999,ROW(),Resumen!$V$2:$V$2999,1))</f>
        <v/>
      </c>
      <c r="L2169" s="26"/>
      <c r="N21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0" spans="1:14">
      <c r="A2170" s="16"/>
      <c r="B2170" s="16"/>
      <c r="C2170" s="25"/>
      <c r="D2170" s="25"/>
      <c r="E2170" s="16"/>
      <c r="F2170" s="18"/>
      <c r="G2170" s="19" t="str">
        <f t="shared" ca="1" si="66"/>
        <v/>
      </c>
      <c r="H2170" s="27"/>
      <c r="I2170" s="27"/>
      <c r="J2170" s="77" t="str">
        <f t="shared" ca="1" si="67"/>
        <v/>
      </c>
      <c r="K2170" s="23">
        <f>IF(A2170="","",COUNTIFS(Resumen!$N$2:$N$2999,ROW(),Resumen!$V$2:$V$2999,1))</f>
        <v/>
      </c>
      <c r="L2170" s="26"/>
      <c r="N21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1" spans="1:14">
      <c r="A2171" s="16"/>
      <c r="B2171" s="16"/>
      <c r="C2171" s="25"/>
      <c r="D2171" s="25"/>
      <c r="E2171" s="16"/>
      <c r="F2171" s="18"/>
      <c r="G2171" s="19" t="str">
        <f t="shared" ca="1" si="66"/>
        <v/>
      </c>
      <c r="H2171" s="27"/>
      <c r="I2171" s="27"/>
      <c r="J2171" s="77" t="str">
        <f t="shared" ca="1" si="67"/>
        <v/>
      </c>
      <c r="K2171" s="23">
        <f>IF(A2171="","",COUNTIFS(Resumen!$N$2:$N$2999,ROW(),Resumen!$V$2:$V$2999,1))</f>
        <v/>
      </c>
      <c r="L2171" s="26"/>
      <c r="N21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2" spans="1:14">
      <c r="A2172" s="16"/>
      <c r="B2172" s="16"/>
      <c r="C2172" s="25"/>
      <c r="D2172" s="25"/>
      <c r="E2172" s="16"/>
      <c r="F2172" s="18"/>
      <c r="G2172" s="19" t="str">
        <f t="shared" ca="1" si="66"/>
        <v/>
      </c>
      <c r="H2172" s="27"/>
      <c r="I2172" s="27"/>
      <c r="J2172" s="77" t="str">
        <f t="shared" ca="1" si="67"/>
        <v/>
      </c>
      <c r="K2172" s="23">
        <f>IF(A2172="","",COUNTIFS(Resumen!$N$2:$N$2999,ROW(),Resumen!$V$2:$V$2999,1))</f>
        <v/>
      </c>
      <c r="L2172" s="26"/>
      <c r="N21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3" spans="1:14">
      <c r="A2173" s="16"/>
      <c r="B2173" s="16"/>
      <c r="C2173" s="25"/>
      <c r="D2173" s="25"/>
      <c r="E2173" s="16"/>
      <c r="F2173" s="18"/>
      <c r="G2173" s="19" t="str">
        <f t="shared" ca="1" si="66"/>
        <v/>
      </c>
      <c r="H2173" s="27"/>
      <c r="I2173" s="27"/>
      <c r="J2173" s="77" t="str">
        <f t="shared" ca="1" si="67"/>
        <v/>
      </c>
      <c r="K2173" s="23">
        <f>IF(A2173="","",COUNTIFS(Resumen!$N$2:$N$2999,ROW(),Resumen!$V$2:$V$2999,1))</f>
        <v/>
      </c>
      <c r="L2173" s="26"/>
      <c r="N21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4" spans="1:14">
      <c r="A2174" s="16"/>
      <c r="B2174" s="16"/>
      <c r="C2174" s="25"/>
      <c r="D2174" s="25"/>
      <c r="E2174" s="16"/>
      <c r="F2174" s="18"/>
      <c r="G2174" s="19" t="str">
        <f t="shared" ca="1" si="66"/>
        <v/>
      </c>
      <c r="H2174" s="27"/>
      <c r="I2174" s="27"/>
      <c r="J2174" s="77" t="str">
        <f t="shared" ca="1" si="67"/>
        <v/>
      </c>
      <c r="K2174" s="23">
        <f>IF(A2174="","",COUNTIFS(Resumen!$N$2:$N$2999,ROW(),Resumen!$V$2:$V$2999,1))</f>
        <v/>
      </c>
      <c r="L2174" s="26"/>
      <c r="N21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5" spans="1:14">
      <c r="A2175" s="16"/>
      <c r="B2175" s="16"/>
      <c r="C2175" s="25"/>
      <c r="D2175" s="25"/>
      <c r="E2175" s="16"/>
      <c r="F2175" s="18"/>
      <c r="G2175" s="19" t="str">
        <f t="shared" ca="1" si="66"/>
        <v/>
      </c>
      <c r="H2175" s="27"/>
      <c r="I2175" s="27"/>
      <c r="J2175" s="77" t="str">
        <f t="shared" ca="1" si="67"/>
        <v/>
      </c>
      <c r="K2175" s="23">
        <f>IF(A2175="","",COUNTIFS(Resumen!$N$2:$N$2999,ROW(),Resumen!$V$2:$V$2999,1))</f>
        <v/>
      </c>
      <c r="L2175" s="26"/>
      <c r="N21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6" spans="1:14">
      <c r="A2176" s="16"/>
      <c r="B2176" s="16"/>
      <c r="C2176" s="25"/>
      <c r="D2176" s="25"/>
      <c r="E2176" s="16"/>
      <c r="F2176" s="18"/>
      <c r="G2176" s="19" t="str">
        <f t="shared" ca="1" si="66"/>
        <v/>
      </c>
      <c r="H2176" s="27"/>
      <c r="I2176" s="27"/>
      <c r="J2176" s="77" t="str">
        <f t="shared" ca="1" si="67"/>
        <v/>
      </c>
      <c r="K2176" s="23">
        <f>IF(A2176="","",COUNTIFS(Resumen!$N$2:$N$2999,ROW(),Resumen!$V$2:$V$2999,1))</f>
        <v/>
      </c>
      <c r="L2176" s="26"/>
      <c r="N21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7" spans="1:14">
      <c r="A2177" s="16"/>
      <c r="B2177" s="16"/>
      <c r="C2177" s="25"/>
      <c r="D2177" s="25"/>
      <c r="E2177" s="16"/>
      <c r="F2177" s="18"/>
      <c r="G2177" s="19" t="str">
        <f t="shared" ca="1" si="66"/>
        <v/>
      </c>
      <c r="H2177" s="27"/>
      <c r="I2177" s="27"/>
      <c r="J2177" s="77" t="str">
        <f t="shared" ca="1" si="67"/>
        <v/>
      </c>
      <c r="K2177" s="23">
        <f>IF(A2177="","",COUNTIFS(Resumen!$N$2:$N$2999,ROW(),Resumen!$V$2:$V$2999,1))</f>
        <v/>
      </c>
      <c r="L2177" s="26"/>
      <c r="N21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8" spans="1:14">
      <c r="A2178" s="16"/>
      <c r="B2178" s="16"/>
      <c r="C2178" s="25"/>
      <c r="D2178" s="25"/>
      <c r="E2178" s="16"/>
      <c r="F2178" s="18"/>
      <c r="G2178" s="19" t="str">
        <f t="shared" ref="G2178:G2241" ca="1" si="68">IF(F2178="", "", DATEDIF(F2178, TODAY(), "Y"))</f>
        <v/>
      </c>
      <c r="H2178" s="27"/>
      <c r="I2178" s="27"/>
      <c r="J2178" s="77" t="str">
        <f t="shared" ref="J2178:J2241" ca="1" si="69">IFERROR(IF(ISNUMBER(INDEX(VigenciasFamilia,ROW())),INDEX(VigenciasFamilia,ROW())-TODAY(),""),"")</f>
        <v/>
      </c>
      <c r="K2178" s="23">
        <f>IF(A2178="","",COUNTIFS(Resumen!$N$2:$N$2999,ROW(),Resumen!$V$2:$V$2999,1))</f>
        <v/>
      </c>
      <c r="L2178" s="26"/>
      <c r="N21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79" spans="1:14">
      <c r="A2179" s="16"/>
      <c r="B2179" s="16"/>
      <c r="C2179" s="25"/>
      <c r="D2179" s="25"/>
      <c r="E2179" s="16"/>
      <c r="F2179" s="18"/>
      <c r="G2179" s="19" t="str">
        <f t="shared" ca="1" si="68"/>
        <v/>
      </c>
      <c r="H2179" s="27"/>
      <c r="I2179" s="27"/>
      <c r="J2179" s="77" t="str">
        <f t="shared" ca="1" si="69"/>
        <v/>
      </c>
      <c r="K2179" s="23">
        <f>IF(A2179="","",COUNTIFS(Resumen!$N$2:$N$2999,ROW(),Resumen!$V$2:$V$2999,1))</f>
        <v/>
      </c>
      <c r="L2179" s="26"/>
      <c r="N21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0" spans="1:14">
      <c r="A2180" s="16"/>
      <c r="B2180" s="16"/>
      <c r="C2180" s="25"/>
      <c r="D2180" s="25"/>
      <c r="E2180" s="16"/>
      <c r="F2180" s="18"/>
      <c r="G2180" s="19" t="str">
        <f t="shared" ca="1" si="68"/>
        <v/>
      </c>
      <c r="H2180" s="27"/>
      <c r="I2180" s="27"/>
      <c r="J2180" s="77" t="str">
        <f t="shared" ca="1" si="69"/>
        <v/>
      </c>
      <c r="K2180" s="23">
        <f>IF(A2180="","",COUNTIFS(Resumen!$N$2:$N$2999,ROW(),Resumen!$V$2:$V$2999,1))</f>
        <v/>
      </c>
      <c r="L2180" s="26"/>
      <c r="N21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1" spans="1:14">
      <c r="A2181" s="16"/>
      <c r="B2181" s="16"/>
      <c r="C2181" s="25"/>
      <c r="D2181" s="25"/>
      <c r="E2181" s="16"/>
      <c r="F2181" s="18"/>
      <c r="G2181" s="19" t="str">
        <f t="shared" ca="1" si="68"/>
        <v/>
      </c>
      <c r="H2181" s="27"/>
      <c r="I2181" s="27"/>
      <c r="J2181" s="77" t="str">
        <f t="shared" ca="1" si="69"/>
        <v/>
      </c>
      <c r="K2181" s="23">
        <f>IF(A2181="","",COUNTIFS(Resumen!$N$2:$N$2999,ROW(),Resumen!$V$2:$V$2999,1))</f>
        <v/>
      </c>
      <c r="L2181" s="26"/>
      <c r="N21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2" spans="1:14">
      <c r="A2182" s="16"/>
      <c r="B2182" s="16"/>
      <c r="C2182" s="25"/>
      <c r="D2182" s="25"/>
      <c r="E2182" s="16"/>
      <c r="F2182" s="18"/>
      <c r="G2182" s="19" t="str">
        <f t="shared" ca="1" si="68"/>
        <v/>
      </c>
      <c r="H2182" s="27"/>
      <c r="I2182" s="27"/>
      <c r="J2182" s="77" t="str">
        <f t="shared" ca="1" si="69"/>
        <v/>
      </c>
      <c r="K2182" s="23">
        <f>IF(A2182="","",COUNTIFS(Resumen!$N$2:$N$2999,ROW(),Resumen!$V$2:$V$2999,1))</f>
        <v/>
      </c>
      <c r="L2182" s="26"/>
      <c r="N21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3" spans="1:14">
      <c r="A2183" s="16"/>
      <c r="B2183" s="16"/>
      <c r="C2183" s="25"/>
      <c r="D2183" s="25"/>
      <c r="E2183" s="16"/>
      <c r="F2183" s="18"/>
      <c r="G2183" s="19" t="str">
        <f t="shared" ca="1" si="68"/>
        <v/>
      </c>
      <c r="H2183" s="27"/>
      <c r="I2183" s="27"/>
      <c r="J2183" s="77" t="str">
        <f t="shared" ca="1" si="69"/>
        <v/>
      </c>
      <c r="K2183" s="23">
        <f>IF(A2183="","",COUNTIFS(Resumen!$N$2:$N$2999,ROW(),Resumen!$V$2:$V$2999,1))</f>
        <v/>
      </c>
      <c r="L2183" s="26"/>
      <c r="N21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4" spans="1:14">
      <c r="A2184" s="16"/>
      <c r="B2184" s="16"/>
      <c r="C2184" s="25"/>
      <c r="D2184" s="25"/>
      <c r="E2184" s="16"/>
      <c r="F2184" s="18"/>
      <c r="G2184" s="19" t="str">
        <f t="shared" ca="1" si="68"/>
        <v/>
      </c>
      <c r="H2184" s="27"/>
      <c r="I2184" s="27"/>
      <c r="J2184" s="77" t="str">
        <f t="shared" ca="1" si="69"/>
        <v/>
      </c>
      <c r="K2184" s="23">
        <f>IF(A2184="","",COUNTIFS(Resumen!$N$2:$N$2999,ROW(),Resumen!$V$2:$V$2999,1))</f>
        <v/>
      </c>
      <c r="L2184" s="26"/>
      <c r="N21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5" spans="1:14">
      <c r="A2185" s="16"/>
      <c r="B2185" s="16"/>
      <c r="C2185" s="25"/>
      <c r="D2185" s="25"/>
      <c r="E2185" s="16"/>
      <c r="F2185" s="18"/>
      <c r="G2185" s="19" t="str">
        <f t="shared" ca="1" si="68"/>
        <v/>
      </c>
      <c r="H2185" s="27"/>
      <c r="I2185" s="27"/>
      <c r="J2185" s="77" t="str">
        <f t="shared" ca="1" si="69"/>
        <v/>
      </c>
      <c r="K2185" s="23">
        <f>IF(A2185="","",COUNTIFS(Resumen!$N$2:$N$2999,ROW(),Resumen!$V$2:$V$2999,1))</f>
        <v/>
      </c>
      <c r="L2185" s="26"/>
      <c r="N21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6" spans="1:14">
      <c r="A2186" s="16"/>
      <c r="B2186" s="16"/>
      <c r="C2186" s="25"/>
      <c r="D2186" s="25"/>
      <c r="E2186" s="16"/>
      <c r="F2186" s="18"/>
      <c r="G2186" s="19" t="str">
        <f t="shared" ca="1" si="68"/>
        <v/>
      </c>
      <c r="H2186" s="27"/>
      <c r="I2186" s="27"/>
      <c r="J2186" s="77" t="str">
        <f t="shared" ca="1" si="69"/>
        <v/>
      </c>
      <c r="K2186" s="23">
        <f>IF(A2186="","",COUNTIFS(Resumen!$N$2:$N$2999,ROW(),Resumen!$V$2:$V$2999,1))</f>
        <v/>
      </c>
      <c r="L2186" s="26"/>
      <c r="N21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7" spans="1:14">
      <c r="A2187" s="16"/>
      <c r="B2187" s="16"/>
      <c r="C2187" s="25"/>
      <c r="D2187" s="25"/>
      <c r="E2187" s="16"/>
      <c r="F2187" s="18"/>
      <c r="G2187" s="19" t="str">
        <f t="shared" ca="1" si="68"/>
        <v/>
      </c>
      <c r="H2187" s="27"/>
      <c r="I2187" s="27"/>
      <c r="J2187" s="77" t="str">
        <f t="shared" ca="1" si="69"/>
        <v/>
      </c>
      <c r="K2187" s="23">
        <f>IF(A2187="","",COUNTIFS(Resumen!$N$2:$N$2999,ROW(),Resumen!$V$2:$V$2999,1))</f>
        <v/>
      </c>
      <c r="L2187" s="26"/>
      <c r="N21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8" spans="1:14">
      <c r="A2188" s="16"/>
      <c r="B2188" s="16"/>
      <c r="C2188" s="25"/>
      <c r="D2188" s="25"/>
      <c r="E2188" s="16"/>
      <c r="F2188" s="18"/>
      <c r="G2188" s="19" t="str">
        <f t="shared" ca="1" si="68"/>
        <v/>
      </c>
      <c r="H2188" s="27"/>
      <c r="I2188" s="27"/>
      <c r="J2188" s="77" t="str">
        <f t="shared" ca="1" si="69"/>
        <v/>
      </c>
      <c r="K2188" s="23">
        <f>IF(A2188="","",COUNTIFS(Resumen!$N$2:$N$2999,ROW(),Resumen!$V$2:$V$2999,1))</f>
        <v/>
      </c>
      <c r="L2188" s="26"/>
      <c r="N21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89" spans="1:14">
      <c r="A2189" s="16"/>
      <c r="B2189" s="16"/>
      <c r="C2189" s="25"/>
      <c r="D2189" s="25"/>
      <c r="E2189" s="16"/>
      <c r="F2189" s="18"/>
      <c r="G2189" s="19" t="str">
        <f t="shared" ca="1" si="68"/>
        <v/>
      </c>
      <c r="H2189" s="27"/>
      <c r="I2189" s="27"/>
      <c r="J2189" s="77" t="str">
        <f t="shared" ca="1" si="69"/>
        <v/>
      </c>
      <c r="K2189" s="23">
        <f>IF(A2189="","",COUNTIFS(Resumen!$N$2:$N$2999,ROW(),Resumen!$V$2:$V$2999,1))</f>
        <v/>
      </c>
      <c r="L2189" s="26"/>
      <c r="N21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0" spans="1:14">
      <c r="A2190" s="16"/>
      <c r="B2190" s="16"/>
      <c r="C2190" s="25"/>
      <c r="D2190" s="25"/>
      <c r="E2190" s="16"/>
      <c r="F2190" s="18"/>
      <c r="G2190" s="19" t="str">
        <f t="shared" ca="1" si="68"/>
        <v/>
      </c>
      <c r="H2190" s="27"/>
      <c r="I2190" s="27"/>
      <c r="J2190" s="77" t="str">
        <f t="shared" ca="1" si="69"/>
        <v/>
      </c>
      <c r="K2190" s="23">
        <f>IF(A2190="","",COUNTIFS(Resumen!$N$2:$N$2999,ROW(),Resumen!$V$2:$V$2999,1))</f>
        <v/>
      </c>
      <c r="L2190" s="26"/>
      <c r="N21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1" spans="1:14">
      <c r="A2191" s="16"/>
      <c r="B2191" s="16"/>
      <c r="C2191" s="25"/>
      <c r="D2191" s="25"/>
      <c r="E2191" s="16"/>
      <c r="F2191" s="18"/>
      <c r="G2191" s="19" t="str">
        <f t="shared" ca="1" si="68"/>
        <v/>
      </c>
      <c r="H2191" s="27"/>
      <c r="I2191" s="27"/>
      <c r="J2191" s="77" t="str">
        <f t="shared" ca="1" si="69"/>
        <v/>
      </c>
      <c r="K2191" s="23">
        <f>IF(A2191="","",COUNTIFS(Resumen!$N$2:$N$2999,ROW(),Resumen!$V$2:$V$2999,1))</f>
        <v/>
      </c>
      <c r="L2191" s="26"/>
      <c r="N21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2" spans="1:14">
      <c r="A2192" s="16"/>
      <c r="B2192" s="16"/>
      <c r="C2192" s="25"/>
      <c r="D2192" s="25"/>
      <c r="E2192" s="16"/>
      <c r="F2192" s="18"/>
      <c r="G2192" s="19" t="str">
        <f t="shared" ca="1" si="68"/>
        <v/>
      </c>
      <c r="H2192" s="27"/>
      <c r="I2192" s="27"/>
      <c r="J2192" s="77" t="str">
        <f t="shared" ca="1" si="69"/>
        <v/>
      </c>
      <c r="K2192" s="23">
        <f>IF(A2192="","",COUNTIFS(Resumen!$N$2:$N$2999,ROW(),Resumen!$V$2:$V$2999,1))</f>
        <v/>
      </c>
      <c r="L2192" s="26"/>
      <c r="N21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3" spans="1:14">
      <c r="A2193" s="16"/>
      <c r="B2193" s="16"/>
      <c r="C2193" s="25"/>
      <c r="D2193" s="25"/>
      <c r="E2193" s="16"/>
      <c r="F2193" s="18"/>
      <c r="G2193" s="19" t="str">
        <f t="shared" ca="1" si="68"/>
        <v/>
      </c>
      <c r="H2193" s="27"/>
      <c r="I2193" s="27"/>
      <c r="J2193" s="77" t="str">
        <f t="shared" ca="1" si="69"/>
        <v/>
      </c>
      <c r="K2193" s="23">
        <f>IF(A2193="","",COUNTIFS(Resumen!$N$2:$N$2999,ROW(),Resumen!$V$2:$V$2999,1))</f>
        <v/>
      </c>
      <c r="L2193" s="26"/>
      <c r="N21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4" spans="1:14">
      <c r="A2194" s="16"/>
      <c r="B2194" s="16"/>
      <c r="C2194" s="25"/>
      <c r="D2194" s="25"/>
      <c r="E2194" s="16"/>
      <c r="F2194" s="18"/>
      <c r="G2194" s="19" t="str">
        <f t="shared" ca="1" si="68"/>
        <v/>
      </c>
      <c r="H2194" s="27"/>
      <c r="I2194" s="27"/>
      <c r="J2194" s="77" t="str">
        <f t="shared" ca="1" si="69"/>
        <v/>
      </c>
      <c r="K2194" s="23">
        <f>IF(A2194="","",COUNTIFS(Resumen!$N$2:$N$2999,ROW(),Resumen!$V$2:$V$2999,1))</f>
        <v/>
      </c>
      <c r="L2194" s="26"/>
      <c r="N21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5" spans="1:14">
      <c r="A2195" s="16"/>
      <c r="B2195" s="16"/>
      <c r="C2195" s="25"/>
      <c r="D2195" s="25"/>
      <c r="E2195" s="16"/>
      <c r="F2195" s="18"/>
      <c r="G2195" s="19" t="str">
        <f t="shared" ca="1" si="68"/>
        <v/>
      </c>
      <c r="H2195" s="27"/>
      <c r="I2195" s="27"/>
      <c r="J2195" s="77" t="str">
        <f t="shared" ca="1" si="69"/>
        <v/>
      </c>
      <c r="K2195" s="23">
        <f>IF(A2195="","",COUNTIFS(Resumen!$N$2:$N$2999,ROW(),Resumen!$V$2:$V$2999,1))</f>
        <v/>
      </c>
      <c r="L2195" s="26"/>
      <c r="N21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6" spans="1:14">
      <c r="A2196" s="16"/>
      <c r="B2196" s="16"/>
      <c r="C2196" s="25"/>
      <c r="D2196" s="25"/>
      <c r="E2196" s="16"/>
      <c r="F2196" s="18"/>
      <c r="G2196" s="19" t="str">
        <f t="shared" ca="1" si="68"/>
        <v/>
      </c>
      <c r="H2196" s="27"/>
      <c r="I2196" s="27"/>
      <c r="J2196" s="77" t="str">
        <f t="shared" ca="1" si="69"/>
        <v/>
      </c>
      <c r="K2196" s="23">
        <f>IF(A2196="","",COUNTIFS(Resumen!$N$2:$N$2999,ROW(),Resumen!$V$2:$V$2999,1))</f>
        <v/>
      </c>
      <c r="L2196" s="26"/>
      <c r="N21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7" spans="1:14">
      <c r="A2197" s="16"/>
      <c r="B2197" s="16"/>
      <c r="C2197" s="25"/>
      <c r="D2197" s="25"/>
      <c r="E2197" s="16"/>
      <c r="F2197" s="18"/>
      <c r="G2197" s="19" t="str">
        <f t="shared" ca="1" si="68"/>
        <v/>
      </c>
      <c r="H2197" s="27"/>
      <c r="I2197" s="27"/>
      <c r="J2197" s="77" t="str">
        <f t="shared" ca="1" si="69"/>
        <v/>
      </c>
      <c r="K2197" s="23">
        <f>IF(A2197="","",COUNTIFS(Resumen!$N$2:$N$2999,ROW(),Resumen!$V$2:$V$2999,1))</f>
        <v/>
      </c>
      <c r="L2197" s="26"/>
      <c r="N21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8" spans="1:14">
      <c r="A2198" s="16"/>
      <c r="B2198" s="16"/>
      <c r="C2198" s="25"/>
      <c r="D2198" s="25"/>
      <c r="E2198" s="16"/>
      <c r="F2198" s="18"/>
      <c r="G2198" s="19" t="str">
        <f t="shared" ca="1" si="68"/>
        <v/>
      </c>
      <c r="H2198" s="27"/>
      <c r="I2198" s="27"/>
      <c r="J2198" s="77" t="str">
        <f t="shared" ca="1" si="69"/>
        <v/>
      </c>
      <c r="K2198" s="23">
        <f>IF(A2198="","",COUNTIFS(Resumen!$N$2:$N$2999,ROW(),Resumen!$V$2:$V$2999,1))</f>
        <v/>
      </c>
      <c r="L2198" s="26"/>
      <c r="N21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199" spans="1:14">
      <c r="A2199" s="16"/>
      <c r="B2199" s="16"/>
      <c r="C2199" s="25"/>
      <c r="D2199" s="25"/>
      <c r="E2199" s="16"/>
      <c r="F2199" s="18"/>
      <c r="G2199" s="19" t="str">
        <f t="shared" ca="1" si="68"/>
        <v/>
      </c>
      <c r="H2199" s="27"/>
      <c r="I2199" s="27"/>
      <c r="J2199" s="77" t="str">
        <f t="shared" ca="1" si="69"/>
        <v/>
      </c>
      <c r="K2199" s="23">
        <f>IF(A2199="","",COUNTIFS(Resumen!$N$2:$N$2999,ROW(),Resumen!$V$2:$V$2999,1))</f>
        <v/>
      </c>
      <c r="L2199" s="26"/>
      <c r="N21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0" spans="1:14">
      <c r="A2200" s="16"/>
      <c r="B2200" s="16"/>
      <c r="C2200" s="25"/>
      <c r="D2200" s="25"/>
      <c r="E2200" s="16"/>
      <c r="F2200" s="18"/>
      <c r="G2200" s="19" t="str">
        <f t="shared" ca="1" si="68"/>
        <v/>
      </c>
      <c r="H2200" s="27"/>
      <c r="I2200" s="27"/>
      <c r="J2200" s="77" t="str">
        <f t="shared" ca="1" si="69"/>
        <v/>
      </c>
      <c r="K2200" s="23">
        <f>IF(A2200="","",COUNTIFS(Resumen!$N$2:$N$2999,ROW(),Resumen!$V$2:$V$2999,1))</f>
        <v/>
      </c>
      <c r="L2200" s="26"/>
      <c r="N22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1" spans="1:14">
      <c r="A2201" s="16"/>
      <c r="B2201" s="16"/>
      <c r="C2201" s="25"/>
      <c r="D2201" s="25"/>
      <c r="E2201" s="16"/>
      <c r="F2201" s="18"/>
      <c r="G2201" s="19" t="str">
        <f t="shared" ca="1" si="68"/>
        <v/>
      </c>
      <c r="H2201" s="27"/>
      <c r="I2201" s="27"/>
      <c r="J2201" s="77" t="str">
        <f t="shared" ca="1" si="69"/>
        <v/>
      </c>
      <c r="K2201" s="23">
        <f>IF(A2201="","",COUNTIFS(Resumen!$N$2:$N$2999,ROW(),Resumen!$V$2:$V$2999,1))</f>
        <v/>
      </c>
      <c r="L2201" s="26"/>
      <c r="N22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2" spans="1:14">
      <c r="A2202" s="16"/>
      <c r="B2202" s="16"/>
      <c r="C2202" s="25"/>
      <c r="D2202" s="25"/>
      <c r="E2202" s="16"/>
      <c r="F2202" s="18"/>
      <c r="G2202" s="19" t="str">
        <f t="shared" ca="1" si="68"/>
        <v/>
      </c>
      <c r="H2202" s="27"/>
      <c r="I2202" s="27"/>
      <c r="J2202" s="77" t="str">
        <f t="shared" ca="1" si="69"/>
        <v/>
      </c>
      <c r="K2202" s="23">
        <f>IF(A2202="","",COUNTIFS(Resumen!$N$2:$N$2999,ROW(),Resumen!$V$2:$V$2999,1))</f>
        <v/>
      </c>
      <c r="L2202" s="26"/>
      <c r="N22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3" spans="1:14">
      <c r="A2203" s="16"/>
      <c r="B2203" s="16"/>
      <c r="C2203" s="25"/>
      <c r="D2203" s="25"/>
      <c r="E2203" s="16"/>
      <c r="F2203" s="18"/>
      <c r="G2203" s="19" t="str">
        <f t="shared" ca="1" si="68"/>
        <v/>
      </c>
      <c r="H2203" s="27"/>
      <c r="I2203" s="27"/>
      <c r="J2203" s="77" t="str">
        <f t="shared" ca="1" si="69"/>
        <v/>
      </c>
      <c r="K2203" s="23">
        <f>IF(A2203="","",COUNTIFS(Resumen!$N$2:$N$2999,ROW(),Resumen!$V$2:$V$2999,1))</f>
        <v/>
      </c>
      <c r="L2203" s="26"/>
      <c r="N22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4" spans="1:14">
      <c r="A2204" s="16"/>
      <c r="B2204" s="16"/>
      <c r="C2204" s="25"/>
      <c r="D2204" s="25"/>
      <c r="E2204" s="16"/>
      <c r="F2204" s="18"/>
      <c r="G2204" s="19" t="str">
        <f t="shared" ca="1" si="68"/>
        <v/>
      </c>
      <c r="H2204" s="27"/>
      <c r="I2204" s="27"/>
      <c r="J2204" s="77" t="str">
        <f t="shared" ca="1" si="69"/>
        <v/>
      </c>
      <c r="K2204" s="23">
        <f>IF(A2204="","",COUNTIFS(Resumen!$N$2:$N$2999,ROW(),Resumen!$V$2:$V$2999,1))</f>
        <v/>
      </c>
      <c r="L2204" s="26"/>
      <c r="N22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5" spans="1:14">
      <c r="A2205" s="16"/>
      <c r="B2205" s="16"/>
      <c r="C2205" s="25"/>
      <c r="D2205" s="25"/>
      <c r="E2205" s="16"/>
      <c r="F2205" s="18"/>
      <c r="G2205" s="19" t="str">
        <f t="shared" ca="1" si="68"/>
        <v/>
      </c>
      <c r="H2205" s="27"/>
      <c r="I2205" s="27"/>
      <c r="J2205" s="77" t="str">
        <f t="shared" ca="1" si="69"/>
        <v/>
      </c>
      <c r="K2205" s="23">
        <f>IF(A2205="","",COUNTIFS(Resumen!$N$2:$N$2999,ROW(),Resumen!$V$2:$V$2999,1))</f>
        <v/>
      </c>
      <c r="L2205" s="26"/>
      <c r="N22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6" spans="1:14">
      <c r="A2206" s="16"/>
      <c r="B2206" s="16"/>
      <c r="C2206" s="25"/>
      <c r="D2206" s="25"/>
      <c r="E2206" s="16"/>
      <c r="F2206" s="18"/>
      <c r="G2206" s="19" t="str">
        <f t="shared" ca="1" si="68"/>
        <v/>
      </c>
      <c r="H2206" s="27"/>
      <c r="I2206" s="27"/>
      <c r="J2206" s="77" t="str">
        <f t="shared" ca="1" si="69"/>
        <v/>
      </c>
      <c r="K2206" s="23">
        <f>IF(A2206="","",COUNTIFS(Resumen!$N$2:$N$2999,ROW(),Resumen!$V$2:$V$2999,1))</f>
        <v/>
      </c>
      <c r="L2206" s="26"/>
      <c r="N22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7" spans="1:14">
      <c r="A2207" s="16"/>
      <c r="B2207" s="16"/>
      <c r="C2207" s="25"/>
      <c r="D2207" s="25"/>
      <c r="E2207" s="16"/>
      <c r="F2207" s="18"/>
      <c r="G2207" s="19" t="str">
        <f t="shared" ca="1" si="68"/>
        <v/>
      </c>
      <c r="H2207" s="27"/>
      <c r="I2207" s="27"/>
      <c r="J2207" s="77" t="str">
        <f t="shared" ca="1" si="69"/>
        <v/>
      </c>
      <c r="K2207" s="23">
        <f>IF(A2207="","",COUNTIFS(Resumen!$N$2:$N$2999,ROW(),Resumen!$V$2:$V$2999,1))</f>
        <v/>
      </c>
      <c r="L2207" s="26"/>
      <c r="N22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8" spans="1:14">
      <c r="A2208" s="16"/>
      <c r="B2208" s="16"/>
      <c r="C2208" s="25"/>
      <c r="D2208" s="25"/>
      <c r="E2208" s="16"/>
      <c r="F2208" s="18"/>
      <c r="G2208" s="19" t="str">
        <f t="shared" ca="1" si="68"/>
        <v/>
      </c>
      <c r="H2208" s="27"/>
      <c r="I2208" s="27"/>
      <c r="J2208" s="77" t="str">
        <f t="shared" ca="1" si="69"/>
        <v/>
      </c>
      <c r="K2208" s="23">
        <f>IF(A2208="","",COUNTIFS(Resumen!$N$2:$N$2999,ROW(),Resumen!$V$2:$V$2999,1))</f>
        <v/>
      </c>
      <c r="L2208" s="26"/>
      <c r="N22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09" spans="1:14">
      <c r="A2209" s="16"/>
      <c r="B2209" s="16"/>
      <c r="C2209" s="25"/>
      <c r="D2209" s="25"/>
      <c r="E2209" s="16"/>
      <c r="F2209" s="18"/>
      <c r="G2209" s="19" t="str">
        <f t="shared" ca="1" si="68"/>
        <v/>
      </c>
      <c r="H2209" s="27"/>
      <c r="I2209" s="27"/>
      <c r="J2209" s="77" t="str">
        <f t="shared" ca="1" si="69"/>
        <v/>
      </c>
      <c r="K2209" s="23">
        <f>IF(A2209="","",COUNTIFS(Resumen!$N$2:$N$2999,ROW(),Resumen!$V$2:$V$2999,1))</f>
        <v/>
      </c>
      <c r="L2209" s="26"/>
      <c r="N22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0" spans="1:14">
      <c r="A2210" s="16"/>
      <c r="B2210" s="16"/>
      <c r="C2210" s="25"/>
      <c r="D2210" s="25"/>
      <c r="E2210" s="16"/>
      <c r="F2210" s="18"/>
      <c r="G2210" s="19" t="str">
        <f t="shared" ca="1" si="68"/>
        <v/>
      </c>
      <c r="H2210" s="27"/>
      <c r="I2210" s="27"/>
      <c r="J2210" s="77" t="str">
        <f t="shared" ca="1" si="69"/>
        <v/>
      </c>
      <c r="K2210" s="23">
        <f>IF(A2210="","",COUNTIFS(Resumen!$N$2:$N$2999,ROW(),Resumen!$V$2:$V$2999,1))</f>
        <v/>
      </c>
      <c r="L2210" s="26"/>
      <c r="N22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1" spans="1:14">
      <c r="A2211" s="16"/>
      <c r="B2211" s="16"/>
      <c r="C2211" s="25"/>
      <c r="D2211" s="25"/>
      <c r="E2211" s="16"/>
      <c r="F2211" s="18"/>
      <c r="G2211" s="19" t="str">
        <f t="shared" ca="1" si="68"/>
        <v/>
      </c>
      <c r="H2211" s="27"/>
      <c r="I2211" s="27"/>
      <c r="J2211" s="77" t="str">
        <f t="shared" ca="1" si="69"/>
        <v/>
      </c>
      <c r="K2211" s="23">
        <f>IF(A2211="","",COUNTIFS(Resumen!$N$2:$N$2999,ROW(),Resumen!$V$2:$V$2999,1))</f>
        <v/>
      </c>
      <c r="L2211" s="26"/>
      <c r="N22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2" spans="1:14">
      <c r="A2212" s="16"/>
      <c r="B2212" s="16"/>
      <c r="C2212" s="25"/>
      <c r="D2212" s="25"/>
      <c r="E2212" s="16"/>
      <c r="F2212" s="18"/>
      <c r="G2212" s="19" t="str">
        <f t="shared" ca="1" si="68"/>
        <v/>
      </c>
      <c r="H2212" s="27"/>
      <c r="I2212" s="27"/>
      <c r="J2212" s="77" t="str">
        <f t="shared" ca="1" si="69"/>
        <v/>
      </c>
      <c r="K2212" s="23">
        <f>IF(A2212="","",COUNTIFS(Resumen!$N$2:$N$2999,ROW(),Resumen!$V$2:$V$2999,1))</f>
        <v/>
      </c>
      <c r="L2212" s="26"/>
      <c r="N22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3" spans="1:14">
      <c r="A2213" s="16"/>
      <c r="B2213" s="16"/>
      <c r="C2213" s="25"/>
      <c r="D2213" s="25"/>
      <c r="E2213" s="16"/>
      <c r="F2213" s="18"/>
      <c r="G2213" s="19" t="str">
        <f t="shared" ca="1" si="68"/>
        <v/>
      </c>
      <c r="H2213" s="27"/>
      <c r="I2213" s="27"/>
      <c r="J2213" s="77" t="str">
        <f t="shared" ca="1" si="69"/>
        <v/>
      </c>
      <c r="K2213" s="23">
        <f>IF(A2213="","",COUNTIFS(Resumen!$N$2:$N$2999,ROW(),Resumen!$V$2:$V$2999,1))</f>
        <v/>
      </c>
      <c r="L2213" s="26"/>
      <c r="N22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4" spans="1:14">
      <c r="A2214" s="16"/>
      <c r="B2214" s="16"/>
      <c r="C2214" s="25"/>
      <c r="D2214" s="25"/>
      <c r="E2214" s="16"/>
      <c r="F2214" s="18"/>
      <c r="G2214" s="19" t="str">
        <f t="shared" ca="1" si="68"/>
        <v/>
      </c>
      <c r="H2214" s="27"/>
      <c r="I2214" s="27"/>
      <c r="J2214" s="77" t="str">
        <f t="shared" ca="1" si="69"/>
        <v/>
      </c>
      <c r="K2214" s="23">
        <f>IF(A2214="","",COUNTIFS(Resumen!$N$2:$N$2999,ROW(),Resumen!$V$2:$V$2999,1))</f>
        <v/>
      </c>
      <c r="L2214" s="26"/>
      <c r="N22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5" spans="1:14">
      <c r="A2215" s="16"/>
      <c r="B2215" s="16"/>
      <c r="C2215" s="25"/>
      <c r="D2215" s="25"/>
      <c r="E2215" s="16"/>
      <c r="F2215" s="18"/>
      <c r="G2215" s="19" t="str">
        <f t="shared" ca="1" si="68"/>
        <v/>
      </c>
      <c r="H2215" s="27"/>
      <c r="I2215" s="27"/>
      <c r="J2215" s="77" t="str">
        <f t="shared" ca="1" si="69"/>
        <v/>
      </c>
      <c r="K2215" s="23">
        <f>IF(A2215="","",COUNTIFS(Resumen!$N$2:$N$2999,ROW(),Resumen!$V$2:$V$2999,1))</f>
        <v/>
      </c>
      <c r="L2215" s="26"/>
      <c r="N22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6" spans="1:14">
      <c r="A2216" s="16"/>
      <c r="B2216" s="16"/>
      <c r="C2216" s="25"/>
      <c r="D2216" s="25"/>
      <c r="E2216" s="16"/>
      <c r="F2216" s="18"/>
      <c r="G2216" s="19" t="str">
        <f t="shared" ca="1" si="68"/>
        <v/>
      </c>
      <c r="H2216" s="27"/>
      <c r="I2216" s="27"/>
      <c r="J2216" s="77" t="str">
        <f t="shared" ca="1" si="69"/>
        <v/>
      </c>
      <c r="K2216" s="23">
        <f>IF(A2216="","",COUNTIFS(Resumen!$N$2:$N$2999,ROW(),Resumen!$V$2:$V$2999,1))</f>
        <v/>
      </c>
      <c r="L2216" s="26"/>
      <c r="N22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7" spans="1:14">
      <c r="A2217" s="16"/>
      <c r="B2217" s="16"/>
      <c r="C2217" s="25"/>
      <c r="D2217" s="25"/>
      <c r="E2217" s="16"/>
      <c r="F2217" s="18"/>
      <c r="G2217" s="19" t="str">
        <f t="shared" ca="1" si="68"/>
        <v/>
      </c>
      <c r="H2217" s="27"/>
      <c r="I2217" s="27"/>
      <c r="J2217" s="77" t="str">
        <f t="shared" ca="1" si="69"/>
        <v/>
      </c>
      <c r="K2217" s="23">
        <f>IF(A2217="","",COUNTIFS(Resumen!$N$2:$N$2999,ROW(),Resumen!$V$2:$V$2999,1))</f>
        <v/>
      </c>
      <c r="L2217" s="26"/>
      <c r="N22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8" spans="1:14">
      <c r="A2218" s="16"/>
      <c r="B2218" s="16"/>
      <c r="C2218" s="25"/>
      <c r="D2218" s="25"/>
      <c r="E2218" s="16"/>
      <c r="F2218" s="18"/>
      <c r="G2218" s="19" t="str">
        <f t="shared" ca="1" si="68"/>
        <v/>
      </c>
      <c r="H2218" s="27"/>
      <c r="I2218" s="27"/>
      <c r="J2218" s="77" t="str">
        <f t="shared" ca="1" si="69"/>
        <v/>
      </c>
      <c r="K2218" s="23">
        <f>IF(A2218="","",COUNTIFS(Resumen!$N$2:$N$2999,ROW(),Resumen!$V$2:$V$2999,1))</f>
        <v/>
      </c>
      <c r="L2218" s="26"/>
      <c r="N22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19" spans="1:14">
      <c r="A2219" s="16"/>
      <c r="B2219" s="16"/>
      <c r="C2219" s="25"/>
      <c r="D2219" s="25"/>
      <c r="E2219" s="16"/>
      <c r="F2219" s="18"/>
      <c r="G2219" s="19" t="str">
        <f t="shared" ca="1" si="68"/>
        <v/>
      </c>
      <c r="H2219" s="27"/>
      <c r="I2219" s="27"/>
      <c r="J2219" s="77" t="str">
        <f t="shared" ca="1" si="69"/>
        <v/>
      </c>
      <c r="K2219" s="23">
        <f>IF(A2219="","",COUNTIFS(Resumen!$N$2:$N$2999,ROW(),Resumen!$V$2:$V$2999,1))</f>
        <v/>
      </c>
      <c r="L2219" s="26"/>
      <c r="N22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0" spans="1:14">
      <c r="A2220" s="16"/>
      <c r="B2220" s="16"/>
      <c r="C2220" s="25"/>
      <c r="D2220" s="25"/>
      <c r="E2220" s="16"/>
      <c r="F2220" s="18"/>
      <c r="G2220" s="19" t="str">
        <f t="shared" ca="1" si="68"/>
        <v/>
      </c>
      <c r="H2220" s="27"/>
      <c r="I2220" s="27"/>
      <c r="J2220" s="77" t="str">
        <f t="shared" ca="1" si="69"/>
        <v/>
      </c>
      <c r="K2220" s="23">
        <f>IF(A2220="","",COUNTIFS(Resumen!$N$2:$N$2999,ROW(),Resumen!$V$2:$V$2999,1))</f>
        <v/>
      </c>
      <c r="L2220" s="26"/>
      <c r="N22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1" spans="1:14">
      <c r="A2221" s="16"/>
      <c r="B2221" s="16"/>
      <c r="C2221" s="25"/>
      <c r="D2221" s="25"/>
      <c r="E2221" s="16"/>
      <c r="F2221" s="18"/>
      <c r="G2221" s="19" t="str">
        <f t="shared" ca="1" si="68"/>
        <v/>
      </c>
      <c r="H2221" s="27"/>
      <c r="I2221" s="27"/>
      <c r="J2221" s="77" t="str">
        <f t="shared" ca="1" si="69"/>
        <v/>
      </c>
      <c r="K2221" s="23">
        <f>IF(A2221="","",COUNTIFS(Resumen!$N$2:$N$2999,ROW(),Resumen!$V$2:$V$2999,1))</f>
        <v/>
      </c>
      <c r="L2221" s="26"/>
      <c r="N22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2" spans="1:14">
      <c r="A2222" s="16"/>
      <c r="B2222" s="16"/>
      <c r="C2222" s="25"/>
      <c r="D2222" s="25"/>
      <c r="E2222" s="16"/>
      <c r="F2222" s="18"/>
      <c r="G2222" s="19" t="str">
        <f t="shared" ca="1" si="68"/>
        <v/>
      </c>
      <c r="H2222" s="27"/>
      <c r="I2222" s="27"/>
      <c r="J2222" s="77" t="str">
        <f t="shared" ca="1" si="69"/>
        <v/>
      </c>
      <c r="K2222" s="23">
        <f>IF(A2222="","",COUNTIFS(Resumen!$N$2:$N$2999,ROW(),Resumen!$V$2:$V$2999,1))</f>
        <v/>
      </c>
      <c r="L2222" s="26"/>
      <c r="N22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3" spans="1:14">
      <c r="A2223" s="16"/>
      <c r="B2223" s="16"/>
      <c r="C2223" s="25"/>
      <c r="D2223" s="25"/>
      <c r="E2223" s="16"/>
      <c r="F2223" s="18"/>
      <c r="G2223" s="19" t="str">
        <f t="shared" ca="1" si="68"/>
        <v/>
      </c>
      <c r="H2223" s="27"/>
      <c r="I2223" s="27"/>
      <c r="J2223" s="77" t="str">
        <f t="shared" ca="1" si="69"/>
        <v/>
      </c>
      <c r="K2223" s="23">
        <f>IF(A2223="","",COUNTIFS(Resumen!$N$2:$N$2999,ROW(),Resumen!$V$2:$V$2999,1))</f>
        <v/>
      </c>
      <c r="L2223" s="26"/>
      <c r="N22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4" spans="1:14">
      <c r="A2224" s="16"/>
      <c r="B2224" s="16"/>
      <c r="C2224" s="25"/>
      <c r="D2224" s="25"/>
      <c r="E2224" s="16"/>
      <c r="F2224" s="18"/>
      <c r="G2224" s="19" t="str">
        <f t="shared" ca="1" si="68"/>
        <v/>
      </c>
      <c r="H2224" s="27"/>
      <c r="I2224" s="27"/>
      <c r="J2224" s="77" t="str">
        <f t="shared" ca="1" si="69"/>
        <v/>
      </c>
      <c r="K2224" s="23">
        <f>IF(A2224="","",COUNTIFS(Resumen!$N$2:$N$2999,ROW(),Resumen!$V$2:$V$2999,1))</f>
        <v/>
      </c>
      <c r="L2224" s="26"/>
      <c r="N22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5" spans="1:14">
      <c r="A2225" s="16"/>
      <c r="B2225" s="16"/>
      <c r="C2225" s="25"/>
      <c r="D2225" s="25"/>
      <c r="E2225" s="16"/>
      <c r="F2225" s="18"/>
      <c r="G2225" s="19" t="str">
        <f t="shared" ca="1" si="68"/>
        <v/>
      </c>
      <c r="H2225" s="27"/>
      <c r="I2225" s="27"/>
      <c r="J2225" s="77" t="str">
        <f t="shared" ca="1" si="69"/>
        <v/>
      </c>
      <c r="K2225" s="23">
        <f>IF(A2225="","",COUNTIFS(Resumen!$N$2:$N$2999,ROW(),Resumen!$V$2:$V$2999,1))</f>
        <v/>
      </c>
      <c r="L2225" s="26"/>
      <c r="N22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6" spans="1:14">
      <c r="A2226" s="16"/>
      <c r="B2226" s="16"/>
      <c r="C2226" s="25"/>
      <c r="D2226" s="25"/>
      <c r="E2226" s="16"/>
      <c r="F2226" s="18"/>
      <c r="G2226" s="19" t="str">
        <f t="shared" ca="1" si="68"/>
        <v/>
      </c>
      <c r="H2226" s="27"/>
      <c r="I2226" s="27"/>
      <c r="J2226" s="77" t="str">
        <f t="shared" ca="1" si="69"/>
        <v/>
      </c>
      <c r="K2226" s="23">
        <f>IF(A2226="","",COUNTIFS(Resumen!$N$2:$N$2999,ROW(),Resumen!$V$2:$V$2999,1))</f>
        <v/>
      </c>
      <c r="L2226" s="26"/>
      <c r="N22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7" spans="1:14">
      <c r="A2227" s="16"/>
      <c r="B2227" s="16"/>
      <c r="C2227" s="25"/>
      <c r="D2227" s="25"/>
      <c r="E2227" s="16"/>
      <c r="F2227" s="18"/>
      <c r="G2227" s="19" t="str">
        <f t="shared" ca="1" si="68"/>
        <v/>
      </c>
      <c r="H2227" s="27"/>
      <c r="I2227" s="27"/>
      <c r="J2227" s="77" t="str">
        <f t="shared" ca="1" si="69"/>
        <v/>
      </c>
      <c r="K2227" s="23">
        <f>IF(A2227="","",COUNTIFS(Resumen!$N$2:$N$2999,ROW(),Resumen!$V$2:$V$2999,1))</f>
        <v/>
      </c>
      <c r="L2227" s="26"/>
      <c r="N22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8" spans="1:14">
      <c r="A2228" s="16"/>
      <c r="B2228" s="16"/>
      <c r="C2228" s="25"/>
      <c r="D2228" s="25"/>
      <c r="E2228" s="16"/>
      <c r="F2228" s="18"/>
      <c r="G2228" s="19" t="str">
        <f t="shared" ca="1" si="68"/>
        <v/>
      </c>
      <c r="H2228" s="27"/>
      <c r="I2228" s="27"/>
      <c r="J2228" s="77" t="str">
        <f t="shared" ca="1" si="69"/>
        <v/>
      </c>
      <c r="K2228" s="23">
        <f>IF(A2228="","",COUNTIFS(Resumen!$N$2:$N$2999,ROW(),Resumen!$V$2:$V$2999,1))</f>
        <v/>
      </c>
      <c r="L2228" s="26"/>
      <c r="N22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29" spans="1:14">
      <c r="A2229" s="16"/>
      <c r="B2229" s="16"/>
      <c r="C2229" s="25"/>
      <c r="D2229" s="25"/>
      <c r="E2229" s="16"/>
      <c r="F2229" s="18"/>
      <c r="G2229" s="19" t="str">
        <f t="shared" ca="1" si="68"/>
        <v/>
      </c>
      <c r="H2229" s="27"/>
      <c r="I2229" s="27"/>
      <c r="J2229" s="77" t="str">
        <f t="shared" ca="1" si="69"/>
        <v/>
      </c>
      <c r="K2229" s="23">
        <f>IF(A2229="","",COUNTIFS(Resumen!$N$2:$N$2999,ROW(),Resumen!$V$2:$V$2999,1))</f>
        <v/>
      </c>
      <c r="L2229" s="26"/>
      <c r="N22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0" spans="1:14">
      <c r="A2230" s="16"/>
      <c r="B2230" s="16"/>
      <c r="C2230" s="25"/>
      <c r="D2230" s="25"/>
      <c r="E2230" s="16"/>
      <c r="F2230" s="18"/>
      <c r="G2230" s="19" t="str">
        <f t="shared" ca="1" si="68"/>
        <v/>
      </c>
      <c r="H2230" s="27"/>
      <c r="I2230" s="27"/>
      <c r="J2230" s="77" t="str">
        <f t="shared" ca="1" si="69"/>
        <v/>
      </c>
      <c r="K2230" s="23">
        <f>IF(A2230="","",COUNTIFS(Resumen!$N$2:$N$2999,ROW(),Resumen!$V$2:$V$2999,1))</f>
        <v/>
      </c>
      <c r="L2230" s="26"/>
      <c r="N22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1" spans="1:14">
      <c r="A2231" s="16"/>
      <c r="B2231" s="16"/>
      <c r="C2231" s="25"/>
      <c r="D2231" s="25"/>
      <c r="E2231" s="16"/>
      <c r="F2231" s="18"/>
      <c r="G2231" s="19" t="str">
        <f t="shared" ca="1" si="68"/>
        <v/>
      </c>
      <c r="H2231" s="27"/>
      <c r="I2231" s="27"/>
      <c r="J2231" s="77" t="str">
        <f t="shared" ca="1" si="69"/>
        <v/>
      </c>
      <c r="K2231" s="23">
        <f>IF(A2231="","",COUNTIFS(Resumen!$N$2:$N$2999,ROW(),Resumen!$V$2:$V$2999,1))</f>
        <v/>
      </c>
      <c r="L2231" s="26"/>
      <c r="N22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2" spans="1:14">
      <c r="A2232" s="16"/>
      <c r="B2232" s="16"/>
      <c r="C2232" s="25"/>
      <c r="D2232" s="25"/>
      <c r="E2232" s="16"/>
      <c r="F2232" s="18"/>
      <c r="G2232" s="19" t="str">
        <f t="shared" ca="1" si="68"/>
        <v/>
      </c>
      <c r="H2232" s="27"/>
      <c r="I2232" s="27"/>
      <c r="J2232" s="77" t="str">
        <f t="shared" ca="1" si="69"/>
        <v/>
      </c>
      <c r="K2232" s="23">
        <f>IF(A2232="","",COUNTIFS(Resumen!$N$2:$N$2999,ROW(),Resumen!$V$2:$V$2999,1))</f>
        <v/>
      </c>
      <c r="L2232" s="26"/>
      <c r="N22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3" spans="1:14">
      <c r="A2233" s="16"/>
      <c r="B2233" s="16"/>
      <c r="C2233" s="25"/>
      <c r="D2233" s="25"/>
      <c r="E2233" s="16"/>
      <c r="F2233" s="18"/>
      <c r="G2233" s="19" t="str">
        <f t="shared" ca="1" si="68"/>
        <v/>
      </c>
      <c r="H2233" s="27"/>
      <c r="I2233" s="27"/>
      <c r="J2233" s="77" t="str">
        <f t="shared" ca="1" si="69"/>
        <v/>
      </c>
      <c r="K2233" s="23">
        <f>IF(A2233="","",COUNTIFS(Resumen!$N$2:$N$2999,ROW(),Resumen!$V$2:$V$2999,1))</f>
        <v/>
      </c>
      <c r="L2233" s="26"/>
      <c r="N22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4" spans="1:14">
      <c r="A2234" s="16"/>
      <c r="B2234" s="16"/>
      <c r="C2234" s="25"/>
      <c r="D2234" s="25"/>
      <c r="E2234" s="16"/>
      <c r="F2234" s="18"/>
      <c r="G2234" s="19" t="str">
        <f t="shared" ca="1" si="68"/>
        <v/>
      </c>
      <c r="H2234" s="27"/>
      <c r="I2234" s="27"/>
      <c r="J2234" s="77" t="str">
        <f t="shared" ca="1" si="69"/>
        <v/>
      </c>
      <c r="K2234" s="23">
        <f>IF(A2234="","",COUNTIFS(Resumen!$N$2:$N$2999,ROW(),Resumen!$V$2:$V$2999,1))</f>
        <v/>
      </c>
      <c r="L2234" s="26"/>
      <c r="N22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5" spans="1:14">
      <c r="A2235" s="16"/>
      <c r="B2235" s="16"/>
      <c r="C2235" s="25"/>
      <c r="D2235" s="25"/>
      <c r="E2235" s="16"/>
      <c r="F2235" s="18"/>
      <c r="G2235" s="19" t="str">
        <f t="shared" ca="1" si="68"/>
        <v/>
      </c>
      <c r="H2235" s="27"/>
      <c r="I2235" s="27"/>
      <c r="J2235" s="77" t="str">
        <f t="shared" ca="1" si="69"/>
        <v/>
      </c>
      <c r="K2235" s="23">
        <f>IF(A2235="","",COUNTIFS(Resumen!$N$2:$N$2999,ROW(),Resumen!$V$2:$V$2999,1))</f>
        <v/>
      </c>
      <c r="L2235" s="26"/>
      <c r="N22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6" spans="1:14">
      <c r="A2236" s="16"/>
      <c r="B2236" s="16"/>
      <c r="C2236" s="25"/>
      <c r="D2236" s="25"/>
      <c r="E2236" s="16"/>
      <c r="F2236" s="18"/>
      <c r="G2236" s="19" t="str">
        <f t="shared" ca="1" si="68"/>
        <v/>
      </c>
      <c r="H2236" s="27"/>
      <c r="I2236" s="27"/>
      <c r="J2236" s="77" t="str">
        <f t="shared" ca="1" si="69"/>
        <v/>
      </c>
      <c r="K2236" s="23">
        <f>IF(A2236="","",COUNTIFS(Resumen!$N$2:$N$2999,ROW(),Resumen!$V$2:$V$2999,1))</f>
        <v/>
      </c>
      <c r="L2236" s="26"/>
      <c r="N22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7" spans="1:14">
      <c r="A2237" s="16"/>
      <c r="B2237" s="16"/>
      <c r="C2237" s="25"/>
      <c r="D2237" s="25"/>
      <c r="E2237" s="16"/>
      <c r="F2237" s="18"/>
      <c r="G2237" s="19" t="str">
        <f t="shared" ca="1" si="68"/>
        <v/>
      </c>
      <c r="H2237" s="27"/>
      <c r="I2237" s="27"/>
      <c r="J2237" s="77" t="str">
        <f t="shared" ca="1" si="69"/>
        <v/>
      </c>
      <c r="K2237" s="23">
        <f>IF(A2237="","",COUNTIFS(Resumen!$N$2:$N$2999,ROW(),Resumen!$V$2:$V$2999,1))</f>
        <v/>
      </c>
      <c r="L2237" s="26"/>
      <c r="N22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8" spans="1:14">
      <c r="A2238" s="16"/>
      <c r="B2238" s="16"/>
      <c r="C2238" s="25"/>
      <c r="D2238" s="25"/>
      <c r="E2238" s="16"/>
      <c r="F2238" s="18"/>
      <c r="G2238" s="19" t="str">
        <f t="shared" ca="1" si="68"/>
        <v/>
      </c>
      <c r="H2238" s="27"/>
      <c r="I2238" s="27"/>
      <c r="J2238" s="77" t="str">
        <f t="shared" ca="1" si="69"/>
        <v/>
      </c>
      <c r="K2238" s="23">
        <f>IF(A2238="","",COUNTIFS(Resumen!$N$2:$N$2999,ROW(),Resumen!$V$2:$V$2999,1))</f>
        <v/>
      </c>
      <c r="L2238" s="26"/>
      <c r="N22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39" spans="1:14">
      <c r="A2239" s="16"/>
      <c r="B2239" s="16"/>
      <c r="C2239" s="25"/>
      <c r="D2239" s="25"/>
      <c r="E2239" s="16"/>
      <c r="F2239" s="18"/>
      <c r="G2239" s="19" t="str">
        <f t="shared" ca="1" si="68"/>
        <v/>
      </c>
      <c r="H2239" s="27"/>
      <c r="I2239" s="27"/>
      <c r="J2239" s="77" t="str">
        <f t="shared" ca="1" si="69"/>
        <v/>
      </c>
      <c r="K2239" s="23">
        <f>IF(A2239="","",COUNTIFS(Resumen!$N$2:$N$2999,ROW(),Resumen!$V$2:$V$2999,1))</f>
        <v/>
      </c>
      <c r="L2239" s="26"/>
      <c r="N22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0" spans="1:14">
      <c r="A2240" s="16"/>
      <c r="B2240" s="16"/>
      <c r="C2240" s="25"/>
      <c r="D2240" s="25"/>
      <c r="E2240" s="16"/>
      <c r="F2240" s="18"/>
      <c r="G2240" s="19" t="str">
        <f t="shared" ca="1" si="68"/>
        <v/>
      </c>
      <c r="H2240" s="27"/>
      <c r="I2240" s="27"/>
      <c r="J2240" s="77" t="str">
        <f t="shared" ca="1" si="69"/>
        <v/>
      </c>
      <c r="K2240" s="23">
        <f>IF(A2240="","",COUNTIFS(Resumen!$N$2:$N$2999,ROW(),Resumen!$V$2:$V$2999,1))</f>
        <v/>
      </c>
      <c r="L2240" s="26"/>
      <c r="N22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1" spans="1:14">
      <c r="A2241" s="16"/>
      <c r="B2241" s="16"/>
      <c r="C2241" s="25"/>
      <c r="D2241" s="25"/>
      <c r="E2241" s="16"/>
      <c r="F2241" s="18"/>
      <c r="G2241" s="19" t="str">
        <f t="shared" ca="1" si="68"/>
        <v/>
      </c>
      <c r="H2241" s="27"/>
      <c r="I2241" s="27"/>
      <c r="J2241" s="77" t="str">
        <f t="shared" ca="1" si="69"/>
        <v/>
      </c>
      <c r="K2241" s="23">
        <f>IF(A2241="","",COUNTIFS(Resumen!$N$2:$N$2999,ROW(),Resumen!$V$2:$V$2999,1))</f>
        <v/>
      </c>
      <c r="L2241" s="26"/>
      <c r="N22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2" spans="1:14">
      <c r="A2242" s="16"/>
      <c r="B2242" s="16"/>
      <c r="C2242" s="25"/>
      <c r="D2242" s="25"/>
      <c r="E2242" s="16"/>
      <c r="F2242" s="18"/>
      <c r="G2242" s="19" t="str">
        <f t="shared" ref="G2242:G2305" ca="1" si="70">IF(F2242="", "", DATEDIF(F2242, TODAY(), "Y"))</f>
        <v/>
      </c>
      <c r="H2242" s="27"/>
      <c r="I2242" s="27"/>
      <c r="J2242" s="77" t="str">
        <f t="shared" ref="J2242:J2305" ca="1" si="71">IFERROR(IF(ISNUMBER(INDEX(VigenciasFamilia,ROW())),INDEX(VigenciasFamilia,ROW())-TODAY(),""),"")</f>
        <v/>
      </c>
      <c r="K2242" s="23">
        <f>IF(A2242="","",COUNTIFS(Resumen!$N$2:$N$2999,ROW(),Resumen!$V$2:$V$2999,1))</f>
        <v/>
      </c>
      <c r="L2242" s="26"/>
      <c r="N22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3" spans="1:14">
      <c r="A2243" s="16"/>
      <c r="B2243" s="16"/>
      <c r="C2243" s="25"/>
      <c r="D2243" s="25"/>
      <c r="E2243" s="16"/>
      <c r="F2243" s="18"/>
      <c r="G2243" s="19" t="str">
        <f t="shared" ca="1" si="70"/>
        <v/>
      </c>
      <c r="H2243" s="27"/>
      <c r="I2243" s="27"/>
      <c r="J2243" s="77" t="str">
        <f t="shared" ca="1" si="71"/>
        <v/>
      </c>
      <c r="K2243" s="23">
        <f>IF(A2243="","",COUNTIFS(Resumen!$N$2:$N$2999,ROW(),Resumen!$V$2:$V$2999,1))</f>
        <v/>
      </c>
      <c r="L2243" s="26"/>
      <c r="N22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4" spans="1:14">
      <c r="A2244" s="16"/>
      <c r="B2244" s="16"/>
      <c r="C2244" s="25"/>
      <c r="D2244" s="25"/>
      <c r="E2244" s="16"/>
      <c r="F2244" s="18"/>
      <c r="G2244" s="19" t="str">
        <f t="shared" ca="1" si="70"/>
        <v/>
      </c>
      <c r="H2244" s="27"/>
      <c r="I2244" s="27"/>
      <c r="J2244" s="77" t="str">
        <f t="shared" ca="1" si="71"/>
        <v/>
      </c>
      <c r="K2244" s="23">
        <f>IF(A2244="","",COUNTIFS(Resumen!$N$2:$N$2999,ROW(),Resumen!$V$2:$V$2999,1))</f>
        <v/>
      </c>
      <c r="L2244" s="26"/>
      <c r="N22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5" spans="1:14">
      <c r="A2245" s="16"/>
      <c r="B2245" s="16"/>
      <c r="C2245" s="25"/>
      <c r="D2245" s="25"/>
      <c r="E2245" s="16"/>
      <c r="F2245" s="18"/>
      <c r="G2245" s="19" t="str">
        <f t="shared" ca="1" si="70"/>
        <v/>
      </c>
      <c r="H2245" s="27"/>
      <c r="I2245" s="27"/>
      <c r="J2245" s="77" t="str">
        <f t="shared" ca="1" si="71"/>
        <v/>
      </c>
      <c r="K2245" s="23">
        <f>IF(A2245="","",COUNTIFS(Resumen!$N$2:$N$2999,ROW(),Resumen!$V$2:$V$2999,1))</f>
        <v/>
      </c>
      <c r="L2245" s="26"/>
      <c r="N22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6" spans="1:14">
      <c r="A2246" s="16"/>
      <c r="B2246" s="16"/>
      <c r="C2246" s="25"/>
      <c r="D2246" s="25"/>
      <c r="E2246" s="16"/>
      <c r="F2246" s="18"/>
      <c r="G2246" s="19" t="str">
        <f t="shared" ca="1" si="70"/>
        <v/>
      </c>
      <c r="H2246" s="27"/>
      <c r="I2246" s="27"/>
      <c r="J2246" s="77" t="str">
        <f t="shared" ca="1" si="71"/>
        <v/>
      </c>
      <c r="K2246" s="23">
        <f>IF(A2246="","",COUNTIFS(Resumen!$N$2:$N$2999,ROW(),Resumen!$V$2:$V$2999,1))</f>
        <v/>
      </c>
      <c r="L2246" s="26"/>
      <c r="N22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7" spans="1:14">
      <c r="A2247" s="16"/>
      <c r="B2247" s="16"/>
      <c r="C2247" s="25"/>
      <c r="D2247" s="25"/>
      <c r="E2247" s="16"/>
      <c r="F2247" s="18"/>
      <c r="G2247" s="19" t="str">
        <f t="shared" ca="1" si="70"/>
        <v/>
      </c>
      <c r="H2247" s="27"/>
      <c r="I2247" s="27"/>
      <c r="J2247" s="77" t="str">
        <f t="shared" ca="1" si="71"/>
        <v/>
      </c>
      <c r="K2247" s="23">
        <f>IF(A2247="","",COUNTIFS(Resumen!$N$2:$N$2999,ROW(),Resumen!$V$2:$V$2999,1))</f>
        <v/>
      </c>
      <c r="L2247" s="26"/>
      <c r="N22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8" spans="1:14">
      <c r="A2248" s="16"/>
      <c r="B2248" s="16"/>
      <c r="C2248" s="25"/>
      <c r="D2248" s="25"/>
      <c r="E2248" s="16"/>
      <c r="F2248" s="18"/>
      <c r="G2248" s="19" t="str">
        <f t="shared" ca="1" si="70"/>
        <v/>
      </c>
      <c r="H2248" s="27"/>
      <c r="I2248" s="27"/>
      <c r="J2248" s="77" t="str">
        <f t="shared" ca="1" si="71"/>
        <v/>
      </c>
      <c r="K2248" s="23">
        <f>IF(A2248="","",COUNTIFS(Resumen!$N$2:$N$2999,ROW(),Resumen!$V$2:$V$2999,1))</f>
        <v/>
      </c>
      <c r="L2248" s="26"/>
      <c r="N22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49" spans="1:14">
      <c r="A2249" s="16"/>
      <c r="B2249" s="16"/>
      <c r="C2249" s="25"/>
      <c r="D2249" s="25"/>
      <c r="E2249" s="16"/>
      <c r="F2249" s="18"/>
      <c r="G2249" s="19" t="str">
        <f t="shared" ca="1" si="70"/>
        <v/>
      </c>
      <c r="H2249" s="27"/>
      <c r="I2249" s="27"/>
      <c r="J2249" s="77" t="str">
        <f t="shared" ca="1" si="71"/>
        <v/>
      </c>
      <c r="K2249" s="23">
        <f>IF(A2249="","",COUNTIFS(Resumen!$N$2:$N$2999,ROW(),Resumen!$V$2:$V$2999,1))</f>
        <v/>
      </c>
      <c r="L2249" s="26"/>
      <c r="N22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0" spans="1:14">
      <c r="A2250" s="16"/>
      <c r="B2250" s="16"/>
      <c r="C2250" s="25"/>
      <c r="D2250" s="25"/>
      <c r="E2250" s="16"/>
      <c r="F2250" s="18"/>
      <c r="G2250" s="19" t="str">
        <f t="shared" ca="1" si="70"/>
        <v/>
      </c>
      <c r="H2250" s="27"/>
      <c r="I2250" s="27"/>
      <c r="J2250" s="77" t="str">
        <f t="shared" ca="1" si="71"/>
        <v/>
      </c>
      <c r="K2250" s="23">
        <f>IF(A2250="","",COUNTIFS(Resumen!$N$2:$N$2999,ROW(),Resumen!$V$2:$V$2999,1))</f>
        <v/>
      </c>
      <c r="L2250" s="26"/>
      <c r="N22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1" spans="1:14">
      <c r="A2251" s="16"/>
      <c r="B2251" s="16"/>
      <c r="C2251" s="25"/>
      <c r="D2251" s="25"/>
      <c r="E2251" s="16"/>
      <c r="F2251" s="18"/>
      <c r="G2251" s="19" t="str">
        <f t="shared" ca="1" si="70"/>
        <v/>
      </c>
      <c r="H2251" s="27"/>
      <c r="I2251" s="27"/>
      <c r="J2251" s="77" t="str">
        <f t="shared" ca="1" si="71"/>
        <v/>
      </c>
      <c r="K2251" s="23">
        <f>IF(A2251="","",COUNTIFS(Resumen!$N$2:$N$2999,ROW(),Resumen!$V$2:$V$2999,1))</f>
        <v/>
      </c>
      <c r="L2251" s="26"/>
      <c r="N22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2" spans="1:14">
      <c r="A2252" s="16"/>
      <c r="B2252" s="16"/>
      <c r="C2252" s="25"/>
      <c r="D2252" s="25"/>
      <c r="E2252" s="16"/>
      <c r="F2252" s="18"/>
      <c r="G2252" s="19" t="str">
        <f t="shared" ca="1" si="70"/>
        <v/>
      </c>
      <c r="H2252" s="27"/>
      <c r="I2252" s="27"/>
      <c r="J2252" s="77" t="str">
        <f t="shared" ca="1" si="71"/>
        <v/>
      </c>
      <c r="K2252" s="23">
        <f>IF(A2252="","",COUNTIFS(Resumen!$N$2:$N$2999,ROW(),Resumen!$V$2:$V$2999,1))</f>
        <v/>
      </c>
      <c r="L2252" s="26"/>
      <c r="N22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3" spans="1:14">
      <c r="A2253" s="16"/>
      <c r="B2253" s="16"/>
      <c r="C2253" s="25"/>
      <c r="D2253" s="25"/>
      <c r="E2253" s="16"/>
      <c r="F2253" s="18"/>
      <c r="G2253" s="19" t="str">
        <f t="shared" ca="1" si="70"/>
        <v/>
      </c>
      <c r="H2253" s="27"/>
      <c r="I2253" s="27"/>
      <c r="J2253" s="77" t="str">
        <f t="shared" ca="1" si="71"/>
        <v/>
      </c>
      <c r="K2253" s="23">
        <f>IF(A2253="","",COUNTIFS(Resumen!$N$2:$N$2999,ROW(),Resumen!$V$2:$V$2999,1))</f>
        <v/>
      </c>
      <c r="L2253" s="26"/>
      <c r="N22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4" spans="1:14">
      <c r="A2254" s="16"/>
      <c r="B2254" s="16"/>
      <c r="C2254" s="25"/>
      <c r="D2254" s="25"/>
      <c r="E2254" s="16"/>
      <c r="F2254" s="18"/>
      <c r="G2254" s="19" t="str">
        <f t="shared" ca="1" si="70"/>
        <v/>
      </c>
      <c r="H2254" s="27"/>
      <c r="I2254" s="27"/>
      <c r="J2254" s="77" t="str">
        <f t="shared" ca="1" si="71"/>
        <v/>
      </c>
      <c r="K2254" s="23">
        <f>IF(A2254="","",COUNTIFS(Resumen!$N$2:$N$2999,ROW(),Resumen!$V$2:$V$2999,1))</f>
        <v/>
      </c>
      <c r="L2254" s="26"/>
      <c r="N22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5" spans="1:14">
      <c r="A2255" s="16"/>
      <c r="B2255" s="16"/>
      <c r="C2255" s="25"/>
      <c r="D2255" s="25"/>
      <c r="E2255" s="16"/>
      <c r="F2255" s="18"/>
      <c r="G2255" s="19" t="str">
        <f t="shared" ca="1" si="70"/>
        <v/>
      </c>
      <c r="H2255" s="27"/>
      <c r="I2255" s="27"/>
      <c r="J2255" s="77" t="str">
        <f t="shared" ca="1" si="71"/>
        <v/>
      </c>
      <c r="K2255" s="23">
        <f>IF(A2255="","",COUNTIFS(Resumen!$N$2:$N$2999,ROW(),Resumen!$V$2:$V$2999,1))</f>
        <v/>
      </c>
      <c r="L2255" s="26"/>
      <c r="N22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6" spans="1:14">
      <c r="A2256" s="16"/>
      <c r="B2256" s="16"/>
      <c r="C2256" s="25"/>
      <c r="D2256" s="25"/>
      <c r="E2256" s="16"/>
      <c r="F2256" s="18"/>
      <c r="G2256" s="19" t="str">
        <f t="shared" ca="1" si="70"/>
        <v/>
      </c>
      <c r="H2256" s="27"/>
      <c r="I2256" s="27"/>
      <c r="J2256" s="77" t="str">
        <f t="shared" ca="1" si="71"/>
        <v/>
      </c>
      <c r="K2256" s="23">
        <f>IF(A2256="","",COUNTIFS(Resumen!$N$2:$N$2999,ROW(),Resumen!$V$2:$V$2999,1))</f>
        <v/>
      </c>
      <c r="L2256" s="26"/>
      <c r="N22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7" spans="1:14">
      <c r="A2257" s="16"/>
      <c r="B2257" s="16"/>
      <c r="C2257" s="25"/>
      <c r="D2257" s="25"/>
      <c r="E2257" s="16"/>
      <c r="F2257" s="18"/>
      <c r="G2257" s="19" t="str">
        <f t="shared" ca="1" si="70"/>
        <v/>
      </c>
      <c r="H2257" s="27"/>
      <c r="I2257" s="27"/>
      <c r="J2257" s="77" t="str">
        <f t="shared" ca="1" si="71"/>
        <v/>
      </c>
      <c r="K2257" s="23">
        <f>IF(A2257="","",COUNTIFS(Resumen!$N$2:$N$2999,ROW(),Resumen!$V$2:$V$2999,1))</f>
        <v/>
      </c>
      <c r="L2257" s="26"/>
      <c r="N22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8" spans="1:14">
      <c r="A2258" s="16"/>
      <c r="B2258" s="16"/>
      <c r="C2258" s="25"/>
      <c r="D2258" s="25"/>
      <c r="E2258" s="16"/>
      <c r="F2258" s="18"/>
      <c r="G2258" s="19" t="str">
        <f t="shared" ca="1" si="70"/>
        <v/>
      </c>
      <c r="H2258" s="27"/>
      <c r="I2258" s="27"/>
      <c r="J2258" s="77" t="str">
        <f t="shared" ca="1" si="71"/>
        <v/>
      </c>
      <c r="K2258" s="23">
        <f>IF(A2258="","",COUNTIFS(Resumen!$N$2:$N$2999,ROW(),Resumen!$V$2:$V$2999,1))</f>
        <v/>
      </c>
      <c r="L2258" s="26"/>
      <c r="N22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59" spans="1:14">
      <c r="A2259" s="16"/>
      <c r="B2259" s="16"/>
      <c r="C2259" s="25"/>
      <c r="D2259" s="25"/>
      <c r="E2259" s="16"/>
      <c r="F2259" s="18"/>
      <c r="G2259" s="19" t="str">
        <f t="shared" ca="1" si="70"/>
        <v/>
      </c>
      <c r="H2259" s="27"/>
      <c r="I2259" s="27"/>
      <c r="J2259" s="77" t="str">
        <f t="shared" ca="1" si="71"/>
        <v/>
      </c>
      <c r="K2259" s="23">
        <f>IF(A2259="","",COUNTIFS(Resumen!$N$2:$N$2999,ROW(),Resumen!$V$2:$V$2999,1))</f>
        <v/>
      </c>
      <c r="L2259" s="26"/>
      <c r="N22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0" spans="1:14">
      <c r="A2260" s="16"/>
      <c r="B2260" s="16"/>
      <c r="C2260" s="25"/>
      <c r="D2260" s="25"/>
      <c r="E2260" s="16"/>
      <c r="F2260" s="18"/>
      <c r="G2260" s="19" t="str">
        <f t="shared" ca="1" si="70"/>
        <v/>
      </c>
      <c r="H2260" s="27"/>
      <c r="I2260" s="27"/>
      <c r="J2260" s="77" t="str">
        <f t="shared" ca="1" si="71"/>
        <v/>
      </c>
      <c r="K2260" s="23">
        <f>IF(A2260="","",COUNTIFS(Resumen!$N$2:$N$2999,ROW(),Resumen!$V$2:$V$2999,1))</f>
        <v/>
      </c>
      <c r="L2260" s="26"/>
      <c r="N22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1" spans="1:14">
      <c r="A2261" s="16"/>
      <c r="B2261" s="16"/>
      <c r="C2261" s="25"/>
      <c r="D2261" s="25"/>
      <c r="E2261" s="16"/>
      <c r="F2261" s="18"/>
      <c r="G2261" s="19" t="str">
        <f t="shared" ca="1" si="70"/>
        <v/>
      </c>
      <c r="H2261" s="27"/>
      <c r="I2261" s="27"/>
      <c r="J2261" s="77" t="str">
        <f t="shared" ca="1" si="71"/>
        <v/>
      </c>
      <c r="K2261" s="23">
        <f>IF(A2261="","",COUNTIFS(Resumen!$N$2:$N$2999,ROW(),Resumen!$V$2:$V$2999,1))</f>
        <v/>
      </c>
      <c r="L2261" s="26"/>
      <c r="N22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2" spans="1:14">
      <c r="A2262" s="16"/>
      <c r="B2262" s="16"/>
      <c r="C2262" s="25"/>
      <c r="D2262" s="25"/>
      <c r="E2262" s="16"/>
      <c r="F2262" s="18"/>
      <c r="G2262" s="19" t="str">
        <f t="shared" ca="1" si="70"/>
        <v/>
      </c>
      <c r="H2262" s="27"/>
      <c r="I2262" s="27"/>
      <c r="J2262" s="77" t="str">
        <f t="shared" ca="1" si="71"/>
        <v/>
      </c>
      <c r="K2262" s="23">
        <f>IF(A2262="","",COUNTIFS(Resumen!$N$2:$N$2999,ROW(),Resumen!$V$2:$V$2999,1))</f>
        <v/>
      </c>
      <c r="L2262" s="26"/>
      <c r="N22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3" spans="1:14">
      <c r="A2263" s="16"/>
      <c r="B2263" s="16"/>
      <c r="C2263" s="25"/>
      <c r="D2263" s="25"/>
      <c r="E2263" s="16"/>
      <c r="F2263" s="18"/>
      <c r="G2263" s="19" t="str">
        <f t="shared" ca="1" si="70"/>
        <v/>
      </c>
      <c r="H2263" s="27"/>
      <c r="I2263" s="27"/>
      <c r="J2263" s="77" t="str">
        <f t="shared" ca="1" si="71"/>
        <v/>
      </c>
      <c r="K2263" s="23">
        <f>IF(A2263="","",COUNTIFS(Resumen!$N$2:$N$2999,ROW(),Resumen!$V$2:$V$2999,1))</f>
        <v/>
      </c>
      <c r="L2263" s="26"/>
      <c r="N22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4" spans="1:14">
      <c r="A2264" s="16"/>
      <c r="B2264" s="16"/>
      <c r="C2264" s="25"/>
      <c r="D2264" s="25"/>
      <c r="E2264" s="16"/>
      <c r="F2264" s="18"/>
      <c r="G2264" s="19" t="str">
        <f t="shared" ca="1" si="70"/>
        <v/>
      </c>
      <c r="H2264" s="27"/>
      <c r="I2264" s="27"/>
      <c r="J2264" s="77" t="str">
        <f t="shared" ca="1" si="71"/>
        <v/>
      </c>
      <c r="K2264" s="23">
        <f>IF(A2264="","",COUNTIFS(Resumen!$N$2:$N$2999,ROW(),Resumen!$V$2:$V$2999,1))</f>
        <v/>
      </c>
      <c r="L2264" s="26"/>
      <c r="N22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5" spans="1:14">
      <c r="A2265" s="16"/>
      <c r="B2265" s="16"/>
      <c r="C2265" s="25"/>
      <c r="D2265" s="25"/>
      <c r="E2265" s="16"/>
      <c r="F2265" s="18"/>
      <c r="G2265" s="19" t="str">
        <f t="shared" ca="1" si="70"/>
        <v/>
      </c>
      <c r="H2265" s="27"/>
      <c r="I2265" s="27"/>
      <c r="J2265" s="77" t="str">
        <f t="shared" ca="1" si="71"/>
        <v/>
      </c>
      <c r="K2265" s="23">
        <f>IF(A2265="","",COUNTIFS(Resumen!$N$2:$N$2999,ROW(),Resumen!$V$2:$V$2999,1))</f>
        <v/>
      </c>
      <c r="L2265" s="26"/>
      <c r="N22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6" spans="1:14">
      <c r="A2266" s="16"/>
      <c r="B2266" s="16"/>
      <c r="C2266" s="25"/>
      <c r="D2266" s="25"/>
      <c r="E2266" s="16"/>
      <c r="F2266" s="18"/>
      <c r="G2266" s="19" t="str">
        <f t="shared" ca="1" si="70"/>
        <v/>
      </c>
      <c r="H2266" s="27"/>
      <c r="I2266" s="27"/>
      <c r="J2266" s="77" t="str">
        <f t="shared" ca="1" si="71"/>
        <v/>
      </c>
      <c r="K2266" s="23">
        <f>IF(A2266="","",COUNTIFS(Resumen!$N$2:$N$2999,ROW(),Resumen!$V$2:$V$2999,1))</f>
        <v/>
      </c>
      <c r="L2266" s="26"/>
      <c r="N22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7" spans="1:14">
      <c r="A2267" s="16"/>
      <c r="B2267" s="16"/>
      <c r="C2267" s="25"/>
      <c r="D2267" s="25"/>
      <c r="E2267" s="16"/>
      <c r="F2267" s="18"/>
      <c r="G2267" s="19" t="str">
        <f t="shared" ca="1" si="70"/>
        <v/>
      </c>
      <c r="H2267" s="27"/>
      <c r="I2267" s="27"/>
      <c r="J2267" s="77" t="str">
        <f t="shared" ca="1" si="71"/>
        <v/>
      </c>
      <c r="K2267" s="23">
        <f>IF(A2267="","",COUNTIFS(Resumen!$N$2:$N$2999,ROW(),Resumen!$V$2:$V$2999,1))</f>
        <v/>
      </c>
      <c r="L2267" s="26"/>
      <c r="N22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8" spans="1:14">
      <c r="A2268" s="16"/>
      <c r="B2268" s="16"/>
      <c r="C2268" s="25"/>
      <c r="D2268" s="25"/>
      <c r="E2268" s="16"/>
      <c r="F2268" s="18"/>
      <c r="G2268" s="19" t="str">
        <f t="shared" ca="1" si="70"/>
        <v/>
      </c>
      <c r="H2268" s="27"/>
      <c r="I2268" s="27"/>
      <c r="J2268" s="77" t="str">
        <f t="shared" ca="1" si="71"/>
        <v/>
      </c>
      <c r="K2268" s="23">
        <f>IF(A2268="","",COUNTIFS(Resumen!$N$2:$N$2999,ROW(),Resumen!$V$2:$V$2999,1))</f>
        <v/>
      </c>
      <c r="L2268" s="26"/>
      <c r="N22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69" spans="1:14">
      <c r="A2269" s="16"/>
      <c r="B2269" s="16"/>
      <c r="C2269" s="25"/>
      <c r="D2269" s="25"/>
      <c r="E2269" s="16"/>
      <c r="F2269" s="18"/>
      <c r="G2269" s="19" t="str">
        <f t="shared" ca="1" si="70"/>
        <v/>
      </c>
      <c r="H2269" s="27"/>
      <c r="I2269" s="27"/>
      <c r="J2269" s="77" t="str">
        <f t="shared" ca="1" si="71"/>
        <v/>
      </c>
      <c r="K2269" s="23">
        <f>IF(A2269="","",COUNTIFS(Resumen!$N$2:$N$2999,ROW(),Resumen!$V$2:$V$2999,1))</f>
        <v/>
      </c>
      <c r="L2269" s="26"/>
      <c r="N22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0" spans="1:14">
      <c r="A2270" s="16"/>
      <c r="B2270" s="16"/>
      <c r="C2270" s="25"/>
      <c r="D2270" s="25"/>
      <c r="E2270" s="16"/>
      <c r="F2270" s="18"/>
      <c r="G2270" s="19" t="str">
        <f t="shared" ca="1" si="70"/>
        <v/>
      </c>
      <c r="H2270" s="27"/>
      <c r="I2270" s="27"/>
      <c r="J2270" s="77" t="str">
        <f t="shared" ca="1" si="71"/>
        <v/>
      </c>
      <c r="K2270" s="23">
        <f>IF(A2270="","",COUNTIFS(Resumen!$N$2:$N$2999,ROW(),Resumen!$V$2:$V$2999,1))</f>
        <v/>
      </c>
      <c r="L2270" s="26"/>
      <c r="N22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1" spans="1:14">
      <c r="A2271" s="16"/>
      <c r="B2271" s="16"/>
      <c r="C2271" s="25"/>
      <c r="D2271" s="25"/>
      <c r="E2271" s="16"/>
      <c r="F2271" s="18"/>
      <c r="G2271" s="19" t="str">
        <f t="shared" ca="1" si="70"/>
        <v/>
      </c>
      <c r="H2271" s="27"/>
      <c r="I2271" s="27"/>
      <c r="J2271" s="77" t="str">
        <f t="shared" ca="1" si="71"/>
        <v/>
      </c>
      <c r="K2271" s="23">
        <f>IF(A2271="","",COUNTIFS(Resumen!$N$2:$N$2999,ROW(),Resumen!$V$2:$V$2999,1))</f>
        <v/>
      </c>
      <c r="L2271" s="26"/>
      <c r="N22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2" spans="1:14">
      <c r="A2272" s="16"/>
      <c r="B2272" s="16"/>
      <c r="C2272" s="25"/>
      <c r="D2272" s="25"/>
      <c r="E2272" s="16"/>
      <c r="F2272" s="18"/>
      <c r="G2272" s="19" t="str">
        <f t="shared" ca="1" si="70"/>
        <v/>
      </c>
      <c r="H2272" s="27"/>
      <c r="I2272" s="27"/>
      <c r="J2272" s="77" t="str">
        <f t="shared" ca="1" si="71"/>
        <v/>
      </c>
      <c r="K2272" s="23">
        <f>IF(A2272="","",COUNTIFS(Resumen!$N$2:$N$2999,ROW(),Resumen!$V$2:$V$2999,1))</f>
        <v/>
      </c>
      <c r="L2272" s="26"/>
      <c r="N22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3" spans="1:14">
      <c r="A2273" s="16"/>
      <c r="B2273" s="16"/>
      <c r="C2273" s="25"/>
      <c r="D2273" s="25"/>
      <c r="E2273" s="16"/>
      <c r="F2273" s="18"/>
      <c r="G2273" s="19" t="str">
        <f t="shared" ca="1" si="70"/>
        <v/>
      </c>
      <c r="H2273" s="27"/>
      <c r="I2273" s="27"/>
      <c r="J2273" s="77" t="str">
        <f t="shared" ca="1" si="71"/>
        <v/>
      </c>
      <c r="K2273" s="23">
        <f>IF(A2273="","",COUNTIFS(Resumen!$N$2:$N$2999,ROW(),Resumen!$V$2:$V$2999,1))</f>
        <v/>
      </c>
      <c r="L2273" s="26"/>
      <c r="N22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4" spans="1:14">
      <c r="A2274" s="16"/>
      <c r="B2274" s="16"/>
      <c r="C2274" s="25"/>
      <c r="D2274" s="25"/>
      <c r="E2274" s="16"/>
      <c r="F2274" s="18"/>
      <c r="G2274" s="19" t="str">
        <f t="shared" ca="1" si="70"/>
        <v/>
      </c>
      <c r="H2274" s="27"/>
      <c r="I2274" s="27"/>
      <c r="J2274" s="77" t="str">
        <f t="shared" ca="1" si="71"/>
        <v/>
      </c>
      <c r="K2274" s="23">
        <f>IF(A2274="","",COUNTIFS(Resumen!$N$2:$N$2999,ROW(),Resumen!$V$2:$V$2999,1))</f>
        <v/>
      </c>
      <c r="L2274" s="26"/>
      <c r="N22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5" spans="1:14">
      <c r="A2275" s="16"/>
      <c r="B2275" s="16"/>
      <c r="C2275" s="25"/>
      <c r="D2275" s="25"/>
      <c r="E2275" s="16"/>
      <c r="F2275" s="18"/>
      <c r="G2275" s="19" t="str">
        <f t="shared" ca="1" si="70"/>
        <v/>
      </c>
      <c r="H2275" s="27"/>
      <c r="I2275" s="27"/>
      <c r="J2275" s="77" t="str">
        <f t="shared" ca="1" si="71"/>
        <v/>
      </c>
      <c r="K2275" s="23">
        <f>IF(A2275="","",COUNTIFS(Resumen!$N$2:$N$2999,ROW(),Resumen!$V$2:$V$2999,1))</f>
        <v/>
      </c>
      <c r="L2275" s="26"/>
      <c r="N22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6" spans="1:14">
      <c r="A2276" s="16"/>
      <c r="B2276" s="16"/>
      <c r="C2276" s="25"/>
      <c r="D2276" s="25"/>
      <c r="E2276" s="16"/>
      <c r="F2276" s="18"/>
      <c r="G2276" s="19" t="str">
        <f t="shared" ca="1" si="70"/>
        <v/>
      </c>
      <c r="H2276" s="27"/>
      <c r="I2276" s="27"/>
      <c r="J2276" s="77" t="str">
        <f t="shared" ca="1" si="71"/>
        <v/>
      </c>
      <c r="K2276" s="23">
        <f>IF(A2276="","",COUNTIFS(Resumen!$N$2:$N$2999,ROW(),Resumen!$V$2:$V$2999,1))</f>
        <v/>
      </c>
      <c r="L2276" s="26"/>
      <c r="N22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7" spans="1:14">
      <c r="A2277" s="16"/>
      <c r="B2277" s="16"/>
      <c r="C2277" s="25"/>
      <c r="D2277" s="25"/>
      <c r="E2277" s="16"/>
      <c r="F2277" s="18"/>
      <c r="G2277" s="19" t="str">
        <f t="shared" ca="1" si="70"/>
        <v/>
      </c>
      <c r="H2277" s="27"/>
      <c r="I2277" s="27"/>
      <c r="J2277" s="77" t="str">
        <f t="shared" ca="1" si="71"/>
        <v/>
      </c>
      <c r="K2277" s="23">
        <f>IF(A2277="","",COUNTIFS(Resumen!$N$2:$N$2999,ROW(),Resumen!$V$2:$V$2999,1))</f>
        <v/>
      </c>
      <c r="L2277" s="26"/>
      <c r="N22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8" spans="1:14">
      <c r="A2278" s="16"/>
      <c r="B2278" s="16"/>
      <c r="C2278" s="25"/>
      <c r="D2278" s="25"/>
      <c r="E2278" s="16"/>
      <c r="F2278" s="18"/>
      <c r="G2278" s="19" t="str">
        <f t="shared" ca="1" si="70"/>
        <v/>
      </c>
      <c r="H2278" s="27"/>
      <c r="I2278" s="27"/>
      <c r="J2278" s="77" t="str">
        <f t="shared" ca="1" si="71"/>
        <v/>
      </c>
      <c r="K2278" s="23">
        <f>IF(A2278="","",COUNTIFS(Resumen!$N$2:$N$2999,ROW(),Resumen!$V$2:$V$2999,1))</f>
        <v/>
      </c>
      <c r="L2278" s="26"/>
      <c r="N22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79" spans="1:14">
      <c r="A2279" s="16"/>
      <c r="B2279" s="16"/>
      <c r="C2279" s="25"/>
      <c r="D2279" s="25"/>
      <c r="E2279" s="16"/>
      <c r="F2279" s="18"/>
      <c r="G2279" s="19" t="str">
        <f t="shared" ca="1" si="70"/>
        <v/>
      </c>
      <c r="H2279" s="27"/>
      <c r="I2279" s="27"/>
      <c r="J2279" s="77" t="str">
        <f t="shared" ca="1" si="71"/>
        <v/>
      </c>
      <c r="K2279" s="23">
        <f>IF(A2279="","",COUNTIFS(Resumen!$N$2:$N$2999,ROW(),Resumen!$V$2:$V$2999,1))</f>
        <v/>
      </c>
      <c r="L2279" s="26"/>
      <c r="N22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0" spans="1:14">
      <c r="A2280" s="16"/>
      <c r="B2280" s="16"/>
      <c r="C2280" s="25"/>
      <c r="D2280" s="25"/>
      <c r="E2280" s="16"/>
      <c r="F2280" s="18"/>
      <c r="G2280" s="19" t="str">
        <f t="shared" ca="1" si="70"/>
        <v/>
      </c>
      <c r="H2280" s="27"/>
      <c r="I2280" s="27"/>
      <c r="J2280" s="77" t="str">
        <f t="shared" ca="1" si="71"/>
        <v/>
      </c>
      <c r="K2280" s="23">
        <f>IF(A2280="","",COUNTIFS(Resumen!$N$2:$N$2999,ROW(),Resumen!$V$2:$V$2999,1))</f>
        <v/>
      </c>
      <c r="L2280" s="26"/>
      <c r="N22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1" spans="1:14">
      <c r="A2281" s="16"/>
      <c r="B2281" s="16"/>
      <c r="C2281" s="25"/>
      <c r="D2281" s="25"/>
      <c r="E2281" s="16"/>
      <c r="F2281" s="18"/>
      <c r="G2281" s="19" t="str">
        <f t="shared" ca="1" si="70"/>
        <v/>
      </c>
      <c r="H2281" s="27"/>
      <c r="I2281" s="27"/>
      <c r="J2281" s="77" t="str">
        <f t="shared" ca="1" si="71"/>
        <v/>
      </c>
      <c r="K2281" s="23">
        <f>IF(A2281="","",COUNTIFS(Resumen!$N$2:$N$2999,ROW(),Resumen!$V$2:$V$2999,1))</f>
        <v/>
      </c>
      <c r="L2281" s="26"/>
      <c r="N22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2" spans="1:14">
      <c r="A2282" s="16"/>
      <c r="B2282" s="16"/>
      <c r="C2282" s="25"/>
      <c r="D2282" s="25"/>
      <c r="E2282" s="16"/>
      <c r="F2282" s="18"/>
      <c r="G2282" s="19" t="str">
        <f t="shared" ca="1" si="70"/>
        <v/>
      </c>
      <c r="H2282" s="27"/>
      <c r="I2282" s="27"/>
      <c r="J2282" s="77" t="str">
        <f t="shared" ca="1" si="71"/>
        <v/>
      </c>
      <c r="K2282" s="23">
        <f>IF(A2282="","",COUNTIFS(Resumen!$N$2:$N$2999,ROW(),Resumen!$V$2:$V$2999,1))</f>
        <v/>
      </c>
      <c r="L2282" s="26"/>
      <c r="N22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3" spans="1:14">
      <c r="A2283" s="16"/>
      <c r="B2283" s="16"/>
      <c r="C2283" s="25"/>
      <c r="D2283" s="25"/>
      <c r="E2283" s="16"/>
      <c r="F2283" s="18"/>
      <c r="G2283" s="19" t="str">
        <f t="shared" ca="1" si="70"/>
        <v/>
      </c>
      <c r="H2283" s="27"/>
      <c r="I2283" s="27"/>
      <c r="J2283" s="77" t="str">
        <f t="shared" ca="1" si="71"/>
        <v/>
      </c>
      <c r="K2283" s="23">
        <f>IF(A2283="","",COUNTIFS(Resumen!$N$2:$N$2999,ROW(),Resumen!$V$2:$V$2999,1))</f>
        <v/>
      </c>
      <c r="L2283" s="26"/>
      <c r="N22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4" spans="1:14">
      <c r="A2284" s="16"/>
      <c r="B2284" s="16"/>
      <c r="C2284" s="25"/>
      <c r="D2284" s="25"/>
      <c r="E2284" s="16"/>
      <c r="F2284" s="18"/>
      <c r="G2284" s="19" t="str">
        <f t="shared" ca="1" si="70"/>
        <v/>
      </c>
      <c r="H2284" s="27"/>
      <c r="I2284" s="27"/>
      <c r="J2284" s="77" t="str">
        <f t="shared" ca="1" si="71"/>
        <v/>
      </c>
      <c r="K2284" s="23">
        <f>IF(A2284="","",COUNTIFS(Resumen!$N$2:$N$2999,ROW(),Resumen!$V$2:$V$2999,1))</f>
        <v/>
      </c>
      <c r="L2284" s="26"/>
      <c r="N22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5" spans="1:14">
      <c r="A2285" s="16"/>
      <c r="B2285" s="16"/>
      <c r="C2285" s="25"/>
      <c r="D2285" s="25"/>
      <c r="E2285" s="16"/>
      <c r="F2285" s="18"/>
      <c r="G2285" s="19" t="str">
        <f t="shared" ca="1" si="70"/>
        <v/>
      </c>
      <c r="H2285" s="27"/>
      <c r="I2285" s="27"/>
      <c r="J2285" s="77" t="str">
        <f t="shared" ca="1" si="71"/>
        <v/>
      </c>
      <c r="K2285" s="23">
        <f>IF(A2285="","",COUNTIFS(Resumen!$N$2:$N$2999,ROW(),Resumen!$V$2:$V$2999,1))</f>
        <v/>
      </c>
      <c r="L2285" s="26"/>
      <c r="N22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6" spans="1:14">
      <c r="A2286" s="16"/>
      <c r="B2286" s="16"/>
      <c r="C2286" s="25"/>
      <c r="D2286" s="25"/>
      <c r="E2286" s="16"/>
      <c r="F2286" s="18"/>
      <c r="G2286" s="19" t="str">
        <f t="shared" ca="1" si="70"/>
        <v/>
      </c>
      <c r="H2286" s="27"/>
      <c r="I2286" s="27"/>
      <c r="J2286" s="77" t="str">
        <f t="shared" ca="1" si="71"/>
        <v/>
      </c>
      <c r="K2286" s="23">
        <f>IF(A2286="","",COUNTIFS(Resumen!$N$2:$N$2999,ROW(),Resumen!$V$2:$V$2999,1))</f>
        <v/>
      </c>
      <c r="L2286" s="26"/>
      <c r="N22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7" spans="1:14">
      <c r="A2287" s="16"/>
      <c r="B2287" s="16"/>
      <c r="C2287" s="25"/>
      <c r="D2287" s="25"/>
      <c r="E2287" s="16"/>
      <c r="F2287" s="18"/>
      <c r="G2287" s="19" t="str">
        <f t="shared" ca="1" si="70"/>
        <v/>
      </c>
      <c r="H2287" s="27"/>
      <c r="I2287" s="27"/>
      <c r="J2287" s="77" t="str">
        <f t="shared" ca="1" si="71"/>
        <v/>
      </c>
      <c r="K2287" s="23">
        <f>IF(A2287="","",COUNTIFS(Resumen!$N$2:$N$2999,ROW(),Resumen!$V$2:$V$2999,1))</f>
        <v/>
      </c>
      <c r="L2287" s="26"/>
      <c r="N22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8" spans="1:14">
      <c r="A2288" s="16"/>
      <c r="B2288" s="16"/>
      <c r="C2288" s="25"/>
      <c r="D2288" s="25"/>
      <c r="E2288" s="16"/>
      <c r="F2288" s="18"/>
      <c r="G2288" s="19" t="str">
        <f t="shared" ca="1" si="70"/>
        <v/>
      </c>
      <c r="H2288" s="27"/>
      <c r="I2288" s="27"/>
      <c r="J2288" s="77" t="str">
        <f t="shared" ca="1" si="71"/>
        <v/>
      </c>
      <c r="K2288" s="23">
        <f>IF(A2288="","",COUNTIFS(Resumen!$N$2:$N$2999,ROW(),Resumen!$V$2:$V$2999,1))</f>
        <v/>
      </c>
      <c r="L2288" s="26"/>
      <c r="N22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89" spans="1:14">
      <c r="A2289" s="16"/>
      <c r="B2289" s="16"/>
      <c r="C2289" s="25"/>
      <c r="D2289" s="25"/>
      <c r="E2289" s="16"/>
      <c r="F2289" s="18"/>
      <c r="G2289" s="19" t="str">
        <f t="shared" ca="1" si="70"/>
        <v/>
      </c>
      <c r="H2289" s="27"/>
      <c r="I2289" s="27"/>
      <c r="J2289" s="77" t="str">
        <f t="shared" ca="1" si="71"/>
        <v/>
      </c>
      <c r="K2289" s="23">
        <f>IF(A2289="","",COUNTIFS(Resumen!$N$2:$N$2999,ROW(),Resumen!$V$2:$V$2999,1))</f>
        <v/>
      </c>
      <c r="L2289" s="26"/>
      <c r="N22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0" spans="1:14">
      <c r="A2290" s="16"/>
      <c r="B2290" s="16"/>
      <c r="C2290" s="25"/>
      <c r="D2290" s="25"/>
      <c r="E2290" s="16"/>
      <c r="F2290" s="18"/>
      <c r="G2290" s="19" t="str">
        <f t="shared" ca="1" si="70"/>
        <v/>
      </c>
      <c r="H2290" s="27"/>
      <c r="I2290" s="27"/>
      <c r="J2290" s="77" t="str">
        <f t="shared" ca="1" si="71"/>
        <v/>
      </c>
      <c r="K2290" s="23">
        <f>IF(A2290="","",COUNTIFS(Resumen!$N$2:$N$2999,ROW(),Resumen!$V$2:$V$2999,1))</f>
        <v/>
      </c>
      <c r="L2290" s="26"/>
      <c r="N22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1" spans="1:14">
      <c r="A2291" s="16"/>
      <c r="B2291" s="16"/>
      <c r="C2291" s="25"/>
      <c r="D2291" s="25"/>
      <c r="E2291" s="16"/>
      <c r="F2291" s="18"/>
      <c r="G2291" s="19" t="str">
        <f t="shared" ca="1" si="70"/>
        <v/>
      </c>
      <c r="H2291" s="27"/>
      <c r="I2291" s="27"/>
      <c r="J2291" s="77" t="str">
        <f t="shared" ca="1" si="71"/>
        <v/>
      </c>
      <c r="K2291" s="23">
        <f>IF(A2291="","",COUNTIFS(Resumen!$N$2:$N$2999,ROW(),Resumen!$V$2:$V$2999,1))</f>
        <v/>
      </c>
      <c r="L2291" s="26"/>
      <c r="N22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2" spans="1:14">
      <c r="A2292" s="16"/>
      <c r="B2292" s="16"/>
      <c r="C2292" s="25"/>
      <c r="D2292" s="25"/>
      <c r="E2292" s="16"/>
      <c r="F2292" s="18"/>
      <c r="G2292" s="19" t="str">
        <f t="shared" ca="1" si="70"/>
        <v/>
      </c>
      <c r="H2292" s="27"/>
      <c r="I2292" s="27"/>
      <c r="J2292" s="77" t="str">
        <f t="shared" ca="1" si="71"/>
        <v/>
      </c>
      <c r="K2292" s="23">
        <f>IF(A2292="","",COUNTIFS(Resumen!$N$2:$N$2999,ROW(),Resumen!$V$2:$V$2999,1))</f>
        <v/>
      </c>
      <c r="L2292" s="26"/>
      <c r="N22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3" spans="1:14">
      <c r="A2293" s="16"/>
      <c r="B2293" s="16"/>
      <c r="C2293" s="25"/>
      <c r="D2293" s="25"/>
      <c r="E2293" s="16"/>
      <c r="F2293" s="18"/>
      <c r="G2293" s="19" t="str">
        <f t="shared" ca="1" si="70"/>
        <v/>
      </c>
      <c r="H2293" s="27"/>
      <c r="I2293" s="27"/>
      <c r="J2293" s="77" t="str">
        <f t="shared" ca="1" si="71"/>
        <v/>
      </c>
      <c r="K2293" s="23">
        <f>IF(A2293="","",COUNTIFS(Resumen!$N$2:$N$2999,ROW(),Resumen!$V$2:$V$2999,1))</f>
        <v/>
      </c>
      <c r="L2293" s="26"/>
      <c r="N22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4" spans="1:14">
      <c r="A2294" s="16"/>
      <c r="B2294" s="16"/>
      <c r="C2294" s="25"/>
      <c r="D2294" s="25"/>
      <c r="E2294" s="16"/>
      <c r="F2294" s="18"/>
      <c r="G2294" s="19" t="str">
        <f t="shared" ca="1" si="70"/>
        <v/>
      </c>
      <c r="H2294" s="27"/>
      <c r="I2294" s="27"/>
      <c r="J2294" s="77" t="str">
        <f t="shared" ca="1" si="71"/>
        <v/>
      </c>
      <c r="K2294" s="23">
        <f>IF(A2294="","",COUNTIFS(Resumen!$N$2:$N$2999,ROW(),Resumen!$V$2:$V$2999,1))</f>
        <v/>
      </c>
      <c r="L2294" s="26"/>
      <c r="N22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5" spans="1:14">
      <c r="A2295" s="16"/>
      <c r="B2295" s="16"/>
      <c r="C2295" s="25"/>
      <c r="D2295" s="25"/>
      <c r="E2295" s="16"/>
      <c r="F2295" s="18"/>
      <c r="G2295" s="19" t="str">
        <f t="shared" ca="1" si="70"/>
        <v/>
      </c>
      <c r="H2295" s="27"/>
      <c r="I2295" s="27"/>
      <c r="J2295" s="77" t="str">
        <f t="shared" ca="1" si="71"/>
        <v/>
      </c>
      <c r="K2295" s="23">
        <f>IF(A2295="","",COUNTIFS(Resumen!$N$2:$N$2999,ROW(),Resumen!$V$2:$V$2999,1))</f>
        <v/>
      </c>
      <c r="L2295" s="26"/>
      <c r="N22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6" spans="1:14">
      <c r="A2296" s="16"/>
      <c r="B2296" s="16"/>
      <c r="C2296" s="25"/>
      <c r="D2296" s="25"/>
      <c r="E2296" s="16"/>
      <c r="F2296" s="18"/>
      <c r="G2296" s="19" t="str">
        <f t="shared" ca="1" si="70"/>
        <v/>
      </c>
      <c r="H2296" s="27"/>
      <c r="I2296" s="27"/>
      <c r="J2296" s="77" t="str">
        <f t="shared" ca="1" si="71"/>
        <v/>
      </c>
      <c r="K2296" s="23">
        <f>IF(A2296="","",COUNTIFS(Resumen!$N$2:$N$2999,ROW(),Resumen!$V$2:$V$2999,1))</f>
        <v/>
      </c>
      <c r="L2296" s="26"/>
      <c r="N22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7" spans="1:14">
      <c r="A2297" s="16"/>
      <c r="B2297" s="16"/>
      <c r="C2297" s="25"/>
      <c r="D2297" s="25"/>
      <c r="E2297" s="16"/>
      <c r="F2297" s="18"/>
      <c r="G2297" s="19" t="str">
        <f t="shared" ca="1" si="70"/>
        <v/>
      </c>
      <c r="H2297" s="27"/>
      <c r="I2297" s="27"/>
      <c r="J2297" s="77" t="str">
        <f t="shared" ca="1" si="71"/>
        <v/>
      </c>
      <c r="K2297" s="23">
        <f>IF(A2297="","",COUNTIFS(Resumen!$N$2:$N$2999,ROW(),Resumen!$V$2:$V$2999,1))</f>
        <v/>
      </c>
      <c r="L2297" s="26"/>
      <c r="N22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8" spans="1:14">
      <c r="A2298" s="16"/>
      <c r="B2298" s="16"/>
      <c r="C2298" s="25"/>
      <c r="D2298" s="25"/>
      <c r="E2298" s="16"/>
      <c r="F2298" s="18"/>
      <c r="G2298" s="19" t="str">
        <f t="shared" ca="1" si="70"/>
        <v/>
      </c>
      <c r="H2298" s="27"/>
      <c r="I2298" s="27"/>
      <c r="J2298" s="77" t="str">
        <f t="shared" ca="1" si="71"/>
        <v/>
      </c>
      <c r="K2298" s="23">
        <f>IF(A2298="","",COUNTIFS(Resumen!$N$2:$N$2999,ROW(),Resumen!$V$2:$V$2999,1))</f>
        <v/>
      </c>
      <c r="L2298" s="26"/>
      <c r="N22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299" spans="1:14">
      <c r="A2299" s="16"/>
      <c r="B2299" s="16"/>
      <c r="C2299" s="25"/>
      <c r="D2299" s="25"/>
      <c r="E2299" s="16"/>
      <c r="F2299" s="18"/>
      <c r="G2299" s="19" t="str">
        <f t="shared" ca="1" si="70"/>
        <v/>
      </c>
      <c r="H2299" s="27"/>
      <c r="I2299" s="27"/>
      <c r="J2299" s="77" t="str">
        <f t="shared" ca="1" si="71"/>
        <v/>
      </c>
      <c r="K2299" s="23">
        <f>IF(A2299="","",COUNTIFS(Resumen!$N$2:$N$2999,ROW(),Resumen!$V$2:$V$2999,1))</f>
        <v/>
      </c>
      <c r="L2299" s="26"/>
      <c r="N22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0" spans="1:14">
      <c r="A2300" s="16"/>
      <c r="B2300" s="16"/>
      <c r="C2300" s="25"/>
      <c r="D2300" s="25"/>
      <c r="E2300" s="16"/>
      <c r="F2300" s="18"/>
      <c r="G2300" s="19" t="str">
        <f t="shared" ca="1" si="70"/>
        <v/>
      </c>
      <c r="H2300" s="27"/>
      <c r="I2300" s="27"/>
      <c r="J2300" s="77" t="str">
        <f t="shared" ca="1" si="71"/>
        <v/>
      </c>
      <c r="K2300" s="23">
        <f>IF(A2300="","",COUNTIFS(Resumen!$N$2:$N$2999,ROW(),Resumen!$V$2:$V$2999,1))</f>
        <v/>
      </c>
      <c r="L2300" s="26"/>
      <c r="N23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1" spans="1:14">
      <c r="A2301" s="16"/>
      <c r="B2301" s="16"/>
      <c r="C2301" s="25"/>
      <c r="D2301" s="25"/>
      <c r="E2301" s="16"/>
      <c r="F2301" s="18"/>
      <c r="G2301" s="19" t="str">
        <f t="shared" ca="1" si="70"/>
        <v/>
      </c>
      <c r="H2301" s="27"/>
      <c r="I2301" s="27"/>
      <c r="J2301" s="77" t="str">
        <f t="shared" ca="1" si="71"/>
        <v/>
      </c>
      <c r="K2301" s="23">
        <f>IF(A2301="","",COUNTIFS(Resumen!$N$2:$N$2999,ROW(),Resumen!$V$2:$V$2999,1))</f>
        <v/>
      </c>
      <c r="L2301" s="26"/>
      <c r="N23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2" spans="1:14">
      <c r="A2302" s="16"/>
      <c r="B2302" s="16"/>
      <c r="C2302" s="25"/>
      <c r="D2302" s="25"/>
      <c r="E2302" s="16"/>
      <c r="F2302" s="18"/>
      <c r="G2302" s="19" t="str">
        <f t="shared" ca="1" si="70"/>
        <v/>
      </c>
      <c r="H2302" s="27"/>
      <c r="I2302" s="27"/>
      <c r="J2302" s="77" t="str">
        <f t="shared" ca="1" si="71"/>
        <v/>
      </c>
      <c r="K2302" s="23">
        <f>IF(A2302="","",COUNTIFS(Resumen!$N$2:$N$2999,ROW(),Resumen!$V$2:$V$2999,1))</f>
        <v/>
      </c>
      <c r="L2302" s="26"/>
      <c r="N23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3" spans="1:14">
      <c r="A2303" s="16"/>
      <c r="B2303" s="16"/>
      <c r="C2303" s="25"/>
      <c r="D2303" s="25"/>
      <c r="E2303" s="16"/>
      <c r="F2303" s="18"/>
      <c r="G2303" s="19" t="str">
        <f t="shared" ca="1" si="70"/>
        <v/>
      </c>
      <c r="H2303" s="27"/>
      <c r="I2303" s="27"/>
      <c r="J2303" s="77" t="str">
        <f t="shared" ca="1" si="71"/>
        <v/>
      </c>
      <c r="K2303" s="23">
        <f>IF(A2303="","",COUNTIFS(Resumen!$N$2:$N$2999,ROW(),Resumen!$V$2:$V$2999,1))</f>
        <v/>
      </c>
      <c r="L2303" s="26"/>
      <c r="N23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4" spans="1:14">
      <c r="A2304" s="16"/>
      <c r="B2304" s="16"/>
      <c r="C2304" s="25"/>
      <c r="D2304" s="25"/>
      <c r="E2304" s="16"/>
      <c r="F2304" s="18"/>
      <c r="G2304" s="19" t="str">
        <f t="shared" ca="1" si="70"/>
        <v/>
      </c>
      <c r="H2304" s="27"/>
      <c r="I2304" s="27"/>
      <c r="J2304" s="77" t="str">
        <f t="shared" ca="1" si="71"/>
        <v/>
      </c>
      <c r="K2304" s="23">
        <f>IF(A2304="","",COUNTIFS(Resumen!$N$2:$N$2999,ROW(),Resumen!$V$2:$V$2999,1))</f>
        <v/>
      </c>
      <c r="L2304" s="26"/>
      <c r="N23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5" spans="1:14">
      <c r="A2305" s="16"/>
      <c r="B2305" s="16"/>
      <c r="C2305" s="25"/>
      <c r="D2305" s="25"/>
      <c r="E2305" s="16"/>
      <c r="F2305" s="18"/>
      <c r="G2305" s="19" t="str">
        <f t="shared" ca="1" si="70"/>
        <v/>
      </c>
      <c r="H2305" s="27"/>
      <c r="I2305" s="27"/>
      <c r="J2305" s="77" t="str">
        <f t="shared" ca="1" si="71"/>
        <v/>
      </c>
      <c r="K2305" s="23">
        <f>IF(A2305="","",COUNTIFS(Resumen!$N$2:$N$2999,ROW(),Resumen!$V$2:$V$2999,1))</f>
        <v/>
      </c>
      <c r="L2305" s="26"/>
      <c r="N23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6" spans="1:14">
      <c r="A2306" s="16"/>
      <c r="B2306" s="16"/>
      <c r="C2306" s="25"/>
      <c r="D2306" s="25"/>
      <c r="E2306" s="16"/>
      <c r="F2306" s="18"/>
      <c r="G2306" s="19" t="str">
        <f t="shared" ref="G2306:G2369" ca="1" si="72">IF(F2306="", "", DATEDIF(F2306, TODAY(), "Y"))</f>
        <v/>
      </c>
      <c r="H2306" s="27"/>
      <c r="I2306" s="27"/>
      <c r="J2306" s="77" t="str">
        <f t="shared" ref="J2306:J2369" ca="1" si="73">IFERROR(IF(ISNUMBER(INDEX(VigenciasFamilia,ROW())),INDEX(VigenciasFamilia,ROW())-TODAY(),""),"")</f>
        <v/>
      </c>
      <c r="K2306" s="23">
        <f>IF(A2306="","",COUNTIFS(Resumen!$N$2:$N$2999,ROW(),Resumen!$V$2:$V$2999,1))</f>
        <v/>
      </c>
      <c r="L2306" s="26"/>
      <c r="N23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7" spans="1:14">
      <c r="A2307" s="16"/>
      <c r="B2307" s="16"/>
      <c r="C2307" s="25"/>
      <c r="D2307" s="25"/>
      <c r="E2307" s="16"/>
      <c r="F2307" s="18"/>
      <c r="G2307" s="19" t="str">
        <f t="shared" ca="1" si="72"/>
        <v/>
      </c>
      <c r="H2307" s="27"/>
      <c r="I2307" s="27"/>
      <c r="J2307" s="77" t="str">
        <f t="shared" ca="1" si="73"/>
        <v/>
      </c>
      <c r="K2307" s="23">
        <f>IF(A2307="","",COUNTIFS(Resumen!$N$2:$N$2999,ROW(),Resumen!$V$2:$V$2999,1))</f>
        <v/>
      </c>
      <c r="L2307" s="26"/>
      <c r="N23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8" spans="1:14">
      <c r="A2308" s="16"/>
      <c r="B2308" s="16"/>
      <c r="C2308" s="25"/>
      <c r="D2308" s="25"/>
      <c r="E2308" s="16"/>
      <c r="F2308" s="18"/>
      <c r="G2308" s="19" t="str">
        <f t="shared" ca="1" si="72"/>
        <v/>
      </c>
      <c r="H2308" s="27"/>
      <c r="I2308" s="27"/>
      <c r="J2308" s="77" t="str">
        <f t="shared" ca="1" si="73"/>
        <v/>
      </c>
      <c r="K2308" s="23">
        <f>IF(A2308="","",COUNTIFS(Resumen!$N$2:$N$2999,ROW(),Resumen!$V$2:$V$2999,1))</f>
        <v/>
      </c>
      <c r="L2308" s="26"/>
      <c r="N23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09" spans="1:14">
      <c r="A2309" s="16"/>
      <c r="B2309" s="16"/>
      <c r="C2309" s="25"/>
      <c r="D2309" s="25"/>
      <c r="E2309" s="16"/>
      <c r="F2309" s="18"/>
      <c r="G2309" s="19" t="str">
        <f t="shared" ca="1" si="72"/>
        <v/>
      </c>
      <c r="H2309" s="27"/>
      <c r="I2309" s="27"/>
      <c r="J2309" s="77" t="str">
        <f t="shared" ca="1" si="73"/>
        <v/>
      </c>
      <c r="K2309" s="23">
        <f>IF(A2309="","",COUNTIFS(Resumen!$N$2:$N$2999,ROW(),Resumen!$V$2:$V$2999,1))</f>
        <v/>
      </c>
      <c r="L2309" s="26"/>
      <c r="N23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0" spans="1:14">
      <c r="A2310" s="16"/>
      <c r="B2310" s="16"/>
      <c r="C2310" s="25"/>
      <c r="D2310" s="25"/>
      <c r="E2310" s="16"/>
      <c r="F2310" s="18"/>
      <c r="G2310" s="19" t="str">
        <f t="shared" ca="1" si="72"/>
        <v/>
      </c>
      <c r="H2310" s="27"/>
      <c r="I2310" s="27"/>
      <c r="J2310" s="77" t="str">
        <f t="shared" ca="1" si="73"/>
        <v/>
      </c>
      <c r="K2310" s="23">
        <f>IF(A2310="","",COUNTIFS(Resumen!$N$2:$N$2999,ROW(),Resumen!$V$2:$V$2999,1))</f>
        <v/>
      </c>
      <c r="L2310" s="26"/>
      <c r="N23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1" spans="1:14">
      <c r="A2311" s="16"/>
      <c r="B2311" s="16"/>
      <c r="C2311" s="25"/>
      <c r="D2311" s="25"/>
      <c r="E2311" s="16"/>
      <c r="F2311" s="18"/>
      <c r="G2311" s="19" t="str">
        <f t="shared" ca="1" si="72"/>
        <v/>
      </c>
      <c r="H2311" s="27"/>
      <c r="I2311" s="27"/>
      <c r="J2311" s="77" t="str">
        <f t="shared" ca="1" si="73"/>
        <v/>
      </c>
      <c r="K2311" s="23">
        <f>IF(A2311="","",COUNTIFS(Resumen!$N$2:$N$2999,ROW(),Resumen!$V$2:$V$2999,1))</f>
        <v/>
      </c>
      <c r="L2311" s="26"/>
      <c r="N23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2" spans="1:14">
      <c r="A2312" s="16"/>
      <c r="B2312" s="16"/>
      <c r="C2312" s="25"/>
      <c r="D2312" s="25"/>
      <c r="E2312" s="16"/>
      <c r="F2312" s="18"/>
      <c r="G2312" s="19" t="str">
        <f t="shared" ca="1" si="72"/>
        <v/>
      </c>
      <c r="H2312" s="27"/>
      <c r="I2312" s="27"/>
      <c r="J2312" s="77" t="str">
        <f t="shared" ca="1" si="73"/>
        <v/>
      </c>
      <c r="K2312" s="23">
        <f>IF(A2312="","",COUNTIFS(Resumen!$N$2:$N$2999,ROW(),Resumen!$V$2:$V$2999,1))</f>
        <v/>
      </c>
      <c r="L2312" s="26"/>
      <c r="N23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3" spans="1:14">
      <c r="A2313" s="16"/>
      <c r="B2313" s="16"/>
      <c r="C2313" s="25"/>
      <c r="D2313" s="25"/>
      <c r="E2313" s="16"/>
      <c r="F2313" s="18"/>
      <c r="G2313" s="19" t="str">
        <f t="shared" ca="1" si="72"/>
        <v/>
      </c>
      <c r="H2313" s="27"/>
      <c r="I2313" s="27"/>
      <c r="J2313" s="77" t="str">
        <f t="shared" ca="1" si="73"/>
        <v/>
      </c>
      <c r="K2313" s="23">
        <f>IF(A2313="","",COUNTIFS(Resumen!$N$2:$N$2999,ROW(),Resumen!$V$2:$V$2999,1))</f>
        <v/>
      </c>
      <c r="L2313" s="26"/>
      <c r="N23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4" spans="1:14">
      <c r="A2314" s="16"/>
      <c r="B2314" s="16"/>
      <c r="C2314" s="25"/>
      <c r="D2314" s="25"/>
      <c r="E2314" s="16"/>
      <c r="F2314" s="18"/>
      <c r="G2314" s="19" t="str">
        <f t="shared" ca="1" si="72"/>
        <v/>
      </c>
      <c r="H2314" s="27"/>
      <c r="I2314" s="27"/>
      <c r="J2314" s="77" t="str">
        <f t="shared" ca="1" si="73"/>
        <v/>
      </c>
      <c r="K2314" s="23">
        <f>IF(A2314="","",COUNTIFS(Resumen!$N$2:$N$2999,ROW(),Resumen!$V$2:$V$2999,1))</f>
        <v/>
      </c>
      <c r="L2314" s="26"/>
      <c r="N23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5" spans="1:14">
      <c r="A2315" s="16"/>
      <c r="B2315" s="16"/>
      <c r="C2315" s="25"/>
      <c r="D2315" s="25"/>
      <c r="E2315" s="16"/>
      <c r="F2315" s="18"/>
      <c r="G2315" s="19" t="str">
        <f t="shared" ca="1" si="72"/>
        <v/>
      </c>
      <c r="H2315" s="27"/>
      <c r="I2315" s="27"/>
      <c r="J2315" s="77" t="str">
        <f t="shared" ca="1" si="73"/>
        <v/>
      </c>
      <c r="K2315" s="23">
        <f>IF(A2315="","",COUNTIFS(Resumen!$N$2:$N$2999,ROW(),Resumen!$V$2:$V$2999,1))</f>
        <v/>
      </c>
      <c r="L2315" s="26"/>
      <c r="N23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6" spans="1:14">
      <c r="A2316" s="16"/>
      <c r="B2316" s="16"/>
      <c r="C2316" s="25"/>
      <c r="D2316" s="25"/>
      <c r="E2316" s="16"/>
      <c r="F2316" s="18"/>
      <c r="G2316" s="19" t="str">
        <f t="shared" ca="1" si="72"/>
        <v/>
      </c>
      <c r="H2316" s="27"/>
      <c r="I2316" s="27"/>
      <c r="J2316" s="77" t="str">
        <f t="shared" ca="1" si="73"/>
        <v/>
      </c>
      <c r="K2316" s="23">
        <f>IF(A2316="","",COUNTIFS(Resumen!$N$2:$N$2999,ROW(),Resumen!$V$2:$V$2999,1))</f>
        <v/>
      </c>
      <c r="L2316" s="26"/>
      <c r="N23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7" spans="1:14">
      <c r="A2317" s="16"/>
      <c r="B2317" s="16"/>
      <c r="C2317" s="25"/>
      <c r="D2317" s="25"/>
      <c r="E2317" s="16"/>
      <c r="F2317" s="18"/>
      <c r="G2317" s="19" t="str">
        <f t="shared" ca="1" si="72"/>
        <v/>
      </c>
      <c r="H2317" s="27"/>
      <c r="I2317" s="27"/>
      <c r="J2317" s="77" t="str">
        <f t="shared" ca="1" si="73"/>
        <v/>
      </c>
      <c r="K2317" s="23">
        <f>IF(A2317="","",COUNTIFS(Resumen!$N$2:$N$2999,ROW(),Resumen!$V$2:$V$2999,1))</f>
        <v/>
      </c>
      <c r="L2317" s="26"/>
      <c r="N23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8" spans="1:14">
      <c r="A2318" s="16"/>
      <c r="B2318" s="16"/>
      <c r="C2318" s="25"/>
      <c r="D2318" s="25"/>
      <c r="E2318" s="16"/>
      <c r="F2318" s="18"/>
      <c r="G2318" s="19" t="str">
        <f t="shared" ca="1" si="72"/>
        <v/>
      </c>
      <c r="H2318" s="27"/>
      <c r="I2318" s="27"/>
      <c r="J2318" s="77" t="str">
        <f t="shared" ca="1" si="73"/>
        <v/>
      </c>
      <c r="K2318" s="23">
        <f>IF(A2318="","",COUNTIFS(Resumen!$N$2:$N$2999,ROW(),Resumen!$V$2:$V$2999,1))</f>
        <v/>
      </c>
      <c r="L2318" s="26"/>
      <c r="N23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19" spans="1:14">
      <c r="A2319" s="16"/>
      <c r="B2319" s="16"/>
      <c r="C2319" s="25"/>
      <c r="D2319" s="25"/>
      <c r="E2319" s="16"/>
      <c r="F2319" s="18"/>
      <c r="G2319" s="19" t="str">
        <f t="shared" ca="1" si="72"/>
        <v/>
      </c>
      <c r="H2319" s="27"/>
      <c r="I2319" s="27"/>
      <c r="J2319" s="77" t="str">
        <f t="shared" ca="1" si="73"/>
        <v/>
      </c>
      <c r="K2319" s="23">
        <f>IF(A2319="","",COUNTIFS(Resumen!$N$2:$N$2999,ROW(),Resumen!$V$2:$V$2999,1))</f>
        <v/>
      </c>
      <c r="L2319" s="26"/>
      <c r="N23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0" spans="1:14">
      <c r="A2320" s="16"/>
      <c r="B2320" s="16"/>
      <c r="C2320" s="25"/>
      <c r="D2320" s="25"/>
      <c r="E2320" s="16"/>
      <c r="F2320" s="18"/>
      <c r="G2320" s="19" t="str">
        <f t="shared" ca="1" si="72"/>
        <v/>
      </c>
      <c r="H2320" s="27"/>
      <c r="I2320" s="27"/>
      <c r="J2320" s="77" t="str">
        <f t="shared" ca="1" si="73"/>
        <v/>
      </c>
      <c r="K2320" s="23">
        <f>IF(A2320="","",COUNTIFS(Resumen!$N$2:$N$2999,ROW(),Resumen!$V$2:$V$2999,1))</f>
        <v/>
      </c>
      <c r="L2320" s="26"/>
      <c r="N23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1" spans="1:14">
      <c r="A2321" s="16"/>
      <c r="B2321" s="16"/>
      <c r="C2321" s="25"/>
      <c r="D2321" s="25"/>
      <c r="E2321" s="16"/>
      <c r="F2321" s="18"/>
      <c r="G2321" s="19" t="str">
        <f t="shared" ca="1" si="72"/>
        <v/>
      </c>
      <c r="H2321" s="27"/>
      <c r="I2321" s="27"/>
      <c r="J2321" s="77" t="str">
        <f t="shared" ca="1" si="73"/>
        <v/>
      </c>
      <c r="K2321" s="23">
        <f>IF(A2321="","",COUNTIFS(Resumen!$N$2:$N$2999,ROW(),Resumen!$V$2:$V$2999,1))</f>
        <v/>
      </c>
      <c r="L2321" s="26"/>
      <c r="N23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2" spans="1:14">
      <c r="A2322" s="16"/>
      <c r="B2322" s="16"/>
      <c r="C2322" s="25"/>
      <c r="D2322" s="25"/>
      <c r="E2322" s="16"/>
      <c r="F2322" s="18"/>
      <c r="G2322" s="19" t="str">
        <f t="shared" ca="1" si="72"/>
        <v/>
      </c>
      <c r="H2322" s="27"/>
      <c r="I2322" s="27"/>
      <c r="J2322" s="77" t="str">
        <f t="shared" ca="1" si="73"/>
        <v/>
      </c>
      <c r="K2322" s="23">
        <f>IF(A2322="","",COUNTIFS(Resumen!$N$2:$N$2999,ROW(),Resumen!$V$2:$V$2999,1))</f>
        <v/>
      </c>
      <c r="L2322" s="26"/>
      <c r="N23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3" spans="1:14">
      <c r="A2323" s="16"/>
      <c r="B2323" s="16"/>
      <c r="C2323" s="25"/>
      <c r="D2323" s="25"/>
      <c r="E2323" s="16"/>
      <c r="F2323" s="18"/>
      <c r="G2323" s="19" t="str">
        <f t="shared" ca="1" si="72"/>
        <v/>
      </c>
      <c r="H2323" s="27"/>
      <c r="I2323" s="27"/>
      <c r="J2323" s="77" t="str">
        <f t="shared" ca="1" si="73"/>
        <v/>
      </c>
      <c r="K2323" s="23">
        <f>IF(A2323="","",COUNTIFS(Resumen!$N$2:$N$2999,ROW(),Resumen!$V$2:$V$2999,1))</f>
        <v/>
      </c>
      <c r="L2323" s="26"/>
      <c r="N23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4" spans="1:14">
      <c r="A2324" s="16"/>
      <c r="B2324" s="16"/>
      <c r="C2324" s="25"/>
      <c r="D2324" s="25"/>
      <c r="E2324" s="16"/>
      <c r="F2324" s="18"/>
      <c r="G2324" s="19" t="str">
        <f t="shared" ca="1" si="72"/>
        <v/>
      </c>
      <c r="H2324" s="27"/>
      <c r="I2324" s="27"/>
      <c r="J2324" s="77" t="str">
        <f t="shared" ca="1" si="73"/>
        <v/>
      </c>
      <c r="K2324" s="23">
        <f>IF(A2324="","",COUNTIFS(Resumen!$N$2:$N$2999,ROW(),Resumen!$V$2:$V$2999,1))</f>
        <v/>
      </c>
      <c r="L2324" s="26"/>
      <c r="N23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5" spans="1:14">
      <c r="A2325" s="16"/>
      <c r="B2325" s="16"/>
      <c r="C2325" s="25"/>
      <c r="D2325" s="25"/>
      <c r="E2325" s="16"/>
      <c r="F2325" s="18"/>
      <c r="G2325" s="19" t="str">
        <f t="shared" ca="1" si="72"/>
        <v/>
      </c>
      <c r="H2325" s="27"/>
      <c r="I2325" s="27"/>
      <c r="J2325" s="77" t="str">
        <f t="shared" ca="1" si="73"/>
        <v/>
      </c>
      <c r="K2325" s="23">
        <f>IF(A2325="","",COUNTIFS(Resumen!$N$2:$N$2999,ROW(),Resumen!$V$2:$V$2999,1))</f>
        <v/>
      </c>
      <c r="L2325" s="26"/>
      <c r="N23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6" spans="1:14">
      <c r="A2326" s="16"/>
      <c r="B2326" s="16"/>
      <c r="C2326" s="25"/>
      <c r="D2326" s="25"/>
      <c r="E2326" s="16"/>
      <c r="F2326" s="18"/>
      <c r="G2326" s="19" t="str">
        <f t="shared" ca="1" si="72"/>
        <v/>
      </c>
      <c r="H2326" s="27"/>
      <c r="I2326" s="27"/>
      <c r="J2326" s="77" t="str">
        <f t="shared" ca="1" si="73"/>
        <v/>
      </c>
      <c r="K2326" s="23">
        <f>IF(A2326="","",COUNTIFS(Resumen!$N$2:$N$2999,ROW(),Resumen!$V$2:$V$2999,1))</f>
        <v/>
      </c>
      <c r="L2326" s="26"/>
      <c r="N23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7" spans="1:14">
      <c r="A2327" s="16"/>
      <c r="B2327" s="16"/>
      <c r="C2327" s="25"/>
      <c r="D2327" s="25"/>
      <c r="E2327" s="16"/>
      <c r="F2327" s="18"/>
      <c r="G2327" s="19" t="str">
        <f t="shared" ca="1" si="72"/>
        <v/>
      </c>
      <c r="H2327" s="27"/>
      <c r="I2327" s="27"/>
      <c r="J2327" s="77" t="str">
        <f t="shared" ca="1" si="73"/>
        <v/>
      </c>
      <c r="K2327" s="23">
        <f>IF(A2327="","",COUNTIFS(Resumen!$N$2:$N$2999,ROW(),Resumen!$V$2:$V$2999,1))</f>
        <v/>
      </c>
      <c r="L2327" s="26"/>
      <c r="N23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8" spans="1:14">
      <c r="A2328" s="16"/>
      <c r="B2328" s="16"/>
      <c r="C2328" s="25"/>
      <c r="D2328" s="25"/>
      <c r="E2328" s="16"/>
      <c r="F2328" s="18"/>
      <c r="G2328" s="19" t="str">
        <f t="shared" ca="1" si="72"/>
        <v/>
      </c>
      <c r="H2328" s="27"/>
      <c r="I2328" s="27"/>
      <c r="J2328" s="77" t="str">
        <f t="shared" ca="1" si="73"/>
        <v/>
      </c>
      <c r="K2328" s="23">
        <f>IF(A2328="","",COUNTIFS(Resumen!$N$2:$N$2999,ROW(),Resumen!$V$2:$V$2999,1))</f>
        <v/>
      </c>
      <c r="L2328" s="26"/>
      <c r="N23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29" spans="1:14">
      <c r="A2329" s="16"/>
      <c r="B2329" s="16"/>
      <c r="C2329" s="25"/>
      <c r="D2329" s="25"/>
      <c r="E2329" s="16"/>
      <c r="F2329" s="18"/>
      <c r="G2329" s="19" t="str">
        <f t="shared" ca="1" si="72"/>
        <v/>
      </c>
      <c r="H2329" s="27"/>
      <c r="I2329" s="27"/>
      <c r="J2329" s="77" t="str">
        <f t="shared" ca="1" si="73"/>
        <v/>
      </c>
      <c r="K2329" s="23">
        <f>IF(A2329="","",COUNTIFS(Resumen!$N$2:$N$2999,ROW(),Resumen!$V$2:$V$2999,1))</f>
        <v/>
      </c>
      <c r="L2329" s="26"/>
      <c r="N23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0" spans="1:14">
      <c r="A2330" s="16"/>
      <c r="B2330" s="16"/>
      <c r="C2330" s="25"/>
      <c r="D2330" s="25"/>
      <c r="E2330" s="16"/>
      <c r="F2330" s="18"/>
      <c r="G2330" s="19" t="str">
        <f t="shared" ca="1" si="72"/>
        <v/>
      </c>
      <c r="H2330" s="27"/>
      <c r="I2330" s="27"/>
      <c r="J2330" s="77" t="str">
        <f t="shared" ca="1" si="73"/>
        <v/>
      </c>
      <c r="K2330" s="23">
        <f>IF(A2330="","",COUNTIFS(Resumen!$N$2:$N$2999,ROW(),Resumen!$V$2:$V$2999,1))</f>
        <v/>
      </c>
      <c r="L2330" s="26"/>
      <c r="N23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1" spans="1:14">
      <c r="A2331" s="16"/>
      <c r="B2331" s="16"/>
      <c r="C2331" s="25"/>
      <c r="D2331" s="25"/>
      <c r="E2331" s="16"/>
      <c r="F2331" s="18"/>
      <c r="G2331" s="19" t="str">
        <f t="shared" ca="1" si="72"/>
        <v/>
      </c>
      <c r="H2331" s="27"/>
      <c r="I2331" s="27"/>
      <c r="J2331" s="77" t="str">
        <f t="shared" ca="1" si="73"/>
        <v/>
      </c>
      <c r="K2331" s="23">
        <f>IF(A2331="","",COUNTIFS(Resumen!$N$2:$N$2999,ROW(),Resumen!$V$2:$V$2999,1))</f>
        <v/>
      </c>
      <c r="L2331" s="26"/>
      <c r="N23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2" spans="1:14">
      <c r="A2332" s="16"/>
      <c r="B2332" s="16"/>
      <c r="C2332" s="25"/>
      <c r="D2332" s="25"/>
      <c r="E2332" s="16"/>
      <c r="F2332" s="18"/>
      <c r="G2332" s="19" t="str">
        <f t="shared" ca="1" si="72"/>
        <v/>
      </c>
      <c r="H2332" s="27"/>
      <c r="I2332" s="27"/>
      <c r="J2332" s="77" t="str">
        <f t="shared" ca="1" si="73"/>
        <v/>
      </c>
      <c r="K2332" s="23">
        <f>IF(A2332="","",COUNTIFS(Resumen!$N$2:$N$2999,ROW(),Resumen!$V$2:$V$2999,1))</f>
        <v/>
      </c>
      <c r="L2332" s="26"/>
      <c r="N23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3" spans="1:14">
      <c r="A2333" s="16"/>
      <c r="B2333" s="16"/>
      <c r="C2333" s="25"/>
      <c r="D2333" s="25"/>
      <c r="E2333" s="16"/>
      <c r="F2333" s="18"/>
      <c r="G2333" s="19" t="str">
        <f t="shared" ca="1" si="72"/>
        <v/>
      </c>
      <c r="H2333" s="27"/>
      <c r="I2333" s="27"/>
      <c r="J2333" s="77" t="str">
        <f t="shared" ca="1" si="73"/>
        <v/>
      </c>
      <c r="K2333" s="23">
        <f>IF(A2333="","",COUNTIFS(Resumen!$N$2:$N$2999,ROW(),Resumen!$V$2:$V$2999,1))</f>
        <v/>
      </c>
      <c r="L2333" s="26"/>
      <c r="N23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4" spans="1:14">
      <c r="A2334" s="16"/>
      <c r="B2334" s="16"/>
      <c r="C2334" s="25"/>
      <c r="D2334" s="25"/>
      <c r="E2334" s="16"/>
      <c r="F2334" s="18"/>
      <c r="G2334" s="19" t="str">
        <f t="shared" ca="1" si="72"/>
        <v/>
      </c>
      <c r="H2334" s="27"/>
      <c r="I2334" s="27"/>
      <c r="J2334" s="77" t="str">
        <f t="shared" ca="1" si="73"/>
        <v/>
      </c>
      <c r="K2334" s="23">
        <f>IF(A2334="","",COUNTIFS(Resumen!$N$2:$N$2999,ROW(),Resumen!$V$2:$V$2999,1))</f>
        <v/>
      </c>
      <c r="L2334" s="26"/>
      <c r="N23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5" spans="1:14">
      <c r="A2335" s="16"/>
      <c r="B2335" s="16"/>
      <c r="C2335" s="25"/>
      <c r="D2335" s="25"/>
      <c r="E2335" s="16"/>
      <c r="F2335" s="18"/>
      <c r="G2335" s="19" t="str">
        <f t="shared" ca="1" si="72"/>
        <v/>
      </c>
      <c r="H2335" s="27"/>
      <c r="I2335" s="27"/>
      <c r="J2335" s="77" t="str">
        <f t="shared" ca="1" si="73"/>
        <v/>
      </c>
      <c r="K2335" s="23">
        <f>IF(A2335="","",COUNTIFS(Resumen!$N$2:$N$2999,ROW(),Resumen!$V$2:$V$2999,1))</f>
        <v/>
      </c>
      <c r="L2335" s="26"/>
      <c r="N23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6" spans="1:14">
      <c r="A2336" s="16"/>
      <c r="B2336" s="16"/>
      <c r="C2336" s="25"/>
      <c r="D2336" s="25"/>
      <c r="E2336" s="16"/>
      <c r="F2336" s="18"/>
      <c r="G2336" s="19" t="str">
        <f t="shared" ca="1" si="72"/>
        <v/>
      </c>
      <c r="H2336" s="27"/>
      <c r="I2336" s="27"/>
      <c r="J2336" s="77" t="str">
        <f t="shared" ca="1" si="73"/>
        <v/>
      </c>
      <c r="K2336" s="23">
        <f>IF(A2336="","",COUNTIFS(Resumen!$N$2:$N$2999,ROW(),Resumen!$V$2:$V$2999,1))</f>
        <v/>
      </c>
      <c r="L2336" s="26"/>
      <c r="N23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7" spans="1:14">
      <c r="A2337" s="16"/>
      <c r="B2337" s="16"/>
      <c r="C2337" s="25"/>
      <c r="D2337" s="25"/>
      <c r="E2337" s="16"/>
      <c r="F2337" s="18"/>
      <c r="G2337" s="19" t="str">
        <f t="shared" ca="1" si="72"/>
        <v/>
      </c>
      <c r="H2337" s="27"/>
      <c r="I2337" s="27"/>
      <c r="J2337" s="77" t="str">
        <f t="shared" ca="1" si="73"/>
        <v/>
      </c>
      <c r="K2337" s="23">
        <f>IF(A2337="","",COUNTIFS(Resumen!$N$2:$N$2999,ROW(),Resumen!$V$2:$V$2999,1))</f>
        <v/>
      </c>
      <c r="L2337" s="26"/>
      <c r="N23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8" spans="1:14">
      <c r="A2338" s="16"/>
      <c r="B2338" s="16"/>
      <c r="C2338" s="25"/>
      <c r="D2338" s="25"/>
      <c r="E2338" s="16"/>
      <c r="F2338" s="18"/>
      <c r="G2338" s="19" t="str">
        <f t="shared" ca="1" si="72"/>
        <v/>
      </c>
      <c r="H2338" s="27"/>
      <c r="I2338" s="27"/>
      <c r="J2338" s="77" t="str">
        <f t="shared" ca="1" si="73"/>
        <v/>
      </c>
      <c r="K2338" s="23">
        <f>IF(A2338="","",COUNTIFS(Resumen!$N$2:$N$2999,ROW(),Resumen!$V$2:$V$2999,1))</f>
        <v/>
      </c>
      <c r="L2338" s="26"/>
      <c r="N23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39" spans="1:14">
      <c r="A2339" s="16"/>
      <c r="B2339" s="16"/>
      <c r="C2339" s="25"/>
      <c r="D2339" s="25"/>
      <c r="E2339" s="16"/>
      <c r="F2339" s="18"/>
      <c r="G2339" s="19" t="str">
        <f t="shared" ca="1" si="72"/>
        <v/>
      </c>
      <c r="H2339" s="27"/>
      <c r="I2339" s="27"/>
      <c r="J2339" s="77" t="str">
        <f t="shared" ca="1" si="73"/>
        <v/>
      </c>
      <c r="K2339" s="23">
        <f>IF(A2339="","",COUNTIFS(Resumen!$N$2:$N$2999,ROW(),Resumen!$V$2:$V$2999,1))</f>
        <v/>
      </c>
      <c r="L2339" s="26"/>
      <c r="N23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0" spans="1:14">
      <c r="A2340" s="16"/>
      <c r="B2340" s="16"/>
      <c r="C2340" s="25"/>
      <c r="D2340" s="25"/>
      <c r="E2340" s="16"/>
      <c r="F2340" s="18"/>
      <c r="G2340" s="19" t="str">
        <f t="shared" ca="1" si="72"/>
        <v/>
      </c>
      <c r="H2340" s="27"/>
      <c r="I2340" s="27"/>
      <c r="J2340" s="77" t="str">
        <f t="shared" ca="1" si="73"/>
        <v/>
      </c>
      <c r="K2340" s="23">
        <f>IF(A2340="","",COUNTIFS(Resumen!$N$2:$N$2999,ROW(),Resumen!$V$2:$V$2999,1))</f>
        <v/>
      </c>
      <c r="L2340" s="26"/>
      <c r="N23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1" spans="1:14">
      <c r="A2341" s="16"/>
      <c r="B2341" s="16"/>
      <c r="C2341" s="25"/>
      <c r="D2341" s="25"/>
      <c r="E2341" s="16"/>
      <c r="F2341" s="18"/>
      <c r="G2341" s="19" t="str">
        <f t="shared" ca="1" si="72"/>
        <v/>
      </c>
      <c r="H2341" s="27"/>
      <c r="I2341" s="27"/>
      <c r="J2341" s="77" t="str">
        <f t="shared" ca="1" si="73"/>
        <v/>
      </c>
      <c r="K2341" s="23">
        <f>IF(A2341="","",COUNTIFS(Resumen!$N$2:$N$2999,ROW(),Resumen!$V$2:$V$2999,1))</f>
        <v/>
      </c>
      <c r="L2341" s="26"/>
      <c r="N23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2" spans="1:14">
      <c r="A2342" s="16"/>
      <c r="B2342" s="16"/>
      <c r="C2342" s="25"/>
      <c r="D2342" s="25"/>
      <c r="E2342" s="16"/>
      <c r="F2342" s="18"/>
      <c r="G2342" s="19" t="str">
        <f t="shared" ca="1" si="72"/>
        <v/>
      </c>
      <c r="H2342" s="27"/>
      <c r="I2342" s="27"/>
      <c r="J2342" s="77" t="str">
        <f t="shared" ca="1" si="73"/>
        <v/>
      </c>
      <c r="K2342" s="23">
        <f>IF(A2342="","",COUNTIFS(Resumen!$N$2:$N$2999,ROW(),Resumen!$V$2:$V$2999,1))</f>
        <v/>
      </c>
      <c r="L2342" s="26"/>
      <c r="N23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3" spans="1:14">
      <c r="A2343" s="16"/>
      <c r="B2343" s="16"/>
      <c r="C2343" s="25"/>
      <c r="D2343" s="25"/>
      <c r="E2343" s="16"/>
      <c r="F2343" s="18"/>
      <c r="G2343" s="19" t="str">
        <f t="shared" ca="1" si="72"/>
        <v/>
      </c>
      <c r="H2343" s="27"/>
      <c r="I2343" s="27"/>
      <c r="J2343" s="77" t="str">
        <f t="shared" ca="1" si="73"/>
        <v/>
      </c>
      <c r="K2343" s="23">
        <f>IF(A2343="","",COUNTIFS(Resumen!$N$2:$N$2999,ROW(),Resumen!$V$2:$V$2999,1))</f>
        <v/>
      </c>
      <c r="L2343" s="26"/>
      <c r="N23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4" spans="1:14">
      <c r="A2344" s="16"/>
      <c r="B2344" s="16"/>
      <c r="C2344" s="25"/>
      <c r="D2344" s="25"/>
      <c r="E2344" s="16"/>
      <c r="F2344" s="18"/>
      <c r="G2344" s="19" t="str">
        <f t="shared" ca="1" si="72"/>
        <v/>
      </c>
      <c r="H2344" s="27"/>
      <c r="I2344" s="27"/>
      <c r="J2344" s="77" t="str">
        <f t="shared" ca="1" si="73"/>
        <v/>
      </c>
      <c r="K2344" s="23">
        <f>IF(A2344="","",COUNTIFS(Resumen!$N$2:$N$2999,ROW(),Resumen!$V$2:$V$2999,1))</f>
        <v/>
      </c>
      <c r="L2344" s="26"/>
      <c r="N23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5" spans="1:14">
      <c r="A2345" s="16"/>
      <c r="B2345" s="16"/>
      <c r="C2345" s="25"/>
      <c r="D2345" s="25"/>
      <c r="E2345" s="16"/>
      <c r="F2345" s="18"/>
      <c r="G2345" s="19" t="str">
        <f t="shared" ca="1" si="72"/>
        <v/>
      </c>
      <c r="H2345" s="27"/>
      <c r="I2345" s="27"/>
      <c r="J2345" s="77" t="str">
        <f t="shared" ca="1" si="73"/>
        <v/>
      </c>
      <c r="K2345" s="23">
        <f>IF(A2345="","",COUNTIFS(Resumen!$N$2:$N$2999,ROW(),Resumen!$V$2:$V$2999,1))</f>
        <v/>
      </c>
      <c r="L2345" s="26"/>
      <c r="N23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6" spans="1:14">
      <c r="A2346" s="16"/>
      <c r="B2346" s="16"/>
      <c r="C2346" s="25"/>
      <c r="D2346" s="25"/>
      <c r="E2346" s="16"/>
      <c r="F2346" s="18"/>
      <c r="G2346" s="19" t="str">
        <f t="shared" ca="1" si="72"/>
        <v/>
      </c>
      <c r="H2346" s="27"/>
      <c r="I2346" s="27"/>
      <c r="J2346" s="77" t="str">
        <f t="shared" ca="1" si="73"/>
        <v/>
      </c>
      <c r="K2346" s="23">
        <f>IF(A2346="","",COUNTIFS(Resumen!$N$2:$N$2999,ROW(),Resumen!$V$2:$V$2999,1))</f>
        <v/>
      </c>
      <c r="L2346" s="26"/>
      <c r="N23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7" spans="1:14">
      <c r="A2347" s="16"/>
      <c r="B2347" s="16"/>
      <c r="C2347" s="25"/>
      <c r="D2347" s="25"/>
      <c r="E2347" s="16"/>
      <c r="F2347" s="18"/>
      <c r="G2347" s="19" t="str">
        <f t="shared" ca="1" si="72"/>
        <v/>
      </c>
      <c r="H2347" s="27"/>
      <c r="I2347" s="27"/>
      <c r="J2347" s="77" t="str">
        <f t="shared" ca="1" si="73"/>
        <v/>
      </c>
      <c r="K2347" s="23">
        <f>IF(A2347="","",COUNTIFS(Resumen!$N$2:$N$2999,ROW(),Resumen!$V$2:$V$2999,1))</f>
        <v/>
      </c>
      <c r="L2347" s="26"/>
      <c r="N23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8" spans="1:14">
      <c r="A2348" s="16"/>
      <c r="B2348" s="16"/>
      <c r="C2348" s="25"/>
      <c r="D2348" s="25"/>
      <c r="E2348" s="16"/>
      <c r="F2348" s="18"/>
      <c r="G2348" s="19" t="str">
        <f t="shared" ca="1" si="72"/>
        <v/>
      </c>
      <c r="H2348" s="27"/>
      <c r="I2348" s="27"/>
      <c r="J2348" s="77" t="str">
        <f t="shared" ca="1" si="73"/>
        <v/>
      </c>
      <c r="K2348" s="23">
        <f>IF(A2348="","",COUNTIFS(Resumen!$N$2:$N$2999,ROW(),Resumen!$V$2:$V$2999,1))</f>
        <v/>
      </c>
      <c r="L2348" s="26"/>
      <c r="N23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49" spans="1:14">
      <c r="A2349" s="16"/>
      <c r="B2349" s="16"/>
      <c r="C2349" s="25"/>
      <c r="D2349" s="25"/>
      <c r="E2349" s="16"/>
      <c r="F2349" s="18"/>
      <c r="G2349" s="19" t="str">
        <f t="shared" ca="1" si="72"/>
        <v/>
      </c>
      <c r="H2349" s="27"/>
      <c r="I2349" s="27"/>
      <c r="J2349" s="77" t="str">
        <f t="shared" ca="1" si="73"/>
        <v/>
      </c>
      <c r="K2349" s="23">
        <f>IF(A2349="","",COUNTIFS(Resumen!$N$2:$N$2999,ROW(),Resumen!$V$2:$V$2999,1))</f>
        <v/>
      </c>
      <c r="L2349" s="26"/>
      <c r="N23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0" spans="1:14">
      <c r="A2350" s="16"/>
      <c r="B2350" s="16"/>
      <c r="C2350" s="25"/>
      <c r="D2350" s="25"/>
      <c r="E2350" s="16"/>
      <c r="F2350" s="18"/>
      <c r="G2350" s="19" t="str">
        <f t="shared" ca="1" si="72"/>
        <v/>
      </c>
      <c r="H2350" s="27"/>
      <c r="I2350" s="27"/>
      <c r="J2350" s="77" t="str">
        <f t="shared" ca="1" si="73"/>
        <v/>
      </c>
      <c r="K2350" s="23">
        <f>IF(A2350="","",COUNTIFS(Resumen!$N$2:$N$2999,ROW(),Resumen!$V$2:$V$2999,1))</f>
        <v/>
      </c>
      <c r="L2350" s="26"/>
      <c r="N23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1" spans="1:14">
      <c r="A2351" s="16"/>
      <c r="B2351" s="16"/>
      <c r="C2351" s="25"/>
      <c r="D2351" s="25"/>
      <c r="E2351" s="16"/>
      <c r="F2351" s="18"/>
      <c r="G2351" s="19" t="str">
        <f t="shared" ca="1" si="72"/>
        <v/>
      </c>
      <c r="H2351" s="27"/>
      <c r="I2351" s="27"/>
      <c r="J2351" s="77" t="str">
        <f t="shared" ca="1" si="73"/>
        <v/>
      </c>
      <c r="K2351" s="23">
        <f>IF(A2351="","",COUNTIFS(Resumen!$N$2:$N$2999,ROW(),Resumen!$V$2:$V$2999,1))</f>
        <v/>
      </c>
      <c r="L2351" s="26"/>
      <c r="N23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2" spans="1:14">
      <c r="A2352" s="16"/>
      <c r="B2352" s="16"/>
      <c r="C2352" s="25"/>
      <c r="D2352" s="25"/>
      <c r="E2352" s="16"/>
      <c r="F2352" s="18"/>
      <c r="G2352" s="19" t="str">
        <f t="shared" ca="1" si="72"/>
        <v/>
      </c>
      <c r="H2352" s="27"/>
      <c r="I2352" s="27"/>
      <c r="J2352" s="77" t="str">
        <f t="shared" ca="1" si="73"/>
        <v/>
      </c>
      <c r="K2352" s="23">
        <f>IF(A2352="","",COUNTIFS(Resumen!$N$2:$N$2999,ROW(),Resumen!$V$2:$V$2999,1))</f>
        <v/>
      </c>
      <c r="L2352" s="26"/>
      <c r="N23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3" spans="1:14">
      <c r="A2353" s="16"/>
      <c r="B2353" s="16"/>
      <c r="C2353" s="25"/>
      <c r="D2353" s="25"/>
      <c r="E2353" s="16"/>
      <c r="F2353" s="18"/>
      <c r="G2353" s="19" t="str">
        <f t="shared" ca="1" si="72"/>
        <v/>
      </c>
      <c r="H2353" s="27"/>
      <c r="I2353" s="27"/>
      <c r="J2353" s="77" t="str">
        <f t="shared" ca="1" si="73"/>
        <v/>
      </c>
      <c r="K2353" s="23">
        <f>IF(A2353="","",COUNTIFS(Resumen!$N$2:$N$2999,ROW(),Resumen!$V$2:$V$2999,1))</f>
        <v/>
      </c>
      <c r="L2353" s="26"/>
      <c r="N23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4" spans="1:14">
      <c r="A2354" s="16"/>
      <c r="B2354" s="16"/>
      <c r="C2354" s="25"/>
      <c r="D2354" s="25"/>
      <c r="E2354" s="16"/>
      <c r="F2354" s="18"/>
      <c r="G2354" s="19" t="str">
        <f t="shared" ca="1" si="72"/>
        <v/>
      </c>
      <c r="H2354" s="27"/>
      <c r="I2354" s="27"/>
      <c r="J2354" s="77" t="str">
        <f t="shared" ca="1" si="73"/>
        <v/>
      </c>
      <c r="K2354" s="23">
        <f>IF(A2354="","",COUNTIFS(Resumen!$N$2:$N$2999,ROW(),Resumen!$V$2:$V$2999,1))</f>
        <v/>
      </c>
      <c r="L2354" s="26"/>
      <c r="N23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5" spans="1:14">
      <c r="A2355" s="16"/>
      <c r="B2355" s="16"/>
      <c r="C2355" s="25"/>
      <c r="D2355" s="25"/>
      <c r="E2355" s="16"/>
      <c r="F2355" s="18"/>
      <c r="G2355" s="19" t="str">
        <f t="shared" ca="1" si="72"/>
        <v/>
      </c>
      <c r="H2355" s="27"/>
      <c r="I2355" s="27"/>
      <c r="J2355" s="77" t="str">
        <f t="shared" ca="1" si="73"/>
        <v/>
      </c>
      <c r="K2355" s="23">
        <f>IF(A2355="","",COUNTIFS(Resumen!$N$2:$N$2999,ROW(),Resumen!$V$2:$V$2999,1))</f>
        <v/>
      </c>
      <c r="L2355" s="26"/>
      <c r="N23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6" spans="1:14">
      <c r="A2356" s="16"/>
      <c r="B2356" s="16"/>
      <c r="C2356" s="25"/>
      <c r="D2356" s="25"/>
      <c r="E2356" s="16"/>
      <c r="F2356" s="18"/>
      <c r="G2356" s="19" t="str">
        <f t="shared" ca="1" si="72"/>
        <v/>
      </c>
      <c r="H2356" s="27"/>
      <c r="I2356" s="27"/>
      <c r="J2356" s="77" t="str">
        <f t="shared" ca="1" si="73"/>
        <v/>
      </c>
      <c r="K2356" s="23">
        <f>IF(A2356="","",COUNTIFS(Resumen!$N$2:$N$2999,ROW(),Resumen!$V$2:$V$2999,1))</f>
        <v/>
      </c>
      <c r="L2356" s="26"/>
      <c r="N23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7" spans="1:14">
      <c r="A2357" s="16"/>
      <c r="B2357" s="16"/>
      <c r="C2357" s="25"/>
      <c r="D2357" s="25"/>
      <c r="E2357" s="16"/>
      <c r="F2357" s="18"/>
      <c r="G2357" s="19" t="str">
        <f t="shared" ca="1" si="72"/>
        <v/>
      </c>
      <c r="H2357" s="27"/>
      <c r="I2357" s="27"/>
      <c r="J2357" s="77" t="str">
        <f t="shared" ca="1" si="73"/>
        <v/>
      </c>
      <c r="K2357" s="23">
        <f>IF(A2357="","",COUNTIFS(Resumen!$N$2:$N$2999,ROW(),Resumen!$V$2:$V$2999,1))</f>
        <v/>
      </c>
      <c r="L2357" s="26"/>
      <c r="N23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8" spans="1:14">
      <c r="A2358" s="16"/>
      <c r="B2358" s="16"/>
      <c r="C2358" s="25"/>
      <c r="D2358" s="25"/>
      <c r="E2358" s="16"/>
      <c r="F2358" s="18"/>
      <c r="G2358" s="19" t="str">
        <f t="shared" ca="1" si="72"/>
        <v/>
      </c>
      <c r="H2358" s="27"/>
      <c r="I2358" s="27"/>
      <c r="J2358" s="77" t="str">
        <f t="shared" ca="1" si="73"/>
        <v/>
      </c>
      <c r="K2358" s="23">
        <f>IF(A2358="","",COUNTIFS(Resumen!$N$2:$N$2999,ROW(),Resumen!$V$2:$V$2999,1))</f>
        <v/>
      </c>
      <c r="L2358" s="26"/>
      <c r="N23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59" spans="1:14">
      <c r="A2359" s="16"/>
      <c r="B2359" s="16"/>
      <c r="C2359" s="25"/>
      <c r="D2359" s="25"/>
      <c r="E2359" s="16"/>
      <c r="F2359" s="18"/>
      <c r="G2359" s="19" t="str">
        <f t="shared" ca="1" si="72"/>
        <v/>
      </c>
      <c r="H2359" s="27"/>
      <c r="I2359" s="27"/>
      <c r="J2359" s="77" t="str">
        <f t="shared" ca="1" si="73"/>
        <v/>
      </c>
      <c r="K2359" s="23">
        <f>IF(A2359="","",COUNTIFS(Resumen!$N$2:$N$2999,ROW(),Resumen!$V$2:$V$2999,1))</f>
        <v/>
      </c>
      <c r="L2359" s="26"/>
      <c r="N23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0" spans="1:14">
      <c r="A2360" s="16"/>
      <c r="B2360" s="16"/>
      <c r="C2360" s="25"/>
      <c r="D2360" s="25"/>
      <c r="E2360" s="16"/>
      <c r="F2360" s="18"/>
      <c r="G2360" s="19" t="str">
        <f t="shared" ca="1" si="72"/>
        <v/>
      </c>
      <c r="H2360" s="27"/>
      <c r="I2360" s="27"/>
      <c r="J2360" s="77" t="str">
        <f t="shared" ca="1" si="73"/>
        <v/>
      </c>
      <c r="K2360" s="23">
        <f>IF(A2360="","",COUNTIFS(Resumen!$N$2:$N$2999,ROW(),Resumen!$V$2:$V$2999,1))</f>
        <v/>
      </c>
      <c r="L2360" s="26"/>
      <c r="N23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1" spans="1:14">
      <c r="A2361" s="16"/>
      <c r="B2361" s="16"/>
      <c r="C2361" s="25"/>
      <c r="D2361" s="25"/>
      <c r="E2361" s="16"/>
      <c r="F2361" s="18"/>
      <c r="G2361" s="19" t="str">
        <f t="shared" ca="1" si="72"/>
        <v/>
      </c>
      <c r="H2361" s="27"/>
      <c r="I2361" s="27"/>
      <c r="J2361" s="77" t="str">
        <f t="shared" ca="1" si="73"/>
        <v/>
      </c>
      <c r="K2361" s="23">
        <f>IF(A2361="","",COUNTIFS(Resumen!$N$2:$N$2999,ROW(),Resumen!$V$2:$V$2999,1))</f>
        <v/>
      </c>
      <c r="L2361" s="26"/>
      <c r="N23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2" spans="1:14">
      <c r="A2362" s="16"/>
      <c r="B2362" s="16"/>
      <c r="C2362" s="25"/>
      <c r="D2362" s="25"/>
      <c r="E2362" s="16"/>
      <c r="F2362" s="18"/>
      <c r="G2362" s="19" t="str">
        <f t="shared" ca="1" si="72"/>
        <v/>
      </c>
      <c r="H2362" s="27"/>
      <c r="I2362" s="27"/>
      <c r="J2362" s="77" t="str">
        <f t="shared" ca="1" si="73"/>
        <v/>
      </c>
      <c r="K2362" s="23">
        <f>IF(A2362="","",COUNTIFS(Resumen!$N$2:$N$2999,ROW(),Resumen!$V$2:$V$2999,1))</f>
        <v/>
      </c>
      <c r="L2362" s="26"/>
      <c r="N23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3" spans="1:14">
      <c r="A2363" s="16"/>
      <c r="B2363" s="16"/>
      <c r="C2363" s="25"/>
      <c r="D2363" s="25"/>
      <c r="E2363" s="16"/>
      <c r="F2363" s="18"/>
      <c r="G2363" s="19" t="str">
        <f t="shared" ca="1" si="72"/>
        <v/>
      </c>
      <c r="H2363" s="27"/>
      <c r="I2363" s="27"/>
      <c r="J2363" s="77" t="str">
        <f t="shared" ca="1" si="73"/>
        <v/>
      </c>
      <c r="K2363" s="23">
        <f>IF(A2363="","",COUNTIFS(Resumen!$N$2:$N$2999,ROW(),Resumen!$V$2:$V$2999,1))</f>
        <v/>
      </c>
      <c r="L2363" s="26"/>
      <c r="N23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4" spans="1:14">
      <c r="A2364" s="16"/>
      <c r="B2364" s="16"/>
      <c r="C2364" s="25"/>
      <c r="D2364" s="25"/>
      <c r="E2364" s="16"/>
      <c r="F2364" s="18"/>
      <c r="G2364" s="19" t="str">
        <f t="shared" ca="1" si="72"/>
        <v/>
      </c>
      <c r="H2364" s="27"/>
      <c r="I2364" s="27"/>
      <c r="J2364" s="77" t="str">
        <f t="shared" ca="1" si="73"/>
        <v/>
      </c>
      <c r="K2364" s="23">
        <f>IF(A2364="","",COUNTIFS(Resumen!$N$2:$N$2999,ROW(),Resumen!$V$2:$V$2999,1))</f>
        <v/>
      </c>
      <c r="L2364" s="26"/>
      <c r="N23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5" spans="1:14">
      <c r="A2365" s="16"/>
      <c r="B2365" s="16"/>
      <c r="C2365" s="25"/>
      <c r="D2365" s="25"/>
      <c r="E2365" s="16"/>
      <c r="F2365" s="18"/>
      <c r="G2365" s="19" t="str">
        <f t="shared" ca="1" si="72"/>
        <v/>
      </c>
      <c r="H2365" s="27"/>
      <c r="I2365" s="27"/>
      <c r="J2365" s="77" t="str">
        <f t="shared" ca="1" si="73"/>
        <v/>
      </c>
      <c r="K2365" s="23">
        <f>IF(A2365="","",COUNTIFS(Resumen!$N$2:$N$2999,ROW(),Resumen!$V$2:$V$2999,1))</f>
        <v/>
      </c>
      <c r="L2365" s="26"/>
      <c r="N23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6" spans="1:14">
      <c r="A2366" s="16"/>
      <c r="B2366" s="16"/>
      <c r="C2366" s="25"/>
      <c r="D2366" s="25"/>
      <c r="E2366" s="16"/>
      <c r="F2366" s="18"/>
      <c r="G2366" s="19" t="str">
        <f t="shared" ca="1" si="72"/>
        <v/>
      </c>
      <c r="H2366" s="27"/>
      <c r="I2366" s="27"/>
      <c r="J2366" s="77" t="str">
        <f t="shared" ca="1" si="73"/>
        <v/>
      </c>
      <c r="K2366" s="23">
        <f>IF(A2366="","",COUNTIFS(Resumen!$N$2:$N$2999,ROW(),Resumen!$V$2:$V$2999,1))</f>
        <v/>
      </c>
      <c r="L2366" s="26"/>
      <c r="N23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7" spans="1:14">
      <c r="A2367" s="16"/>
      <c r="B2367" s="16"/>
      <c r="C2367" s="25"/>
      <c r="D2367" s="25"/>
      <c r="E2367" s="16"/>
      <c r="F2367" s="18"/>
      <c r="G2367" s="19" t="str">
        <f t="shared" ca="1" si="72"/>
        <v/>
      </c>
      <c r="H2367" s="27"/>
      <c r="I2367" s="27"/>
      <c r="J2367" s="77" t="str">
        <f t="shared" ca="1" si="73"/>
        <v/>
      </c>
      <c r="K2367" s="23">
        <f>IF(A2367="","",COUNTIFS(Resumen!$N$2:$N$2999,ROW(),Resumen!$V$2:$V$2999,1))</f>
        <v/>
      </c>
      <c r="L2367" s="26"/>
      <c r="N23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8" spans="1:14">
      <c r="A2368" s="16"/>
      <c r="B2368" s="16"/>
      <c r="C2368" s="25"/>
      <c r="D2368" s="25"/>
      <c r="E2368" s="16"/>
      <c r="F2368" s="18"/>
      <c r="G2368" s="19" t="str">
        <f t="shared" ca="1" si="72"/>
        <v/>
      </c>
      <c r="H2368" s="27"/>
      <c r="I2368" s="27"/>
      <c r="J2368" s="77" t="str">
        <f t="shared" ca="1" si="73"/>
        <v/>
      </c>
      <c r="K2368" s="23">
        <f>IF(A2368="","",COUNTIFS(Resumen!$N$2:$N$2999,ROW(),Resumen!$V$2:$V$2999,1))</f>
        <v/>
      </c>
      <c r="L2368" s="26"/>
      <c r="N23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69" spans="1:14">
      <c r="A2369" s="16"/>
      <c r="B2369" s="16"/>
      <c r="C2369" s="25"/>
      <c r="D2369" s="25"/>
      <c r="E2369" s="16"/>
      <c r="F2369" s="18"/>
      <c r="G2369" s="19" t="str">
        <f t="shared" ca="1" si="72"/>
        <v/>
      </c>
      <c r="H2369" s="27"/>
      <c r="I2369" s="27"/>
      <c r="J2369" s="77" t="str">
        <f t="shared" ca="1" si="73"/>
        <v/>
      </c>
      <c r="K2369" s="23">
        <f>IF(A2369="","",COUNTIFS(Resumen!$N$2:$N$2999,ROW(),Resumen!$V$2:$V$2999,1))</f>
        <v/>
      </c>
      <c r="L2369" s="26"/>
      <c r="N23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0" spans="1:14">
      <c r="A2370" s="16"/>
      <c r="B2370" s="16"/>
      <c r="C2370" s="25"/>
      <c r="D2370" s="25"/>
      <c r="E2370" s="16"/>
      <c r="F2370" s="18"/>
      <c r="G2370" s="19" t="str">
        <f t="shared" ref="G2370:G2433" ca="1" si="74">IF(F2370="", "", DATEDIF(F2370, TODAY(), "Y"))</f>
        <v/>
      </c>
      <c r="H2370" s="27"/>
      <c r="I2370" s="27"/>
      <c r="J2370" s="77" t="str">
        <f t="shared" ref="J2370:J2433" ca="1" si="75">IFERROR(IF(ISNUMBER(INDEX(VigenciasFamilia,ROW())),INDEX(VigenciasFamilia,ROW())-TODAY(),""),"")</f>
        <v/>
      </c>
      <c r="K2370" s="23">
        <f>IF(A2370="","",COUNTIFS(Resumen!$N$2:$N$2999,ROW(),Resumen!$V$2:$V$2999,1))</f>
        <v/>
      </c>
      <c r="L2370" s="26"/>
      <c r="N23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1" spans="1:14">
      <c r="A2371" s="16"/>
      <c r="B2371" s="16"/>
      <c r="C2371" s="25"/>
      <c r="D2371" s="25"/>
      <c r="E2371" s="16"/>
      <c r="F2371" s="18"/>
      <c r="G2371" s="19" t="str">
        <f t="shared" ca="1" si="74"/>
        <v/>
      </c>
      <c r="H2371" s="27"/>
      <c r="I2371" s="27"/>
      <c r="J2371" s="77" t="str">
        <f t="shared" ca="1" si="75"/>
        <v/>
      </c>
      <c r="K2371" s="23">
        <f>IF(A2371="","",COUNTIFS(Resumen!$N$2:$N$2999,ROW(),Resumen!$V$2:$V$2999,1))</f>
        <v/>
      </c>
      <c r="L2371" s="26"/>
      <c r="N23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2" spans="1:14">
      <c r="A2372" s="16"/>
      <c r="B2372" s="16"/>
      <c r="C2372" s="25"/>
      <c r="D2372" s="25"/>
      <c r="E2372" s="16"/>
      <c r="F2372" s="18"/>
      <c r="G2372" s="19" t="str">
        <f t="shared" ca="1" si="74"/>
        <v/>
      </c>
      <c r="H2372" s="27"/>
      <c r="I2372" s="27"/>
      <c r="J2372" s="77" t="str">
        <f t="shared" ca="1" si="75"/>
        <v/>
      </c>
      <c r="K2372" s="23">
        <f>IF(A2372="","",COUNTIFS(Resumen!$N$2:$N$2999,ROW(),Resumen!$V$2:$V$2999,1))</f>
        <v/>
      </c>
      <c r="L2372" s="26"/>
      <c r="N23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3" spans="1:14">
      <c r="A2373" s="16"/>
      <c r="B2373" s="16"/>
      <c r="C2373" s="25"/>
      <c r="D2373" s="25"/>
      <c r="E2373" s="16"/>
      <c r="F2373" s="18"/>
      <c r="G2373" s="19" t="str">
        <f t="shared" ca="1" si="74"/>
        <v/>
      </c>
      <c r="H2373" s="27"/>
      <c r="I2373" s="27"/>
      <c r="J2373" s="77" t="str">
        <f t="shared" ca="1" si="75"/>
        <v/>
      </c>
      <c r="K2373" s="23">
        <f>IF(A2373="","",COUNTIFS(Resumen!$N$2:$N$2999,ROW(),Resumen!$V$2:$V$2999,1))</f>
        <v/>
      </c>
      <c r="L2373" s="26"/>
      <c r="N23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4" spans="1:14">
      <c r="A2374" s="16"/>
      <c r="B2374" s="16"/>
      <c r="C2374" s="25"/>
      <c r="D2374" s="25"/>
      <c r="E2374" s="16"/>
      <c r="F2374" s="18"/>
      <c r="G2374" s="19" t="str">
        <f t="shared" ca="1" si="74"/>
        <v/>
      </c>
      <c r="H2374" s="27"/>
      <c r="I2374" s="27"/>
      <c r="J2374" s="77" t="str">
        <f t="shared" ca="1" si="75"/>
        <v/>
      </c>
      <c r="K2374" s="23">
        <f>IF(A2374="","",COUNTIFS(Resumen!$N$2:$N$2999,ROW(),Resumen!$V$2:$V$2999,1))</f>
        <v/>
      </c>
      <c r="L2374" s="26"/>
      <c r="N23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5" spans="1:14">
      <c r="A2375" s="16"/>
      <c r="B2375" s="16"/>
      <c r="C2375" s="25"/>
      <c r="D2375" s="25"/>
      <c r="E2375" s="16"/>
      <c r="F2375" s="18"/>
      <c r="G2375" s="19" t="str">
        <f t="shared" ca="1" si="74"/>
        <v/>
      </c>
      <c r="H2375" s="27"/>
      <c r="I2375" s="27"/>
      <c r="J2375" s="77" t="str">
        <f t="shared" ca="1" si="75"/>
        <v/>
      </c>
      <c r="K2375" s="23">
        <f>IF(A2375="","",COUNTIFS(Resumen!$N$2:$N$2999,ROW(),Resumen!$V$2:$V$2999,1))</f>
        <v/>
      </c>
      <c r="L2375" s="26"/>
      <c r="N23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6" spans="1:14">
      <c r="A2376" s="16"/>
      <c r="B2376" s="16"/>
      <c r="C2376" s="25"/>
      <c r="D2376" s="25"/>
      <c r="E2376" s="16"/>
      <c r="F2376" s="18"/>
      <c r="G2376" s="19" t="str">
        <f t="shared" ca="1" si="74"/>
        <v/>
      </c>
      <c r="H2376" s="27"/>
      <c r="I2376" s="27"/>
      <c r="J2376" s="77" t="str">
        <f t="shared" ca="1" si="75"/>
        <v/>
      </c>
      <c r="K2376" s="23">
        <f>IF(A2376="","",COUNTIFS(Resumen!$N$2:$N$2999,ROW(),Resumen!$V$2:$V$2999,1))</f>
        <v/>
      </c>
      <c r="L2376" s="26"/>
      <c r="N23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7" spans="1:14">
      <c r="A2377" s="16"/>
      <c r="B2377" s="16"/>
      <c r="C2377" s="25"/>
      <c r="D2377" s="25"/>
      <c r="E2377" s="16"/>
      <c r="F2377" s="18"/>
      <c r="G2377" s="19" t="str">
        <f t="shared" ca="1" si="74"/>
        <v/>
      </c>
      <c r="H2377" s="27"/>
      <c r="I2377" s="27"/>
      <c r="J2377" s="77" t="str">
        <f t="shared" ca="1" si="75"/>
        <v/>
      </c>
      <c r="K2377" s="23">
        <f>IF(A2377="","",COUNTIFS(Resumen!$N$2:$N$2999,ROW(),Resumen!$V$2:$V$2999,1))</f>
        <v/>
      </c>
      <c r="L2377" s="26"/>
      <c r="N23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8" spans="1:14">
      <c r="A2378" s="16"/>
      <c r="B2378" s="16"/>
      <c r="C2378" s="25"/>
      <c r="D2378" s="25"/>
      <c r="E2378" s="16"/>
      <c r="F2378" s="18"/>
      <c r="G2378" s="19" t="str">
        <f t="shared" ca="1" si="74"/>
        <v/>
      </c>
      <c r="H2378" s="27"/>
      <c r="I2378" s="27"/>
      <c r="J2378" s="77" t="str">
        <f t="shared" ca="1" si="75"/>
        <v/>
      </c>
      <c r="K2378" s="23">
        <f>IF(A2378="","",COUNTIFS(Resumen!$N$2:$N$2999,ROW(),Resumen!$V$2:$V$2999,1))</f>
        <v/>
      </c>
      <c r="L2378" s="26"/>
      <c r="N23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79" spans="1:14">
      <c r="A2379" s="16"/>
      <c r="B2379" s="16"/>
      <c r="C2379" s="25"/>
      <c r="D2379" s="25"/>
      <c r="E2379" s="16"/>
      <c r="F2379" s="18"/>
      <c r="G2379" s="19" t="str">
        <f t="shared" ca="1" si="74"/>
        <v/>
      </c>
      <c r="H2379" s="27"/>
      <c r="I2379" s="27"/>
      <c r="J2379" s="77" t="str">
        <f t="shared" ca="1" si="75"/>
        <v/>
      </c>
      <c r="K2379" s="23">
        <f>IF(A2379="","",COUNTIFS(Resumen!$N$2:$N$2999,ROW(),Resumen!$V$2:$V$2999,1))</f>
        <v/>
      </c>
      <c r="L2379" s="26"/>
      <c r="N23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0" spans="1:14">
      <c r="A2380" s="16"/>
      <c r="B2380" s="16"/>
      <c r="C2380" s="25"/>
      <c r="D2380" s="25"/>
      <c r="E2380" s="16"/>
      <c r="F2380" s="18"/>
      <c r="G2380" s="19" t="str">
        <f t="shared" ca="1" si="74"/>
        <v/>
      </c>
      <c r="H2380" s="27"/>
      <c r="I2380" s="27"/>
      <c r="J2380" s="77" t="str">
        <f t="shared" ca="1" si="75"/>
        <v/>
      </c>
      <c r="K2380" s="23">
        <f>IF(A2380="","",COUNTIFS(Resumen!$N$2:$N$2999,ROW(),Resumen!$V$2:$V$2999,1))</f>
        <v/>
      </c>
      <c r="L2380" s="26"/>
      <c r="N23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1" spans="1:14">
      <c r="A2381" s="16"/>
      <c r="B2381" s="16"/>
      <c r="C2381" s="25"/>
      <c r="D2381" s="25"/>
      <c r="E2381" s="16"/>
      <c r="F2381" s="18"/>
      <c r="G2381" s="19" t="str">
        <f t="shared" ca="1" si="74"/>
        <v/>
      </c>
      <c r="H2381" s="27"/>
      <c r="I2381" s="27"/>
      <c r="J2381" s="77" t="str">
        <f t="shared" ca="1" si="75"/>
        <v/>
      </c>
      <c r="K2381" s="23">
        <f>IF(A2381="","",COUNTIFS(Resumen!$N$2:$N$2999,ROW(),Resumen!$V$2:$V$2999,1))</f>
        <v/>
      </c>
      <c r="L2381" s="26"/>
      <c r="N23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2" spans="1:14">
      <c r="A2382" s="16"/>
      <c r="B2382" s="16"/>
      <c r="C2382" s="25"/>
      <c r="D2382" s="25"/>
      <c r="E2382" s="16"/>
      <c r="F2382" s="18"/>
      <c r="G2382" s="19" t="str">
        <f t="shared" ca="1" si="74"/>
        <v/>
      </c>
      <c r="H2382" s="27"/>
      <c r="I2382" s="27"/>
      <c r="J2382" s="77" t="str">
        <f t="shared" ca="1" si="75"/>
        <v/>
      </c>
      <c r="K2382" s="23">
        <f>IF(A2382="","",COUNTIFS(Resumen!$N$2:$N$2999,ROW(),Resumen!$V$2:$V$2999,1))</f>
        <v/>
      </c>
      <c r="L2382" s="26"/>
      <c r="N23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3" spans="1:14">
      <c r="A2383" s="16"/>
      <c r="B2383" s="16"/>
      <c r="C2383" s="25"/>
      <c r="D2383" s="25"/>
      <c r="E2383" s="16"/>
      <c r="F2383" s="18"/>
      <c r="G2383" s="19" t="str">
        <f t="shared" ca="1" si="74"/>
        <v/>
      </c>
      <c r="H2383" s="27"/>
      <c r="I2383" s="27"/>
      <c r="J2383" s="77" t="str">
        <f t="shared" ca="1" si="75"/>
        <v/>
      </c>
      <c r="K2383" s="23">
        <f>IF(A2383="","",COUNTIFS(Resumen!$N$2:$N$2999,ROW(),Resumen!$V$2:$V$2999,1))</f>
        <v/>
      </c>
      <c r="L2383" s="26"/>
      <c r="N23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4" spans="1:14">
      <c r="A2384" s="16"/>
      <c r="B2384" s="16"/>
      <c r="C2384" s="25"/>
      <c r="D2384" s="25"/>
      <c r="E2384" s="16"/>
      <c r="F2384" s="18"/>
      <c r="G2384" s="19" t="str">
        <f t="shared" ca="1" si="74"/>
        <v/>
      </c>
      <c r="H2384" s="27"/>
      <c r="I2384" s="27"/>
      <c r="J2384" s="77" t="str">
        <f t="shared" ca="1" si="75"/>
        <v/>
      </c>
      <c r="K2384" s="23">
        <f>IF(A2384="","",COUNTIFS(Resumen!$N$2:$N$2999,ROW(),Resumen!$V$2:$V$2999,1))</f>
        <v/>
      </c>
      <c r="L2384" s="26"/>
      <c r="N23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5" spans="1:14">
      <c r="A2385" s="16"/>
      <c r="B2385" s="16"/>
      <c r="C2385" s="25"/>
      <c r="D2385" s="25"/>
      <c r="E2385" s="16"/>
      <c r="F2385" s="18"/>
      <c r="G2385" s="19" t="str">
        <f t="shared" ca="1" si="74"/>
        <v/>
      </c>
      <c r="H2385" s="27"/>
      <c r="I2385" s="27"/>
      <c r="J2385" s="77" t="str">
        <f t="shared" ca="1" si="75"/>
        <v/>
      </c>
      <c r="K2385" s="23">
        <f>IF(A2385="","",COUNTIFS(Resumen!$N$2:$N$2999,ROW(),Resumen!$V$2:$V$2999,1))</f>
        <v/>
      </c>
      <c r="L2385" s="26"/>
      <c r="N23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6" spans="1:14">
      <c r="A2386" s="16"/>
      <c r="B2386" s="16"/>
      <c r="C2386" s="25"/>
      <c r="D2386" s="25"/>
      <c r="E2386" s="16"/>
      <c r="F2386" s="18"/>
      <c r="G2386" s="19" t="str">
        <f t="shared" ca="1" si="74"/>
        <v/>
      </c>
      <c r="H2386" s="27"/>
      <c r="I2386" s="27"/>
      <c r="J2386" s="77" t="str">
        <f t="shared" ca="1" si="75"/>
        <v/>
      </c>
      <c r="K2386" s="23">
        <f>IF(A2386="","",COUNTIFS(Resumen!$N$2:$N$2999,ROW(),Resumen!$V$2:$V$2999,1))</f>
        <v/>
      </c>
      <c r="L2386" s="26"/>
      <c r="N23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7" spans="1:14">
      <c r="A2387" s="16"/>
      <c r="B2387" s="16"/>
      <c r="C2387" s="25"/>
      <c r="D2387" s="25"/>
      <c r="E2387" s="16"/>
      <c r="F2387" s="18"/>
      <c r="G2387" s="19" t="str">
        <f t="shared" ca="1" si="74"/>
        <v/>
      </c>
      <c r="H2387" s="27"/>
      <c r="I2387" s="27"/>
      <c r="J2387" s="77" t="str">
        <f t="shared" ca="1" si="75"/>
        <v/>
      </c>
      <c r="K2387" s="23">
        <f>IF(A2387="","",COUNTIFS(Resumen!$N$2:$N$2999,ROW(),Resumen!$V$2:$V$2999,1))</f>
        <v/>
      </c>
      <c r="L2387" s="26"/>
      <c r="N23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8" spans="1:14">
      <c r="A2388" s="16"/>
      <c r="B2388" s="16"/>
      <c r="C2388" s="25"/>
      <c r="D2388" s="25"/>
      <c r="E2388" s="16"/>
      <c r="F2388" s="18"/>
      <c r="G2388" s="19" t="str">
        <f t="shared" ca="1" si="74"/>
        <v/>
      </c>
      <c r="H2388" s="27"/>
      <c r="I2388" s="27"/>
      <c r="J2388" s="77" t="str">
        <f t="shared" ca="1" si="75"/>
        <v/>
      </c>
      <c r="K2388" s="23">
        <f>IF(A2388="","",COUNTIFS(Resumen!$N$2:$N$2999,ROW(),Resumen!$V$2:$V$2999,1))</f>
        <v/>
      </c>
      <c r="L2388" s="26"/>
      <c r="N23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89" spans="1:14">
      <c r="A2389" s="16"/>
      <c r="B2389" s="16"/>
      <c r="C2389" s="25"/>
      <c r="D2389" s="25"/>
      <c r="E2389" s="16"/>
      <c r="F2389" s="18"/>
      <c r="G2389" s="19" t="str">
        <f t="shared" ca="1" si="74"/>
        <v/>
      </c>
      <c r="H2389" s="27"/>
      <c r="I2389" s="27"/>
      <c r="J2389" s="77" t="str">
        <f t="shared" ca="1" si="75"/>
        <v/>
      </c>
      <c r="K2389" s="23">
        <f>IF(A2389="","",COUNTIFS(Resumen!$N$2:$N$2999,ROW(),Resumen!$V$2:$V$2999,1))</f>
        <v/>
      </c>
      <c r="L2389" s="26"/>
      <c r="N23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0" spans="1:14">
      <c r="A2390" s="16"/>
      <c r="B2390" s="16"/>
      <c r="C2390" s="25"/>
      <c r="D2390" s="25"/>
      <c r="E2390" s="16"/>
      <c r="F2390" s="18"/>
      <c r="G2390" s="19" t="str">
        <f t="shared" ca="1" si="74"/>
        <v/>
      </c>
      <c r="H2390" s="27"/>
      <c r="I2390" s="27"/>
      <c r="J2390" s="77" t="str">
        <f t="shared" ca="1" si="75"/>
        <v/>
      </c>
      <c r="K2390" s="23">
        <f>IF(A2390="","",COUNTIFS(Resumen!$N$2:$N$2999,ROW(),Resumen!$V$2:$V$2999,1))</f>
        <v/>
      </c>
      <c r="L2390" s="26"/>
      <c r="N23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1" spans="1:14">
      <c r="A2391" s="16"/>
      <c r="B2391" s="16"/>
      <c r="C2391" s="25"/>
      <c r="D2391" s="25"/>
      <c r="E2391" s="16"/>
      <c r="F2391" s="18"/>
      <c r="G2391" s="19" t="str">
        <f t="shared" ca="1" si="74"/>
        <v/>
      </c>
      <c r="H2391" s="27"/>
      <c r="I2391" s="27"/>
      <c r="J2391" s="77" t="str">
        <f t="shared" ca="1" si="75"/>
        <v/>
      </c>
      <c r="K2391" s="23">
        <f>IF(A2391="","",COUNTIFS(Resumen!$N$2:$N$2999,ROW(),Resumen!$V$2:$V$2999,1))</f>
        <v/>
      </c>
      <c r="L2391" s="26"/>
      <c r="N23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2" spans="1:14">
      <c r="A2392" s="16"/>
      <c r="B2392" s="16"/>
      <c r="C2392" s="25"/>
      <c r="D2392" s="25"/>
      <c r="E2392" s="16"/>
      <c r="F2392" s="18"/>
      <c r="G2392" s="19" t="str">
        <f t="shared" ca="1" si="74"/>
        <v/>
      </c>
      <c r="H2392" s="27"/>
      <c r="I2392" s="27"/>
      <c r="J2392" s="77" t="str">
        <f t="shared" ca="1" si="75"/>
        <v/>
      </c>
      <c r="K2392" s="23">
        <f>IF(A2392="","",COUNTIFS(Resumen!$N$2:$N$2999,ROW(),Resumen!$V$2:$V$2999,1))</f>
        <v/>
      </c>
      <c r="L2392" s="26"/>
      <c r="N23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3" spans="1:14">
      <c r="A2393" s="16"/>
      <c r="B2393" s="16"/>
      <c r="C2393" s="25"/>
      <c r="D2393" s="25"/>
      <c r="E2393" s="16"/>
      <c r="F2393" s="18"/>
      <c r="G2393" s="19" t="str">
        <f t="shared" ca="1" si="74"/>
        <v/>
      </c>
      <c r="H2393" s="27"/>
      <c r="I2393" s="27"/>
      <c r="J2393" s="77" t="str">
        <f t="shared" ca="1" si="75"/>
        <v/>
      </c>
      <c r="K2393" s="23">
        <f>IF(A2393="","",COUNTIFS(Resumen!$N$2:$N$2999,ROW(),Resumen!$V$2:$V$2999,1))</f>
        <v/>
      </c>
      <c r="L2393" s="26"/>
      <c r="N23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4" spans="1:14">
      <c r="A2394" s="16"/>
      <c r="B2394" s="16"/>
      <c r="C2394" s="25"/>
      <c r="D2394" s="25"/>
      <c r="E2394" s="16"/>
      <c r="F2394" s="18"/>
      <c r="G2394" s="19" t="str">
        <f t="shared" ca="1" si="74"/>
        <v/>
      </c>
      <c r="H2394" s="27"/>
      <c r="I2394" s="27"/>
      <c r="J2394" s="77" t="str">
        <f t="shared" ca="1" si="75"/>
        <v/>
      </c>
      <c r="K2394" s="23">
        <f>IF(A2394="","",COUNTIFS(Resumen!$N$2:$N$2999,ROW(),Resumen!$V$2:$V$2999,1))</f>
        <v/>
      </c>
      <c r="L2394" s="26"/>
      <c r="N23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5" spans="1:14">
      <c r="A2395" s="16"/>
      <c r="B2395" s="16"/>
      <c r="C2395" s="25"/>
      <c r="D2395" s="25"/>
      <c r="E2395" s="16"/>
      <c r="F2395" s="18"/>
      <c r="G2395" s="19" t="str">
        <f t="shared" ca="1" si="74"/>
        <v/>
      </c>
      <c r="H2395" s="27"/>
      <c r="I2395" s="27"/>
      <c r="J2395" s="77" t="str">
        <f t="shared" ca="1" si="75"/>
        <v/>
      </c>
      <c r="K2395" s="23">
        <f>IF(A2395="","",COUNTIFS(Resumen!$N$2:$N$2999,ROW(),Resumen!$V$2:$V$2999,1))</f>
        <v/>
      </c>
      <c r="L2395" s="26"/>
      <c r="N23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6" spans="1:14">
      <c r="A2396" s="16"/>
      <c r="B2396" s="16"/>
      <c r="C2396" s="25"/>
      <c r="D2396" s="25"/>
      <c r="E2396" s="16"/>
      <c r="F2396" s="18"/>
      <c r="G2396" s="19" t="str">
        <f t="shared" ca="1" si="74"/>
        <v/>
      </c>
      <c r="H2396" s="27"/>
      <c r="I2396" s="27"/>
      <c r="J2396" s="77" t="str">
        <f t="shared" ca="1" si="75"/>
        <v/>
      </c>
      <c r="K2396" s="23">
        <f>IF(A2396="","",COUNTIFS(Resumen!$N$2:$N$2999,ROW(),Resumen!$V$2:$V$2999,1))</f>
        <v/>
      </c>
      <c r="L2396" s="26"/>
      <c r="N23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7" spans="1:14">
      <c r="A2397" s="16"/>
      <c r="B2397" s="16"/>
      <c r="C2397" s="25"/>
      <c r="D2397" s="25"/>
      <c r="E2397" s="16"/>
      <c r="F2397" s="18"/>
      <c r="G2397" s="19" t="str">
        <f t="shared" ca="1" si="74"/>
        <v/>
      </c>
      <c r="H2397" s="27"/>
      <c r="I2397" s="27"/>
      <c r="J2397" s="77" t="str">
        <f t="shared" ca="1" si="75"/>
        <v/>
      </c>
      <c r="K2397" s="23">
        <f>IF(A2397="","",COUNTIFS(Resumen!$N$2:$N$2999,ROW(),Resumen!$V$2:$V$2999,1))</f>
        <v/>
      </c>
      <c r="L2397" s="26"/>
      <c r="N23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8" spans="1:14">
      <c r="A2398" s="16"/>
      <c r="B2398" s="16"/>
      <c r="C2398" s="25"/>
      <c r="D2398" s="25"/>
      <c r="E2398" s="16"/>
      <c r="F2398" s="18"/>
      <c r="G2398" s="19" t="str">
        <f t="shared" ca="1" si="74"/>
        <v/>
      </c>
      <c r="H2398" s="27"/>
      <c r="I2398" s="27"/>
      <c r="J2398" s="77" t="str">
        <f t="shared" ca="1" si="75"/>
        <v/>
      </c>
      <c r="K2398" s="23">
        <f>IF(A2398="","",COUNTIFS(Resumen!$N$2:$N$2999,ROW(),Resumen!$V$2:$V$2999,1))</f>
        <v/>
      </c>
      <c r="L2398" s="26"/>
      <c r="N23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399" spans="1:14">
      <c r="A2399" s="16"/>
      <c r="B2399" s="16"/>
      <c r="C2399" s="25"/>
      <c r="D2399" s="25"/>
      <c r="E2399" s="16"/>
      <c r="F2399" s="18"/>
      <c r="G2399" s="19" t="str">
        <f t="shared" ca="1" si="74"/>
        <v/>
      </c>
      <c r="H2399" s="27"/>
      <c r="I2399" s="27"/>
      <c r="J2399" s="77" t="str">
        <f t="shared" ca="1" si="75"/>
        <v/>
      </c>
      <c r="K2399" s="23">
        <f>IF(A2399="","",COUNTIFS(Resumen!$N$2:$N$2999,ROW(),Resumen!$V$2:$V$2999,1))</f>
        <v/>
      </c>
      <c r="L2399" s="26"/>
      <c r="N23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0" spans="1:14">
      <c r="A2400" s="16"/>
      <c r="B2400" s="16"/>
      <c r="C2400" s="25"/>
      <c r="D2400" s="25"/>
      <c r="E2400" s="16"/>
      <c r="F2400" s="18"/>
      <c r="G2400" s="19" t="str">
        <f t="shared" ca="1" si="74"/>
        <v/>
      </c>
      <c r="H2400" s="27"/>
      <c r="I2400" s="27"/>
      <c r="J2400" s="77" t="str">
        <f t="shared" ca="1" si="75"/>
        <v/>
      </c>
      <c r="K2400" s="23">
        <f>IF(A2400="","",COUNTIFS(Resumen!$N$2:$N$2999,ROW(),Resumen!$V$2:$V$2999,1))</f>
        <v/>
      </c>
      <c r="L2400" s="26"/>
      <c r="N24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1" spans="1:14">
      <c r="A2401" s="16"/>
      <c r="B2401" s="16"/>
      <c r="C2401" s="25"/>
      <c r="D2401" s="25"/>
      <c r="E2401" s="16"/>
      <c r="F2401" s="18"/>
      <c r="G2401" s="19" t="str">
        <f t="shared" ca="1" si="74"/>
        <v/>
      </c>
      <c r="H2401" s="27"/>
      <c r="I2401" s="27"/>
      <c r="J2401" s="77" t="str">
        <f t="shared" ca="1" si="75"/>
        <v/>
      </c>
      <c r="K2401" s="23">
        <f>IF(A2401="","",COUNTIFS(Resumen!$N$2:$N$2999,ROW(),Resumen!$V$2:$V$2999,1))</f>
        <v/>
      </c>
      <c r="L2401" s="26"/>
      <c r="N24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2" spans="1:14">
      <c r="A2402" s="16"/>
      <c r="B2402" s="16"/>
      <c r="C2402" s="25"/>
      <c r="D2402" s="25"/>
      <c r="E2402" s="16"/>
      <c r="F2402" s="18"/>
      <c r="G2402" s="19" t="str">
        <f t="shared" ca="1" si="74"/>
        <v/>
      </c>
      <c r="H2402" s="27"/>
      <c r="I2402" s="27"/>
      <c r="J2402" s="77" t="str">
        <f t="shared" ca="1" si="75"/>
        <v/>
      </c>
      <c r="K2402" s="23">
        <f>IF(A2402="","",COUNTIFS(Resumen!$N$2:$N$2999,ROW(),Resumen!$V$2:$V$2999,1))</f>
        <v/>
      </c>
      <c r="L2402" s="26"/>
      <c r="N24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3" spans="1:14">
      <c r="A2403" s="16"/>
      <c r="B2403" s="16"/>
      <c r="C2403" s="25"/>
      <c r="D2403" s="25"/>
      <c r="E2403" s="16"/>
      <c r="F2403" s="18"/>
      <c r="G2403" s="19" t="str">
        <f t="shared" ca="1" si="74"/>
        <v/>
      </c>
      <c r="H2403" s="27"/>
      <c r="I2403" s="27"/>
      <c r="J2403" s="77" t="str">
        <f t="shared" ca="1" si="75"/>
        <v/>
      </c>
      <c r="K2403" s="23">
        <f>IF(A2403="","",COUNTIFS(Resumen!$N$2:$N$2999,ROW(),Resumen!$V$2:$V$2999,1))</f>
        <v/>
      </c>
      <c r="L2403" s="26"/>
      <c r="N24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4" spans="1:14">
      <c r="A2404" s="16"/>
      <c r="B2404" s="16"/>
      <c r="C2404" s="25"/>
      <c r="D2404" s="25"/>
      <c r="E2404" s="16"/>
      <c r="F2404" s="18"/>
      <c r="G2404" s="19" t="str">
        <f t="shared" ca="1" si="74"/>
        <v/>
      </c>
      <c r="H2404" s="27"/>
      <c r="I2404" s="27"/>
      <c r="J2404" s="77" t="str">
        <f t="shared" ca="1" si="75"/>
        <v/>
      </c>
      <c r="K2404" s="23">
        <f>IF(A2404="","",COUNTIFS(Resumen!$N$2:$N$2999,ROW(),Resumen!$V$2:$V$2999,1))</f>
        <v/>
      </c>
      <c r="L2404" s="26"/>
      <c r="N24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5" spans="1:14">
      <c r="A2405" s="16"/>
      <c r="B2405" s="16"/>
      <c r="C2405" s="25"/>
      <c r="D2405" s="25"/>
      <c r="E2405" s="16"/>
      <c r="F2405" s="18"/>
      <c r="G2405" s="19" t="str">
        <f t="shared" ca="1" si="74"/>
        <v/>
      </c>
      <c r="H2405" s="27"/>
      <c r="I2405" s="27"/>
      <c r="J2405" s="77" t="str">
        <f t="shared" ca="1" si="75"/>
        <v/>
      </c>
      <c r="K2405" s="23">
        <f>IF(A2405="","",COUNTIFS(Resumen!$N$2:$N$2999,ROW(),Resumen!$V$2:$V$2999,1))</f>
        <v/>
      </c>
      <c r="L2405" s="26"/>
      <c r="N24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6" spans="1:14">
      <c r="A2406" s="16"/>
      <c r="B2406" s="16"/>
      <c r="C2406" s="25"/>
      <c r="D2406" s="25"/>
      <c r="E2406" s="16"/>
      <c r="F2406" s="18"/>
      <c r="G2406" s="19" t="str">
        <f t="shared" ca="1" si="74"/>
        <v/>
      </c>
      <c r="H2406" s="27"/>
      <c r="I2406" s="27"/>
      <c r="J2406" s="77" t="str">
        <f t="shared" ca="1" si="75"/>
        <v/>
      </c>
      <c r="K2406" s="23">
        <f>IF(A2406="","",COUNTIFS(Resumen!$N$2:$N$2999,ROW(),Resumen!$V$2:$V$2999,1))</f>
        <v/>
      </c>
      <c r="L2406" s="26"/>
      <c r="N24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7" spans="1:14">
      <c r="A2407" s="16"/>
      <c r="B2407" s="16"/>
      <c r="C2407" s="25"/>
      <c r="D2407" s="25"/>
      <c r="E2407" s="16"/>
      <c r="F2407" s="18"/>
      <c r="G2407" s="19" t="str">
        <f t="shared" ca="1" si="74"/>
        <v/>
      </c>
      <c r="H2407" s="27"/>
      <c r="I2407" s="27"/>
      <c r="J2407" s="77" t="str">
        <f t="shared" ca="1" si="75"/>
        <v/>
      </c>
      <c r="K2407" s="23">
        <f>IF(A2407="","",COUNTIFS(Resumen!$N$2:$N$2999,ROW(),Resumen!$V$2:$V$2999,1))</f>
        <v/>
      </c>
      <c r="L2407" s="26"/>
      <c r="N24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8" spans="1:14">
      <c r="A2408" s="16"/>
      <c r="B2408" s="16"/>
      <c r="C2408" s="25"/>
      <c r="D2408" s="25"/>
      <c r="E2408" s="16"/>
      <c r="F2408" s="18"/>
      <c r="G2408" s="19" t="str">
        <f t="shared" ca="1" si="74"/>
        <v/>
      </c>
      <c r="H2408" s="27"/>
      <c r="I2408" s="27"/>
      <c r="J2408" s="77" t="str">
        <f t="shared" ca="1" si="75"/>
        <v/>
      </c>
      <c r="K2408" s="23">
        <f>IF(A2408="","",COUNTIFS(Resumen!$N$2:$N$2999,ROW(),Resumen!$V$2:$V$2999,1))</f>
        <v/>
      </c>
      <c r="L2408" s="26"/>
      <c r="N24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09" spans="1:14">
      <c r="A2409" s="16"/>
      <c r="B2409" s="16"/>
      <c r="C2409" s="25"/>
      <c r="D2409" s="25"/>
      <c r="E2409" s="16"/>
      <c r="F2409" s="18"/>
      <c r="G2409" s="19" t="str">
        <f t="shared" ca="1" si="74"/>
        <v/>
      </c>
      <c r="H2409" s="27"/>
      <c r="I2409" s="27"/>
      <c r="J2409" s="77" t="str">
        <f t="shared" ca="1" si="75"/>
        <v/>
      </c>
      <c r="K2409" s="23">
        <f>IF(A2409="","",COUNTIFS(Resumen!$N$2:$N$2999,ROW(),Resumen!$V$2:$V$2999,1))</f>
        <v/>
      </c>
      <c r="L2409" s="26"/>
      <c r="N24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0" spans="1:14">
      <c r="A2410" s="16"/>
      <c r="B2410" s="16"/>
      <c r="C2410" s="25"/>
      <c r="D2410" s="25"/>
      <c r="E2410" s="16"/>
      <c r="F2410" s="18"/>
      <c r="G2410" s="19" t="str">
        <f t="shared" ca="1" si="74"/>
        <v/>
      </c>
      <c r="H2410" s="27"/>
      <c r="I2410" s="27"/>
      <c r="J2410" s="77" t="str">
        <f t="shared" ca="1" si="75"/>
        <v/>
      </c>
      <c r="K2410" s="23">
        <f>IF(A2410="","",COUNTIFS(Resumen!$N$2:$N$2999,ROW(),Resumen!$V$2:$V$2999,1))</f>
        <v/>
      </c>
      <c r="L2410" s="26"/>
      <c r="N24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1" spans="1:14">
      <c r="A2411" s="16"/>
      <c r="B2411" s="16"/>
      <c r="C2411" s="25"/>
      <c r="D2411" s="25"/>
      <c r="E2411" s="16"/>
      <c r="F2411" s="18"/>
      <c r="G2411" s="19" t="str">
        <f t="shared" ca="1" si="74"/>
        <v/>
      </c>
      <c r="H2411" s="27"/>
      <c r="I2411" s="27"/>
      <c r="J2411" s="77" t="str">
        <f t="shared" ca="1" si="75"/>
        <v/>
      </c>
      <c r="K2411" s="23">
        <f>IF(A2411="","",COUNTIFS(Resumen!$N$2:$N$2999,ROW(),Resumen!$V$2:$V$2999,1))</f>
        <v/>
      </c>
      <c r="L2411" s="26"/>
      <c r="N24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2" spans="1:14">
      <c r="A2412" s="16"/>
      <c r="B2412" s="16"/>
      <c r="C2412" s="25"/>
      <c r="D2412" s="25"/>
      <c r="E2412" s="16"/>
      <c r="F2412" s="18"/>
      <c r="G2412" s="19" t="str">
        <f t="shared" ca="1" si="74"/>
        <v/>
      </c>
      <c r="H2412" s="27"/>
      <c r="I2412" s="27"/>
      <c r="J2412" s="77" t="str">
        <f t="shared" ca="1" si="75"/>
        <v/>
      </c>
      <c r="K2412" s="23">
        <f>IF(A2412="","",COUNTIFS(Resumen!$N$2:$N$2999,ROW(),Resumen!$V$2:$V$2999,1))</f>
        <v/>
      </c>
      <c r="L2412" s="26"/>
      <c r="N24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3" spans="1:14">
      <c r="A2413" s="16"/>
      <c r="B2413" s="16"/>
      <c r="C2413" s="25"/>
      <c r="D2413" s="25"/>
      <c r="E2413" s="16"/>
      <c r="F2413" s="18"/>
      <c r="G2413" s="19" t="str">
        <f t="shared" ca="1" si="74"/>
        <v/>
      </c>
      <c r="H2413" s="27"/>
      <c r="I2413" s="27"/>
      <c r="J2413" s="77" t="str">
        <f t="shared" ca="1" si="75"/>
        <v/>
      </c>
      <c r="K2413" s="23">
        <f>IF(A2413="","",COUNTIFS(Resumen!$N$2:$N$2999,ROW(),Resumen!$V$2:$V$2999,1))</f>
        <v/>
      </c>
      <c r="L2413" s="26"/>
      <c r="N24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4" spans="1:14">
      <c r="A2414" s="16"/>
      <c r="B2414" s="16"/>
      <c r="C2414" s="25"/>
      <c r="D2414" s="25"/>
      <c r="E2414" s="16"/>
      <c r="F2414" s="18"/>
      <c r="G2414" s="19" t="str">
        <f t="shared" ca="1" si="74"/>
        <v/>
      </c>
      <c r="H2414" s="27"/>
      <c r="I2414" s="27"/>
      <c r="J2414" s="77" t="str">
        <f t="shared" ca="1" si="75"/>
        <v/>
      </c>
      <c r="K2414" s="23">
        <f>IF(A2414="","",COUNTIFS(Resumen!$N$2:$N$2999,ROW(),Resumen!$V$2:$V$2999,1))</f>
        <v/>
      </c>
      <c r="L2414" s="26"/>
      <c r="N24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5" spans="1:14">
      <c r="A2415" s="16"/>
      <c r="B2415" s="16"/>
      <c r="C2415" s="25"/>
      <c r="D2415" s="25"/>
      <c r="E2415" s="16"/>
      <c r="F2415" s="18"/>
      <c r="G2415" s="19" t="str">
        <f t="shared" ca="1" si="74"/>
        <v/>
      </c>
      <c r="H2415" s="27"/>
      <c r="I2415" s="27"/>
      <c r="J2415" s="77" t="str">
        <f t="shared" ca="1" si="75"/>
        <v/>
      </c>
      <c r="K2415" s="23">
        <f>IF(A2415="","",COUNTIFS(Resumen!$N$2:$N$2999,ROW(),Resumen!$V$2:$V$2999,1))</f>
        <v/>
      </c>
      <c r="L2415" s="26"/>
      <c r="N24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6" spans="1:14">
      <c r="A2416" s="16"/>
      <c r="B2416" s="16"/>
      <c r="C2416" s="25"/>
      <c r="D2416" s="25"/>
      <c r="E2416" s="16"/>
      <c r="F2416" s="18"/>
      <c r="G2416" s="19" t="str">
        <f t="shared" ca="1" si="74"/>
        <v/>
      </c>
      <c r="H2416" s="27"/>
      <c r="I2416" s="27"/>
      <c r="J2416" s="77" t="str">
        <f t="shared" ca="1" si="75"/>
        <v/>
      </c>
      <c r="K2416" s="23">
        <f>IF(A2416="","",COUNTIFS(Resumen!$N$2:$N$2999,ROW(),Resumen!$V$2:$V$2999,1))</f>
        <v/>
      </c>
      <c r="L2416" s="26"/>
      <c r="N24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7" spans="1:14">
      <c r="A2417" s="16"/>
      <c r="B2417" s="16"/>
      <c r="C2417" s="25"/>
      <c r="D2417" s="25"/>
      <c r="E2417" s="16"/>
      <c r="F2417" s="18"/>
      <c r="G2417" s="19" t="str">
        <f t="shared" ca="1" si="74"/>
        <v/>
      </c>
      <c r="H2417" s="27"/>
      <c r="I2417" s="27"/>
      <c r="J2417" s="77" t="str">
        <f t="shared" ca="1" si="75"/>
        <v/>
      </c>
      <c r="K2417" s="23">
        <f>IF(A2417="","",COUNTIFS(Resumen!$N$2:$N$2999,ROW(),Resumen!$V$2:$V$2999,1))</f>
        <v/>
      </c>
      <c r="L2417" s="26"/>
      <c r="N24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8" spans="1:14">
      <c r="A2418" s="16"/>
      <c r="B2418" s="16"/>
      <c r="C2418" s="25"/>
      <c r="D2418" s="25"/>
      <c r="E2418" s="16"/>
      <c r="F2418" s="18"/>
      <c r="G2418" s="19" t="str">
        <f t="shared" ca="1" si="74"/>
        <v/>
      </c>
      <c r="H2418" s="27"/>
      <c r="I2418" s="27"/>
      <c r="J2418" s="77" t="str">
        <f t="shared" ca="1" si="75"/>
        <v/>
      </c>
      <c r="K2418" s="23">
        <f>IF(A2418="","",COUNTIFS(Resumen!$N$2:$N$2999,ROW(),Resumen!$V$2:$V$2999,1))</f>
        <v/>
      </c>
      <c r="L2418" s="26"/>
      <c r="N24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19" spans="1:14">
      <c r="A2419" s="16"/>
      <c r="B2419" s="16"/>
      <c r="C2419" s="25"/>
      <c r="D2419" s="25"/>
      <c r="E2419" s="16"/>
      <c r="F2419" s="18"/>
      <c r="G2419" s="19" t="str">
        <f t="shared" ca="1" si="74"/>
        <v/>
      </c>
      <c r="H2419" s="27"/>
      <c r="I2419" s="27"/>
      <c r="J2419" s="77" t="str">
        <f t="shared" ca="1" si="75"/>
        <v/>
      </c>
      <c r="K2419" s="23">
        <f>IF(A2419="","",COUNTIFS(Resumen!$N$2:$N$2999,ROW(),Resumen!$V$2:$V$2999,1))</f>
        <v/>
      </c>
      <c r="L2419" s="26"/>
      <c r="N24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0" spans="1:14">
      <c r="A2420" s="16"/>
      <c r="B2420" s="16"/>
      <c r="C2420" s="25"/>
      <c r="D2420" s="25"/>
      <c r="E2420" s="16"/>
      <c r="F2420" s="18"/>
      <c r="G2420" s="19" t="str">
        <f t="shared" ca="1" si="74"/>
        <v/>
      </c>
      <c r="H2420" s="27"/>
      <c r="I2420" s="27"/>
      <c r="J2420" s="77" t="str">
        <f t="shared" ca="1" si="75"/>
        <v/>
      </c>
      <c r="K2420" s="23">
        <f>IF(A2420="","",COUNTIFS(Resumen!$N$2:$N$2999,ROW(),Resumen!$V$2:$V$2999,1))</f>
        <v/>
      </c>
      <c r="L2420" s="26"/>
      <c r="N24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1" spans="1:14">
      <c r="A2421" s="16"/>
      <c r="B2421" s="16"/>
      <c r="C2421" s="25"/>
      <c r="D2421" s="25"/>
      <c r="E2421" s="16"/>
      <c r="F2421" s="18"/>
      <c r="G2421" s="19" t="str">
        <f t="shared" ca="1" si="74"/>
        <v/>
      </c>
      <c r="H2421" s="27"/>
      <c r="I2421" s="27"/>
      <c r="J2421" s="77" t="str">
        <f t="shared" ca="1" si="75"/>
        <v/>
      </c>
      <c r="K2421" s="23">
        <f>IF(A2421="","",COUNTIFS(Resumen!$N$2:$N$2999,ROW(),Resumen!$V$2:$V$2999,1))</f>
        <v/>
      </c>
      <c r="L2421" s="26"/>
      <c r="N24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2" spans="1:14">
      <c r="A2422" s="16"/>
      <c r="B2422" s="16"/>
      <c r="C2422" s="25"/>
      <c r="D2422" s="25"/>
      <c r="E2422" s="16"/>
      <c r="F2422" s="18"/>
      <c r="G2422" s="19" t="str">
        <f t="shared" ca="1" si="74"/>
        <v/>
      </c>
      <c r="H2422" s="27"/>
      <c r="I2422" s="27"/>
      <c r="J2422" s="77" t="str">
        <f t="shared" ca="1" si="75"/>
        <v/>
      </c>
      <c r="K2422" s="23">
        <f>IF(A2422="","",COUNTIFS(Resumen!$N$2:$N$2999,ROW(),Resumen!$V$2:$V$2999,1))</f>
        <v/>
      </c>
      <c r="L2422" s="26"/>
      <c r="N24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3" spans="1:14">
      <c r="A2423" s="16"/>
      <c r="B2423" s="16"/>
      <c r="C2423" s="25"/>
      <c r="D2423" s="25"/>
      <c r="E2423" s="16"/>
      <c r="F2423" s="18"/>
      <c r="G2423" s="19" t="str">
        <f t="shared" ca="1" si="74"/>
        <v/>
      </c>
      <c r="H2423" s="27"/>
      <c r="I2423" s="27"/>
      <c r="J2423" s="77" t="str">
        <f t="shared" ca="1" si="75"/>
        <v/>
      </c>
      <c r="K2423" s="23">
        <f>IF(A2423="","",COUNTIFS(Resumen!$N$2:$N$2999,ROW(),Resumen!$V$2:$V$2999,1))</f>
        <v/>
      </c>
      <c r="L2423" s="26"/>
      <c r="N24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4" spans="1:14">
      <c r="A2424" s="16"/>
      <c r="B2424" s="16"/>
      <c r="C2424" s="25"/>
      <c r="D2424" s="25"/>
      <c r="E2424" s="16"/>
      <c r="F2424" s="18"/>
      <c r="G2424" s="19" t="str">
        <f t="shared" ca="1" si="74"/>
        <v/>
      </c>
      <c r="H2424" s="27"/>
      <c r="I2424" s="27"/>
      <c r="J2424" s="77" t="str">
        <f t="shared" ca="1" si="75"/>
        <v/>
      </c>
      <c r="K2424" s="23">
        <f>IF(A2424="","",COUNTIFS(Resumen!$N$2:$N$2999,ROW(),Resumen!$V$2:$V$2999,1))</f>
        <v/>
      </c>
      <c r="L2424" s="26"/>
      <c r="N24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5" spans="1:14">
      <c r="A2425" s="16"/>
      <c r="B2425" s="16"/>
      <c r="C2425" s="25"/>
      <c r="D2425" s="25"/>
      <c r="E2425" s="16"/>
      <c r="F2425" s="18"/>
      <c r="G2425" s="19" t="str">
        <f t="shared" ca="1" si="74"/>
        <v/>
      </c>
      <c r="H2425" s="27"/>
      <c r="I2425" s="27"/>
      <c r="J2425" s="77" t="str">
        <f t="shared" ca="1" si="75"/>
        <v/>
      </c>
      <c r="K2425" s="23">
        <f>IF(A2425="","",COUNTIFS(Resumen!$N$2:$N$2999,ROW(),Resumen!$V$2:$V$2999,1))</f>
        <v/>
      </c>
      <c r="L2425" s="26"/>
      <c r="N24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6" spans="1:14">
      <c r="A2426" s="16"/>
      <c r="B2426" s="16"/>
      <c r="C2426" s="25"/>
      <c r="D2426" s="25"/>
      <c r="E2426" s="16"/>
      <c r="F2426" s="18"/>
      <c r="G2426" s="19" t="str">
        <f t="shared" ca="1" si="74"/>
        <v/>
      </c>
      <c r="H2426" s="27"/>
      <c r="I2426" s="27"/>
      <c r="J2426" s="77" t="str">
        <f t="shared" ca="1" si="75"/>
        <v/>
      </c>
      <c r="K2426" s="23">
        <f>IF(A2426="","",COUNTIFS(Resumen!$N$2:$N$2999,ROW(),Resumen!$V$2:$V$2999,1))</f>
        <v/>
      </c>
      <c r="L2426" s="26"/>
      <c r="N24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7" spans="1:14">
      <c r="A2427" s="16"/>
      <c r="B2427" s="16"/>
      <c r="C2427" s="25"/>
      <c r="D2427" s="25"/>
      <c r="E2427" s="16"/>
      <c r="F2427" s="18"/>
      <c r="G2427" s="19" t="str">
        <f t="shared" ca="1" si="74"/>
        <v/>
      </c>
      <c r="H2427" s="27"/>
      <c r="I2427" s="27"/>
      <c r="J2427" s="77" t="str">
        <f t="shared" ca="1" si="75"/>
        <v/>
      </c>
      <c r="K2427" s="23">
        <f>IF(A2427="","",COUNTIFS(Resumen!$N$2:$N$2999,ROW(),Resumen!$V$2:$V$2999,1))</f>
        <v/>
      </c>
      <c r="L2427" s="26"/>
      <c r="N24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8" spans="1:14">
      <c r="A2428" s="16"/>
      <c r="B2428" s="16"/>
      <c r="C2428" s="25"/>
      <c r="D2428" s="25"/>
      <c r="E2428" s="16"/>
      <c r="F2428" s="18"/>
      <c r="G2428" s="19" t="str">
        <f t="shared" ca="1" si="74"/>
        <v/>
      </c>
      <c r="H2428" s="27"/>
      <c r="I2428" s="27"/>
      <c r="J2428" s="77" t="str">
        <f t="shared" ca="1" si="75"/>
        <v/>
      </c>
      <c r="K2428" s="23">
        <f>IF(A2428="","",COUNTIFS(Resumen!$N$2:$N$2999,ROW(),Resumen!$V$2:$V$2999,1))</f>
        <v/>
      </c>
      <c r="L2428" s="26"/>
      <c r="N24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29" spans="1:14">
      <c r="A2429" s="16"/>
      <c r="B2429" s="16"/>
      <c r="C2429" s="25"/>
      <c r="D2429" s="25"/>
      <c r="E2429" s="16"/>
      <c r="F2429" s="18"/>
      <c r="G2429" s="19" t="str">
        <f t="shared" ca="1" si="74"/>
        <v/>
      </c>
      <c r="H2429" s="27"/>
      <c r="I2429" s="27"/>
      <c r="J2429" s="77" t="str">
        <f t="shared" ca="1" si="75"/>
        <v/>
      </c>
      <c r="K2429" s="23">
        <f>IF(A2429="","",COUNTIFS(Resumen!$N$2:$N$2999,ROW(),Resumen!$V$2:$V$2999,1))</f>
        <v/>
      </c>
      <c r="L2429" s="26"/>
      <c r="N24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0" spans="1:14">
      <c r="A2430" s="16"/>
      <c r="B2430" s="16"/>
      <c r="C2430" s="25"/>
      <c r="D2430" s="25"/>
      <c r="E2430" s="16"/>
      <c r="F2430" s="18"/>
      <c r="G2430" s="19" t="str">
        <f t="shared" ca="1" si="74"/>
        <v/>
      </c>
      <c r="H2430" s="27"/>
      <c r="I2430" s="27"/>
      <c r="J2430" s="77" t="str">
        <f t="shared" ca="1" si="75"/>
        <v/>
      </c>
      <c r="K2430" s="23">
        <f>IF(A2430="","",COUNTIFS(Resumen!$N$2:$N$2999,ROW(),Resumen!$V$2:$V$2999,1))</f>
        <v/>
      </c>
      <c r="L2430" s="26"/>
      <c r="N24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1" spans="1:14">
      <c r="A2431" s="16"/>
      <c r="B2431" s="16"/>
      <c r="C2431" s="25"/>
      <c r="D2431" s="25"/>
      <c r="E2431" s="16"/>
      <c r="F2431" s="18"/>
      <c r="G2431" s="19" t="str">
        <f t="shared" ca="1" si="74"/>
        <v/>
      </c>
      <c r="H2431" s="27"/>
      <c r="I2431" s="27"/>
      <c r="J2431" s="77" t="str">
        <f t="shared" ca="1" si="75"/>
        <v/>
      </c>
      <c r="K2431" s="23">
        <f>IF(A2431="","",COUNTIFS(Resumen!$N$2:$N$2999,ROW(),Resumen!$V$2:$V$2999,1))</f>
        <v/>
      </c>
      <c r="L2431" s="26"/>
      <c r="N24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2" spans="1:14">
      <c r="A2432" s="16"/>
      <c r="B2432" s="16"/>
      <c r="C2432" s="25"/>
      <c r="D2432" s="25"/>
      <c r="E2432" s="16"/>
      <c r="F2432" s="18"/>
      <c r="G2432" s="19" t="str">
        <f t="shared" ca="1" si="74"/>
        <v/>
      </c>
      <c r="H2432" s="27"/>
      <c r="I2432" s="27"/>
      <c r="J2432" s="77" t="str">
        <f t="shared" ca="1" si="75"/>
        <v/>
      </c>
      <c r="K2432" s="23">
        <f>IF(A2432="","",COUNTIFS(Resumen!$N$2:$N$2999,ROW(),Resumen!$V$2:$V$2999,1))</f>
        <v/>
      </c>
      <c r="L2432" s="26"/>
      <c r="N24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3" spans="1:14">
      <c r="A2433" s="16"/>
      <c r="B2433" s="16"/>
      <c r="C2433" s="25"/>
      <c r="D2433" s="25"/>
      <c r="E2433" s="16"/>
      <c r="F2433" s="18"/>
      <c r="G2433" s="19" t="str">
        <f t="shared" ca="1" si="74"/>
        <v/>
      </c>
      <c r="H2433" s="27"/>
      <c r="I2433" s="27"/>
      <c r="J2433" s="77" t="str">
        <f t="shared" ca="1" si="75"/>
        <v/>
      </c>
      <c r="K2433" s="23">
        <f>IF(A2433="","",COUNTIFS(Resumen!$N$2:$N$2999,ROW(),Resumen!$V$2:$V$2999,1))</f>
        <v/>
      </c>
      <c r="L2433" s="26"/>
      <c r="N24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4" spans="1:14">
      <c r="A2434" s="16"/>
      <c r="B2434" s="16"/>
      <c r="C2434" s="25"/>
      <c r="D2434" s="25"/>
      <c r="E2434" s="16"/>
      <c r="F2434" s="18"/>
      <c r="G2434" s="19" t="str">
        <f t="shared" ref="G2434:G2497" ca="1" si="76">IF(F2434="", "", DATEDIF(F2434, TODAY(), "Y"))</f>
        <v/>
      </c>
      <c r="H2434" s="27"/>
      <c r="I2434" s="27"/>
      <c r="J2434" s="77" t="str">
        <f t="shared" ref="J2434:J2497" ca="1" si="77">IFERROR(IF(ISNUMBER(INDEX(VigenciasFamilia,ROW())),INDEX(VigenciasFamilia,ROW())-TODAY(),""),"")</f>
        <v/>
      </c>
      <c r="K2434" s="23">
        <f>IF(A2434="","",COUNTIFS(Resumen!$N$2:$N$2999,ROW(),Resumen!$V$2:$V$2999,1))</f>
        <v/>
      </c>
      <c r="L2434" s="26"/>
      <c r="N24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5" spans="1:14">
      <c r="A2435" s="16"/>
      <c r="B2435" s="16"/>
      <c r="C2435" s="25"/>
      <c r="D2435" s="25"/>
      <c r="E2435" s="16"/>
      <c r="F2435" s="18"/>
      <c r="G2435" s="19" t="str">
        <f t="shared" ca="1" si="76"/>
        <v/>
      </c>
      <c r="H2435" s="27"/>
      <c r="I2435" s="27"/>
      <c r="J2435" s="77" t="str">
        <f t="shared" ca="1" si="77"/>
        <v/>
      </c>
      <c r="K2435" s="23">
        <f>IF(A2435="","",COUNTIFS(Resumen!$N$2:$N$2999,ROW(),Resumen!$V$2:$V$2999,1))</f>
        <v/>
      </c>
      <c r="L2435" s="26"/>
      <c r="N24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6" spans="1:14">
      <c r="A2436" s="16"/>
      <c r="B2436" s="16"/>
      <c r="C2436" s="25"/>
      <c r="D2436" s="25"/>
      <c r="E2436" s="16"/>
      <c r="F2436" s="18"/>
      <c r="G2436" s="19" t="str">
        <f t="shared" ca="1" si="76"/>
        <v/>
      </c>
      <c r="H2436" s="27"/>
      <c r="I2436" s="27"/>
      <c r="J2436" s="77" t="str">
        <f t="shared" ca="1" si="77"/>
        <v/>
      </c>
      <c r="K2436" s="23">
        <f>IF(A2436="","",COUNTIFS(Resumen!$N$2:$N$2999,ROW(),Resumen!$V$2:$V$2999,1))</f>
        <v/>
      </c>
      <c r="L2436" s="26"/>
      <c r="N24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7" spans="1:14">
      <c r="A2437" s="16"/>
      <c r="B2437" s="16"/>
      <c r="C2437" s="25"/>
      <c r="D2437" s="25"/>
      <c r="E2437" s="16"/>
      <c r="F2437" s="18"/>
      <c r="G2437" s="19" t="str">
        <f t="shared" ca="1" si="76"/>
        <v/>
      </c>
      <c r="H2437" s="27"/>
      <c r="I2437" s="27"/>
      <c r="J2437" s="77" t="str">
        <f t="shared" ca="1" si="77"/>
        <v/>
      </c>
      <c r="K2437" s="23">
        <f>IF(A2437="","",COUNTIFS(Resumen!$N$2:$N$2999,ROW(),Resumen!$V$2:$V$2999,1))</f>
        <v/>
      </c>
      <c r="L2437" s="26"/>
      <c r="N24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8" spans="1:14">
      <c r="A2438" s="16"/>
      <c r="B2438" s="16"/>
      <c r="C2438" s="25"/>
      <c r="D2438" s="25"/>
      <c r="E2438" s="16"/>
      <c r="F2438" s="18"/>
      <c r="G2438" s="19" t="str">
        <f t="shared" ca="1" si="76"/>
        <v/>
      </c>
      <c r="H2438" s="27"/>
      <c r="I2438" s="27"/>
      <c r="J2438" s="77" t="str">
        <f t="shared" ca="1" si="77"/>
        <v/>
      </c>
      <c r="K2438" s="23">
        <f>IF(A2438="","",COUNTIFS(Resumen!$N$2:$N$2999,ROW(),Resumen!$V$2:$V$2999,1))</f>
        <v/>
      </c>
      <c r="L2438" s="26"/>
      <c r="N24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39" spans="1:14">
      <c r="A2439" s="16"/>
      <c r="B2439" s="16"/>
      <c r="C2439" s="25"/>
      <c r="D2439" s="25"/>
      <c r="E2439" s="16"/>
      <c r="F2439" s="18"/>
      <c r="G2439" s="19" t="str">
        <f t="shared" ca="1" si="76"/>
        <v/>
      </c>
      <c r="H2439" s="27"/>
      <c r="I2439" s="27"/>
      <c r="J2439" s="77" t="str">
        <f t="shared" ca="1" si="77"/>
        <v/>
      </c>
      <c r="K2439" s="23">
        <f>IF(A2439="","",COUNTIFS(Resumen!$N$2:$N$2999,ROW(),Resumen!$V$2:$V$2999,1))</f>
        <v/>
      </c>
      <c r="L2439" s="26"/>
      <c r="N24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0" spans="1:14">
      <c r="A2440" s="16"/>
      <c r="B2440" s="16"/>
      <c r="C2440" s="25"/>
      <c r="D2440" s="25"/>
      <c r="E2440" s="16"/>
      <c r="F2440" s="18"/>
      <c r="G2440" s="19" t="str">
        <f t="shared" ca="1" si="76"/>
        <v/>
      </c>
      <c r="H2440" s="27"/>
      <c r="I2440" s="27"/>
      <c r="J2440" s="77" t="str">
        <f t="shared" ca="1" si="77"/>
        <v/>
      </c>
      <c r="K2440" s="23">
        <f>IF(A2440="","",COUNTIFS(Resumen!$N$2:$N$2999,ROW(),Resumen!$V$2:$V$2999,1))</f>
        <v/>
      </c>
      <c r="L2440" s="26"/>
      <c r="N24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1" spans="1:14">
      <c r="A2441" s="16"/>
      <c r="B2441" s="16"/>
      <c r="C2441" s="25"/>
      <c r="D2441" s="25"/>
      <c r="E2441" s="16"/>
      <c r="F2441" s="18"/>
      <c r="G2441" s="19" t="str">
        <f t="shared" ca="1" si="76"/>
        <v/>
      </c>
      <c r="H2441" s="27"/>
      <c r="I2441" s="27"/>
      <c r="J2441" s="77" t="str">
        <f t="shared" ca="1" si="77"/>
        <v/>
      </c>
      <c r="K2441" s="23">
        <f>IF(A2441="","",COUNTIFS(Resumen!$N$2:$N$2999,ROW(),Resumen!$V$2:$V$2999,1))</f>
        <v/>
      </c>
      <c r="L2441" s="26"/>
      <c r="N24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2" spans="1:14">
      <c r="A2442" s="16"/>
      <c r="B2442" s="16"/>
      <c r="C2442" s="25"/>
      <c r="D2442" s="25"/>
      <c r="E2442" s="16"/>
      <c r="F2442" s="18"/>
      <c r="G2442" s="19" t="str">
        <f t="shared" ca="1" si="76"/>
        <v/>
      </c>
      <c r="H2442" s="27"/>
      <c r="I2442" s="27"/>
      <c r="J2442" s="77" t="str">
        <f t="shared" ca="1" si="77"/>
        <v/>
      </c>
      <c r="K2442" s="23">
        <f>IF(A2442="","",COUNTIFS(Resumen!$N$2:$N$2999,ROW(),Resumen!$V$2:$V$2999,1))</f>
        <v/>
      </c>
      <c r="L2442" s="26"/>
      <c r="N24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3" spans="1:14">
      <c r="A2443" s="16"/>
      <c r="B2443" s="16"/>
      <c r="C2443" s="25"/>
      <c r="D2443" s="25"/>
      <c r="E2443" s="16"/>
      <c r="F2443" s="18"/>
      <c r="G2443" s="19" t="str">
        <f t="shared" ca="1" si="76"/>
        <v/>
      </c>
      <c r="H2443" s="27"/>
      <c r="I2443" s="27"/>
      <c r="J2443" s="77" t="str">
        <f t="shared" ca="1" si="77"/>
        <v/>
      </c>
      <c r="K2443" s="23">
        <f>IF(A2443="","",COUNTIFS(Resumen!$N$2:$N$2999,ROW(),Resumen!$V$2:$V$2999,1))</f>
        <v/>
      </c>
      <c r="L2443" s="26"/>
      <c r="N24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4" spans="1:14">
      <c r="A2444" s="16"/>
      <c r="B2444" s="16"/>
      <c r="C2444" s="25"/>
      <c r="D2444" s="25"/>
      <c r="E2444" s="16"/>
      <c r="F2444" s="18"/>
      <c r="G2444" s="19" t="str">
        <f t="shared" ca="1" si="76"/>
        <v/>
      </c>
      <c r="H2444" s="27"/>
      <c r="I2444" s="27"/>
      <c r="J2444" s="77" t="str">
        <f t="shared" ca="1" si="77"/>
        <v/>
      </c>
      <c r="K2444" s="23">
        <f>IF(A2444="","",COUNTIFS(Resumen!$N$2:$N$2999,ROW(),Resumen!$V$2:$V$2999,1))</f>
        <v/>
      </c>
      <c r="L2444" s="26"/>
      <c r="N24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5" spans="1:14">
      <c r="A2445" s="16"/>
      <c r="B2445" s="16"/>
      <c r="C2445" s="25"/>
      <c r="D2445" s="25"/>
      <c r="E2445" s="16"/>
      <c r="F2445" s="18"/>
      <c r="G2445" s="19" t="str">
        <f t="shared" ca="1" si="76"/>
        <v/>
      </c>
      <c r="H2445" s="27"/>
      <c r="I2445" s="27"/>
      <c r="J2445" s="77" t="str">
        <f t="shared" ca="1" si="77"/>
        <v/>
      </c>
      <c r="K2445" s="23">
        <f>IF(A2445="","",COUNTIFS(Resumen!$N$2:$N$2999,ROW(),Resumen!$V$2:$V$2999,1))</f>
        <v/>
      </c>
      <c r="L2445" s="26"/>
      <c r="N24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6" spans="1:14">
      <c r="A2446" s="16"/>
      <c r="B2446" s="16"/>
      <c r="C2446" s="25"/>
      <c r="D2446" s="25"/>
      <c r="E2446" s="16"/>
      <c r="F2446" s="18"/>
      <c r="G2446" s="19" t="str">
        <f t="shared" ca="1" si="76"/>
        <v/>
      </c>
      <c r="H2446" s="27"/>
      <c r="I2446" s="27"/>
      <c r="J2446" s="77" t="str">
        <f t="shared" ca="1" si="77"/>
        <v/>
      </c>
      <c r="K2446" s="23">
        <f>IF(A2446="","",COUNTIFS(Resumen!$N$2:$N$2999,ROW(),Resumen!$V$2:$V$2999,1))</f>
        <v/>
      </c>
      <c r="L2446" s="26"/>
      <c r="N24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7" spans="1:14">
      <c r="A2447" s="16"/>
      <c r="B2447" s="16"/>
      <c r="C2447" s="25"/>
      <c r="D2447" s="25"/>
      <c r="E2447" s="16"/>
      <c r="F2447" s="18"/>
      <c r="G2447" s="19" t="str">
        <f t="shared" ca="1" si="76"/>
        <v/>
      </c>
      <c r="H2447" s="27"/>
      <c r="I2447" s="27"/>
      <c r="J2447" s="77" t="str">
        <f t="shared" ca="1" si="77"/>
        <v/>
      </c>
      <c r="K2447" s="23">
        <f>IF(A2447="","",COUNTIFS(Resumen!$N$2:$N$2999,ROW(),Resumen!$V$2:$V$2999,1))</f>
        <v/>
      </c>
      <c r="L2447" s="26"/>
      <c r="N24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8" spans="1:14">
      <c r="A2448" s="16"/>
      <c r="B2448" s="16"/>
      <c r="C2448" s="25"/>
      <c r="D2448" s="25"/>
      <c r="E2448" s="16"/>
      <c r="F2448" s="18"/>
      <c r="G2448" s="19" t="str">
        <f t="shared" ca="1" si="76"/>
        <v/>
      </c>
      <c r="H2448" s="27"/>
      <c r="I2448" s="27"/>
      <c r="J2448" s="77" t="str">
        <f t="shared" ca="1" si="77"/>
        <v/>
      </c>
      <c r="K2448" s="23">
        <f>IF(A2448="","",COUNTIFS(Resumen!$N$2:$N$2999,ROW(),Resumen!$V$2:$V$2999,1))</f>
        <v/>
      </c>
      <c r="L2448" s="26"/>
      <c r="N24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49" spans="1:14">
      <c r="A2449" s="16"/>
      <c r="B2449" s="16"/>
      <c r="C2449" s="25"/>
      <c r="D2449" s="25"/>
      <c r="E2449" s="16"/>
      <c r="F2449" s="18"/>
      <c r="G2449" s="19" t="str">
        <f t="shared" ca="1" si="76"/>
        <v/>
      </c>
      <c r="H2449" s="27"/>
      <c r="I2449" s="27"/>
      <c r="J2449" s="77" t="str">
        <f t="shared" ca="1" si="77"/>
        <v/>
      </c>
      <c r="K2449" s="23">
        <f>IF(A2449="","",COUNTIFS(Resumen!$N$2:$N$2999,ROW(),Resumen!$V$2:$V$2999,1))</f>
        <v/>
      </c>
      <c r="L2449" s="26"/>
      <c r="N24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0" spans="1:14">
      <c r="A2450" s="16"/>
      <c r="B2450" s="16"/>
      <c r="C2450" s="25"/>
      <c r="D2450" s="25"/>
      <c r="E2450" s="16"/>
      <c r="F2450" s="18"/>
      <c r="G2450" s="19" t="str">
        <f t="shared" ca="1" si="76"/>
        <v/>
      </c>
      <c r="H2450" s="27"/>
      <c r="I2450" s="27"/>
      <c r="J2450" s="77" t="str">
        <f t="shared" ca="1" si="77"/>
        <v/>
      </c>
      <c r="K2450" s="23">
        <f>IF(A2450="","",COUNTIFS(Resumen!$N$2:$N$2999,ROW(),Resumen!$V$2:$V$2999,1))</f>
        <v/>
      </c>
      <c r="L2450" s="26"/>
      <c r="N24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1" spans="1:14">
      <c r="A2451" s="16"/>
      <c r="B2451" s="16"/>
      <c r="C2451" s="25"/>
      <c r="D2451" s="25"/>
      <c r="E2451" s="16"/>
      <c r="F2451" s="18"/>
      <c r="G2451" s="19" t="str">
        <f t="shared" ca="1" si="76"/>
        <v/>
      </c>
      <c r="H2451" s="27"/>
      <c r="I2451" s="27"/>
      <c r="J2451" s="77" t="str">
        <f t="shared" ca="1" si="77"/>
        <v/>
      </c>
      <c r="K2451" s="23">
        <f>IF(A2451="","",COUNTIFS(Resumen!$N$2:$N$2999,ROW(),Resumen!$V$2:$V$2999,1))</f>
        <v/>
      </c>
      <c r="L2451" s="26"/>
      <c r="N24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2" spans="1:14">
      <c r="A2452" s="16"/>
      <c r="B2452" s="16"/>
      <c r="C2452" s="25"/>
      <c r="D2452" s="25"/>
      <c r="E2452" s="16"/>
      <c r="F2452" s="18"/>
      <c r="G2452" s="19" t="str">
        <f t="shared" ca="1" si="76"/>
        <v/>
      </c>
      <c r="H2452" s="27"/>
      <c r="I2452" s="27"/>
      <c r="J2452" s="77" t="str">
        <f t="shared" ca="1" si="77"/>
        <v/>
      </c>
      <c r="K2452" s="23">
        <f>IF(A2452="","",COUNTIFS(Resumen!$N$2:$N$2999,ROW(),Resumen!$V$2:$V$2999,1))</f>
        <v/>
      </c>
      <c r="L2452" s="26"/>
      <c r="N24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3" spans="1:14">
      <c r="A2453" s="16"/>
      <c r="B2453" s="16"/>
      <c r="C2453" s="25"/>
      <c r="D2453" s="25"/>
      <c r="E2453" s="16"/>
      <c r="F2453" s="18"/>
      <c r="G2453" s="19" t="str">
        <f t="shared" ca="1" si="76"/>
        <v/>
      </c>
      <c r="H2453" s="27"/>
      <c r="I2453" s="27"/>
      <c r="J2453" s="77" t="str">
        <f t="shared" ca="1" si="77"/>
        <v/>
      </c>
      <c r="K2453" s="23">
        <f>IF(A2453="","",COUNTIFS(Resumen!$N$2:$N$2999,ROW(),Resumen!$V$2:$V$2999,1))</f>
        <v/>
      </c>
      <c r="L2453" s="26"/>
      <c r="N24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4" spans="1:14">
      <c r="A2454" s="16"/>
      <c r="B2454" s="16"/>
      <c r="C2454" s="25"/>
      <c r="D2454" s="25"/>
      <c r="E2454" s="16"/>
      <c r="F2454" s="18"/>
      <c r="G2454" s="19" t="str">
        <f t="shared" ca="1" si="76"/>
        <v/>
      </c>
      <c r="H2454" s="27"/>
      <c r="I2454" s="27"/>
      <c r="J2454" s="77" t="str">
        <f t="shared" ca="1" si="77"/>
        <v/>
      </c>
      <c r="K2454" s="23">
        <f>IF(A2454="","",COUNTIFS(Resumen!$N$2:$N$2999,ROW(),Resumen!$V$2:$V$2999,1))</f>
        <v/>
      </c>
      <c r="L2454" s="26"/>
      <c r="N24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5" spans="1:14">
      <c r="A2455" s="16"/>
      <c r="B2455" s="16"/>
      <c r="C2455" s="25"/>
      <c r="D2455" s="25"/>
      <c r="E2455" s="16"/>
      <c r="F2455" s="18"/>
      <c r="G2455" s="19" t="str">
        <f t="shared" ca="1" si="76"/>
        <v/>
      </c>
      <c r="H2455" s="27"/>
      <c r="I2455" s="27"/>
      <c r="J2455" s="77" t="str">
        <f t="shared" ca="1" si="77"/>
        <v/>
      </c>
      <c r="K2455" s="23">
        <f>IF(A2455="","",COUNTIFS(Resumen!$N$2:$N$2999,ROW(),Resumen!$V$2:$V$2999,1))</f>
        <v/>
      </c>
      <c r="L2455" s="26"/>
      <c r="N24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6" spans="1:14">
      <c r="A2456" s="16"/>
      <c r="B2456" s="16"/>
      <c r="C2456" s="25"/>
      <c r="D2456" s="25"/>
      <c r="E2456" s="16"/>
      <c r="F2456" s="18"/>
      <c r="G2456" s="19" t="str">
        <f t="shared" ca="1" si="76"/>
        <v/>
      </c>
      <c r="H2456" s="27"/>
      <c r="I2456" s="27"/>
      <c r="J2456" s="77" t="str">
        <f t="shared" ca="1" si="77"/>
        <v/>
      </c>
      <c r="K2456" s="23">
        <f>IF(A2456="","",COUNTIFS(Resumen!$N$2:$N$2999,ROW(),Resumen!$V$2:$V$2999,1))</f>
        <v/>
      </c>
      <c r="L2456" s="26"/>
      <c r="N24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7" spans="1:14">
      <c r="A2457" s="16"/>
      <c r="B2457" s="16"/>
      <c r="C2457" s="25"/>
      <c r="D2457" s="25"/>
      <c r="E2457" s="16"/>
      <c r="F2457" s="18"/>
      <c r="G2457" s="19" t="str">
        <f t="shared" ca="1" si="76"/>
        <v/>
      </c>
      <c r="H2457" s="27"/>
      <c r="I2457" s="27"/>
      <c r="J2457" s="77" t="str">
        <f t="shared" ca="1" si="77"/>
        <v/>
      </c>
      <c r="K2457" s="23">
        <f>IF(A2457="","",COUNTIFS(Resumen!$N$2:$N$2999,ROW(),Resumen!$V$2:$V$2999,1))</f>
        <v/>
      </c>
      <c r="L2457" s="26"/>
      <c r="N24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8" spans="1:14">
      <c r="A2458" s="16"/>
      <c r="B2458" s="16"/>
      <c r="C2458" s="25"/>
      <c r="D2458" s="25"/>
      <c r="E2458" s="16"/>
      <c r="F2458" s="18"/>
      <c r="G2458" s="19" t="str">
        <f t="shared" ca="1" si="76"/>
        <v/>
      </c>
      <c r="H2458" s="27"/>
      <c r="I2458" s="27"/>
      <c r="J2458" s="77" t="str">
        <f t="shared" ca="1" si="77"/>
        <v/>
      </c>
      <c r="K2458" s="23">
        <f>IF(A2458="","",COUNTIFS(Resumen!$N$2:$N$2999,ROW(),Resumen!$V$2:$V$2999,1))</f>
        <v/>
      </c>
      <c r="L2458" s="26"/>
      <c r="N24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59" spans="1:14">
      <c r="A2459" s="16"/>
      <c r="B2459" s="16"/>
      <c r="C2459" s="25"/>
      <c r="D2459" s="25"/>
      <c r="E2459" s="16"/>
      <c r="F2459" s="18"/>
      <c r="G2459" s="19" t="str">
        <f t="shared" ca="1" si="76"/>
        <v/>
      </c>
      <c r="H2459" s="27"/>
      <c r="I2459" s="27"/>
      <c r="J2459" s="77" t="str">
        <f t="shared" ca="1" si="77"/>
        <v/>
      </c>
      <c r="K2459" s="23">
        <f>IF(A2459="","",COUNTIFS(Resumen!$N$2:$N$2999,ROW(),Resumen!$V$2:$V$2999,1))</f>
        <v/>
      </c>
      <c r="L2459" s="26"/>
      <c r="N24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0" spans="1:14">
      <c r="A2460" s="16"/>
      <c r="B2460" s="16"/>
      <c r="C2460" s="25"/>
      <c r="D2460" s="25"/>
      <c r="E2460" s="16"/>
      <c r="F2460" s="18"/>
      <c r="G2460" s="19" t="str">
        <f t="shared" ca="1" si="76"/>
        <v/>
      </c>
      <c r="H2460" s="27"/>
      <c r="I2460" s="27"/>
      <c r="J2460" s="77" t="str">
        <f t="shared" ca="1" si="77"/>
        <v/>
      </c>
      <c r="K2460" s="23">
        <f>IF(A2460="","",COUNTIFS(Resumen!$N$2:$N$2999,ROW(),Resumen!$V$2:$V$2999,1))</f>
        <v/>
      </c>
      <c r="L2460" s="26"/>
      <c r="N24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1" spans="1:14">
      <c r="A2461" s="16"/>
      <c r="B2461" s="16"/>
      <c r="C2461" s="25"/>
      <c r="D2461" s="25"/>
      <c r="E2461" s="16"/>
      <c r="F2461" s="18"/>
      <c r="G2461" s="19" t="str">
        <f t="shared" ca="1" si="76"/>
        <v/>
      </c>
      <c r="H2461" s="27"/>
      <c r="I2461" s="27"/>
      <c r="J2461" s="77" t="str">
        <f t="shared" ca="1" si="77"/>
        <v/>
      </c>
      <c r="K2461" s="23">
        <f>IF(A2461="","",COUNTIFS(Resumen!$N$2:$N$2999,ROW(),Resumen!$V$2:$V$2999,1))</f>
        <v/>
      </c>
      <c r="L2461" s="26"/>
      <c r="N24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2" spans="1:14">
      <c r="A2462" s="16"/>
      <c r="B2462" s="16"/>
      <c r="C2462" s="25"/>
      <c r="D2462" s="25"/>
      <c r="E2462" s="16"/>
      <c r="F2462" s="18"/>
      <c r="G2462" s="19" t="str">
        <f t="shared" ca="1" si="76"/>
        <v/>
      </c>
      <c r="H2462" s="27"/>
      <c r="I2462" s="27"/>
      <c r="J2462" s="77" t="str">
        <f t="shared" ca="1" si="77"/>
        <v/>
      </c>
      <c r="K2462" s="23">
        <f>IF(A2462="","",COUNTIFS(Resumen!$N$2:$N$2999,ROW(),Resumen!$V$2:$V$2999,1))</f>
        <v/>
      </c>
      <c r="L2462" s="26"/>
      <c r="N24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3" spans="1:14">
      <c r="A2463" s="16"/>
      <c r="B2463" s="16"/>
      <c r="C2463" s="25"/>
      <c r="D2463" s="25"/>
      <c r="E2463" s="16"/>
      <c r="F2463" s="18"/>
      <c r="G2463" s="19" t="str">
        <f t="shared" ca="1" si="76"/>
        <v/>
      </c>
      <c r="H2463" s="27"/>
      <c r="I2463" s="27"/>
      <c r="J2463" s="77" t="str">
        <f t="shared" ca="1" si="77"/>
        <v/>
      </c>
      <c r="K2463" s="23">
        <f>IF(A2463="","",COUNTIFS(Resumen!$N$2:$N$2999,ROW(),Resumen!$V$2:$V$2999,1))</f>
        <v/>
      </c>
      <c r="L2463" s="26"/>
      <c r="N24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4" spans="1:14">
      <c r="A2464" s="16"/>
      <c r="B2464" s="16"/>
      <c r="C2464" s="25"/>
      <c r="D2464" s="25"/>
      <c r="E2464" s="16"/>
      <c r="F2464" s="18"/>
      <c r="G2464" s="19" t="str">
        <f t="shared" ca="1" si="76"/>
        <v/>
      </c>
      <c r="H2464" s="27"/>
      <c r="I2464" s="27"/>
      <c r="J2464" s="77" t="str">
        <f t="shared" ca="1" si="77"/>
        <v/>
      </c>
      <c r="K2464" s="23">
        <f>IF(A2464="","",COUNTIFS(Resumen!$N$2:$N$2999,ROW(),Resumen!$V$2:$V$2999,1))</f>
        <v/>
      </c>
      <c r="L2464" s="26"/>
      <c r="N24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5" spans="1:14">
      <c r="A2465" s="16"/>
      <c r="B2465" s="16"/>
      <c r="C2465" s="25"/>
      <c r="D2465" s="25"/>
      <c r="E2465" s="16"/>
      <c r="F2465" s="18"/>
      <c r="G2465" s="19" t="str">
        <f t="shared" ca="1" si="76"/>
        <v/>
      </c>
      <c r="H2465" s="27"/>
      <c r="I2465" s="27"/>
      <c r="J2465" s="77" t="str">
        <f t="shared" ca="1" si="77"/>
        <v/>
      </c>
      <c r="K2465" s="23">
        <f>IF(A2465="","",COUNTIFS(Resumen!$N$2:$N$2999,ROW(),Resumen!$V$2:$V$2999,1))</f>
        <v/>
      </c>
      <c r="L2465" s="26"/>
      <c r="N24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6" spans="1:14">
      <c r="A2466" s="16"/>
      <c r="B2466" s="16"/>
      <c r="C2466" s="25"/>
      <c r="D2466" s="25"/>
      <c r="E2466" s="16"/>
      <c r="F2466" s="18"/>
      <c r="G2466" s="19" t="str">
        <f t="shared" ca="1" si="76"/>
        <v/>
      </c>
      <c r="H2466" s="27"/>
      <c r="I2466" s="27"/>
      <c r="J2466" s="77" t="str">
        <f t="shared" ca="1" si="77"/>
        <v/>
      </c>
      <c r="K2466" s="23">
        <f>IF(A2466="","",COUNTIFS(Resumen!$N$2:$N$2999,ROW(),Resumen!$V$2:$V$2999,1))</f>
        <v/>
      </c>
      <c r="L2466" s="26"/>
      <c r="N24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7" spans="1:14">
      <c r="A2467" s="16"/>
      <c r="B2467" s="16"/>
      <c r="C2467" s="25"/>
      <c r="D2467" s="25"/>
      <c r="E2467" s="16"/>
      <c r="F2467" s="18"/>
      <c r="G2467" s="19" t="str">
        <f t="shared" ca="1" si="76"/>
        <v/>
      </c>
      <c r="H2467" s="27"/>
      <c r="I2467" s="27"/>
      <c r="J2467" s="77" t="str">
        <f t="shared" ca="1" si="77"/>
        <v/>
      </c>
      <c r="K2467" s="23">
        <f>IF(A2467="","",COUNTIFS(Resumen!$N$2:$N$2999,ROW(),Resumen!$V$2:$V$2999,1))</f>
        <v/>
      </c>
      <c r="L2467" s="26"/>
      <c r="N24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8" spans="1:14">
      <c r="A2468" s="16"/>
      <c r="B2468" s="16"/>
      <c r="C2468" s="25"/>
      <c r="D2468" s="25"/>
      <c r="E2468" s="16"/>
      <c r="F2468" s="18"/>
      <c r="G2468" s="19" t="str">
        <f t="shared" ca="1" si="76"/>
        <v/>
      </c>
      <c r="H2468" s="27"/>
      <c r="I2468" s="27"/>
      <c r="J2468" s="77" t="str">
        <f t="shared" ca="1" si="77"/>
        <v/>
      </c>
      <c r="K2468" s="23">
        <f>IF(A2468="","",COUNTIFS(Resumen!$N$2:$N$2999,ROW(),Resumen!$V$2:$V$2999,1))</f>
        <v/>
      </c>
      <c r="L2468" s="26"/>
      <c r="N24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69" spans="1:14">
      <c r="A2469" s="16"/>
      <c r="B2469" s="16"/>
      <c r="C2469" s="25"/>
      <c r="D2469" s="25"/>
      <c r="E2469" s="16"/>
      <c r="F2469" s="18"/>
      <c r="G2469" s="19" t="str">
        <f t="shared" ca="1" si="76"/>
        <v/>
      </c>
      <c r="H2469" s="27"/>
      <c r="I2469" s="27"/>
      <c r="J2469" s="77" t="str">
        <f t="shared" ca="1" si="77"/>
        <v/>
      </c>
      <c r="K2469" s="23">
        <f>IF(A2469="","",COUNTIFS(Resumen!$N$2:$N$2999,ROW(),Resumen!$V$2:$V$2999,1))</f>
        <v/>
      </c>
      <c r="L2469" s="26"/>
      <c r="N24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0" spans="1:14">
      <c r="A2470" s="16"/>
      <c r="B2470" s="16"/>
      <c r="C2470" s="25"/>
      <c r="D2470" s="25"/>
      <c r="E2470" s="16"/>
      <c r="F2470" s="18"/>
      <c r="G2470" s="19" t="str">
        <f t="shared" ca="1" si="76"/>
        <v/>
      </c>
      <c r="H2470" s="27"/>
      <c r="I2470" s="27"/>
      <c r="J2470" s="77" t="str">
        <f t="shared" ca="1" si="77"/>
        <v/>
      </c>
      <c r="K2470" s="23">
        <f>IF(A2470="","",COUNTIFS(Resumen!$N$2:$N$2999,ROW(),Resumen!$V$2:$V$2999,1))</f>
        <v/>
      </c>
      <c r="L2470" s="26"/>
      <c r="N24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1" spans="1:14">
      <c r="A2471" s="16"/>
      <c r="B2471" s="16"/>
      <c r="C2471" s="25"/>
      <c r="D2471" s="25"/>
      <c r="E2471" s="16"/>
      <c r="F2471" s="18"/>
      <c r="G2471" s="19" t="str">
        <f t="shared" ca="1" si="76"/>
        <v/>
      </c>
      <c r="H2471" s="27"/>
      <c r="I2471" s="27"/>
      <c r="J2471" s="77" t="str">
        <f t="shared" ca="1" si="77"/>
        <v/>
      </c>
      <c r="K2471" s="23">
        <f>IF(A2471="","",COUNTIFS(Resumen!$N$2:$N$2999,ROW(),Resumen!$V$2:$V$2999,1))</f>
        <v/>
      </c>
      <c r="L2471" s="26"/>
      <c r="N24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2" spans="1:14">
      <c r="A2472" s="16"/>
      <c r="B2472" s="16"/>
      <c r="C2472" s="25"/>
      <c r="D2472" s="25"/>
      <c r="E2472" s="16"/>
      <c r="F2472" s="18"/>
      <c r="G2472" s="19" t="str">
        <f t="shared" ca="1" si="76"/>
        <v/>
      </c>
      <c r="H2472" s="27"/>
      <c r="I2472" s="27"/>
      <c r="J2472" s="77" t="str">
        <f t="shared" ca="1" si="77"/>
        <v/>
      </c>
      <c r="K2472" s="23">
        <f>IF(A2472="","",COUNTIFS(Resumen!$N$2:$N$2999,ROW(),Resumen!$V$2:$V$2999,1))</f>
        <v/>
      </c>
      <c r="L2472" s="26"/>
      <c r="N24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3" spans="1:14">
      <c r="A2473" s="16"/>
      <c r="B2473" s="16"/>
      <c r="C2473" s="25"/>
      <c r="D2473" s="25"/>
      <c r="E2473" s="16"/>
      <c r="F2473" s="18"/>
      <c r="G2473" s="19" t="str">
        <f t="shared" ca="1" si="76"/>
        <v/>
      </c>
      <c r="H2473" s="27"/>
      <c r="I2473" s="27"/>
      <c r="J2473" s="77" t="str">
        <f t="shared" ca="1" si="77"/>
        <v/>
      </c>
      <c r="K2473" s="23">
        <f>IF(A2473="","",COUNTIFS(Resumen!$N$2:$N$2999,ROW(),Resumen!$V$2:$V$2999,1))</f>
        <v/>
      </c>
      <c r="L2473" s="26"/>
      <c r="N24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4" spans="1:14">
      <c r="A2474" s="16"/>
      <c r="B2474" s="16"/>
      <c r="C2474" s="25"/>
      <c r="D2474" s="25"/>
      <c r="E2474" s="16"/>
      <c r="F2474" s="18"/>
      <c r="G2474" s="19" t="str">
        <f t="shared" ca="1" si="76"/>
        <v/>
      </c>
      <c r="H2474" s="27"/>
      <c r="I2474" s="27"/>
      <c r="J2474" s="77" t="str">
        <f t="shared" ca="1" si="77"/>
        <v/>
      </c>
      <c r="K2474" s="23">
        <f>IF(A2474="","",COUNTIFS(Resumen!$N$2:$N$2999,ROW(),Resumen!$V$2:$V$2999,1))</f>
        <v/>
      </c>
      <c r="L2474" s="26"/>
      <c r="N24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5" spans="1:14">
      <c r="A2475" s="16"/>
      <c r="B2475" s="16"/>
      <c r="C2475" s="25"/>
      <c r="D2475" s="25"/>
      <c r="E2475" s="16"/>
      <c r="F2475" s="18"/>
      <c r="G2475" s="19" t="str">
        <f t="shared" ca="1" si="76"/>
        <v/>
      </c>
      <c r="H2475" s="27"/>
      <c r="I2475" s="27"/>
      <c r="J2475" s="77" t="str">
        <f t="shared" ca="1" si="77"/>
        <v/>
      </c>
      <c r="K2475" s="23">
        <f>IF(A2475="","",COUNTIFS(Resumen!$N$2:$N$2999,ROW(),Resumen!$V$2:$V$2999,1))</f>
        <v/>
      </c>
      <c r="L2475" s="26"/>
      <c r="N24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6" spans="1:14">
      <c r="A2476" s="16"/>
      <c r="B2476" s="16"/>
      <c r="C2476" s="25"/>
      <c r="D2476" s="25"/>
      <c r="E2476" s="16"/>
      <c r="F2476" s="18"/>
      <c r="G2476" s="19" t="str">
        <f t="shared" ca="1" si="76"/>
        <v/>
      </c>
      <c r="H2476" s="27"/>
      <c r="I2476" s="27"/>
      <c r="J2476" s="77" t="str">
        <f t="shared" ca="1" si="77"/>
        <v/>
      </c>
      <c r="K2476" s="23">
        <f>IF(A2476="","",COUNTIFS(Resumen!$N$2:$N$2999,ROW(),Resumen!$V$2:$V$2999,1))</f>
        <v/>
      </c>
      <c r="L2476" s="26"/>
      <c r="N24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7" spans="1:14">
      <c r="A2477" s="16"/>
      <c r="B2477" s="16"/>
      <c r="C2477" s="25"/>
      <c r="D2477" s="25"/>
      <c r="E2477" s="16"/>
      <c r="F2477" s="18"/>
      <c r="G2477" s="19" t="str">
        <f t="shared" ca="1" si="76"/>
        <v/>
      </c>
      <c r="H2477" s="27"/>
      <c r="I2477" s="27"/>
      <c r="J2477" s="77" t="str">
        <f t="shared" ca="1" si="77"/>
        <v/>
      </c>
      <c r="K2477" s="23">
        <f>IF(A2477="","",COUNTIFS(Resumen!$N$2:$N$2999,ROW(),Resumen!$V$2:$V$2999,1))</f>
        <v/>
      </c>
      <c r="L2477" s="26"/>
      <c r="N24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8" spans="1:14">
      <c r="A2478" s="16"/>
      <c r="B2478" s="16"/>
      <c r="C2478" s="25"/>
      <c r="D2478" s="25"/>
      <c r="E2478" s="16"/>
      <c r="F2478" s="18"/>
      <c r="G2478" s="19" t="str">
        <f t="shared" ca="1" si="76"/>
        <v/>
      </c>
      <c r="H2478" s="27"/>
      <c r="I2478" s="27"/>
      <c r="J2478" s="77" t="str">
        <f t="shared" ca="1" si="77"/>
        <v/>
      </c>
      <c r="K2478" s="23">
        <f>IF(A2478="","",COUNTIFS(Resumen!$N$2:$N$2999,ROW(),Resumen!$V$2:$V$2999,1))</f>
        <v/>
      </c>
      <c r="L2478" s="26"/>
      <c r="N24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79" spans="1:14">
      <c r="A2479" s="16"/>
      <c r="B2479" s="16"/>
      <c r="C2479" s="25"/>
      <c r="D2479" s="25"/>
      <c r="E2479" s="16"/>
      <c r="F2479" s="18"/>
      <c r="G2479" s="19" t="str">
        <f t="shared" ca="1" si="76"/>
        <v/>
      </c>
      <c r="H2479" s="27"/>
      <c r="I2479" s="27"/>
      <c r="J2479" s="77" t="str">
        <f t="shared" ca="1" si="77"/>
        <v/>
      </c>
      <c r="K2479" s="23">
        <f>IF(A2479="","",COUNTIFS(Resumen!$N$2:$N$2999,ROW(),Resumen!$V$2:$V$2999,1))</f>
        <v/>
      </c>
      <c r="L2479" s="26"/>
      <c r="N24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0" spans="1:14">
      <c r="A2480" s="16"/>
      <c r="B2480" s="16"/>
      <c r="C2480" s="25"/>
      <c r="D2480" s="25"/>
      <c r="E2480" s="16"/>
      <c r="F2480" s="18"/>
      <c r="G2480" s="19" t="str">
        <f t="shared" ca="1" si="76"/>
        <v/>
      </c>
      <c r="H2480" s="27"/>
      <c r="I2480" s="27"/>
      <c r="J2480" s="77" t="str">
        <f t="shared" ca="1" si="77"/>
        <v/>
      </c>
      <c r="K2480" s="23">
        <f>IF(A2480="","",COUNTIFS(Resumen!$N$2:$N$2999,ROW(),Resumen!$V$2:$V$2999,1))</f>
        <v/>
      </c>
      <c r="L2480" s="26"/>
      <c r="N24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1" spans="1:14">
      <c r="A2481" s="16"/>
      <c r="B2481" s="16"/>
      <c r="C2481" s="25"/>
      <c r="D2481" s="25"/>
      <c r="E2481" s="16"/>
      <c r="F2481" s="18"/>
      <c r="G2481" s="19" t="str">
        <f t="shared" ca="1" si="76"/>
        <v/>
      </c>
      <c r="H2481" s="27"/>
      <c r="I2481" s="27"/>
      <c r="J2481" s="77" t="str">
        <f t="shared" ca="1" si="77"/>
        <v/>
      </c>
      <c r="K2481" s="23">
        <f>IF(A2481="","",COUNTIFS(Resumen!$N$2:$N$2999,ROW(),Resumen!$V$2:$V$2999,1))</f>
        <v/>
      </c>
      <c r="L2481" s="26"/>
      <c r="N24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2" spans="1:14">
      <c r="A2482" s="16"/>
      <c r="B2482" s="16"/>
      <c r="C2482" s="25"/>
      <c r="D2482" s="25"/>
      <c r="E2482" s="16"/>
      <c r="F2482" s="18"/>
      <c r="G2482" s="19" t="str">
        <f t="shared" ca="1" si="76"/>
        <v/>
      </c>
      <c r="H2482" s="27"/>
      <c r="I2482" s="27"/>
      <c r="J2482" s="77" t="str">
        <f t="shared" ca="1" si="77"/>
        <v/>
      </c>
      <c r="K2482" s="23">
        <f>IF(A2482="","",COUNTIFS(Resumen!$N$2:$N$2999,ROW(),Resumen!$V$2:$V$2999,1))</f>
        <v/>
      </c>
      <c r="L2482" s="26"/>
      <c r="N24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3" spans="1:14">
      <c r="A2483" s="16"/>
      <c r="B2483" s="16"/>
      <c r="C2483" s="25"/>
      <c r="D2483" s="25"/>
      <c r="E2483" s="16"/>
      <c r="F2483" s="18"/>
      <c r="G2483" s="19" t="str">
        <f t="shared" ca="1" si="76"/>
        <v/>
      </c>
      <c r="H2483" s="27"/>
      <c r="I2483" s="27"/>
      <c r="J2483" s="77" t="str">
        <f t="shared" ca="1" si="77"/>
        <v/>
      </c>
      <c r="K2483" s="23">
        <f>IF(A2483="","",COUNTIFS(Resumen!$N$2:$N$2999,ROW(),Resumen!$V$2:$V$2999,1))</f>
        <v/>
      </c>
      <c r="L2483" s="26"/>
      <c r="N24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4" spans="1:14">
      <c r="A2484" s="16"/>
      <c r="B2484" s="16"/>
      <c r="C2484" s="25"/>
      <c r="D2484" s="25"/>
      <c r="E2484" s="16"/>
      <c r="F2484" s="18"/>
      <c r="G2484" s="19" t="str">
        <f t="shared" ca="1" si="76"/>
        <v/>
      </c>
      <c r="H2484" s="27"/>
      <c r="I2484" s="27"/>
      <c r="J2484" s="77" t="str">
        <f t="shared" ca="1" si="77"/>
        <v/>
      </c>
      <c r="K2484" s="23">
        <f>IF(A2484="","",COUNTIFS(Resumen!$N$2:$N$2999,ROW(),Resumen!$V$2:$V$2999,1))</f>
        <v/>
      </c>
      <c r="L2484" s="26"/>
      <c r="N24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5" spans="1:14">
      <c r="A2485" s="16"/>
      <c r="B2485" s="16"/>
      <c r="C2485" s="25"/>
      <c r="D2485" s="25"/>
      <c r="E2485" s="16"/>
      <c r="F2485" s="18"/>
      <c r="G2485" s="19" t="str">
        <f t="shared" ca="1" si="76"/>
        <v/>
      </c>
      <c r="H2485" s="27"/>
      <c r="I2485" s="27"/>
      <c r="J2485" s="77" t="str">
        <f t="shared" ca="1" si="77"/>
        <v/>
      </c>
      <c r="K2485" s="23">
        <f>IF(A2485="","",COUNTIFS(Resumen!$N$2:$N$2999,ROW(),Resumen!$V$2:$V$2999,1))</f>
        <v/>
      </c>
      <c r="L2485" s="26"/>
      <c r="N24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6" spans="1:14">
      <c r="A2486" s="16"/>
      <c r="B2486" s="16"/>
      <c r="C2486" s="25"/>
      <c r="D2486" s="25"/>
      <c r="E2486" s="16"/>
      <c r="F2486" s="18"/>
      <c r="G2486" s="19" t="str">
        <f t="shared" ca="1" si="76"/>
        <v/>
      </c>
      <c r="H2486" s="27"/>
      <c r="I2486" s="27"/>
      <c r="J2486" s="77" t="str">
        <f t="shared" ca="1" si="77"/>
        <v/>
      </c>
      <c r="K2486" s="23">
        <f>IF(A2486="","",COUNTIFS(Resumen!$N$2:$N$2999,ROW(),Resumen!$V$2:$V$2999,1))</f>
        <v/>
      </c>
      <c r="L2486" s="26"/>
      <c r="N24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7" spans="1:14">
      <c r="A2487" s="16"/>
      <c r="B2487" s="16"/>
      <c r="C2487" s="25"/>
      <c r="D2487" s="25"/>
      <c r="E2487" s="16"/>
      <c r="F2487" s="18"/>
      <c r="G2487" s="19" t="str">
        <f t="shared" ca="1" si="76"/>
        <v/>
      </c>
      <c r="H2487" s="27"/>
      <c r="I2487" s="27"/>
      <c r="J2487" s="77" t="str">
        <f t="shared" ca="1" si="77"/>
        <v/>
      </c>
      <c r="K2487" s="23">
        <f>IF(A2487="","",COUNTIFS(Resumen!$N$2:$N$2999,ROW(),Resumen!$V$2:$V$2999,1))</f>
        <v/>
      </c>
      <c r="L2487" s="26"/>
      <c r="N24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8" spans="1:14">
      <c r="A2488" s="16"/>
      <c r="B2488" s="16"/>
      <c r="C2488" s="25"/>
      <c r="D2488" s="25"/>
      <c r="E2488" s="16"/>
      <c r="F2488" s="18"/>
      <c r="G2488" s="19" t="str">
        <f t="shared" ca="1" si="76"/>
        <v/>
      </c>
      <c r="H2488" s="27"/>
      <c r="I2488" s="27"/>
      <c r="J2488" s="77" t="str">
        <f t="shared" ca="1" si="77"/>
        <v/>
      </c>
      <c r="K2488" s="23">
        <f>IF(A2488="","",COUNTIFS(Resumen!$N$2:$N$2999,ROW(),Resumen!$V$2:$V$2999,1))</f>
        <v/>
      </c>
      <c r="L2488" s="26"/>
      <c r="N24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89" spans="1:14">
      <c r="A2489" s="16"/>
      <c r="B2489" s="16"/>
      <c r="C2489" s="25"/>
      <c r="D2489" s="25"/>
      <c r="E2489" s="16"/>
      <c r="F2489" s="18"/>
      <c r="G2489" s="19" t="str">
        <f t="shared" ca="1" si="76"/>
        <v/>
      </c>
      <c r="H2489" s="27"/>
      <c r="I2489" s="27"/>
      <c r="J2489" s="77" t="str">
        <f t="shared" ca="1" si="77"/>
        <v/>
      </c>
      <c r="K2489" s="23">
        <f>IF(A2489="","",COUNTIFS(Resumen!$N$2:$N$2999,ROW(),Resumen!$V$2:$V$2999,1))</f>
        <v/>
      </c>
      <c r="L2489" s="26"/>
      <c r="N24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0" spans="1:14">
      <c r="A2490" s="16"/>
      <c r="B2490" s="16"/>
      <c r="C2490" s="25"/>
      <c r="D2490" s="25"/>
      <c r="E2490" s="16"/>
      <c r="F2490" s="18"/>
      <c r="G2490" s="19" t="str">
        <f t="shared" ca="1" si="76"/>
        <v/>
      </c>
      <c r="H2490" s="27"/>
      <c r="I2490" s="27"/>
      <c r="J2490" s="77" t="str">
        <f t="shared" ca="1" si="77"/>
        <v/>
      </c>
      <c r="K2490" s="23">
        <f>IF(A2490="","",COUNTIFS(Resumen!$N$2:$N$2999,ROW(),Resumen!$V$2:$V$2999,1))</f>
        <v/>
      </c>
      <c r="L2490" s="26"/>
      <c r="N24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1" spans="1:14">
      <c r="A2491" s="16"/>
      <c r="B2491" s="16"/>
      <c r="C2491" s="25"/>
      <c r="D2491" s="25"/>
      <c r="E2491" s="16"/>
      <c r="F2491" s="18"/>
      <c r="G2491" s="19" t="str">
        <f t="shared" ca="1" si="76"/>
        <v/>
      </c>
      <c r="H2491" s="27"/>
      <c r="I2491" s="27"/>
      <c r="J2491" s="77" t="str">
        <f t="shared" ca="1" si="77"/>
        <v/>
      </c>
      <c r="K2491" s="23">
        <f>IF(A2491="","",COUNTIFS(Resumen!$N$2:$N$2999,ROW(),Resumen!$V$2:$V$2999,1))</f>
        <v/>
      </c>
      <c r="L2491" s="26"/>
      <c r="N24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2" spans="1:14">
      <c r="A2492" s="16"/>
      <c r="B2492" s="16"/>
      <c r="C2492" s="25"/>
      <c r="D2492" s="25"/>
      <c r="E2492" s="16"/>
      <c r="F2492" s="18"/>
      <c r="G2492" s="19" t="str">
        <f t="shared" ca="1" si="76"/>
        <v/>
      </c>
      <c r="H2492" s="27"/>
      <c r="I2492" s="27"/>
      <c r="J2492" s="77" t="str">
        <f t="shared" ca="1" si="77"/>
        <v/>
      </c>
      <c r="K2492" s="23">
        <f>IF(A2492="","",COUNTIFS(Resumen!$N$2:$N$2999,ROW(),Resumen!$V$2:$V$2999,1))</f>
        <v/>
      </c>
      <c r="L2492" s="26"/>
      <c r="N24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3" spans="1:14">
      <c r="A2493" s="16"/>
      <c r="B2493" s="16"/>
      <c r="C2493" s="25"/>
      <c r="D2493" s="25"/>
      <c r="E2493" s="16"/>
      <c r="F2493" s="18"/>
      <c r="G2493" s="19" t="str">
        <f t="shared" ca="1" si="76"/>
        <v/>
      </c>
      <c r="H2493" s="27"/>
      <c r="I2493" s="27"/>
      <c r="J2493" s="77" t="str">
        <f t="shared" ca="1" si="77"/>
        <v/>
      </c>
      <c r="K2493" s="23">
        <f>IF(A2493="","",COUNTIFS(Resumen!$N$2:$N$2999,ROW(),Resumen!$V$2:$V$2999,1))</f>
        <v/>
      </c>
      <c r="L2493" s="26"/>
      <c r="N24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4" spans="1:14">
      <c r="A2494" s="16"/>
      <c r="B2494" s="16"/>
      <c r="C2494" s="25"/>
      <c r="D2494" s="25"/>
      <c r="E2494" s="16"/>
      <c r="F2494" s="18"/>
      <c r="G2494" s="19" t="str">
        <f t="shared" ca="1" si="76"/>
        <v/>
      </c>
      <c r="H2494" s="27"/>
      <c r="I2494" s="27"/>
      <c r="J2494" s="77" t="str">
        <f t="shared" ca="1" si="77"/>
        <v/>
      </c>
      <c r="K2494" s="23">
        <f>IF(A2494="","",COUNTIFS(Resumen!$N$2:$N$2999,ROW(),Resumen!$V$2:$V$2999,1))</f>
        <v/>
      </c>
      <c r="L2494" s="26"/>
      <c r="N24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5" spans="1:14">
      <c r="A2495" s="16"/>
      <c r="B2495" s="16"/>
      <c r="C2495" s="25"/>
      <c r="D2495" s="25"/>
      <c r="E2495" s="16"/>
      <c r="F2495" s="18"/>
      <c r="G2495" s="19" t="str">
        <f t="shared" ca="1" si="76"/>
        <v/>
      </c>
      <c r="H2495" s="27"/>
      <c r="I2495" s="27"/>
      <c r="J2495" s="77" t="str">
        <f t="shared" ca="1" si="77"/>
        <v/>
      </c>
      <c r="K2495" s="23">
        <f>IF(A2495="","",COUNTIFS(Resumen!$N$2:$N$2999,ROW(),Resumen!$V$2:$V$2999,1))</f>
        <v/>
      </c>
      <c r="L2495" s="26"/>
      <c r="N24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6" spans="1:14">
      <c r="A2496" s="16"/>
      <c r="B2496" s="16"/>
      <c r="C2496" s="25"/>
      <c r="D2496" s="25"/>
      <c r="E2496" s="16"/>
      <c r="F2496" s="18"/>
      <c r="G2496" s="19" t="str">
        <f t="shared" ca="1" si="76"/>
        <v/>
      </c>
      <c r="H2496" s="27"/>
      <c r="I2496" s="27"/>
      <c r="J2496" s="77" t="str">
        <f t="shared" ca="1" si="77"/>
        <v/>
      </c>
      <c r="K2496" s="23">
        <f>IF(A2496="","",COUNTIFS(Resumen!$N$2:$N$2999,ROW(),Resumen!$V$2:$V$2999,1))</f>
        <v/>
      </c>
      <c r="L2496" s="26"/>
      <c r="N24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7" spans="1:14">
      <c r="A2497" s="16"/>
      <c r="B2497" s="16"/>
      <c r="C2497" s="25"/>
      <c r="D2497" s="25"/>
      <c r="E2497" s="16"/>
      <c r="F2497" s="18"/>
      <c r="G2497" s="19" t="str">
        <f t="shared" ca="1" si="76"/>
        <v/>
      </c>
      <c r="H2497" s="27"/>
      <c r="I2497" s="27"/>
      <c r="J2497" s="77" t="str">
        <f t="shared" ca="1" si="77"/>
        <v/>
      </c>
      <c r="K2497" s="23">
        <f>IF(A2497="","",COUNTIFS(Resumen!$N$2:$N$2999,ROW(),Resumen!$V$2:$V$2999,1))</f>
        <v/>
      </c>
      <c r="L2497" s="26"/>
      <c r="N24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8" spans="1:14">
      <c r="A2498" s="16"/>
      <c r="B2498" s="16"/>
      <c r="C2498" s="25"/>
      <c r="D2498" s="25"/>
      <c r="E2498" s="16"/>
      <c r="F2498" s="18"/>
      <c r="G2498" s="19" t="str">
        <f t="shared" ref="G2498:G2561" ca="1" si="78">IF(F2498="", "", DATEDIF(F2498, TODAY(), "Y"))</f>
        <v/>
      </c>
      <c r="H2498" s="27"/>
      <c r="I2498" s="27"/>
      <c r="J2498" s="77" t="str">
        <f t="shared" ref="J2498:J2561" ca="1" si="79">IFERROR(IF(ISNUMBER(INDEX(VigenciasFamilia,ROW())),INDEX(VigenciasFamilia,ROW())-TODAY(),""),"")</f>
        <v/>
      </c>
      <c r="K2498" s="23">
        <f>IF(A2498="","",COUNTIFS(Resumen!$N$2:$N$2999,ROW(),Resumen!$V$2:$V$2999,1))</f>
        <v/>
      </c>
      <c r="L2498" s="26"/>
      <c r="N24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499" spans="1:14">
      <c r="A2499" s="16"/>
      <c r="B2499" s="16"/>
      <c r="C2499" s="25"/>
      <c r="D2499" s="25"/>
      <c r="E2499" s="16"/>
      <c r="F2499" s="18"/>
      <c r="G2499" s="19" t="str">
        <f t="shared" ca="1" si="78"/>
        <v/>
      </c>
      <c r="H2499" s="27"/>
      <c r="I2499" s="27"/>
      <c r="J2499" s="77" t="str">
        <f t="shared" ca="1" si="79"/>
        <v/>
      </c>
      <c r="K2499" s="23">
        <f>IF(A2499="","",COUNTIFS(Resumen!$N$2:$N$2999,ROW(),Resumen!$V$2:$V$2999,1))</f>
        <v/>
      </c>
      <c r="L2499" s="26"/>
      <c r="N24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0" spans="1:14">
      <c r="A2500" s="16"/>
      <c r="B2500" s="16"/>
      <c r="C2500" s="25"/>
      <c r="D2500" s="25"/>
      <c r="E2500" s="16"/>
      <c r="F2500" s="18"/>
      <c r="G2500" s="19" t="str">
        <f t="shared" ca="1" si="78"/>
        <v/>
      </c>
      <c r="H2500" s="27"/>
      <c r="I2500" s="27"/>
      <c r="J2500" s="77" t="str">
        <f t="shared" ca="1" si="79"/>
        <v/>
      </c>
      <c r="K2500" s="23">
        <f>IF(A2500="","",COUNTIFS(Resumen!$N$2:$N$2999,ROW(),Resumen!$V$2:$V$2999,1))</f>
        <v/>
      </c>
      <c r="L2500" s="26"/>
      <c r="N25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1" spans="1:14">
      <c r="A2501" s="16"/>
      <c r="B2501" s="16"/>
      <c r="C2501" s="25"/>
      <c r="D2501" s="25"/>
      <c r="E2501" s="16"/>
      <c r="F2501" s="18"/>
      <c r="G2501" s="19" t="str">
        <f t="shared" ca="1" si="78"/>
        <v/>
      </c>
      <c r="H2501" s="27"/>
      <c r="I2501" s="27"/>
      <c r="J2501" s="77" t="str">
        <f t="shared" ca="1" si="79"/>
        <v/>
      </c>
      <c r="K2501" s="23">
        <f>IF(A2501="","",COUNTIFS(Resumen!$N$2:$N$2999,ROW(),Resumen!$V$2:$V$2999,1))</f>
        <v/>
      </c>
      <c r="L2501" s="26"/>
      <c r="N25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2" spans="1:14">
      <c r="A2502" s="16"/>
      <c r="B2502" s="16"/>
      <c r="C2502" s="25"/>
      <c r="D2502" s="25"/>
      <c r="E2502" s="16"/>
      <c r="F2502" s="18"/>
      <c r="G2502" s="19" t="str">
        <f t="shared" ca="1" si="78"/>
        <v/>
      </c>
      <c r="H2502" s="27"/>
      <c r="I2502" s="27"/>
      <c r="J2502" s="77" t="str">
        <f t="shared" ca="1" si="79"/>
        <v/>
      </c>
      <c r="K2502" s="23">
        <f>IF(A2502="","",COUNTIFS(Resumen!$N$2:$N$2999,ROW(),Resumen!$V$2:$V$2999,1))</f>
        <v/>
      </c>
      <c r="L2502" s="26"/>
      <c r="N25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3" spans="1:14">
      <c r="A2503" s="16"/>
      <c r="B2503" s="16"/>
      <c r="C2503" s="25"/>
      <c r="D2503" s="25"/>
      <c r="E2503" s="16"/>
      <c r="F2503" s="18"/>
      <c r="G2503" s="19" t="str">
        <f t="shared" ca="1" si="78"/>
        <v/>
      </c>
      <c r="H2503" s="27"/>
      <c r="I2503" s="27"/>
      <c r="J2503" s="77" t="str">
        <f t="shared" ca="1" si="79"/>
        <v/>
      </c>
      <c r="K2503" s="23">
        <f>IF(A2503="","",COUNTIFS(Resumen!$N$2:$N$2999,ROW(),Resumen!$V$2:$V$2999,1))</f>
        <v/>
      </c>
      <c r="L2503" s="26"/>
      <c r="N25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4" spans="1:14">
      <c r="A2504" s="16"/>
      <c r="B2504" s="16"/>
      <c r="C2504" s="25"/>
      <c r="D2504" s="25"/>
      <c r="E2504" s="16"/>
      <c r="F2504" s="18"/>
      <c r="G2504" s="19" t="str">
        <f t="shared" ca="1" si="78"/>
        <v/>
      </c>
      <c r="H2504" s="27"/>
      <c r="I2504" s="27"/>
      <c r="J2504" s="77" t="str">
        <f t="shared" ca="1" si="79"/>
        <v/>
      </c>
      <c r="K2504" s="23">
        <f>IF(A2504="","",COUNTIFS(Resumen!$N$2:$N$2999,ROW(),Resumen!$V$2:$V$2999,1))</f>
        <v/>
      </c>
      <c r="L2504" s="26"/>
      <c r="N25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5" spans="1:14">
      <c r="A2505" s="16"/>
      <c r="B2505" s="16"/>
      <c r="C2505" s="25"/>
      <c r="D2505" s="25"/>
      <c r="E2505" s="16"/>
      <c r="F2505" s="18"/>
      <c r="G2505" s="19" t="str">
        <f t="shared" ca="1" si="78"/>
        <v/>
      </c>
      <c r="H2505" s="27"/>
      <c r="I2505" s="27"/>
      <c r="J2505" s="77" t="str">
        <f t="shared" ca="1" si="79"/>
        <v/>
      </c>
      <c r="K2505" s="23">
        <f>IF(A2505="","",COUNTIFS(Resumen!$N$2:$N$2999,ROW(),Resumen!$V$2:$V$2999,1))</f>
        <v/>
      </c>
      <c r="L2505" s="26"/>
      <c r="N25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6" spans="1:14">
      <c r="A2506" s="16"/>
      <c r="B2506" s="16"/>
      <c r="C2506" s="25"/>
      <c r="D2506" s="25"/>
      <c r="E2506" s="16"/>
      <c r="F2506" s="18"/>
      <c r="G2506" s="19" t="str">
        <f t="shared" ca="1" si="78"/>
        <v/>
      </c>
      <c r="H2506" s="27"/>
      <c r="I2506" s="27"/>
      <c r="J2506" s="77" t="str">
        <f t="shared" ca="1" si="79"/>
        <v/>
      </c>
      <c r="K2506" s="23">
        <f>IF(A2506="","",COUNTIFS(Resumen!$N$2:$N$2999,ROW(),Resumen!$V$2:$V$2999,1))</f>
        <v/>
      </c>
      <c r="L2506" s="26"/>
      <c r="N25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7" spans="1:14">
      <c r="A2507" s="16"/>
      <c r="B2507" s="16"/>
      <c r="C2507" s="25"/>
      <c r="D2507" s="25"/>
      <c r="E2507" s="16"/>
      <c r="F2507" s="18"/>
      <c r="G2507" s="19" t="str">
        <f t="shared" ca="1" si="78"/>
        <v/>
      </c>
      <c r="H2507" s="27"/>
      <c r="I2507" s="27"/>
      <c r="J2507" s="77" t="str">
        <f t="shared" ca="1" si="79"/>
        <v/>
      </c>
      <c r="K2507" s="23">
        <f>IF(A2507="","",COUNTIFS(Resumen!$N$2:$N$2999,ROW(),Resumen!$V$2:$V$2999,1))</f>
        <v/>
      </c>
      <c r="L2507" s="26"/>
      <c r="N25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8" spans="1:14">
      <c r="A2508" s="16"/>
      <c r="B2508" s="16"/>
      <c r="C2508" s="25"/>
      <c r="D2508" s="25"/>
      <c r="E2508" s="16"/>
      <c r="F2508" s="18"/>
      <c r="G2508" s="19" t="str">
        <f t="shared" ca="1" si="78"/>
        <v/>
      </c>
      <c r="H2508" s="27"/>
      <c r="I2508" s="27"/>
      <c r="J2508" s="77" t="str">
        <f t="shared" ca="1" si="79"/>
        <v/>
      </c>
      <c r="K2508" s="23">
        <f>IF(A2508="","",COUNTIFS(Resumen!$N$2:$N$2999,ROW(),Resumen!$V$2:$V$2999,1))</f>
        <v/>
      </c>
      <c r="L2508" s="26"/>
      <c r="N25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09" spans="1:14">
      <c r="A2509" s="16"/>
      <c r="B2509" s="16"/>
      <c r="C2509" s="25"/>
      <c r="D2509" s="25"/>
      <c r="E2509" s="16"/>
      <c r="F2509" s="18"/>
      <c r="G2509" s="19" t="str">
        <f t="shared" ca="1" si="78"/>
        <v/>
      </c>
      <c r="H2509" s="27"/>
      <c r="I2509" s="27"/>
      <c r="J2509" s="77" t="str">
        <f t="shared" ca="1" si="79"/>
        <v/>
      </c>
      <c r="K2509" s="23">
        <f>IF(A2509="","",COUNTIFS(Resumen!$N$2:$N$2999,ROW(),Resumen!$V$2:$V$2999,1))</f>
        <v/>
      </c>
      <c r="L2509" s="26"/>
      <c r="N25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0" spans="1:14">
      <c r="A2510" s="16"/>
      <c r="B2510" s="16"/>
      <c r="C2510" s="25"/>
      <c r="D2510" s="25"/>
      <c r="E2510" s="16"/>
      <c r="F2510" s="18"/>
      <c r="G2510" s="19" t="str">
        <f t="shared" ca="1" si="78"/>
        <v/>
      </c>
      <c r="H2510" s="27"/>
      <c r="I2510" s="27"/>
      <c r="J2510" s="77" t="str">
        <f t="shared" ca="1" si="79"/>
        <v/>
      </c>
      <c r="K2510" s="23">
        <f>IF(A2510="","",COUNTIFS(Resumen!$N$2:$N$2999,ROW(),Resumen!$V$2:$V$2999,1))</f>
        <v/>
      </c>
      <c r="L2510" s="26"/>
      <c r="N25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1" spans="1:14">
      <c r="A2511" s="16"/>
      <c r="B2511" s="16"/>
      <c r="C2511" s="25"/>
      <c r="D2511" s="25"/>
      <c r="E2511" s="16"/>
      <c r="F2511" s="18"/>
      <c r="G2511" s="19" t="str">
        <f t="shared" ca="1" si="78"/>
        <v/>
      </c>
      <c r="H2511" s="27"/>
      <c r="I2511" s="27"/>
      <c r="J2511" s="77" t="str">
        <f t="shared" ca="1" si="79"/>
        <v/>
      </c>
      <c r="K2511" s="23">
        <f>IF(A2511="","",COUNTIFS(Resumen!$N$2:$N$2999,ROW(),Resumen!$V$2:$V$2999,1))</f>
        <v/>
      </c>
      <c r="L2511" s="26"/>
      <c r="N25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2" spans="1:14">
      <c r="A2512" s="16"/>
      <c r="B2512" s="16"/>
      <c r="C2512" s="25"/>
      <c r="D2512" s="25"/>
      <c r="E2512" s="16"/>
      <c r="F2512" s="18"/>
      <c r="G2512" s="19" t="str">
        <f t="shared" ca="1" si="78"/>
        <v/>
      </c>
      <c r="H2512" s="27"/>
      <c r="I2512" s="27"/>
      <c r="J2512" s="77" t="str">
        <f t="shared" ca="1" si="79"/>
        <v/>
      </c>
      <c r="K2512" s="23">
        <f>IF(A2512="","",COUNTIFS(Resumen!$N$2:$N$2999,ROW(),Resumen!$V$2:$V$2999,1))</f>
        <v/>
      </c>
      <c r="L2512" s="26"/>
      <c r="N25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3" spans="1:14">
      <c r="A2513" s="16"/>
      <c r="B2513" s="16"/>
      <c r="C2513" s="25"/>
      <c r="D2513" s="25"/>
      <c r="E2513" s="16"/>
      <c r="F2513" s="18"/>
      <c r="G2513" s="19" t="str">
        <f t="shared" ca="1" si="78"/>
        <v/>
      </c>
      <c r="H2513" s="27"/>
      <c r="I2513" s="27"/>
      <c r="J2513" s="77" t="str">
        <f t="shared" ca="1" si="79"/>
        <v/>
      </c>
      <c r="K2513" s="23">
        <f>IF(A2513="","",COUNTIFS(Resumen!$N$2:$N$2999,ROW(),Resumen!$V$2:$V$2999,1))</f>
        <v/>
      </c>
      <c r="L2513" s="26"/>
      <c r="N25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4" spans="1:14">
      <c r="A2514" s="16"/>
      <c r="B2514" s="16"/>
      <c r="C2514" s="25"/>
      <c r="D2514" s="25"/>
      <c r="E2514" s="16"/>
      <c r="F2514" s="18"/>
      <c r="G2514" s="19" t="str">
        <f t="shared" ca="1" si="78"/>
        <v/>
      </c>
      <c r="H2514" s="27"/>
      <c r="I2514" s="27"/>
      <c r="J2514" s="77" t="str">
        <f t="shared" ca="1" si="79"/>
        <v/>
      </c>
      <c r="K2514" s="23">
        <f>IF(A2514="","",COUNTIFS(Resumen!$N$2:$N$2999,ROW(),Resumen!$V$2:$V$2999,1))</f>
        <v/>
      </c>
      <c r="L2514" s="26"/>
      <c r="N25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5" spans="1:14">
      <c r="A2515" s="16"/>
      <c r="B2515" s="16"/>
      <c r="C2515" s="25"/>
      <c r="D2515" s="25"/>
      <c r="E2515" s="16"/>
      <c r="F2515" s="18"/>
      <c r="G2515" s="19" t="str">
        <f t="shared" ca="1" si="78"/>
        <v/>
      </c>
      <c r="H2515" s="27"/>
      <c r="I2515" s="27"/>
      <c r="J2515" s="77" t="str">
        <f t="shared" ca="1" si="79"/>
        <v/>
      </c>
      <c r="K2515" s="23">
        <f>IF(A2515="","",COUNTIFS(Resumen!$N$2:$N$2999,ROW(),Resumen!$V$2:$V$2999,1))</f>
        <v/>
      </c>
      <c r="L2515" s="26"/>
      <c r="N25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6" spans="1:14">
      <c r="A2516" s="16"/>
      <c r="B2516" s="16"/>
      <c r="C2516" s="25"/>
      <c r="D2516" s="25"/>
      <c r="E2516" s="16"/>
      <c r="F2516" s="18"/>
      <c r="G2516" s="19" t="str">
        <f t="shared" ca="1" si="78"/>
        <v/>
      </c>
      <c r="H2516" s="27"/>
      <c r="I2516" s="27"/>
      <c r="J2516" s="77" t="str">
        <f t="shared" ca="1" si="79"/>
        <v/>
      </c>
      <c r="K2516" s="23">
        <f>IF(A2516="","",COUNTIFS(Resumen!$N$2:$N$2999,ROW(),Resumen!$V$2:$V$2999,1))</f>
        <v/>
      </c>
      <c r="L2516" s="26"/>
      <c r="N25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7" spans="1:14">
      <c r="A2517" s="16"/>
      <c r="B2517" s="16"/>
      <c r="C2517" s="25"/>
      <c r="D2517" s="25"/>
      <c r="E2517" s="16"/>
      <c r="F2517" s="18"/>
      <c r="G2517" s="19" t="str">
        <f t="shared" ca="1" si="78"/>
        <v/>
      </c>
      <c r="H2517" s="27"/>
      <c r="I2517" s="27"/>
      <c r="J2517" s="77" t="str">
        <f t="shared" ca="1" si="79"/>
        <v/>
      </c>
      <c r="K2517" s="23">
        <f>IF(A2517="","",COUNTIFS(Resumen!$N$2:$N$2999,ROW(),Resumen!$V$2:$V$2999,1))</f>
        <v/>
      </c>
      <c r="L2517" s="26"/>
      <c r="N25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8" spans="1:14">
      <c r="A2518" s="16"/>
      <c r="B2518" s="16"/>
      <c r="C2518" s="25"/>
      <c r="D2518" s="25"/>
      <c r="E2518" s="16"/>
      <c r="F2518" s="18"/>
      <c r="G2518" s="19" t="str">
        <f t="shared" ca="1" si="78"/>
        <v/>
      </c>
      <c r="H2518" s="27"/>
      <c r="I2518" s="27"/>
      <c r="J2518" s="77" t="str">
        <f t="shared" ca="1" si="79"/>
        <v/>
      </c>
      <c r="K2518" s="23">
        <f>IF(A2518="","",COUNTIFS(Resumen!$N$2:$N$2999,ROW(),Resumen!$V$2:$V$2999,1))</f>
        <v/>
      </c>
      <c r="L2518" s="26"/>
      <c r="N25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19" spans="1:14">
      <c r="A2519" s="16"/>
      <c r="B2519" s="16"/>
      <c r="C2519" s="25"/>
      <c r="D2519" s="25"/>
      <c r="E2519" s="16"/>
      <c r="F2519" s="18"/>
      <c r="G2519" s="19" t="str">
        <f t="shared" ca="1" si="78"/>
        <v/>
      </c>
      <c r="H2519" s="27"/>
      <c r="I2519" s="27"/>
      <c r="J2519" s="77" t="str">
        <f t="shared" ca="1" si="79"/>
        <v/>
      </c>
      <c r="K2519" s="23">
        <f>IF(A2519="","",COUNTIFS(Resumen!$N$2:$N$2999,ROW(),Resumen!$V$2:$V$2999,1))</f>
        <v/>
      </c>
      <c r="L2519" s="26"/>
      <c r="N25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0" spans="1:14">
      <c r="A2520" s="16"/>
      <c r="B2520" s="16"/>
      <c r="C2520" s="25"/>
      <c r="D2520" s="25"/>
      <c r="E2520" s="16"/>
      <c r="F2520" s="18"/>
      <c r="G2520" s="19" t="str">
        <f t="shared" ca="1" si="78"/>
        <v/>
      </c>
      <c r="H2520" s="27"/>
      <c r="I2520" s="27"/>
      <c r="J2520" s="77" t="str">
        <f t="shared" ca="1" si="79"/>
        <v/>
      </c>
      <c r="K2520" s="23">
        <f>IF(A2520="","",COUNTIFS(Resumen!$N$2:$N$2999,ROW(),Resumen!$V$2:$V$2999,1))</f>
        <v/>
      </c>
      <c r="L2520" s="26"/>
      <c r="N25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1" spans="1:14">
      <c r="A2521" s="16"/>
      <c r="B2521" s="16"/>
      <c r="C2521" s="25"/>
      <c r="D2521" s="25"/>
      <c r="E2521" s="16"/>
      <c r="F2521" s="18"/>
      <c r="G2521" s="19" t="str">
        <f t="shared" ca="1" si="78"/>
        <v/>
      </c>
      <c r="H2521" s="27"/>
      <c r="I2521" s="27"/>
      <c r="J2521" s="77" t="str">
        <f t="shared" ca="1" si="79"/>
        <v/>
      </c>
      <c r="K2521" s="23">
        <f>IF(A2521="","",COUNTIFS(Resumen!$N$2:$N$2999,ROW(),Resumen!$V$2:$V$2999,1))</f>
        <v/>
      </c>
      <c r="L2521" s="26"/>
      <c r="N25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2" spans="1:14">
      <c r="A2522" s="16"/>
      <c r="B2522" s="16"/>
      <c r="C2522" s="25"/>
      <c r="D2522" s="25"/>
      <c r="E2522" s="16"/>
      <c r="F2522" s="18"/>
      <c r="G2522" s="19" t="str">
        <f t="shared" ca="1" si="78"/>
        <v/>
      </c>
      <c r="H2522" s="27"/>
      <c r="I2522" s="27"/>
      <c r="J2522" s="77" t="str">
        <f t="shared" ca="1" si="79"/>
        <v/>
      </c>
      <c r="K2522" s="23">
        <f>IF(A2522="","",COUNTIFS(Resumen!$N$2:$N$2999,ROW(),Resumen!$V$2:$V$2999,1))</f>
        <v/>
      </c>
      <c r="L2522" s="26"/>
      <c r="N25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3" spans="1:14">
      <c r="A2523" s="16"/>
      <c r="B2523" s="16"/>
      <c r="C2523" s="25"/>
      <c r="D2523" s="25"/>
      <c r="E2523" s="16"/>
      <c r="F2523" s="18"/>
      <c r="G2523" s="19" t="str">
        <f t="shared" ca="1" si="78"/>
        <v/>
      </c>
      <c r="H2523" s="27"/>
      <c r="I2523" s="27"/>
      <c r="J2523" s="77" t="str">
        <f t="shared" ca="1" si="79"/>
        <v/>
      </c>
      <c r="K2523" s="23">
        <f>IF(A2523="","",COUNTIFS(Resumen!$N$2:$N$2999,ROW(),Resumen!$V$2:$V$2999,1))</f>
        <v/>
      </c>
      <c r="L2523" s="26"/>
      <c r="N25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4" spans="1:14">
      <c r="A2524" s="16"/>
      <c r="B2524" s="16"/>
      <c r="C2524" s="25"/>
      <c r="D2524" s="25"/>
      <c r="E2524" s="16"/>
      <c r="F2524" s="18"/>
      <c r="G2524" s="19" t="str">
        <f t="shared" ca="1" si="78"/>
        <v/>
      </c>
      <c r="H2524" s="27"/>
      <c r="I2524" s="27"/>
      <c r="J2524" s="77" t="str">
        <f t="shared" ca="1" si="79"/>
        <v/>
      </c>
      <c r="K2524" s="23">
        <f>IF(A2524="","",COUNTIFS(Resumen!$N$2:$N$2999,ROW(),Resumen!$V$2:$V$2999,1))</f>
        <v/>
      </c>
      <c r="L2524" s="26"/>
      <c r="N25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5" spans="1:14">
      <c r="A2525" s="16"/>
      <c r="B2525" s="16"/>
      <c r="C2525" s="25"/>
      <c r="D2525" s="25"/>
      <c r="E2525" s="16"/>
      <c r="F2525" s="18"/>
      <c r="G2525" s="19" t="str">
        <f t="shared" ca="1" si="78"/>
        <v/>
      </c>
      <c r="H2525" s="27"/>
      <c r="I2525" s="27"/>
      <c r="J2525" s="77" t="str">
        <f t="shared" ca="1" si="79"/>
        <v/>
      </c>
      <c r="K2525" s="23">
        <f>IF(A2525="","",COUNTIFS(Resumen!$N$2:$N$2999,ROW(),Resumen!$V$2:$V$2999,1))</f>
        <v/>
      </c>
      <c r="L2525" s="26"/>
      <c r="N25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6" spans="1:14">
      <c r="A2526" s="16"/>
      <c r="B2526" s="16"/>
      <c r="C2526" s="25"/>
      <c r="D2526" s="25"/>
      <c r="E2526" s="16"/>
      <c r="F2526" s="18"/>
      <c r="G2526" s="19" t="str">
        <f t="shared" ca="1" si="78"/>
        <v/>
      </c>
      <c r="H2526" s="27"/>
      <c r="I2526" s="27"/>
      <c r="J2526" s="77" t="str">
        <f t="shared" ca="1" si="79"/>
        <v/>
      </c>
      <c r="K2526" s="23">
        <f>IF(A2526="","",COUNTIFS(Resumen!$N$2:$N$2999,ROW(),Resumen!$V$2:$V$2999,1))</f>
        <v/>
      </c>
      <c r="L2526" s="26"/>
      <c r="N25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7" spans="1:14">
      <c r="A2527" s="16"/>
      <c r="B2527" s="16"/>
      <c r="C2527" s="25"/>
      <c r="D2527" s="25"/>
      <c r="E2527" s="16"/>
      <c r="F2527" s="18"/>
      <c r="G2527" s="19" t="str">
        <f t="shared" ca="1" si="78"/>
        <v/>
      </c>
      <c r="H2527" s="27"/>
      <c r="I2527" s="27"/>
      <c r="J2527" s="77" t="str">
        <f t="shared" ca="1" si="79"/>
        <v/>
      </c>
      <c r="K2527" s="23">
        <f>IF(A2527="","",COUNTIFS(Resumen!$N$2:$N$2999,ROW(),Resumen!$V$2:$V$2999,1))</f>
        <v/>
      </c>
      <c r="L2527" s="26"/>
      <c r="N25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8" spans="1:14">
      <c r="A2528" s="16"/>
      <c r="B2528" s="16"/>
      <c r="C2528" s="25"/>
      <c r="D2528" s="25"/>
      <c r="E2528" s="16"/>
      <c r="F2528" s="18"/>
      <c r="G2528" s="19" t="str">
        <f t="shared" ca="1" si="78"/>
        <v/>
      </c>
      <c r="H2528" s="27"/>
      <c r="I2528" s="27"/>
      <c r="J2528" s="77" t="str">
        <f t="shared" ca="1" si="79"/>
        <v/>
      </c>
      <c r="K2528" s="23">
        <f>IF(A2528="","",COUNTIFS(Resumen!$N$2:$N$2999,ROW(),Resumen!$V$2:$V$2999,1))</f>
        <v/>
      </c>
      <c r="L2528" s="26"/>
      <c r="N25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29" spans="1:14">
      <c r="A2529" s="16"/>
      <c r="B2529" s="16"/>
      <c r="C2529" s="25"/>
      <c r="D2529" s="25"/>
      <c r="E2529" s="16"/>
      <c r="F2529" s="18"/>
      <c r="G2529" s="19" t="str">
        <f t="shared" ca="1" si="78"/>
        <v/>
      </c>
      <c r="H2529" s="27"/>
      <c r="I2529" s="27"/>
      <c r="J2529" s="77" t="str">
        <f t="shared" ca="1" si="79"/>
        <v/>
      </c>
      <c r="K2529" s="23">
        <f>IF(A2529="","",COUNTIFS(Resumen!$N$2:$N$2999,ROW(),Resumen!$V$2:$V$2999,1))</f>
        <v/>
      </c>
      <c r="L2529" s="26"/>
      <c r="N25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0" spans="1:14">
      <c r="A2530" s="16"/>
      <c r="B2530" s="16"/>
      <c r="C2530" s="25"/>
      <c r="D2530" s="25"/>
      <c r="E2530" s="16"/>
      <c r="F2530" s="18"/>
      <c r="G2530" s="19" t="str">
        <f t="shared" ca="1" si="78"/>
        <v/>
      </c>
      <c r="H2530" s="27"/>
      <c r="I2530" s="27"/>
      <c r="J2530" s="77" t="str">
        <f t="shared" ca="1" si="79"/>
        <v/>
      </c>
      <c r="K2530" s="23">
        <f>IF(A2530="","",COUNTIFS(Resumen!$N$2:$N$2999,ROW(),Resumen!$V$2:$V$2999,1))</f>
        <v/>
      </c>
      <c r="L2530" s="26"/>
      <c r="N25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1" spans="1:14">
      <c r="A2531" s="16"/>
      <c r="B2531" s="16"/>
      <c r="C2531" s="25"/>
      <c r="D2531" s="25"/>
      <c r="E2531" s="16"/>
      <c r="F2531" s="18"/>
      <c r="G2531" s="19" t="str">
        <f t="shared" ca="1" si="78"/>
        <v/>
      </c>
      <c r="H2531" s="27"/>
      <c r="I2531" s="27"/>
      <c r="J2531" s="77" t="str">
        <f t="shared" ca="1" si="79"/>
        <v/>
      </c>
      <c r="K2531" s="23">
        <f>IF(A2531="","",COUNTIFS(Resumen!$N$2:$N$2999,ROW(),Resumen!$V$2:$V$2999,1))</f>
        <v/>
      </c>
      <c r="L2531" s="26"/>
      <c r="N25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2" spans="1:14">
      <c r="A2532" s="16"/>
      <c r="B2532" s="16"/>
      <c r="C2532" s="25"/>
      <c r="D2532" s="25"/>
      <c r="E2532" s="16"/>
      <c r="F2532" s="18"/>
      <c r="G2532" s="19" t="str">
        <f t="shared" ca="1" si="78"/>
        <v/>
      </c>
      <c r="H2532" s="27"/>
      <c r="I2532" s="27"/>
      <c r="J2532" s="77" t="str">
        <f t="shared" ca="1" si="79"/>
        <v/>
      </c>
      <c r="K2532" s="23">
        <f>IF(A2532="","",COUNTIFS(Resumen!$N$2:$N$2999,ROW(),Resumen!$V$2:$V$2999,1))</f>
        <v/>
      </c>
      <c r="L2532" s="26"/>
      <c r="N25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3" spans="1:14">
      <c r="A2533" s="16"/>
      <c r="B2533" s="16"/>
      <c r="C2533" s="25"/>
      <c r="D2533" s="25"/>
      <c r="E2533" s="16"/>
      <c r="F2533" s="18"/>
      <c r="G2533" s="19" t="str">
        <f t="shared" ca="1" si="78"/>
        <v/>
      </c>
      <c r="H2533" s="27"/>
      <c r="I2533" s="27"/>
      <c r="J2533" s="77" t="str">
        <f t="shared" ca="1" si="79"/>
        <v/>
      </c>
      <c r="K2533" s="23">
        <f>IF(A2533="","",COUNTIFS(Resumen!$N$2:$N$2999,ROW(),Resumen!$V$2:$V$2999,1))</f>
        <v/>
      </c>
      <c r="L2533" s="26"/>
      <c r="N25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4" spans="1:14">
      <c r="A2534" s="16"/>
      <c r="B2534" s="16"/>
      <c r="C2534" s="25"/>
      <c r="D2534" s="25"/>
      <c r="E2534" s="16"/>
      <c r="F2534" s="18"/>
      <c r="G2534" s="19" t="str">
        <f t="shared" ca="1" si="78"/>
        <v/>
      </c>
      <c r="H2534" s="27"/>
      <c r="I2534" s="27"/>
      <c r="J2534" s="77" t="str">
        <f t="shared" ca="1" si="79"/>
        <v/>
      </c>
      <c r="K2534" s="23">
        <f>IF(A2534="","",COUNTIFS(Resumen!$N$2:$N$2999,ROW(),Resumen!$V$2:$V$2999,1))</f>
        <v/>
      </c>
      <c r="L2534" s="26"/>
      <c r="N25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5" spans="1:14">
      <c r="A2535" s="16"/>
      <c r="B2535" s="16"/>
      <c r="C2535" s="25"/>
      <c r="D2535" s="25"/>
      <c r="E2535" s="16"/>
      <c r="F2535" s="18"/>
      <c r="G2535" s="19" t="str">
        <f t="shared" ca="1" si="78"/>
        <v/>
      </c>
      <c r="H2535" s="27"/>
      <c r="I2535" s="27"/>
      <c r="J2535" s="77" t="str">
        <f t="shared" ca="1" si="79"/>
        <v/>
      </c>
      <c r="K2535" s="23">
        <f>IF(A2535="","",COUNTIFS(Resumen!$N$2:$N$2999,ROW(),Resumen!$V$2:$V$2999,1))</f>
        <v/>
      </c>
      <c r="L2535" s="26"/>
      <c r="N25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6" spans="1:14">
      <c r="A2536" s="16"/>
      <c r="B2536" s="16"/>
      <c r="C2536" s="25"/>
      <c r="D2536" s="25"/>
      <c r="E2536" s="16"/>
      <c r="F2536" s="18"/>
      <c r="G2536" s="19" t="str">
        <f t="shared" ca="1" si="78"/>
        <v/>
      </c>
      <c r="H2536" s="27"/>
      <c r="I2536" s="27"/>
      <c r="J2536" s="77" t="str">
        <f t="shared" ca="1" si="79"/>
        <v/>
      </c>
      <c r="K2536" s="23">
        <f>IF(A2536="","",COUNTIFS(Resumen!$N$2:$N$2999,ROW(),Resumen!$V$2:$V$2999,1))</f>
        <v/>
      </c>
      <c r="L2536" s="26"/>
      <c r="N25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7" spans="1:14">
      <c r="A2537" s="16"/>
      <c r="B2537" s="16"/>
      <c r="C2537" s="25"/>
      <c r="D2537" s="25"/>
      <c r="E2537" s="16"/>
      <c r="F2537" s="18"/>
      <c r="G2537" s="19" t="str">
        <f t="shared" ca="1" si="78"/>
        <v/>
      </c>
      <c r="H2537" s="27"/>
      <c r="I2537" s="27"/>
      <c r="J2537" s="77" t="str">
        <f t="shared" ca="1" si="79"/>
        <v/>
      </c>
      <c r="K2537" s="23">
        <f>IF(A2537="","",COUNTIFS(Resumen!$N$2:$N$2999,ROW(),Resumen!$V$2:$V$2999,1))</f>
        <v/>
      </c>
      <c r="L2537" s="26"/>
      <c r="N25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8" spans="1:14">
      <c r="A2538" s="16"/>
      <c r="B2538" s="16"/>
      <c r="C2538" s="25"/>
      <c r="D2538" s="25"/>
      <c r="E2538" s="16"/>
      <c r="F2538" s="18"/>
      <c r="G2538" s="19" t="str">
        <f t="shared" ca="1" si="78"/>
        <v/>
      </c>
      <c r="H2538" s="27"/>
      <c r="I2538" s="27"/>
      <c r="J2538" s="77" t="str">
        <f t="shared" ca="1" si="79"/>
        <v/>
      </c>
      <c r="K2538" s="23">
        <f>IF(A2538="","",COUNTIFS(Resumen!$N$2:$N$2999,ROW(),Resumen!$V$2:$V$2999,1))</f>
        <v/>
      </c>
      <c r="L2538" s="26"/>
      <c r="N25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39" spans="1:14">
      <c r="A2539" s="16"/>
      <c r="B2539" s="16"/>
      <c r="C2539" s="25"/>
      <c r="D2539" s="25"/>
      <c r="E2539" s="16"/>
      <c r="F2539" s="18"/>
      <c r="G2539" s="19" t="str">
        <f t="shared" ca="1" si="78"/>
        <v/>
      </c>
      <c r="H2539" s="27"/>
      <c r="I2539" s="27"/>
      <c r="J2539" s="77" t="str">
        <f t="shared" ca="1" si="79"/>
        <v/>
      </c>
      <c r="K2539" s="23">
        <f>IF(A2539="","",COUNTIFS(Resumen!$N$2:$N$2999,ROW(),Resumen!$V$2:$V$2999,1))</f>
        <v/>
      </c>
      <c r="L2539" s="26"/>
      <c r="N25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0" spans="1:14">
      <c r="A2540" s="16"/>
      <c r="B2540" s="16"/>
      <c r="C2540" s="25"/>
      <c r="D2540" s="25"/>
      <c r="E2540" s="16"/>
      <c r="F2540" s="18"/>
      <c r="G2540" s="19" t="str">
        <f t="shared" ca="1" si="78"/>
        <v/>
      </c>
      <c r="H2540" s="27"/>
      <c r="I2540" s="27"/>
      <c r="J2540" s="77" t="str">
        <f t="shared" ca="1" si="79"/>
        <v/>
      </c>
      <c r="K2540" s="23">
        <f>IF(A2540="","",COUNTIFS(Resumen!$N$2:$N$2999,ROW(),Resumen!$V$2:$V$2999,1))</f>
        <v/>
      </c>
      <c r="L2540" s="26"/>
      <c r="N25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1" spans="1:14">
      <c r="A2541" s="16"/>
      <c r="B2541" s="16"/>
      <c r="C2541" s="25"/>
      <c r="D2541" s="25"/>
      <c r="E2541" s="16"/>
      <c r="F2541" s="18"/>
      <c r="G2541" s="19" t="str">
        <f t="shared" ca="1" si="78"/>
        <v/>
      </c>
      <c r="H2541" s="27"/>
      <c r="I2541" s="27"/>
      <c r="J2541" s="77" t="str">
        <f t="shared" ca="1" si="79"/>
        <v/>
      </c>
      <c r="K2541" s="23">
        <f>IF(A2541="","",COUNTIFS(Resumen!$N$2:$N$2999,ROW(),Resumen!$V$2:$V$2999,1))</f>
        <v/>
      </c>
      <c r="L2541" s="26"/>
      <c r="N25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2" spans="1:14">
      <c r="A2542" s="16"/>
      <c r="B2542" s="16"/>
      <c r="C2542" s="25"/>
      <c r="D2542" s="25"/>
      <c r="E2542" s="16"/>
      <c r="F2542" s="18"/>
      <c r="G2542" s="19" t="str">
        <f t="shared" ca="1" si="78"/>
        <v/>
      </c>
      <c r="H2542" s="27"/>
      <c r="I2542" s="27"/>
      <c r="J2542" s="77" t="str">
        <f t="shared" ca="1" si="79"/>
        <v/>
      </c>
      <c r="K2542" s="23">
        <f>IF(A2542="","",COUNTIFS(Resumen!$N$2:$N$2999,ROW(),Resumen!$V$2:$V$2999,1))</f>
        <v/>
      </c>
      <c r="L2542" s="26"/>
      <c r="N25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3" spans="1:14">
      <c r="A2543" s="16"/>
      <c r="B2543" s="16"/>
      <c r="C2543" s="25"/>
      <c r="D2543" s="25"/>
      <c r="E2543" s="16"/>
      <c r="F2543" s="18"/>
      <c r="G2543" s="19" t="str">
        <f t="shared" ca="1" si="78"/>
        <v/>
      </c>
      <c r="H2543" s="27"/>
      <c r="I2543" s="27"/>
      <c r="J2543" s="77" t="str">
        <f t="shared" ca="1" si="79"/>
        <v/>
      </c>
      <c r="K2543" s="23">
        <f>IF(A2543="","",COUNTIFS(Resumen!$N$2:$N$2999,ROW(),Resumen!$V$2:$V$2999,1))</f>
        <v/>
      </c>
      <c r="L2543" s="26"/>
      <c r="N25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4" spans="1:14">
      <c r="A2544" s="16"/>
      <c r="B2544" s="16"/>
      <c r="C2544" s="25"/>
      <c r="D2544" s="25"/>
      <c r="E2544" s="16"/>
      <c r="F2544" s="18"/>
      <c r="G2544" s="19" t="str">
        <f t="shared" ca="1" si="78"/>
        <v/>
      </c>
      <c r="H2544" s="27"/>
      <c r="I2544" s="27"/>
      <c r="J2544" s="77" t="str">
        <f t="shared" ca="1" si="79"/>
        <v/>
      </c>
      <c r="K2544" s="23">
        <f>IF(A2544="","",COUNTIFS(Resumen!$N$2:$N$2999,ROW(),Resumen!$V$2:$V$2999,1))</f>
        <v/>
      </c>
      <c r="L2544" s="26"/>
      <c r="N25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5" spans="1:14">
      <c r="A2545" s="16"/>
      <c r="B2545" s="16"/>
      <c r="C2545" s="25"/>
      <c r="D2545" s="25"/>
      <c r="E2545" s="16"/>
      <c r="F2545" s="18"/>
      <c r="G2545" s="19" t="str">
        <f t="shared" ca="1" si="78"/>
        <v/>
      </c>
      <c r="H2545" s="27"/>
      <c r="I2545" s="27"/>
      <c r="J2545" s="77" t="str">
        <f t="shared" ca="1" si="79"/>
        <v/>
      </c>
      <c r="K2545" s="23">
        <f>IF(A2545="","",COUNTIFS(Resumen!$N$2:$N$2999,ROW(),Resumen!$V$2:$V$2999,1))</f>
        <v/>
      </c>
      <c r="L2545" s="26"/>
      <c r="N25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6" spans="1:14">
      <c r="A2546" s="16"/>
      <c r="B2546" s="16"/>
      <c r="C2546" s="25"/>
      <c r="D2546" s="25"/>
      <c r="E2546" s="16"/>
      <c r="F2546" s="18"/>
      <c r="G2546" s="19" t="str">
        <f t="shared" ca="1" si="78"/>
        <v/>
      </c>
      <c r="H2546" s="27"/>
      <c r="I2546" s="27"/>
      <c r="J2546" s="77" t="str">
        <f t="shared" ca="1" si="79"/>
        <v/>
      </c>
      <c r="K2546" s="23">
        <f>IF(A2546="","",COUNTIFS(Resumen!$N$2:$N$2999,ROW(),Resumen!$V$2:$V$2999,1))</f>
        <v/>
      </c>
      <c r="L2546" s="26"/>
      <c r="N25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7" spans="1:14">
      <c r="A2547" s="16"/>
      <c r="B2547" s="16"/>
      <c r="C2547" s="25"/>
      <c r="D2547" s="25"/>
      <c r="E2547" s="16"/>
      <c r="F2547" s="18"/>
      <c r="G2547" s="19" t="str">
        <f t="shared" ca="1" si="78"/>
        <v/>
      </c>
      <c r="H2547" s="27"/>
      <c r="I2547" s="27"/>
      <c r="J2547" s="77" t="str">
        <f t="shared" ca="1" si="79"/>
        <v/>
      </c>
      <c r="K2547" s="23">
        <f>IF(A2547="","",COUNTIFS(Resumen!$N$2:$N$2999,ROW(),Resumen!$V$2:$V$2999,1))</f>
        <v/>
      </c>
      <c r="L2547" s="26"/>
      <c r="N25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8" spans="1:14">
      <c r="A2548" s="16"/>
      <c r="B2548" s="16"/>
      <c r="C2548" s="25"/>
      <c r="D2548" s="25"/>
      <c r="E2548" s="16"/>
      <c r="F2548" s="18"/>
      <c r="G2548" s="19" t="str">
        <f t="shared" ca="1" si="78"/>
        <v/>
      </c>
      <c r="H2548" s="27"/>
      <c r="I2548" s="27"/>
      <c r="J2548" s="77" t="str">
        <f t="shared" ca="1" si="79"/>
        <v/>
      </c>
      <c r="K2548" s="23">
        <f>IF(A2548="","",COUNTIFS(Resumen!$N$2:$N$2999,ROW(),Resumen!$V$2:$V$2999,1))</f>
        <v/>
      </c>
      <c r="L2548" s="26"/>
      <c r="N25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49" spans="1:14">
      <c r="A2549" s="16"/>
      <c r="B2549" s="16"/>
      <c r="C2549" s="25"/>
      <c r="D2549" s="25"/>
      <c r="E2549" s="16"/>
      <c r="F2549" s="18"/>
      <c r="G2549" s="19" t="str">
        <f t="shared" ca="1" si="78"/>
        <v/>
      </c>
      <c r="H2549" s="27"/>
      <c r="I2549" s="27"/>
      <c r="J2549" s="77" t="str">
        <f t="shared" ca="1" si="79"/>
        <v/>
      </c>
      <c r="K2549" s="23">
        <f>IF(A2549="","",COUNTIFS(Resumen!$N$2:$N$2999,ROW(),Resumen!$V$2:$V$2999,1))</f>
        <v/>
      </c>
      <c r="L2549" s="26"/>
      <c r="N25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0" spans="1:14">
      <c r="A2550" s="16"/>
      <c r="B2550" s="16"/>
      <c r="C2550" s="25"/>
      <c r="D2550" s="25"/>
      <c r="E2550" s="16"/>
      <c r="F2550" s="18"/>
      <c r="G2550" s="19" t="str">
        <f t="shared" ca="1" si="78"/>
        <v/>
      </c>
      <c r="H2550" s="27"/>
      <c r="I2550" s="27"/>
      <c r="J2550" s="77" t="str">
        <f t="shared" ca="1" si="79"/>
        <v/>
      </c>
      <c r="K2550" s="23">
        <f>IF(A2550="","",COUNTIFS(Resumen!$N$2:$N$2999,ROW(),Resumen!$V$2:$V$2999,1))</f>
        <v/>
      </c>
      <c r="L2550" s="26"/>
      <c r="N25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1" spans="1:14">
      <c r="A2551" s="16"/>
      <c r="B2551" s="16"/>
      <c r="C2551" s="25"/>
      <c r="D2551" s="25"/>
      <c r="E2551" s="16"/>
      <c r="F2551" s="18"/>
      <c r="G2551" s="19" t="str">
        <f t="shared" ca="1" si="78"/>
        <v/>
      </c>
      <c r="H2551" s="27"/>
      <c r="I2551" s="27"/>
      <c r="J2551" s="77" t="str">
        <f t="shared" ca="1" si="79"/>
        <v/>
      </c>
      <c r="K2551" s="23">
        <f>IF(A2551="","",COUNTIFS(Resumen!$N$2:$N$2999,ROW(),Resumen!$V$2:$V$2999,1))</f>
        <v/>
      </c>
      <c r="L2551" s="26"/>
      <c r="N25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2" spans="1:14">
      <c r="A2552" s="16"/>
      <c r="B2552" s="16"/>
      <c r="C2552" s="25"/>
      <c r="D2552" s="25"/>
      <c r="E2552" s="16"/>
      <c r="F2552" s="18"/>
      <c r="G2552" s="19" t="str">
        <f t="shared" ca="1" si="78"/>
        <v/>
      </c>
      <c r="H2552" s="27"/>
      <c r="I2552" s="27"/>
      <c r="J2552" s="77" t="str">
        <f t="shared" ca="1" si="79"/>
        <v/>
      </c>
      <c r="K2552" s="23">
        <f>IF(A2552="","",COUNTIFS(Resumen!$N$2:$N$2999,ROW(),Resumen!$V$2:$V$2999,1))</f>
        <v/>
      </c>
      <c r="L2552" s="26"/>
      <c r="N25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3" spans="1:14">
      <c r="A2553" s="16"/>
      <c r="B2553" s="16"/>
      <c r="C2553" s="25"/>
      <c r="D2553" s="25"/>
      <c r="E2553" s="16"/>
      <c r="F2553" s="18"/>
      <c r="G2553" s="19" t="str">
        <f t="shared" ca="1" si="78"/>
        <v/>
      </c>
      <c r="H2553" s="27"/>
      <c r="I2553" s="27"/>
      <c r="J2553" s="77" t="str">
        <f t="shared" ca="1" si="79"/>
        <v/>
      </c>
      <c r="K2553" s="23">
        <f>IF(A2553="","",COUNTIFS(Resumen!$N$2:$N$2999,ROW(),Resumen!$V$2:$V$2999,1))</f>
        <v/>
      </c>
      <c r="L2553" s="26"/>
      <c r="N25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4" spans="1:14">
      <c r="A2554" s="16"/>
      <c r="B2554" s="16"/>
      <c r="C2554" s="25"/>
      <c r="D2554" s="25"/>
      <c r="E2554" s="16"/>
      <c r="F2554" s="18"/>
      <c r="G2554" s="19" t="str">
        <f t="shared" ca="1" si="78"/>
        <v/>
      </c>
      <c r="H2554" s="27"/>
      <c r="I2554" s="27"/>
      <c r="J2554" s="77" t="str">
        <f t="shared" ca="1" si="79"/>
        <v/>
      </c>
      <c r="K2554" s="23">
        <f>IF(A2554="","",COUNTIFS(Resumen!$N$2:$N$2999,ROW(),Resumen!$V$2:$V$2999,1))</f>
        <v/>
      </c>
      <c r="L2554" s="26"/>
      <c r="N25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5" spans="1:14">
      <c r="A2555" s="16"/>
      <c r="B2555" s="16"/>
      <c r="C2555" s="25"/>
      <c r="D2555" s="25"/>
      <c r="E2555" s="16"/>
      <c r="F2555" s="18"/>
      <c r="G2555" s="19" t="str">
        <f t="shared" ca="1" si="78"/>
        <v/>
      </c>
      <c r="H2555" s="27"/>
      <c r="I2555" s="27"/>
      <c r="J2555" s="77" t="str">
        <f t="shared" ca="1" si="79"/>
        <v/>
      </c>
      <c r="K2555" s="23">
        <f>IF(A2555="","",COUNTIFS(Resumen!$N$2:$N$2999,ROW(),Resumen!$V$2:$V$2999,1))</f>
        <v/>
      </c>
      <c r="L2555" s="26"/>
      <c r="N25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6" spans="1:14">
      <c r="A2556" s="16"/>
      <c r="B2556" s="16"/>
      <c r="C2556" s="25"/>
      <c r="D2556" s="25"/>
      <c r="E2556" s="16"/>
      <c r="F2556" s="18"/>
      <c r="G2556" s="19" t="str">
        <f t="shared" ca="1" si="78"/>
        <v/>
      </c>
      <c r="H2556" s="27"/>
      <c r="I2556" s="27"/>
      <c r="J2556" s="77" t="str">
        <f t="shared" ca="1" si="79"/>
        <v/>
      </c>
      <c r="K2556" s="23">
        <f>IF(A2556="","",COUNTIFS(Resumen!$N$2:$N$2999,ROW(),Resumen!$V$2:$V$2999,1))</f>
        <v/>
      </c>
      <c r="L2556" s="26"/>
      <c r="N25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7" spans="1:14">
      <c r="A2557" s="16"/>
      <c r="B2557" s="16"/>
      <c r="C2557" s="25"/>
      <c r="D2557" s="25"/>
      <c r="E2557" s="16"/>
      <c r="F2557" s="18"/>
      <c r="G2557" s="19" t="str">
        <f t="shared" ca="1" si="78"/>
        <v/>
      </c>
      <c r="H2557" s="27"/>
      <c r="I2557" s="27"/>
      <c r="J2557" s="77" t="str">
        <f t="shared" ca="1" si="79"/>
        <v/>
      </c>
      <c r="K2557" s="23">
        <f>IF(A2557="","",COUNTIFS(Resumen!$N$2:$N$2999,ROW(),Resumen!$V$2:$V$2999,1))</f>
        <v/>
      </c>
      <c r="L2557" s="26"/>
      <c r="N25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8" spans="1:14">
      <c r="A2558" s="16"/>
      <c r="B2558" s="16"/>
      <c r="C2558" s="25"/>
      <c r="D2558" s="25"/>
      <c r="E2558" s="16"/>
      <c r="F2558" s="18"/>
      <c r="G2558" s="19" t="str">
        <f t="shared" ca="1" si="78"/>
        <v/>
      </c>
      <c r="H2558" s="27"/>
      <c r="I2558" s="27"/>
      <c r="J2558" s="77" t="str">
        <f t="shared" ca="1" si="79"/>
        <v/>
      </c>
      <c r="K2558" s="23">
        <f>IF(A2558="","",COUNTIFS(Resumen!$N$2:$N$2999,ROW(),Resumen!$V$2:$V$2999,1))</f>
        <v/>
      </c>
      <c r="L2558" s="26"/>
      <c r="N25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59" spans="1:14">
      <c r="A2559" s="16"/>
      <c r="B2559" s="16"/>
      <c r="C2559" s="25"/>
      <c r="D2559" s="25"/>
      <c r="E2559" s="16"/>
      <c r="F2559" s="18"/>
      <c r="G2559" s="19" t="str">
        <f t="shared" ca="1" si="78"/>
        <v/>
      </c>
      <c r="H2559" s="27"/>
      <c r="I2559" s="27"/>
      <c r="J2559" s="77" t="str">
        <f t="shared" ca="1" si="79"/>
        <v/>
      </c>
      <c r="K2559" s="23">
        <f>IF(A2559="","",COUNTIFS(Resumen!$N$2:$N$2999,ROW(),Resumen!$V$2:$V$2999,1))</f>
        <v/>
      </c>
      <c r="L2559" s="26"/>
      <c r="N25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0" spans="1:14">
      <c r="A2560" s="16"/>
      <c r="B2560" s="16"/>
      <c r="C2560" s="25"/>
      <c r="D2560" s="25"/>
      <c r="E2560" s="16"/>
      <c r="F2560" s="18"/>
      <c r="G2560" s="19" t="str">
        <f t="shared" ca="1" si="78"/>
        <v/>
      </c>
      <c r="H2560" s="27"/>
      <c r="I2560" s="27"/>
      <c r="J2560" s="77" t="str">
        <f t="shared" ca="1" si="79"/>
        <v/>
      </c>
      <c r="K2560" s="23">
        <f>IF(A2560="","",COUNTIFS(Resumen!$N$2:$N$2999,ROW(),Resumen!$V$2:$V$2999,1))</f>
        <v/>
      </c>
      <c r="L2560" s="26"/>
      <c r="N25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1" spans="1:14">
      <c r="A2561" s="16"/>
      <c r="B2561" s="16"/>
      <c r="C2561" s="25"/>
      <c r="D2561" s="25"/>
      <c r="E2561" s="16"/>
      <c r="F2561" s="18"/>
      <c r="G2561" s="19" t="str">
        <f t="shared" ca="1" si="78"/>
        <v/>
      </c>
      <c r="H2561" s="27"/>
      <c r="I2561" s="27"/>
      <c r="J2561" s="77" t="str">
        <f t="shared" ca="1" si="79"/>
        <v/>
      </c>
      <c r="K2561" s="23">
        <f>IF(A2561="","",COUNTIFS(Resumen!$N$2:$N$2999,ROW(),Resumen!$V$2:$V$2999,1))</f>
        <v/>
      </c>
      <c r="L2561" s="26"/>
      <c r="N25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2" spans="1:14">
      <c r="A2562" s="16"/>
      <c r="B2562" s="16"/>
      <c r="C2562" s="25"/>
      <c r="D2562" s="25"/>
      <c r="E2562" s="16"/>
      <c r="F2562" s="18"/>
      <c r="G2562" s="19" t="str">
        <f t="shared" ref="G2562:G2625" ca="1" si="80">IF(F2562="", "", DATEDIF(F2562, TODAY(), "Y"))</f>
        <v/>
      </c>
      <c r="H2562" s="27"/>
      <c r="I2562" s="27"/>
      <c r="J2562" s="77" t="str">
        <f t="shared" ref="J2562:J2625" ca="1" si="81">IFERROR(IF(ISNUMBER(INDEX(VigenciasFamilia,ROW())),INDEX(VigenciasFamilia,ROW())-TODAY(),""),"")</f>
        <v/>
      </c>
      <c r="K2562" s="23">
        <f>IF(A2562="","",COUNTIFS(Resumen!$N$2:$N$2999,ROW(),Resumen!$V$2:$V$2999,1))</f>
        <v/>
      </c>
      <c r="L2562" s="26"/>
      <c r="N25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3" spans="1:14">
      <c r="A2563" s="16"/>
      <c r="B2563" s="16"/>
      <c r="C2563" s="25"/>
      <c r="D2563" s="25"/>
      <c r="E2563" s="16"/>
      <c r="F2563" s="18"/>
      <c r="G2563" s="19" t="str">
        <f t="shared" ca="1" si="80"/>
        <v/>
      </c>
      <c r="H2563" s="27"/>
      <c r="I2563" s="27"/>
      <c r="J2563" s="77" t="str">
        <f t="shared" ca="1" si="81"/>
        <v/>
      </c>
      <c r="K2563" s="23">
        <f>IF(A2563="","",COUNTIFS(Resumen!$N$2:$N$2999,ROW(),Resumen!$V$2:$V$2999,1))</f>
        <v/>
      </c>
      <c r="L2563" s="26"/>
      <c r="N25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4" spans="1:14">
      <c r="A2564" s="16"/>
      <c r="B2564" s="16"/>
      <c r="C2564" s="25"/>
      <c r="D2564" s="25"/>
      <c r="E2564" s="16"/>
      <c r="F2564" s="18"/>
      <c r="G2564" s="19" t="str">
        <f t="shared" ca="1" si="80"/>
        <v/>
      </c>
      <c r="H2564" s="27"/>
      <c r="I2564" s="27"/>
      <c r="J2564" s="77" t="str">
        <f t="shared" ca="1" si="81"/>
        <v/>
      </c>
      <c r="K2564" s="23">
        <f>IF(A2564="","",COUNTIFS(Resumen!$N$2:$N$2999,ROW(),Resumen!$V$2:$V$2999,1))</f>
        <v/>
      </c>
      <c r="L2564" s="26"/>
      <c r="N25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5" spans="1:14">
      <c r="A2565" s="16"/>
      <c r="B2565" s="16"/>
      <c r="C2565" s="25"/>
      <c r="D2565" s="25"/>
      <c r="E2565" s="16"/>
      <c r="F2565" s="18"/>
      <c r="G2565" s="19" t="str">
        <f t="shared" ca="1" si="80"/>
        <v/>
      </c>
      <c r="H2565" s="27"/>
      <c r="I2565" s="27"/>
      <c r="J2565" s="77" t="str">
        <f t="shared" ca="1" si="81"/>
        <v/>
      </c>
      <c r="K2565" s="23">
        <f>IF(A2565="","",COUNTIFS(Resumen!$N$2:$N$2999,ROW(),Resumen!$V$2:$V$2999,1))</f>
        <v/>
      </c>
      <c r="L2565" s="26"/>
      <c r="N25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6" spans="1:14">
      <c r="A2566" s="16"/>
      <c r="B2566" s="16"/>
      <c r="C2566" s="25"/>
      <c r="D2566" s="25"/>
      <c r="E2566" s="16"/>
      <c r="F2566" s="18"/>
      <c r="G2566" s="19" t="str">
        <f t="shared" ca="1" si="80"/>
        <v/>
      </c>
      <c r="H2566" s="27"/>
      <c r="I2566" s="27"/>
      <c r="J2566" s="77" t="str">
        <f t="shared" ca="1" si="81"/>
        <v/>
      </c>
      <c r="K2566" s="23">
        <f>IF(A2566="","",COUNTIFS(Resumen!$N$2:$N$2999,ROW(),Resumen!$V$2:$V$2999,1))</f>
        <v/>
      </c>
      <c r="L2566" s="26"/>
      <c r="N25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7" spans="1:14">
      <c r="A2567" s="16"/>
      <c r="B2567" s="16"/>
      <c r="C2567" s="25"/>
      <c r="D2567" s="25"/>
      <c r="E2567" s="16"/>
      <c r="F2567" s="18"/>
      <c r="G2567" s="19" t="str">
        <f t="shared" ca="1" si="80"/>
        <v/>
      </c>
      <c r="H2567" s="27"/>
      <c r="I2567" s="27"/>
      <c r="J2567" s="77" t="str">
        <f t="shared" ca="1" si="81"/>
        <v/>
      </c>
      <c r="K2567" s="23">
        <f>IF(A2567="","",COUNTIFS(Resumen!$N$2:$N$2999,ROW(),Resumen!$V$2:$V$2999,1))</f>
        <v/>
      </c>
      <c r="L2567" s="26"/>
      <c r="N25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8" spans="1:14">
      <c r="A2568" s="16"/>
      <c r="B2568" s="16"/>
      <c r="C2568" s="25"/>
      <c r="D2568" s="25"/>
      <c r="E2568" s="16"/>
      <c r="F2568" s="18"/>
      <c r="G2568" s="19" t="str">
        <f t="shared" ca="1" si="80"/>
        <v/>
      </c>
      <c r="H2568" s="27"/>
      <c r="I2568" s="27"/>
      <c r="J2568" s="77" t="str">
        <f t="shared" ca="1" si="81"/>
        <v/>
      </c>
      <c r="K2568" s="23">
        <f>IF(A2568="","",COUNTIFS(Resumen!$N$2:$N$2999,ROW(),Resumen!$V$2:$V$2999,1))</f>
        <v/>
      </c>
      <c r="L2568" s="26"/>
      <c r="N25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69" spans="1:14">
      <c r="A2569" s="16"/>
      <c r="B2569" s="16"/>
      <c r="C2569" s="25"/>
      <c r="D2569" s="25"/>
      <c r="E2569" s="16"/>
      <c r="F2569" s="18"/>
      <c r="G2569" s="19" t="str">
        <f t="shared" ca="1" si="80"/>
        <v/>
      </c>
      <c r="H2569" s="27"/>
      <c r="I2569" s="27"/>
      <c r="J2569" s="77" t="str">
        <f t="shared" ca="1" si="81"/>
        <v/>
      </c>
      <c r="K2569" s="23">
        <f>IF(A2569="","",COUNTIFS(Resumen!$N$2:$N$2999,ROW(),Resumen!$V$2:$V$2999,1))</f>
        <v/>
      </c>
      <c r="L2569" s="26"/>
      <c r="N25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0" spans="1:14">
      <c r="A2570" s="16"/>
      <c r="B2570" s="16"/>
      <c r="C2570" s="25"/>
      <c r="D2570" s="25"/>
      <c r="E2570" s="16"/>
      <c r="F2570" s="18"/>
      <c r="G2570" s="19" t="str">
        <f t="shared" ca="1" si="80"/>
        <v/>
      </c>
      <c r="H2570" s="27"/>
      <c r="I2570" s="27"/>
      <c r="J2570" s="77" t="str">
        <f t="shared" ca="1" si="81"/>
        <v/>
      </c>
      <c r="K2570" s="23">
        <f>IF(A2570="","",COUNTIFS(Resumen!$N$2:$N$2999,ROW(),Resumen!$V$2:$V$2999,1))</f>
        <v/>
      </c>
      <c r="L2570" s="26"/>
      <c r="N25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1" spans="1:14">
      <c r="A2571" s="16"/>
      <c r="B2571" s="16"/>
      <c r="C2571" s="25"/>
      <c r="D2571" s="25"/>
      <c r="E2571" s="16"/>
      <c r="F2571" s="18"/>
      <c r="G2571" s="19" t="str">
        <f t="shared" ca="1" si="80"/>
        <v/>
      </c>
      <c r="H2571" s="27"/>
      <c r="I2571" s="27"/>
      <c r="J2571" s="77" t="str">
        <f t="shared" ca="1" si="81"/>
        <v/>
      </c>
      <c r="K2571" s="23">
        <f>IF(A2571="","",COUNTIFS(Resumen!$N$2:$N$2999,ROW(),Resumen!$V$2:$V$2999,1))</f>
        <v/>
      </c>
      <c r="L2571" s="26"/>
      <c r="N25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2" spans="1:14">
      <c r="A2572" s="16"/>
      <c r="B2572" s="16"/>
      <c r="C2572" s="25"/>
      <c r="D2572" s="25"/>
      <c r="E2572" s="16"/>
      <c r="F2572" s="18"/>
      <c r="G2572" s="19" t="str">
        <f t="shared" ca="1" si="80"/>
        <v/>
      </c>
      <c r="H2572" s="27"/>
      <c r="I2572" s="27"/>
      <c r="J2572" s="77" t="str">
        <f t="shared" ca="1" si="81"/>
        <v/>
      </c>
      <c r="K2572" s="23">
        <f>IF(A2572="","",COUNTIFS(Resumen!$N$2:$N$2999,ROW(),Resumen!$V$2:$V$2999,1))</f>
        <v/>
      </c>
      <c r="L2572" s="26"/>
      <c r="N25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3" spans="1:14">
      <c r="A2573" s="16"/>
      <c r="B2573" s="16"/>
      <c r="C2573" s="25"/>
      <c r="D2573" s="25"/>
      <c r="E2573" s="16"/>
      <c r="F2573" s="18"/>
      <c r="G2573" s="19" t="str">
        <f t="shared" ca="1" si="80"/>
        <v/>
      </c>
      <c r="H2573" s="27"/>
      <c r="I2573" s="27"/>
      <c r="J2573" s="77" t="str">
        <f t="shared" ca="1" si="81"/>
        <v/>
      </c>
      <c r="K2573" s="23">
        <f>IF(A2573="","",COUNTIFS(Resumen!$N$2:$N$2999,ROW(),Resumen!$V$2:$V$2999,1))</f>
        <v/>
      </c>
      <c r="L2573" s="26"/>
      <c r="N25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4" spans="1:14">
      <c r="A2574" s="16"/>
      <c r="B2574" s="16"/>
      <c r="C2574" s="25"/>
      <c r="D2574" s="25"/>
      <c r="E2574" s="16"/>
      <c r="F2574" s="18"/>
      <c r="G2574" s="19" t="str">
        <f t="shared" ca="1" si="80"/>
        <v/>
      </c>
      <c r="H2574" s="27"/>
      <c r="I2574" s="27"/>
      <c r="J2574" s="77" t="str">
        <f t="shared" ca="1" si="81"/>
        <v/>
      </c>
      <c r="K2574" s="23">
        <f>IF(A2574="","",COUNTIFS(Resumen!$N$2:$N$2999,ROW(),Resumen!$V$2:$V$2999,1))</f>
        <v/>
      </c>
      <c r="L2574" s="26"/>
      <c r="N25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5" spans="1:14">
      <c r="A2575" s="16"/>
      <c r="B2575" s="16"/>
      <c r="C2575" s="25"/>
      <c r="D2575" s="25"/>
      <c r="E2575" s="16"/>
      <c r="F2575" s="18"/>
      <c r="G2575" s="19" t="str">
        <f t="shared" ca="1" si="80"/>
        <v/>
      </c>
      <c r="H2575" s="27"/>
      <c r="I2575" s="27"/>
      <c r="J2575" s="77" t="str">
        <f t="shared" ca="1" si="81"/>
        <v/>
      </c>
      <c r="K2575" s="23">
        <f>IF(A2575="","",COUNTIFS(Resumen!$N$2:$N$2999,ROW(),Resumen!$V$2:$V$2999,1))</f>
        <v/>
      </c>
      <c r="L2575" s="26"/>
      <c r="N25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6" spans="1:14">
      <c r="A2576" s="16"/>
      <c r="B2576" s="16"/>
      <c r="C2576" s="25"/>
      <c r="D2576" s="25"/>
      <c r="E2576" s="16"/>
      <c r="F2576" s="18"/>
      <c r="G2576" s="19" t="str">
        <f t="shared" ca="1" si="80"/>
        <v/>
      </c>
      <c r="H2576" s="27"/>
      <c r="I2576" s="27"/>
      <c r="J2576" s="77" t="str">
        <f t="shared" ca="1" si="81"/>
        <v/>
      </c>
      <c r="K2576" s="23">
        <f>IF(A2576="","",COUNTIFS(Resumen!$N$2:$N$2999,ROW(),Resumen!$V$2:$V$2999,1))</f>
        <v/>
      </c>
      <c r="L2576" s="26"/>
      <c r="N25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7" spans="1:14">
      <c r="A2577" s="16"/>
      <c r="B2577" s="16"/>
      <c r="C2577" s="25"/>
      <c r="D2577" s="25"/>
      <c r="E2577" s="16"/>
      <c r="F2577" s="18"/>
      <c r="G2577" s="19" t="str">
        <f t="shared" ca="1" si="80"/>
        <v/>
      </c>
      <c r="H2577" s="27"/>
      <c r="I2577" s="27"/>
      <c r="J2577" s="77" t="str">
        <f t="shared" ca="1" si="81"/>
        <v/>
      </c>
      <c r="K2577" s="23">
        <f>IF(A2577="","",COUNTIFS(Resumen!$N$2:$N$2999,ROW(),Resumen!$V$2:$V$2999,1))</f>
        <v/>
      </c>
      <c r="L2577" s="26"/>
      <c r="N25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8" spans="1:14">
      <c r="A2578" s="16"/>
      <c r="B2578" s="16"/>
      <c r="C2578" s="25"/>
      <c r="D2578" s="25"/>
      <c r="E2578" s="16"/>
      <c r="F2578" s="18"/>
      <c r="G2578" s="19" t="str">
        <f t="shared" ca="1" si="80"/>
        <v/>
      </c>
      <c r="H2578" s="27"/>
      <c r="I2578" s="27"/>
      <c r="J2578" s="77" t="str">
        <f t="shared" ca="1" si="81"/>
        <v/>
      </c>
      <c r="K2578" s="23">
        <f>IF(A2578="","",COUNTIFS(Resumen!$N$2:$N$2999,ROW(),Resumen!$V$2:$V$2999,1))</f>
        <v/>
      </c>
      <c r="L2578" s="26"/>
      <c r="N25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79" spans="1:14">
      <c r="A2579" s="16"/>
      <c r="B2579" s="16"/>
      <c r="C2579" s="25"/>
      <c r="D2579" s="25"/>
      <c r="E2579" s="16"/>
      <c r="F2579" s="18"/>
      <c r="G2579" s="19" t="str">
        <f t="shared" ca="1" si="80"/>
        <v/>
      </c>
      <c r="H2579" s="27"/>
      <c r="I2579" s="27"/>
      <c r="J2579" s="77" t="str">
        <f t="shared" ca="1" si="81"/>
        <v/>
      </c>
      <c r="K2579" s="23">
        <f>IF(A2579="","",COUNTIFS(Resumen!$N$2:$N$2999,ROW(),Resumen!$V$2:$V$2999,1))</f>
        <v/>
      </c>
      <c r="L2579" s="26"/>
      <c r="N25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0" spans="1:14">
      <c r="A2580" s="16"/>
      <c r="B2580" s="16"/>
      <c r="C2580" s="25"/>
      <c r="D2580" s="25"/>
      <c r="E2580" s="16"/>
      <c r="F2580" s="18"/>
      <c r="G2580" s="19" t="str">
        <f t="shared" ca="1" si="80"/>
        <v/>
      </c>
      <c r="H2580" s="27"/>
      <c r="I2580" s="27"/>
      <c r="J2580" s="77" t="str">
        <f t="shared" ca="1" si="81"/>
        <v/>
      </c>
      <c r="K2580" s="23">
        <f>IF(A2580="","",COUNTIFS(Resumen!$N$2:$N$2999,ROW(),Resumen!$V$2:$V$2999,1))</f>
        <v/>
      </c>
      <c r="L2580" s="26"/>
      <c r="N25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1" spans="1:14">
      <c r="A2581" s="16"/>
      <c r="B2581" s="16"/>
      <c r="C2581" s="25"/>
      <c r="D2581" s="25"/>
      <c r="E2581" s="16"/>
      <c r="F2581" s="18"/>
      <c r="G2581" s="19" t="str">
        <f t="shared" ca="1" si="80"/>
        <v/>
      </c>
      <c r="H2581" s="27"/>
      <c r="I2581" s="27"/>
      <c r="J2581" s="77" t="str">
        <f t="shared" ca="1" si="81"/>
        <v/>
      </c>
      <c r="K2581" s="23">
        <f>IF(A2581="","",COUNTIFS(Resumen!$N$2:$N$2999,ROW(),Resumen!$V$2:$V$2999,1))</f>
        <v/>
      </c>
      <c r="L2581" s="26"/>
      <c r="N25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2" spans="1:14">
      <c r="A2582" s="16"/>
      <c r="B2582" s="16"/>
      <c r="C2582" s="25"/>
      <c r="D2582" s="25"/>
      <c r="E2582" s="16"/>
      <c r="F2582" s="18"/>
      <c r="G2582" s="19" t="str">
        <f t="shared" ca="1" si="80"/>
        <v/>
      </c>
      <c r="H2582" s="27"/>
      <c r="I2582" s="27"/>
      <c r="J2582" s="77" t="str">
        <f t="shared" ca="1" si="81"/>
        <v/>
      </c>
      <c r="K2582" s="23">
        <f>IF(A2582="","",COUNTIFS(Resumen!$N$2:$N$2999,ROW(),Resumen!$V$2:$V$2999,1))</f>
        <v/>
      </c>
      <c r="L2582" s="26"/>
      <c r="N25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3" spans="1:14">
      <c r="A2583" s="16"/>
      <c r="B2583" s="16"/>
      <c r="C2583" s="25"/>
      <c r="D2583" s="25"/>
      <c r="E2583" s="16"/>
      <c r="F2583" s="18"/>
      <c r="G2583" s="19" t="str">
        <f t="shared" ca="1" si="80"/>
        <v/>
      </c>
      <c r="H2583" s="27"/>
      <c r="I2583" s="27"/>
      <c r="J2583" s="77" t="str">
        <f t="shared" ca="1" si="81"/>
        <v/>
      </c>
      <c r="K2583" s="23">
        <f>IF(A2583="","",COUNTIFS(Resumen!$N$2:$N$2999,ROW(),Resumen!$V$2:$V$2999,1))</f>
        <v/>
      </c>
      <c r="L2583" s="26"/>
      <c r="N25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4" spans="1:14">
      <c r="A2584" s="16"/>
      <c r="B2584" s="16"/>
      <c r="C2584" s="25"/>
      <c r="D2584" s="25"/>
      <c r="E2584" s="16"/>
      <c r="F2584" s="18"/>
      <c r="G2584" s="19" t="str">
        <f t="shared" ca="1" si="80"/>
        <v/>
      </c>
      <c r="H2584" s="27"/>
      <c r="I2584" s="27"/>
      <c r="J2584" s="77" t="str">
        <f t="shared" ca="1" si="81"/>
        <v/>
      </c>
      <c r="K2584" s="23">
        <f>IF(A2584="","",COUNTIFS(Resumen!$N$2:$N$2999,ROW(),Resumen!$V$2:$V$2999,1))</f>
        <v/>
      </c>
      <c r="L2584" s="26"/>
      <c r="N25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5" spans="1:14">
      <c r="A2585" s="16"/>
      <c r="B2585" s="16"/>
      <c r="C2585" s="25"/>
      <c r="D2585" s="25"/>
      <c r="E2585" s="16"/>
      <c r="F2585" s="18"/>
      <c r="G2585" s="19" t="str">
        <f t="shared" ca="1" si="80"/>
        <v/>
      </c>
      <c r="H2585" s="27"/>
      <c r="I2585" s="27"/>
      <c r="J2585" s="77" t="str">
        <f t="shared" ca="1" si="81"/>
        <v/>
      </c>
      <c r="K2585" s="23">
        <f>IF(A2585="","",COUNTIFS(Resumen!$N$2:$N$2999,ROW(),Resumen!$V$2:$V$2999,1))</f>
        <v/>
      </c>
      <c r="L2585" s="26"/>
      <c r="N25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6" spans="1:14">
      <c r="A2586" s="16"/>
      <c r="B2586" s="16"/>
      <c r="C2586" s="25"/>
      <c r="D2586" s="25"/>
      <c r="E2586" s="16"/>
      <c r="F2586" s="18"/>
      <c r="G2586" s="19" t="str">
        <f t="shared" ca="1" si="80"/>
        <v/>
      </c>
      <c r="H2586" s="27"/>
      <c r="I2586" s="27"/>
      <c r="J2586" s="77" t="str">
        <f t="shared" ca="1" si="81"/>
        <v/>
      </c>
      <c r="K2586" s="23">
        <f>IF(A2586="","",COUNTIFS(Resumen!$N$2:$N$2999,ROW(),Resumen!$V$2:$V$2999,1))</f>
        <v/>
      </c>
      <c r="L2586" s="26"/>
      <c r="N25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7" spans="1:14">
      <c r="A2587" s="16"/>
      <c r="B2587" s="16"/>
      <c r="C2587" s="25"/>
      <c r="D2587" s="25"/>
      <c r="E2587" s="16"/>
      <c r="F2587" s="18"/>
      <c r="G2587" s="19" t="str">
        <f t="shared" ca="1" si="80"/>
        <v/>
      </c>
      <c r="H2587" s="27"/>
      <c r="I2587" s="27"/>
      <c r="J2587" s="77" t="str">
        <f t="shared" ca="1" si="81"/>
        <v/>
      </c>
      <c r="K2587" s="23">
        <f>IF(A2587="","",COUNTIFS(Resumen!$N$2:$N$2999,ROW(),Resumen!$V$2:$V$2999,1))</f>
        <v/>
      </c>
      <c r="L2587" s="26"/>
      <c r="N25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8" spans="1:14">
      <c r="A2588" s="16"/>
      <c r="B2588" s="16"/>
      <c r="C2588" s="25"/>
      <c r="D2588" s="25"/>
      <c r="E2588" s="16"/>
      <c r="F2588" s="18"/>
      <c r="G2588" s="19" t="str">
        <f t="shared" ca="1" si="80"/>
        <v/>
      </c>
      <c r="H2588" s="27"/>
      <c r="I2588" s="27"/>
      <c r="J2588" s="77" t="str">
        <f t="shared" ca="1" si="81"/>
        <v/>
      </c>
      <c r="K2588" s="23">
        <f>IF(A2588="","",COUNTIFS(Resumen!$N$2:$N$2999,ROW(),Resumen!$V$2:$V$2999,1))</f>
        <v/>
      </c>
      <c r="L2588" s="26"/>
      <c r="N25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89" spans="1:14">
      <c r="A2589" s="16"/>
      <c r="B2589" s="16"/>
      <c r="C2589" s="25"/>
      <c r="D2589" s="25"/>
      <c r="E2589" s="16"/>
      <c r="F2589" s="18"/>
      <c r="G2589" s="19" t="str">
        <f t="shared" ca="1" si="80"/>
        <v/>
      </c>
      <c r="H2589" s="27"/>
      <c r="I2589" s="27"/>
      <c r="J2589" s="77" t="str">
        <f t="shared" ca="1" si="81"/>
        <v/>
      </c>
      <c r="K2589" s="23">
        <f>IF(A2589="","",COUNTIFS(Resumen!$N$2:$N$2999,ROW(),Resumen!$V$2:$V$2999,1))</f>
        <v/>
      </c>
      <c r="L2589" s="26"/>
      <c r="N25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0" spans="1:14">
      <c r="A2590" s="16"/>
      <c r="B2590" s="16"/>
      <c r="C2590" s="25"/>
      <c r="D2590" s="25"/>
      <c r="E2590" s="16"/>
      <c r="F2590" s="18"/>
      <c r="G2590" s="19" t="str">
        <f t="shared" ca="1" si="80"/>
        <v/>
      </c>
      <c r="H2590" s="27"/>
      <c r="I2590" s="27"/>
      <c r="J2590" s="77" t="str">
        <f t="shared" ca="1" si="81"/>
        <v/>
      </c>
      <c r="K2590" s="23">
        <f>IF(A2590="","",COUNTIFS(Resumen!$N$2:$N$2999,ROW(),Resumen!$V$2:$V$2999,1))</f>
        <v/>
      </c>
      <c r="L2590" s="26"/>
      <c r="N25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1" spans="1:14">
      <c r="A2591" s="16"/>
      <c r="B2591" s="16"/>
      <c r="C2591" s="25"/>
      <c r="D2591" s="25"/>
      <c r="E2591" s="16"/>
      <c r="F2591" s="18"/>
      <c r="G2591" s="19" t="str">
        <f t="shared" ca="1" si="80"/>
        <v/>
      </c>
      <c r="H2591" s="27"/>
      <c r="I2591" s="27"/>
      <c r="J2591" s="77" t="str">
        <f t="shared" ca="1" si="81"/>
        <v/>
      </c>
      <c r="K2591" s="23">
        <f>IF(A2591="","",COUNTIFS(Resumen!$N$2:$N$2999,ROW(),Resumen!$V$2:$V$2999,1))</f>
        <v/>
      </c>
      <c r="L2591" s="26"/>
      <c r="N25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2" spans="1:14">
      <c r="A2592" s="16"/>
      <c r="B2592" s="16"/>
      <c r="C2592" s="25"/>
      <c r="D2592" s="25"/>
      <c r="E2592" s="16"/>
      <c r="F2592" s="18"/>
      <c r="G2592" s="19" t="str">
        <f t="shared" ca="1" si="80"/>
        <v/>
      </c>
      <c r="H2592" s="27"/>
      <c r="I2592" s="27"/>
      <c r="J2592" s="77" t="str">
        <f t="shared" ca="1" si="81"/>
        <v/>
      </c>
      <c r="K2592" s="23">
        <f>IF(A2592="","",COUNTIFS(Resumen!$N$2:$N$2999,ROW(),Resumen!$V$2:$V$2999,1))</f>
        <v/>
      </c>
      <c r="L2592" s="26"/>
      <c r="N25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3" spans="1:14">
      <c r="A2593" s="16"/>
      <c r="B2593" s="16"/>
      <c r="C2593" s="25"/>
      <c r="D2593" s="25"/>
      <c r="E2593" s="16"/>
      <c r="F2593" s="18"/>
      <c r="G2593" s="19" t="str">
        <f t="shared" ca="1" si="80"/>
        <v/>
      </c>
      <c r="H2593" s="27"/>
      <c r="I2593" s="27"/>
      <c r="J2593" s="77" t="str">
        <f t="shared" ca="1" si="81"/>
        <v/>
      </c>
      <c r="K2593" s="23">
        <f>IF(A2593="","",COUNTIFS(Resumen!$N$2:$N$2999,ROW(),Resumen!$V$2:$V$2999,1))</f>
        <v/>
      </c>
      <c r="L2593" s="26"/>
      <c r="N25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4" spans="1:14">
      <c r="A2594" s="16"/>
      <c r="B2594" s="16"/>
      <c r="C2594" s="25"/>
      <c r="D2594" s="25"/>
      <c r="E2594" s="16"/>
      <c r="F2594" s="18"/>
      <c r="G2594" s="19" t="str">
        <f t="shared" ca="1" si="80"/>
        <v/>
      </c>
      <c r="H2594" s="27"/>
      <c r="I2594" s="27"/>
      <c r="J2594" s="77" t="str">
        <f t="shared" ca="1" si="81"/>
        <v/>
      </c>
      <c r="K2594" s="23">
        <f>IF(A2594="","",COUNTIFS(Resumen!$N$2:$N$2999,ROW(),Resumen!$V$2:$V$2999,1))</f>
        <v/>
      </c>
      <c r="L2594" s="26"/>
      <c r="N25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5" spans="1:14">
      <c r="A2595" s="16"/>
      <c r="B2595" s="16"/>
      <c r="C2595" s="25"/>
      <c r="D2595" s="25"/>
      <c r="E2595" s="16"/>
      <c r="F2595" s="18"/>
      <c r="G2595" s="19" t="str">
        <f t="shared" ca="1" si="80"/>
        <v/>
      </c>
      <c r="H2595" s="27"/>
      <c r="I2595" s="27"/>
      <c r="J2595" s="77" t="str">
        <f t="shared" ca="1" si="81"/>
        <v/>
      </c>
      <c r="K2595" s="23">
        <f>IF(A2595="","",COUNTIFS(Resumen!$N$2:$N$2999,ROW(),Resumen!$V$2:$V$2999,1))</f>
        <v/>
      </c>
      <c r="L2595" s="26"/>
      <c r="N25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6" spans="1:14">
      <c r="A2596" s="16"/>
      <c r="B2596" s="16"/>
      <c r="C2596" s="25"/>
      <c r="D2596" s="25"/>
      <c r="E2596" s="16"/>
      <c r="F2596" s="18"/>
      <c r="G2596" s="19" t="str">
        <f t="shared" ca="1" si="80"/>
        <v/>
      </c>
      <c r="H2596" s="27"/>
      <c r="I2596" s="27"/>
      <c r="J2596" s="77" t="str">
        <f t="shared" ca="1" si="81"/>
        <v/>
      </c>
      <c r="K2596" s="23">
        <f>IF(A2596="","",COUNTIFS(Resumen!$N$2:$N$2999,ROW(),Resumen!$V$2:$V$2999,1))</f>
        <v/>
      </c>
      <c r="L2596" s="26"/>
      <c r="N25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7" spans="1:14">
      <c r="A2597" s="16"/>
      <c r="B2597" s="16"/>
      <c r="C2597" s="25"/>
      <c r="D2597" s="25"/>
      <c r="E2597" s="16"/>
      <c r="F2597" s="18"/>
      <c r="G2597" s="19" t="str">
        <f t="shared" ca="1" si="80"/>
        <v/>
      </c>
      <c r="H2597" s="27"/>
      <c r="I2597" s="27"/>
      <c r="J2597" s="77" t="str">
        <f t="shared" ca="1" si="81"/>
        <v/>
      </c>
      <c r="K2597" s="23">
        <f>IF(A2597="","",COUNTIFS(Resumen!$N$2:$N$2999,ROW(),Resumen!$V$2:$V$2999,1))</f>
        <v/>
      </c>
      <c r="L2597" s="26"/>
      <c r="N25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8" spans="1:14">
      <c r="A2598" s="16"/>
      <c r="B2598" s="16"/>
      <c r="C2598" s="25"/>
      <c r="D2598" s="25"/>
      <c r="E2598" s="16"/>
      <c r="F2598" s="18"/>
      <c r="G2598" s="19" t="str">
        <f t="shared" ca="1" si="80"/>
        <v/>
      </c>
      <c r="H2598" s="27"/>
      <c r="I2598" s="27"/>
      <c r="J2598" s="77" t="str">
        <f t="shared" ca="1" si="81"/>
        <v/>
      </c>
      <c r="K2598" s="23">
        <f>IF(A2598="","",COUNTIFS(Resumen!$N$2:$N$2999,ROW(),Resumen!$V$2:$V$2999,1))</f>
        <v/>
      </c>
      <c r="L2598" s="26"/>
      <c r="N25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599" spans="1:14">
      <c r="A2599" s="16"/>
      <c r="B2599" s="16"/>
      <c r="C2599" s="25"/>
      <c r="D2599" s="25"/>
      <c r="E2599" s="16"/>
      <c r="F2599" s="18"/>
      <c r="G2599" s="19" t="str">
        <f t="shared" ca="1" si="80"/>
        <v/>
      </c>
      <c r="H2599" s="27"/>
      <c r="I2599" s="27"/>
      <c r="J2599" s="77" t="str">
        <f t="shared" ca="1" si="81"/>
        <v/>
      </c>
      <c r="K2599" s="23">
        <f>IF(A2599="","",COUNTIFS(Resumen!$N$2:$N$2999,ROW(),Resumen!$V$2:$V$2999,1))</f>
        <v/>
      </c>
      <c r="L2599" s="26"/>
      <c r="N25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0" spans="1:14">
      <c r="A2600" s="16"/>
      <c r="B2600" s="16"/>
      <c r="C2600" s="25"/>
      <c r="D2600" s="25"/>
      <c r="E2600" s="16"/>
      <c r="F2600" s="18"/>
      <c r="G2600" s="19" t="str">
        <f t="shared" ca="1" si="80"/>
        <v/>
      </c>
      <c r="H2600" s="27"/>
      <c r="I2600" s="27"/>
      <c r="J2600" s="77" t="str">
        <f t="shared" ca="1" si="81"/>
        <v/>
      </c>
      <c r="K2600" s="23">
        <f>IF(A2600="","",COUNTIFS(Resumen!$N$2:$N$2999,ROW(),Resumen!$V$2:$V$2999,1))</f>
        <v/>
      </c>
      <c r="L2600" s="26"/>
      <c r="N26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1" spans="1:14">
      <c r="A2601" s="16"/>
      <c r="B2601" s="16"/>
      <c r="C2601" s="25"/>
      <c r="D2601" s="25"/>
      <c r="E2601" s="16"/>
      <c r="F2601" s="18"/>
      <c r="G2601" s="19" t="str">
        <f t="shared" ca="1" si="80"/>
        <v/>
      </c>
      <c r="H2601" s="27"/>
      <c r="I2601" s="27"/>
      <c r="J2601" s="77" t="str">
        <f t="shared" ca="1" si="81"/>
        <v/>
      </c>
      <c r="K2601" s="23">
        <f>IF(A2601="","",COUNTIFS(Resumen!$N$2:$N$2999,ROW(),Resumen!$V$2:$V$2999,1))</f>
        <v/>
      </c>
      <c r="L2601" s="26"/>
      <c r="N26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2" spans="1:14">
      <c r="A2602" s="16"/>
      <c r="B2602" s="16"/>
      <c r="C2602" s="25"/>
      <c r="D2602" s="25"/>
      <c r="E2602" s="16"/>
      <c r="F2602" s="18"/>
      <c r="G2602" s="19" t="str">
        <f t="shared" ca="1" si="80"/>
        <v/>
      </c>
      <c r="H2602" s="27"/>
      <c r="I2602" s="27"/>
      <c r="J2602" s="77" t="str">
        <f t="shared" ca="1" si="81"/>
        <v/>
      </c>
      <c r="K2602" s="23">
        <f>IF(A2602="","",COUNTIFS(Resumen!$N$2:$N$2999,ROW(),Resumen!$V$2:$V$2999,1))</f>
        <v/>
      </c>
      <c r="L2602" s="26"/>
      <c r="N26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3" spans="1:14">
      <c r="A2603" s="16"/>
      <c r="B2603" s="16"/>
      <c r="C2603" s="25"/>
      <c r="D2603" s="25"/>
      <c r="E2603" s="16"/>
      <c r="F2603" s="18"/>
      <c r="G2603" s="19" t="str">
        <f t="shared" ca="1" si="80"/>
        <v/>
      </c>
      <c r="H2603" s="27"/>
      <c r="I2603" s="27"/>
      <c r="J2603" s="77" t="str">
        <f t="shared" ca="1" si="81"/>
        <v/>
      </c>
      <c r="K2603" s="23">
        <f>IF(A2603="","",COUNTIFS(Resumen!$N$2:$N$2999,ROW(),Resumen!$V$2:$V$2999,1))</f>
        <v/>
      </c>
      <c r="L2603" s="26"/>
      <c r="N26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4" spans="1:14">
      <c r="A2604" s="16"/>
      <c r="B2604" s="16"/>
      <c r="C2604" s="25"/>
      <c r="D2604" s="25"/>
      <c r="E2604" s="16"/>
      <c r="F2604" s="18"/>
      <c r="G2604" s="19" t="str">
        <f t="shared" ca="1" si="80"/>
        <v/>
      </c>
      <c r="H2604" s="27"/>
      <c r="I2604" s="27"/>
      <c r="J2604" s="77" t="str">
        <f t="shared" ca="1" si="81"/>
        <v/>
      </c>
      <c r="K2604" s="23">
        <f>IF(A2604="","",COUNTIFS(Resumen!$N$2:$N$2999,ROW(),Resumen!$V$2:$V$2999,1))</f>
        <v/>
      </c>
      <c r="L2604" s="26"/>
      <c r="N26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5" spans="1:14">
      <c r="A2605" s="16"/>
      <c r="B2605" s="16"/>
      <c r="C2605" s="25"/>
      <c r="D2605" s="25"/>
      <c r="E2605" s="16"/>
      <c r="F2605" s="18"/>
      <c r="G2605" s="19" t="str">
        <f t="shared" ca="1" si="80"/>
        <v/>
      </c>
      <c r="H2605" s="27"/>
      <c r="I2605" s="27"/>
      <c r="J2605" s="77" t="str">
        <f t="shared" ca="1" si="81"/>
        <v/>
      </c>
      <c r="K2605" s="23">
        <f>IF(A2605="","",COUNTIFS(Resumen!$N$2:$N$2999,ROW(),Resumen!$V$2:$V$2999,1))</f>
        <v/>
      </c>
      <c r="L2605" s="26"/>
      <c r="N26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6" spans="1:14">
      <c r="A2606" s="16"/>
      <c r="B2606" s="16"/>
      <c r="C2606" s="25"/>
      <c r="D2606" s="25"/>
      <c r="E2606" s="16"/>
      <c r="F2606" s="18"/>
      <c r="G2606" s="19" t="str">
        <f t="shared" ca="1" si="80"/>
        <v/>
      </c>
      <c r="H2606" s="27"/>
      <c r="I2606" s="27"/>
      <c r="J2606" s="77" t="str">
        <f t="shared" ca="1" si="81"/>
        <v/>
      </c>
      <c r="K2606" s="23">
        <f>IF(A2606="","",COUNTIFS(Resumen!$N$2:$N$2999,ROW(),Resumen!$V$2:$V$2999,1))</f>
        <v/>
      </c>
      <c r="L2606" s="26"/>
      <c r="N26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7" spans="1:14">
      <c r="A2607" s="16"/>
      <c r="B2607" s="16"/>
      <c r="C2607" s="25"/>
      <c r="D2607" s="25"/>
      <c r="E2607" s="16"/>
      <c r="F2607" s="18"/>
      <c r="G2607" s="19" t="str">
        <f t="shared" ca="1" si="80"/>
        <v/>
      </c>
      <c r="H2607" s="27"/>
      <c r="I2607" s="27"/>
      <c r="J2607" s="77" t="str">
        <f t="shared" ca="1" si="81"/>
        <v/>
      </c>
      <c r="K2607" s="23">
        <f>IF(A2607="","",COUNTIFS(Resumen!$N$2:$N$2999,ROW(),Resumen!$V$2:$V$2999,1))</f>
        <v/>
      </c>
      <c r="L2607" s="26"/>
      <c r="N26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8" spans="1:14">
      <c r="A2608" s="16"/>
      <c r="B2608" s="16"/>
      <c r="C2608" s="25"/>
      <c r="D2608" s="25"/>
      <c r="E2608" s="16"/>
      <c r="F2608" s="18"/>
      <c r="G2608" s="19" t="str">
        <f t="shared" ca="1" si="80"/>
        <v/>
      </c>
      <c r="H2608" s="27"/>
      <c r="I2608" s="27"/>
      <c r="J2608" s="77" t="str">
        <f t="shared" ca="1" si="81"/>
        <v/>
      </c>
      <c r="K2608" s="23">
        <f>IF(A2608="","",COUNTIFS(Resumen!$N$2:$N$2999,ROW(),Resumen!$V$2:$V$2999,1))</f>
        <v/>
      </c>
      <c r="L2608" s="26"/>
      <c r="N26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09" spans="1:14">
      <c r="A2609" s="16"/>
      <c r="B2609" s="16"/>
      <c r="C2609" s="25"/>
      <c r="D2609" s="25"/>
      <c r="E2609" s="16"/>
      <c r="F2609" s="18"/>
      <c r="G2609" s="19" t="str">
        <f t="shared" ca="1" si="80"/>
        <v/>
      </c>
      <c r="H2609" s="27"/>
      <c r="I2609" s="27"/>
      <c r="J2609" s="77" t="str">
        <f t="shared" ca="1" si="81"/>
        <v/>
      </c>
      <c r="K2609" s="23">
        <f>IF(A2609="","",COUNTIFS(Resumen!$N$2:$N$2999,ROW(),Resumen!$V$2:$V$2999,1))</f>
        <v/>
      </c>
      <c r="L2609" s="26"/>
      <c r="N26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0" spans="1:14">
      <c r="A2610" s="16"/>
      <c r="B2610" s="16"/>
      <c r="C2610" s="25"/>
      <c r="D2610" s="25"/>
      <c r="E2610" s="16"/>
      <c r="F2610" s="18"/>
      <c r="G2610" s="19" t="str">
        <f t="shared" ca="1" si="80"/>
        <v/>
      </c>
      <c r="H2610" s="27"/>
      <c r="I2610" s="27"/>
      <c r="J2610" s="77" t="str">
        <f t="shared" ca="1" si="81"/>
        <v/>
      </c>
      <c r="K2610" s="23">
        <f>IF(A2610="","",COUNTIFS(Resumen!$N$2:$N$2999,ROW(),Resumen!$V$2:$V$2999,1))</f>
        <v/>
      </c>
      <c r="L2610" s="26"/>
      <c r="N26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1" spans="1:14">
      <c r="A2611" s="16"/>
      <c r="B2611" s="16"/>
      <c r="C2611" s="25"/>
      <c r="D2611" s="25"/>
      <c r="E2611" s="16"/>
      <c r="F2611" s="18"/>
      <c r="G2611" s="19" t="str">
        <f t="shared" ca="1" si="80"/>
        <v/>
      </c>
      <c r="H2611" s="27"/>
      <c r="I2611" s="27"/>
      <c r="J2611" s="77" t="str">
        <f t="shared" ca="1" si="81"/>
        <v/>
      </c>
      <c r="K2611" s="23">
        <f>IF(A2611="","",COUNTIFS(Resumen!$N$2:$N$2999,ROW(),Resumen!$V$2:$V$2999,1))</f>
        <v/>
      </c>
      <c r="L2611" s="26"/>
      <c r="N26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2" spans="1:14">
      <c r="A2612" s="16"/>
      <c r="B2612" s="16"/>
      <c r="C2612" s="25"/>
      <c r="D2612" s="25"/>
      <c r="E2612" s="16"/>
      <c r="F2612" s="18"/>
      <c r="G2612" s="19" t="str">
        <f t="shared" ca="1" si="80"/>
        <v/>
      </c>
      <c r="H2612" s="27"/>
      <c r="I2612" s="27"/>
      <c r="J2612" s="77" t="str">
        <f t="shared" ca="1" si="81"/>
        <v/>
      </c>
      <c r="K2612" s="23">
        <f>IF(A2612="","",COUNTIFS(Resumen!$N$2:$N$2999,ROW(),Resumen!$V$2:$V$2999,1))</f>
        <v/>
      </c>
      <c r="L2612" s="26"/>
      <c r="N26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3" spans="1:14">
      <c r="A2613" s="16"/>
      <c r="B2613" s="16"/>
      <c r="C2613" s="25"/>
      <c r="D2613" s="25"/>
      <c r="E2613" s="16"/>
      <c r="F2613" s="18"/>
      <c r="G2613" s="19" t="str">
        <f t="shared" ca="1" si="80"/>
        <v/>
      </c>
      <c r="H2613" s="27"/>
      <c r="I2613" s="27"/>
      <c r="J2613" s="77" t="str">
        <f t="shared" ca="1" si="81"/>
        <v/>
      </c>
      <c r="K2613" s="23">
        <f>IF(A2613="","",COUNTIFS(Resumen!$N$2:$N$2999,ROW(),Resumen!$V$2:$V$2999,1))</f>
        <v/>
      </c>
      <c r="L2613" s="26"/>
      <c r="N26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4" spans="1:14">
      <c r="A2614" s="16"/>
      <c r="B2614" s="16"/>
      <c r="C2614" s="25"/>
      <c r="D2614" s="25"/>
      <c r="E2614" s="16"/>
      <c r="F2614" s="18"/>
      <c r="G2614" s="19" t="str">
        <f t="shared" ca="1" si="80"/>
        <v/>
      </c>
      <c r="H2614" s="27"/>
      <c r="I2614" s="27"/>
      <c r="J2614" s="77" t="str">
        <f t="shared" ca="1" si="81"/>
        <v/>
      </c>
      <c r="K2614" s="23">
        <f>IF(A2614="","",COUNTIFS(Resumen!$N$2:$N$2999,ROW(),Resumen!$V$2:$V$2999,1))</f>
        <v/>
      </c>
      <c r="L2614" s="26"/>
      <c r="N26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5" spans="1:14">
      <c r="A2615" s="16"/>
      <c r="B2615" s="16"/>
      <c r="C2615" s="25"/>
      <c r="D2615" s="25"/>
      <c r="E2615" s="16"/>
      <c r="F2615" s="18"/>
      <c r="G2615" s="19" t="str">
        <f t="shared" ca="1" si="80"/>
        <v/>
      </c>
      <c r="H2615" s="27"/>
      <c r="I2615" s="27"/>
      <c r="J2615" s="77" t="str">
        <f t="shared" ca="1" si="81"/>
        <v/>
      </c>
      <c r="K2615" s="23">
        <f>IF(A2615="","",COUNTIFS(Resumen!$N$2:$N$2999,ROW(),Resumen!$V$2:$V$2999,1))</f>
        <v/>
      </c>
      <c r="L2615" s="26"/>
      <c r="N26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6" spans="1:14">
      <c r="A2616" s="16"/>
      <c r="B2616" s="16"/>
      <c r="C2616" s="25"/>
      <c r="D2616" s="25"/>
      <c r="E2616" s="16"/>
      <c r="F2616" s="18"/>
      <c r="G2616" s="19" t="str">
        <f t="shared" ca="1" si="80"/>
        <v/>
      </c>
      <c r="H2616" s="27"/>
      <c r="I2616" s="27"/>
      <c r="J2616" s="77" t="str">
        <f t="shared" ca="1" si="81"/>
        <v/>
      </c>
      <c r="K2616" s="23">
        <f>IF(A2616="","",COUNTIFS(Resumen!$N$2:$N$2999,ROW(),Resumen!$V$2:$V$2999,1))</f>
        <v/>
      </c>
      <c r="L2616" s="26"/>
      <c r="N26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7" spans="1:14">
      <c r="A2617" s="16"/>
      <c r="B2617" s="16"/>
      <c r="C2617" s="25"/>
      <c r="D2617" s="25"/>
      <c r="E2617" s="16"/>
      <c r="F2617" s="18"/>
      <c r="G2617" s="19" t="str">
        <f t="shared" ca="1" si="80"/>
        <v/>
      </c>
      <c r="H2617" s="27"/>
      <c r="I2617" s="27"/>
      <c r="J2617" s="77" t="str">
        <f t="shared" ca="1" si="81"/>
        <v/>
      </c>
      <c r="K2617" s="23">
        <f>IF(A2617="","",COUNTIFS(Resumen!$N$2:$N$2999,ROW(),Resumen!$V$2:$V$2999,1))</f>
        <v/>
      </c>
      <c r="L2617" s="26"/>
      <c r="N26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8" spans="1:14">
      <c r="A2618" s="16"/>
      <c r="B2618" s="16"/>
      <c r="C2618" s="25"/>
      <c r="D2618" s="25"/>
      <c r="E2618" s="16"/>
      <c r="F2618" s="18"/>
      <c r="G2618" s="19" t="str">
        <f t="shared" ca="1" si="80"/>
        <v/>
      </c>
      <c r="H2618" s="27"/>
      <c r="I2618" s="27"/>
      <c r="J2618" s="77" t="str">
        <f t="shared" ca="1" si="81"/>
        <v/>
      </c>
      <c r="K2618" s="23">
        <f>IF(A2618="","",COUNTIFS(Resumen!$N$2:$N$2999,ROW(),Resumen!$V$2:$V$2999,1))</f>
        <v/>
      </c>
      <c r="L2618" s="26"/>
      <c r="N26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19" spans="1:14">
      <c r="A2619" s="16"/>
      <c r="B2619" s="16"/>
      <c r="C2619" s="25"/>
      <c r="D2619" s="25"/>
      <c r="E2619" s="16"/>
      <c r="F2619" s="18"/>
      <c r="G2619" s="19" t="str">
        <f t="shared" ca="1" si="80"/>
        <v/>
      </c>
      <c r="H2619" s="27"/>
      <c r="I2619" s="27"/>
      <c r="J2619" s="77" t="str">
        <f t="shared" ca="1" si="81"/>
        <v/>
      </c>
      <c r="K2619" s="23">
        <f>IF(A2619="","",COUNTIFS(Resumen!$N$2:$N$2999,ROW(),Resumen!$V$2:$V$2999,1))</f>
        <v/>
      </c>
      <c r="L2619" s="26"/>
      <c r="N26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0" spans="1:14">
      <c r="A2620" s="16"/>
      <c r="B2620" s="16"/>
      <c r="C2620" s="25"/>
      <c r="D2620" s="25"/>
      <c r="E2620" s="16"/>
      <c r="F2620" s="18"/>
      <c r="G2620" s="19" t="str">
        <f t="shared" ca="1" si="80"/>
        <v/>
      </c>
      <c r="H2620" s="27"/>
      <c r="I2620" s="27"/>
      <c r="J2620" s="77" t="str">
        <f t="shared" ca="1" si="81"/>
        <v/>
      </c>
      <c r="K2620" s="23">
        <f>IF(A2620="","",COUNTIFS(Resumen!$N$2:$N$2999,ROW(),Resumen!$V$2:$V$2999,1))</f>
        <v/>
      </c>
      <c r="L2620" s="26"/>
      <c r="N26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1" spans="1:14">
      <c r="A2621" s="16"/>
      <c r="B2621" s="16"/>
      <c r="C2621" s="25"/>
      <c r="D2621" s="25"/>
      <c r="E2621" s="16"/>
      <c r="F2621" s="18"/>
      <c r="G2621" s="19" t="str">
        <f t="shared" ca="1" si="80"/>
        <v/>
      </c>
      <c r="H2621" s="27"/>
      <c r="I2621" s="27"/>
      <c r="J2621" s="77" t="str">
        <f t="shared" ca="1" si="81"/>
        <v/>
      </c>
      <c r="K2621" s="23">
        <f>IF(A2621="","",COUNTIFS(Resumen!$N$2:$N$2999,ROW(),Resumen!$V$2:$V$2999,1))</f>
        <v/>
      </c>
      <c r="L2621" s="26"/>
      <c r="N26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2" spans="1:14">
      <c r="A2622" s="16"/>
      <c r="B2622" s="16"/>
      <c r="C2622" s="25"/>
      <c r="D2622" s="25"/>
      <c r="E2622" s="16"/>
      <c r="F2622" s="18"/>
      <c r="G2622" s="19" t="str">
        <f t="shared" ca="1" si="80"/>
        <v/>
      </c>
      <c r="H2622" s="27"/>
      <c r="I2622" s="27"/>
      <c r="J2622" s="77" t="str">
        <f t="shared" ca="1" si="81"/>
        <v/>
      </c>
      <c r="K2622" s="23">
        <f>IF(A2622="","",COUNTIFS(Resumen!$N$2:$N$2999,ROW(),Resumen!$V$2:$V$2999,1))</f>
        <v/>
      </c>
      <c r="L2622" s="26"/>
      <c r="N26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3" spans="1:14">
      <c r="A2623" s="16"/>
      <c r="B2623" s="16"/>
      <c r="C2623" s="25"/>
      <c r="D2623" s="25"/>
      <c r="E2623" s="16"/>
      <c r="F2623" s="18"/>
      <c r="G2623" s="19" t="str">
        <f t="shared" ca="1" si="80"/>
        <v/>
      </c>
      <c r="H2623" s="27"/>
      <c r="I2623" s="27"/>
      <c r="J2623" s="77" t="str">
        <f t="shared" ca="1" si="81"/>
        <v/>
      </c>
      <c r="K2623" s="23">
        <f>IF(A2623="","",COUNTIFS(Resumen!$N$2:$N$2999,ROW(),Resumen!$V$2:$V$2999,1))</f>
        <v/>
      </c>
      <c r="L2623" s="26"/>
      <c r="N26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4" spans="1:14">
      <c r="A2624" s="16"/>
      <c r="B2624" s="16"/>
      <c r="C2624" s="25"/>
      <c r="D2624" s="25"/>
      <c r="E2624" s="16"/>
      <c r="F2624" s="18"/>
      <c r="G2624" s="19" t="str">
        <f t="shared" ca="1" si="80"/>
        <v/>
      </c>
      <c r="H2624" s="27"/>
      <c r="I2624" s="27"/>
      <c r="J2624" s="77" t="str">
        <f t="shared" ca="1" si="81"/>
        <v/>
      </c>
      <c r="K2624" s="23">
        <f>IF(A2624="","",COUNTIFS(Resumen!$N$2:$N$2999,ROW(),Resumen!$V$2:$V$2999,1))</f>
        <v/>
      </c>
      <c r="L2624" s="26"/>
      <c r="N26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5" spans="1:14">
      <c r="A2625" s="16"/>
      <c r="B2625" s="16"/>
      <c r="C2625" s="25"/>
      <c r="D2625" s="25"/>
      <c r="E2625" s="16"/>
      <c r="F2625" s="18"/>
      <c r="G2625" s="19" t="str">
        <f t="shared" ca="1" si="80"/>
        <v/>
      </c>
      <c r="H2625" s="27"/>
      <c r="I2625" s="27"/>
      <c r="J2625" s="77" t="str">
        <f t="shared" ca="1" si="81"/>
        <v/>
      </c>
      <c r="K2625" s="23">
        <f>IF(A2625="","",COUNTIFS(Resumen!$N$2:$N$2999,ROW(),Resumen!$V$2:$V$2999,1))</f>
        <v/>
      </c>
      <c r="L2625" s="26"/>
      <c r="N26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6" spans="1:14">
      <c r="A2626" s="16"/>
      <c r="B2626" s="16"/>
      <c r="C2626" s="25"/>
      <c r="D2626" s="25"/>
      <c r="E2626" s="16"/>
      <c r="F2626" s="18"/>
      <c r="G2626" s="19" t="str">
        <f t="shared" ref="G2626:G2689" ca="1" si="82">IF(F2626="", "", DATEDIF(F2626, TODAY(), "Y"))</f>
        <v/>
      </c>
      <c r="H2626" s="27"/>
      <c r="I2626" s="27"/>
      <c r="J2626" s="77" t="str">
        <f t="shared" ref="J2626:J2689" ca="1" si="83">IFERROR(IF(ISNUMBER(INDEX(VigenciasFamilia,ROW())),INDEX(VigenciasFamilia,ROW())-TODAY(),""),"")</f>
        <v/>
      </c>
      <c r="K2626" s="23">
        <f>IF(A2626="","",COUNTIFS(Resumen!$N$2:$N$2999,ROW(),Resumen!$V$2:$V$2999,1))</f>
        <v/>
      </c>
      <c r="L2626" s="26"/>
      <c r="N26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7" spans="1:14">
      <c r="A2627" s="16"/>
      <c r="B2627" s="16"/>
      <c r="C2627" s="25"/>
      <c r="D2627" s="25"/>
      <c r="E2627" s="16"/>
      <c r="F2627" s="18"/>
      <c r="G2627" s="19" t="str">
        <f t="shared" ca="1" si="82"/>
        <v/>
      </c>
      <c r="H2627" s="27"/>
      <c r="I2627" s="27"/>
      <c r="J2627" s="77" t="str">
        <f t="shared" ca="1" si="83"/>
        <v/>
      </c>
      <c r="K2627" s="23">
        <f>IF(A2627="","",COUNTIFS(Resumen!$N$2:$N$2999,ROW(),Resumen!$V$2:$V$2999,1))</f>
        <v/>
      </c>
      <c r="L2627" s="26"/>
      <c r="N26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8" spans="1:14">
      <c r="A2628" s="16"/>
      <c r="B2628" s="16"/>
      <c r="C2628" s="25"/>
      <c r="D2628" s="25"/>
      <c r="E2628" s="16"/>
      <c r="F2628" s="18"/>
      <c r="G2628" s="19" t="str">
        <f t="shared" ca="1" si="82"/>
        <v/>
      </c>
      <c r="H2628" s="27"/>
      <c r="I2628" s="27"/>
      <c r="J2628" s="77" t="str">
        <f t="shared" ca="1" si="83"/>
        <v/>
      </c>
      <c r="K2628" s="23">
        <f>IF(A2628="","",COUNTIFS(Resumen!$N$2:$N$2999,ROW(),Resumen!$V$2:$V$2999,1))</f>
        <v/>
      </c>
      <c r="L2628" s="26"/>
      <c r="N26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29" spans="1:14">
      <c r="A2629" s="16"/>
      <c r="B2629" s="16"/>
      <c r="C2629" s="25"/>
      <c r="D2629" s="25"/>
      <c r="E2629" s="16"/>
      <c r="F2629" s="18"/>
      <c r="G2629" s="19" t="str">
        <f t="shared" ca="1" si="82"/>
        <v/>
      </c>
      <c r="H2629" s="27"/>
      <c r="I2629" s="27"/>
      <c r="J2629" s="77" t="str">
        <f t="shared" ca="1" si="83"/>
        <v/>
      </c>
      <c r="K2629" s="23">
        <f>IF(A2629="","",COUNTIFS(Resumen!$N$2:$N$2999,ROW(),Resumen!$V$2:$V$2999,1))</f>
        <v/>
      </c>
      <c r="L2629" s="26"/>
      <c r="N26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0" spans="1:14">
      <c r="A2630" s="16"/>
      <c r="B2630" s="16"/>
      <c r="C2630" s="25"/>
      <c r="D2630" s="25"/>
      <c r="E2630" s="16"/>
      <c r="F2630" s="18"/>
      <c r="G2630" s="19" t="str">
        <f t="shared" ca="1" si="82"/>
        <v/>
      </c>
      <c r="H2630" s="27"/>
      <c r="I2630" s="27"/>
      <c r="J2630" s="77" t="str">
        <f t="shared" ca="1" si="83"/>
        <v/>
      </c>
      <c r="K2630" s="23">
        <f>IF(A2630="","",COUNTIFS(Resumen!$N$2:$N$2999,ROW(),Resumen!$V$2:$V$2999,1))</f>
        <v/>
      </c>
      <c r="L2630" s="26"/>
      <c r="N26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1" spans="1:14">
      <c r="A2631" s="16"/>
      <c r="B2631" s="16"/>
      <c r="C2631" s="25"/>
      <c r="D2631" s="25"/>
      <c r="E2631" s="16"/>
      <c r="F2631" s="18"/>
      <c r="G2631" s="19" t="str">
        <f t="shared" ca="1" si="82"/>
        <v/>
      </c>
      <c r="H2631" s="27"/>
      <c r="I2631" s="27"/>
      <c r="J2631" s="77" t="str">
        <f t="shared" ca="1" si="83"/>
        <v/>
      </c>
      <c r="K2631" s="23">
        <f>IF(A2631="","",COUNTIFS(Resumen!$N$2:$N$2999,ROW(),Resumen!$V$2:$V$2999,1))</f>
        <v/>
      </c>
      <c r="L2631" s="26"/>
      <c r="N26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2" spans="1:14">
      <c r="A2632" s="16"/>
      <c r="B2632" s="16"/>
      <c r="C2632" s="25"/>
      <c r="D2632" s="25"/>
      <c r="E2632" s="16"/>
      <c r="F2632" s="18"/>
      <c r="G2632" s="19" t="str">
        <f t="shared" ca="1" si="82"/>
        <v/>
      </c>
      <c r="H2632" s="27"/>
      <c r="I2632" s="27"/>
      <c r="J2632" s="77" t="str">
        <f t="shared" ca="1" si="83"/>
        <v/>
      </c>
      <c r="K2632" s="23">
        <f>IF(A2632="","",COUNTIFS(Resumen!$N$2:$N$2999,ROW(),Resumen!$V$2:$V$2999,1))</f>
        <v/>
      </c>
      <c r="L2632" s="26"/>
      <c r="N26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3" spans="1:14">
      <c r="A2633" s="16"/>
      <c r="B2633" s="16"/>
      <c r="C2633" s="25"/>
      <c r="D2633" s="25"/>
      <c r="E2633" s="16"/>
      <c r="F2633" s="18"/>
      <c r="G2633" s="19" t="str">
        <f t="shared" ca="1" si="82"/>
        <v/>
      </c>
      <c r="H2633" s="27"/>
      <c r="I2633" s="27"/>
      <c r="J2633" s="77" t="str">
        <f t="shared" ca="1" si="83"/>
        <v/>
      </c>
      <c r="K2633" s="23">
        <f>IF(A2633="","",COUNTIFS(Resumen!$N$2:$N$2999,ROW(),Resumen!$V$2:$V$2999,1))</f>
        <v/>
      </c>
      <c r="L2633" s="26"/>
      <c r="N26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4" spans="1:14">
      <c r="A2634" s="16"/>
      <c r="B2634" s="16"/>
      <c r="C2634" s="25"/>
      <c r="D2634" s="25"/>
      <c r="E2634" s="16"/>
      <c r="F2634" s="18"/>
      <c r="G2634" s="19" t="str">
        <f t="shared" ca="1" si="82"/>
        <v/>
      </c>
      <c r="H2634" s="27"/>
      <c r="I2634" s="27"/>
      <c r="J2634" s="77" t="str">
        <f t="shared" ca="1" si="83"/>
        <v/>
      </c>
      <c r="K2634" s="23">
        <f>IF(A2634="","",COUNTIFS(Resumen!$N$2:$N$2999,ROW(),Resumen!$V$2:$V$2999,1))</f>
        <v/>
      </c>
      <c r="L2634" s="26"/>
      <c r="N26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5" spans="1:14">
      <c r="A2635" s="16"/>
      <c r="B2635" s="16"/>
      <c r="C2635" s="25"/>
      <c r="D2635" s="25"/>
      <c r="E2635" s="16"/>
      <c r="F2635" s="18"/>
      <c r="G2635" s="19" t="str">
        <f t="shared" ca="1" si="82"/>
        <v/>
      </c>
      <c r="H2635" s="27"/>
      <c r="I2635" s="27"/>
      <c r="J2635" s="77" t="str">
        <f t="shared" ca="1" si="83"/>
        <v/>
      </c>
      <c r="K2635" s="23">
        <f>IF(A2635="","",COUNTIFS(Resumen!$N$2:$N$2999,ROW(),Resumen!$V$2:$V$2999,1))</f>
        <v/>
      </c>
      <c r="L2635" s="26"/>
      <c r="N26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6" spans="1:14">
      <c r="A2636" s="16"/>
      <c r="B2636" s="16"/>
      <c r="C2636" s="25"/>
      <c r="D2636" s="25"/>
      <c r="E2636" s="16"/>
      <c r="F2636" s="18"/>
      <c r="G2636" s="19" t="str">
        <f t="shared" ca="1" si="82"/>
        <v/>
      </c>
      <c r="H2636" s="27"/>
      <c r="I2636" s="27"/>
      <c r="J2636" s="77" t="str">
        <f t="shared" ca="1" si="83"/>
        <v/>
      </c>
      <c r="K2636" s="23">
        <f>IF(A2636="","",COUNTIFS(Resumen!$N$2:$N$2999,ROW(),Resumen!$V$2:$V$2999,1))</f>
        <v/>
      </c>
      <c r="L2636" s="26"/>
      <c r="N26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7" spans="1:14">
      <c r="A2637" s="16"/>
      <c r="B2637" s="16"/>
      <c r="C2637" s="25"/>
      <c r="D2637" s="25"/>
      <c r="E2637" s="16"/>
      <c r="F2637" s="18"/>
      <c r="G2637" s="19" t="str">
        <f t="shared" ca="1" si="82"/>
        <v/>
      </c>
      <c r="H2637" s="27"/>
      <c r="I2637" s="27"/>
      <c r="J2637" s="77" t="str">
        <f t="shared" ca="1" si="83"/>
        <v/>
      </c>
      <c r="K2637" s="23">
        <f>IF(A2637="","",COUNTIFS(Resumen!$N$2:$N$2999,ROW(),Resumen!$V$2:$V$2999,1))</f>
        <v/>
      </c>
      <c r="L2637" s="26"/>
      <c r="N26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8" spans="1:14">
      <c r="A2638" s="16"/>
      <c r="B2638" s="16"/>
      <c r="C2638" s="25"/>
      <c r="D2638" s="25"/>
      <c r="E2638" s="16"/>
      <c r="F2638" s="18"/>
      <c r="G2638" s="19" t="str">
        <f t="shared" ca="1" si="82"/>
        <v/>
      </c>
      <c r="H2638" s="27"/>
      <c r="I2638" s="27"/>
      <c r="J2638" s="77" t="str">
        <f t="shared" ca="1" si="83"/>
        <v/>
      </c>
      <c r="K2638" s="23">
        <f>IF(A2638="","",COUNTIFS(Resumen!$N$2:$N$2999,ROW(),Resumen!$V$2:$V$2999,1))</f>
        <v/>
      </c>
      <c r="L2638" s="26"/>
      <c r="N26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39" spans="1:14">
      <c r="A2639" s="16"/>
      <c r="B2639" s="16"/>
      <c r="C2639" s="25"/>
      <c r="D2639" s="25"/>
      <c r="E2639" s="16"/>
      <c r="F2639" s="18"/>
      <c r="G2639" s="19" t="str">
        <f t="shared" ca="1" si="82"/>
        <v/>
      </c>
      <c r="H2639" s="27"/>
      <c r="I2639" s="27"/>
      <c r="J2639" s="77" t="str">
        <f t="shared" ca="1" si="83"/>
        <v/>
      </c>
      <c r="K2639" s="23">
        <f>IF(A2639="","",COUNTIFS(Resumen!$N$2:$N$2999,ROW(),Resumen!$V$2:$V$2999,1))</f>
        <v/>
      </c>
      <c r="L2639" s="26"/>
      <c r="N26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0" spans="1:14">
      <c r="A2640" s="16"/>
      <c r="B2640" s="16"/>
      <c r="C2640" s="25"/>
      <c r="D2640" s="25"/>
      <c r="E2640" s="16"/>
      <c r="F2640" s="18"/>
      <c r="G2640" s="19" t="str">
        <f t="shared" ca="1" si="82"/>
        <v/>
      </c>
      <c r="H2640" s="27"/>
      <c r="I2640" s="27"/>
      <c r="J2640" s="77" t="str">
        <f t="shared" ca="1" si="83"/>
        <v/>
      </c>
      <c r="K2640" s="23">
        <f>IF(A2640="","",COUNTIFS(Resumen!$N$2:$N$2999,ROW(),Resumen!$V$2:$V$2999,1))</f>
        <v/>
      </c>
      <c r="L2640" s="26"/>
      <c r="N26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1" spans="1:14">
      <c r="A2641" s="16"/>
      <c r="B2641" s="16"/>
      <c r="C2641" s="25"/>
      <c r="D2641" s="25"/>
      <c r="E2641" s="16"/>
      <c r="F2641" s="18"/>
      <c r="G2641" s="19" t="str">
        <f t="shared" ca="1" si="82"/>
        <v/>
      </c>
      <c r="H2641" s="27"/>
      <c r="I2641" s="27"/>
      <c r="J2641" s="77" t="str">
        <f t="shared" ca="1" si="83"/>
        <v/>
      </c>
      <c r="K2641" s="23">
        <f>IF(A2641="","",COUNTIFS(Resumen!$N$2:$N$2999,ROW(),Resumen!$V$2:$V$2999,1))</f>
        <v/>
      </c>
      <c r="L2641" s="26"/>
      <c r="N26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2" spans="1:14">
      <c r="A2642" s="16"/>
      <c r="B2642" s="16"/>
      <c r="C2642" s="25"/>
      <c r="D2642" s="25"/>
      <c r="E2642" s="16"/>
      <c r="F2642" s="18"/>
      <c r="G2642" s="19" t="str">
        <f t="shared" ca="1" si="82"/>
        <v/>
      </c>
      <c r="H2642" s="27"/>
      <c r="I2642" s="27"/>
      <c r="J2642" s="77" t="str">
        <f t="shared" ca="1" si="83"/>
        <v/>
      </c>
      <c r="K2642" s="23">
        <f>IF(A2642="","",COUNTIFS(Resumen!$N$2:$N$2999,ROW(),Resumen!$V$2:$V$2999,1))</f>
        <v/>
      </c>
      <c r="L2642" s="26"/>
      <c r="N26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3" spans="1:14">
      <c r="A2643" s="16"/>
      <c r="B2643" s="16"/>
      <c r="C2643" s="25"/>
      <c r="D2643" s="25"/>
      <c r="E2643" s="16"/>
      <c r="F2643" s="18"/>
      <c r="G2643" s="19" t="str">
        <f t="shared" ca="1" si="82"/>
        <v/>
      </c>
      <c r="H2643" s="27"/>
      <c r="I2643" s="27"/>
      <c r="J2643" s="77" t="str">
        <f t="shared" ca="1" si="83"/>
        <v/>
      </c>
      <c r="K2643" s="23">
        <f>IF(A2643="","",COUNTIFS(Resumen!$N$2:$N$2999,ROW(),Resumen!$V$2:$V$2999,1))</f>
        <v/>
      </c>
      <c r="L2643" s="26"/>
      <c r="N26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4" spans="1:14">
      <c r="A2644" s="16"/>
      <c r="B2644" s="16"/>
      <c r="C2644" s="25"/>
      <c r="D2644" s="25"/>
      <c r="E2644" s="16"/>
      <c r="F2644" s="18"/>
      <c r="G2644" s="19" t="str">
        <f t="shared" ca="1" si="82"/>
        <v/>
      </c>
      <c r="H2644" s="27"/>
      <c r="I2644" s="27"/>
      <c r="J2644" s="77" t="str">
        <f t="shared" ca="1" si="83"/>
        <v/>
      </c>
      <c r="K2644" s="23">
        <f>IF(A2644="","",COUNTIFS(Resumen!$N$2:$N$2999,ROW(),Resumen!$V$2:$V$2999,1))</f>
        <v/>
      </c>
      <c r="L2644" s="26"/>
      <c r="N26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5" spans="1:14">
      <c r="A2645" s="16"/>
      <c r="B2645" s="16"/>
      <c r="C2645" s="25"/>
      <c r="D2645" s="25"/>
      <c r="E2645" s="16"/>
      <c r="F2645" s="18"/>
      <c r="G2645" s="19" t="str">
        <f t="shared" ca="1" si="82"/>
        <v/>
      </c>
      <c r="H2645" s="27"/>
      <c r="I2645" s="27"/>
      <c r="J2645" s="77" t="str">
        <f t="shared" ca="1" si="83"/>
        <v/>
      </c>
      <c r="K2645" s="23">
        <f>IF(A2645="","",COUNTIFS(Resumen!$N$2:$N$2999,ROW(),Resumen!$V$2:$V$2999,1))</f>
        <v/>
      </c>
      <c r="L2645" s="26"/>
      <c r="N26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6" spans="1:14">
      <c r="A2646" s="16"/>
      <c r="B2646" s="16"/>
      <c r="C2646" s="25"/>
      <c r="D2646" s="25"/>
      <c r="E2646" s="16"/>
      <c r="F2646" s="18"/>
      <c r="G2646" s="19" t="str">
        <f t="shared" ca="1" si="82"/>
        <v/>
      </c>
      <c r="H2646" s="27"/>
      <c r="I2646" s="27"/>
      <c r="J2646" s="77" t="str">
        <f t="shared" ca="1" si="83"/>
        <v/>
      </c>
      <c r="K2646" s="23">
        <f>IF(A2646="","",COUNTIFS(Resumen!$N$2:$N$2999,ROW(),Resumen!$V$2:$V$2999,1))</f>
        <v/>
      </c>
      <c r="L2646" s="26"/>
      <c r="N26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7" spans="1:14">
      <c r="A2647" s="16"/>
      <c r="B2647" s="16"/>
      <c r="C2647" s="25"/>
      <c r="D2647" s="25"/>
      <c r="E2647" s="16"/>
      <c r="F2647" s="18"/>
      <c r="G2647" s="19" t="str">
        <f t="shared" ca="1" si="82"/>
        <v/>
      </c>
      <c r="H2647" s="27"/>
      <c r="I2647" s="27"/>
      <c r="J2647" s="77" t="str">
        <f t="shared" ca="1" si="83"/>
        <v/>
      </c>
      <c r="K2647" s="23">
        <f>IF(A2647="","",COUNTIFS(Resumen!$N$2:$N$2999,ROW(),Resumen!$V$2:$V$2999,1))</f>
        <v/>
      </c>
      <c r="L2647" s="26"/>
      <c r="N26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8" spans="1:14">
      <c r="A2648" s="16"/>
      <c r="B2648" s="16"/>
      <c r="C2648" s="25"/>
      <c r="D2648" s="25"/>
      <c r="E2648" s="16"/>
      <c r="F2648" s="18"/>
      <c r="G2648" s="19" t="str">
        <f t="shared" ca="1" si="82"/>
        <v/>
      </c>
      <c r="H2648" s="27"/>
      <c r="I2648" s="27"/>
      <c r="J2648" s="77" t="str">
        <f t="shared" ca="1" si="83"/>
        <v/>
      </c>
      <c r="K2648" s="23">
        <f>IF(A2648="","",COUNTIFS(Resumen!$N$2:$N$2999,ROW(),Resumen!$V$2:$V$2999,1))</f>
        <v/>
      </c>
      <c r="L2648" s="26"/>
      <c r="N26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49" spans="1:14">
      <c r="A2649" s="16"/>
      <c r="B2649" s="16"/>
      <c r="C2649" s="25"/>
      <c r="D2649" s="25"/>
      <c r="E2649" s="16"/>
      <c r="F2649" s="18"/>
      <c r="G2649" s="19" t="str">
        <f t="shared" ca="1" si="82"/>
        <v/>
      </c>
      <c r="H2649" s="27"/>
      <c r="I2649" s="27"/>
      <c r="J2649" s="77" t="str">
        <f t="shared" ca="1" si="83"/>
        <v/>
      </c>
      <c r="K2649" s="23">
        <f>IF(A2649="","",COUNTIFS(Resumen!$N$2:$N$2999,ROW(),Resumen!$V$2:$V$2999,1))</f>
        <v/>
      </c>
      <c r="L2649" s="26"/>
      <c r="N26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0" spans="1:14">
      <c r="A2650" s="16"/>
      <c r="B2650" s="16"/>
      <c r="C2650" s="25"/>
      <c r="D2650" s="25"/>
      <c r="E2650" s="16"/>
      <c r="F2650" s="18"/>
      <c r="G2650" s="19" t="str">
        <f t="shared" ca="1" si="82"/>
        <v/>
      </c>
      <c r="H2650" s="27"/>
      <c r="I2650" s="27"/>
      <c r="J2650" s="77" t="str">
        <f t="shared" ca="1" si="83"/>
        <v/>
      </c>
      <c r="K2650" s="23">
        <f>IF(A2650="","",COUNTIFS(Resumen!$N$2:$N$2999,ROW(),Resumen!$V$2:$V$2999,1))</f>
        <v/>
      </c>
      <c r="L2650" s="26"/>
      <c r="N26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1" spans="1:14">
      <c r="A2651" s="16"/>
      <c r="B2651" s="16"/>
      <c r="C2651" s="25"/>
      <c r="D2651" s="25"/>
      <c r="E2651" s="16"/>
      <c r="F2651" s="18"/>
      <c r="G2651" s="19" t="str">
        <f t="shared" ca="1" si="82"/>
        <v/>
      </c>
      <c r="H2651" s="27"/>
      <c r="I2651" s="27"/>
      <c r="J2651" s="77" t="str">
        <f t="shared" ca="1" si="83"/>
        <v/>
      </c>
      <c r="K2651" s="23">
        <f>IF(A2651="","",COUNTIFS(Resumen!$N$2:$N$2999,ROW(),Resumen!$V$2:$V$2999,1))</f>
        <v/>
      </c>
      <c r="L2651" s="26"/>
      <c r="N26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2" spans="1:14">
      <c r="A2652" s="16"/>
      <c r="B2652" s="16"/>
      <c r="C2652" s="25"/>
      <c r="D2652" s="25"/>
      <c r="E2652" s="16"/>
      <c r="F2652" s="18"/>
      <c r="G2652" s="19" t="str">
        <f t="shared" ca="1" si="82"/>
        <v/>
      </c>
      <c r="H2652" s="27"/>
      <c r="I2652" s="27"/>
      <c r="J2652" s="77" t="str">
        <f t="shared" ca="1" si="83"/>
        <v/>
      </c>
      <c r="K2652" s="23">
        <f>IF(A2652="","",COUNTIFS(Resumen!$N$2:$N$2999,ROW(),Resumen!$V$2:$V$2999,1))</f>
        <v/>
      </c>
      <c r="L2652" s="26"/>
      <c r="N26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3" spans="1:14">
      <c r="A2653" s="16"/>
      <c r="B2653" s="16"/>
      <c r="C2653" s="25"/>
      <c r="D2653" s="25"/>
      <c r="E2653" s="16"/>
      <c r="F2653" s="18"/>
      <c r="G2653" s="19" t="str">
        <f t="shared" ca="1" si="82"/>
        <v/>
      </c>
      <c r="H2653" s="27"/>
      <c r="I2653" s="27"/>
      <c r="J2653" s="77" t="str">
        <f t="shared" ca="1" si="83"/>
        <v/>
      </c>
      <c r="K2653" s="23">
        <f>IF(A2653="","",COUNTIFS(Resumen!$N$2:$N$2999,ROW(),Resumen!$V$2:$V$2999,1))</f>
        <v/>
      </c>
      <c r="L2653" s="26"/>
      <c r="N26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4" spans="1:14">
      <c r="A2654" s="16"/>
      <c r="B2654" s="16"/>
      <c r="C2654" s="25"/>
      <c r="D2654" s="25"/>
      <c r="E2654" s="16"/>
      <c r="F2654" s="18"/>
      <c r="G2654" s="19" t="str">
        <f t="shared" ca="1" si="82"/>
        <v/>
      </c>
      <c r="H2654" s="27"/>
      <c r="I2654" s="27"/>
      <c r="J2654" s="77" t="str">
        <f t="shared" ca="1" si="83"/>
        <v/>
      </c>
      <c r="K2654" s="23">
        <f>IF(A2654="","",COUNTIFS(Resumen!$N$2:$N$2999,ROW(),Resumen!$V$2:$V$2999,1))</f>
        <v/>
      </c>
      <c r="L2654" s="26"/>
      <c r="N26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5" spans="1:14">
      <c r="A2655" s="16"/>
      <c r="B2655" s="16"/>
      <c r="C2655" s="25"/>
      <c r="D2655" s="25"/>
      <c r="E2655" s="16"/>
      <c r="F2655" s="18"/>
      <c r="G2655" s="19" t="str">
        <f t="shared" ca="1" si="82"/>
        <v/>
      </c>
      <c r="H2655" s="27"/>
      <c r="I2655" s="27"/>
      <c r="J2655" s="77" t="str">
        <f t="shared" ca="1" si="83"/>
        <v/>
      </c>
      <c r="K2655" s="23">
        <f>IF(A2655="","",COUNTIFS(Resumen!$N$2:$N$2999,ROW(),Resumen!$V$2:$V$2999,1))</f>
        <v/>
      </c>
      <c r="L2655" s="26"/>
      <c r="N26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6" spans="1:14">
      <c r="A2656" s="16"/>
      <c r="B2656" s="16"/>
      <c r="C2656" s="25"/>
      <c r="D2656" s="25"/>
      <c r="E2656" s="16"/>
      <c r="F2656" s="18"/>
      <c r="G2656" s="19" t="str">
        <f t="shared" ca="1" si="82"/>
        <v/>
      </c>
      <c r="H2656" s="27"/>
      <c r="I2656" s="27"/>
      <c r="J2656" s="77" t="str">
        <f t="shared" ca="1" si="83"/>
        <v/>
      </c>
      <c r="K2656" s="23">
        <f>IF(A2656="","",COUNTIFS(Resumen!$N$2:$N$2999,ROW(),Resumen!$V$2:$V$2999,1))</f>
        <v/>
      </c>
      <c r="L2656" s="26"/>
      <c r="N26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7" spans="1:14">
      <c r="A2657" s="16"/>
      <c r="B2657" s="16"/>
      <c r="C2657" s="25"/>
      <c r="D2657" s="25"/>
      <c r="E2657" s="16"/>
      <c r="F2657" s="18"/>
      <c r="G2657" s="19" t="str">
        <f t="shared" ca="1" si="82"/>
        <v/>
      </c>
      <c r="H2657" s="27"/>
      <c r="I2657" s="27"/>
      <c r="J2657" s="77" t="str">
        <f t="shared" ca="1" si="83"/>
        <v/>
      </c>
      <c r="K2657" s="23">
        <f>IF(A2657="","",COUNTIFS(Resumen!$N$2:$N$2999,ROW(),Resumen!$V$2:$V$2999,1))</f>
        <v/>
      </c>
      <c r="L2657" s="26"/>
      <c r="N26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8" spans="1:14">
      <c r="A2658" s="16"/>
      <c r="B2658" s="16"/>
      <c r="C2658" s="25"/>
      <c r="D2658" s="25"/>
      <c r="E2658" s="16"/>
      <c r="F2658" s="18"/>
      <c r="G2658" s="19" t="str">
        <f t="shared" ca="1" si="82"/>
        <v/>
      </c>
      <c r="H2658" s="27"/>
      <c r="I2658" s="27"/>
      <c r="J2658" s="77" t="str">
        <f t="shared" ca="1" si="83"/>
        <v/>
      </c>
      <c r="K2658" s="23">
        <f>IF(A2658="","",COUNTIFS(Resumen!$N$2:$N$2999,ROW(),Resumen!$V$2:$V$2999,1))</f>
        <v/>
      </c>
      <c r="L2658" s="26"/>
      <c r="N26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59" spans="1:14">
      <c r="A2659" s="16"/>
      <c r="B2659" s="16"/>
      <c r="C2659" s="25"/>
      <c r="D2659" s="25"/>
      <c r="E2659" s="16"/>
      <c r="F2659" s="18"/>
      <c r="G2659" s="19" t="str">
        <f t="shared" ca="1" si="82"/>
        <v/>
      </c>
      <c r="H2659" s="27"/>
      <c r="I2659" s="27"/>
      <c r="J2659" s="77" t="str">
        <f t="shared" ca="1" si="83"/>
        <v/>
      </c>
      <c r="K2659" s="23">
        <f>IF(A2659="","",COUNTIFS(Resumen!$N$2:$N$2999,ROW(),Resumen!$V$2:$V$2999,1))</f>
        <v/>
      </c>
      <c r="L2659" s="26"/>
      <c r="N26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0" spans="1:14">
      <c r="A2660" s="16"/>
      <c r="B2660" s="16"/>
      <c r="C2660" s="25"/>
      <c r="D2660" s="25"/>
      <c r="E2660" s="16"/>
      <c r="F2660" s="18"/>
      <c r="G2660" s="19" t="str">
        <f t="shared" ca="1" si="82"/>
        <v/>
      </c>
      <c r="H2660" s="27"/>
      <c r="I2660" s="27"/>
      <c r="J2660" s="77" t="str">
        <f t="shared" ca="1" si="83"/>
        <v/>
      </c>
      <c r="K2660" s="23">
        <f>IF(A2660="","",COUNTIFS(Resumen!$N$2:$N$2999,ROW(),Resumen!$V$2:$V$2999,1))</f>
        <v/>
      </c>
      <c r="L2660" s="26"/>
      <c r="N26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1" spans="1:14">
      <c r="A2661" s="16"/>
      <c r="B2661" s="16"/>
      <c r="C2661" s="25"/>
      <c r="D2661" s="25"/>
      <c r="E2661" s="16"/>
      <c r="F2661" s="18"/>
      <c r="G2661" s="19" t="str">
        <f t="shared" ca="1" si="82"/>
        <v/>
      </c>
      <c r="H2661" s="27"/>
      <c r="I2661" s="27"/>
      <c r="J2661" s="77" t="str">
        <f t="shared" ca="1" si="83"/>
        <v/>
      </c>
      <c r="K2661" s="23">
        <f>IF(A2661="","",COUNTIFS(Resumen!$N$2:$N$2999,ROW(),Resumen!$V$2:$V$2999,1))</f>
        <v/>
      </c>
      <c r="L2661" s="26"/>
      <c r="N26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2" spans="1:14">
      <c r="A2662" s="16"/>
      <c r="B2662" s="16"/>
      <c r="C2662" s="25"/>
      <c r="D2662" s="25"/>
      <c r="E2662" s="16"/>
      <c r="F2662" s="18"/>
      <c r="G2662" s="19" t="str">
        <f t="shared" ca="1" si="82"/>
        <v/>
      </c>
      <c r="H2662" s="27"/>
      <c r="I2662" s="27"/>
      <c r="J2662" s="77" t="str">
        <f t="shared" ca="1" si="83"/>
        <v/>
      </c>
      <c r="K2662" s="23">
        <f>IF(A2662="","",COUNTIFS(Resumen!$N$2:$N$2999,ROW(),Resumen!$V$2:$V$2999,1))</f>
        <v/>
      </c>
      <c r="L2662" s="26"/>
      <c r="N26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3" spans="1:14">
      <c r="A2663" s="16"/>
      <c r="B2663" s="16"/>
      <c r="C2663" s="25"/>
      <c r="D2663" s="25"/>
      <c r="E2663" s="16"/>
      <c r="F2663" s="18"/>
      <c r="G2663" s="19" t="str">
        <f t="shared" ca="1" si="82"/>
        <v/>
      </c>
      <c r="H2663" s="27"/>
      <c r="I2663" s="27"/>
      <c r="J2663" s="77" t="str">
        <f t="shared" ca="1" si="83"/>
        <v/>
      </c>
      <c r="K2663" s="23">
        <f>IF(A2663="","",COUNTIFS(Resumen!$N$2:$N$2999,ROW(),Resumen!$V$2:$V$2999,1))</f>
        <v/>
      </c>
      <c r="L2663" s="26"/>
      <c r="N26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4" spans="1:14">
      <c r="A2664" s="16"/>
      <c r="B2664" s="16"/>
      <c r="C2664" s="25"/>
      <c r="D2664" s="25"/>
      <c r="E2664" s="16"/>
      <c r="F2664" s="18"/>
      <c r="G2664" s="19" t="str">
        <f t="shared" ca="1" si="82"/>
        <v/>
      </c>
      <c r="H2664" s="27"/>
      <c r="I2664" s="27"/>
      <c r="J2664" s="77" t="str">
        <f t="shared" ca="1" si="83"/>
        <v/>
      </c>
      <c r="K2664" s="23">
        <f>IF(A2664="","",COUNTIFS(Resumen!$N$2:$N$2999,ROW(),Resumen!$V$2:$V$2999,1))</f>
        <v/>
      </c>
      <c r="L2664" s="26"/>
      <c r="N26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5" spans="1:14">
      <c r="A2665" s="16"/>
      <c r="B2665" s="16"/>
      <c r="C2665" s="25"/>
      <c r="D2665" s="25"/>
      <c r="E2665" s="16"/>
      <c r="F2665" s="18"/>
      <c r="G2665" s="19" t="str">
        <f t="shared" ca="1" si="82"/>
        <v/>
      </c>
      <c r="H2665" s="27"/>
      <c r="I2665" s="27"/>
      <c r="J2665" s="77" t="str">
        <f t="shared" ca="1" si="83"/>
        <v/>
      </c>
      <c r="K2665" s="23">
        <f>IF(A2665="","",COUNTIFS(Resumen!$N$2:$N$2999,ROW(),Resumen!$V$2:$V$2999,1))</f>
        <v/>
      </c>
      <c r="L2665" s="26"/>
      <c r="N26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6" spans="1:14">
      <c r="A2666" s="16"/>
      <c r="B2666" s="16"/>
      <c r="C2666" s="25"/>
      <c r="D2666" s="25"/>
      <c r="E2666" s="16"/>
      <c r="F2666" s="18"/>
      <c r="G2666" s="19" t="str">
        <f t="shared" ca="1" si="82"/>
        <v/>
      </c>
      <c r="H2666" s="27"/>
      <c r="I2666" s="27"/>
      <c r="J2666" s="77" t="str">
        <f t="shared" ca="1" si="83"/>
        <v/>
      </c>
      <c r="K2666" s="23">
        <f>IF(A2666="","",COUNTIFS(Resumen!$N$2:$N$2999,ROW(),Resumen!$V$2:$V$2999,1))</f>
        <v/>
      </c>
      <c r="L2666" s="26"/>
      <c r="N26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7" spans="1:14">
      <c r="A2667" s="16"/>
      <c r="B2667" s="16"/>
      <c r="C2667" s="25"/>
      <c r="D2667" s="25"/>
      <c r="E2667" s="16"/>
      <c r="F2667" s="18"/>
      <c r="G2667" s="19" t="str">
        <f t="shared" ca="1" si="82"/>
        <v/>
      </c>
      <c r="H2667" s="27"/>
      <c r="I2667" s="27"/>
      <c r="J2667" s="77" t="str">
        <f t="shared" ca="1" si="83"/>
        <v/>
      </c>
      <c r="K2667" s="23">
        <f>IF(A2667="","",COUNTIFS(Resumen!$N$2:$N$2999,ROW(),Resumen!$V$2:$V$2999,1))</f>
        <v/>
      </c>
      <c r="L2667" s="26"/>
      <c r="N26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8" spans="1:14">
      <c r="A2668" s="16"/>
      <c r="B2668" s="16"/>
      <c r="C2668" s="25"/>
      <c r="D2668" s="25"/>
      <c r="E2668" s="16"/>
      <c r="F2668" s="18"/>
      <c r="G2668" s="19" t="str">
        <f t="shared" ca="1" si="82"/>
        <v/>
      </c>
      <c r="H2668" s="27"/>
      <c r="I2668" s="27"/>
      <c r="J2668" s="77" t="str">
        <f t="shared" ca="1" si="83"/>
        <v/>
      </c>
      <c r="K2668" s="23">
        <f>IF(A2668="","",COUNTIFS(Resumen!$N$2:$N$2999,ROW(),Resumen!$V$2:$V$2999,1))</f>
        <v/>
      </c>
      <c r="L2668" s="26"/>
      <c r="N26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69" spans="1:14">
      <c r="A2669" s="16"/>
      <c r="B2669" s="16"/>
      <c r="C2669" s="25"/>
      <c r="D2669" s="25"/>
      <c r="E2669" s="16"/>
      <c r="F2669" s="18"/>
      <c r="G2669" s="19" t="str">
        <f t="shared" ca="1" si="82"/>
        <v/>
      </c>
      <c r="H2669" s="27"/>
      <c r="I2669" s="27"/>
      <c r="J2669" s="77" t="str">
        <f t="shared" ca="1" si="83"/>
        <v/>
      </c>
      <c r="K2669" s="23">
        <f>IF(A2669="","",COUNTIFS(Resumen!$N$2:$N$2999,ROW(),Resumen!$V$2:$V$2999,1))</f>
        <v/>
      </c>
      <c r="L2669" s="26"/>
      <c r="N26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0" spans="1:14">
      <c r="A2670" s="16"/>
      <c r="B2670" s="16"/>
      <c r="C2670" s="25"/>
      <c r="D2670" s="25"/>
      <c r="E2670" s="16"/>
      <c r="F2670" s="18"/>
      <c r="G2670" s="19" t="str">
        <f t="shared" ca="1" si="82"/>
        <v/>
      </c>
      <c r="H2670" s="27"/>
      <c r="I2670" s="27"/>
      <c r="J2670" s="77" t="str">
        <f t="shared" ca="1" si="83"/>
        <v/>
      </c>
      <c r="K2670" s="23">
        <f>IF(A2670="","",COUNTIFS(Resumen!$N$2:$N$2999,ROW(),Resumen!$V$2:$V$2999,1))</f>
        <v/>
      </c>
      <c r="L2670" s="26"/>
      <c r="N26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1" spans="1:14">
      <c r="A2671" s="16"/>
      <c r="B2671" s="16"/>
      <c r="C2671" s="25"/>
      <c r="D2671" s="25"/>
      <c r="E2671" s="16"/>
      <c r="F2671" s="18"/>
      <c r="G2671" s="19" t="str">
        <f t="shared" ca="1" si="82"/>
        <v/>
      </c>
      <c r="H2671" s="27"/>
      <c r="I2671" s="27"/>
      <c r="J2671" s="77" t="str">
        <f t="shared" ca="1" si="83"/>
        <v/>
      </c>
      <c r="K2671" s="23">
        <f>IF(A2671="","",COUNTIFS(Resumen!$N$2:$N$2999,ROW(),Resumen!$V$2:$V$2999,1))</f>
        <v/>
      </c>
      <c r="L2671" s="26"/>
      <c r="N26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2" spans="1:14">
      <c r="A2672" s="16"/>
      <c r="B2672" s="16"/>
      <c r="C2672" s="25"/>
      <c r="D2672" s="25"/>
      <c r="E2672" s="16"/>
      <c r="F2672" s="18"/>
      <c r="G2672" s="19" t="str">
        <f t="shared" ca="1" si="82"/>
        <v/>
      </c>
      <c r="H2672" s="27"/>
      <c r="I2672" s="27"/>
      <c r="J2672" s="77" t="str">
        <f t="shared" ca="1" si="83"/>
        <v/>
      </c>
      <c r="K2672" s="23">
        <f>IF(A2672="","",COUNTIFS(Resumen!$N$2:$N$2999,ROW(),Resumen!$V$2:$V$2999,1))</f>
        <v/>
      </c>
      <c r="L2672" s="26"/>
      <c r="N26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3" spans="1:14">
      <c r="A2673" s="16"/>
      <c r="B2673" s="16"/>
      <c r="C2673" s="25"/>
      <c r="D2673" s="25"/>
      <c r="E2673" s="16"/>
      <c r="F2673" s="18"/>
      <c r="G2673" s="19" t="str">
        <f t="shared" ca="1" si="82"/>
        <v/>
      </c>
      <c r="H2673" s="27"/>
      <c r="I2673" s="27"/>
      <c r="J2673" s="77" t="str">
        <f t="shared" ca="1" si="83"/>
        <v/>
      </c>
      <c r="K2673" s="23">
        <f>IF(A2673="","",COUNTIFS(Resumen!$N$2:$N$2999,ROW(),Resumen!$V$2:$V$2999,1))</f>
        <v/>
      </c>
      <c r="L2673" s="26"/>
      <c r="N26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4" spans="1:14">
      <c r="A2674" s="16"/>
      <c r="B2674" s="16"/>
      <c r="C2674" s="25"/>
      <c r="D2674" s="25"/>
      <c r="E2674" s="16"/>
      <c r="F2674" s="18"/>
      <c r="G2674" s="19" t="str">
        <f t="shared" ca="1" si="82"/>
        <v/>
      </c>
      <c r="H2674" s="27"/>
      <c r="I2674" s="27"/>
      <c r="J2674" s="77" t="str">
        <f t="shared" ca="1" si="83"/>
        <v/>
      </c>
      <c r="K2674" s="23">
        <f>IF(A2674="","",COUNTIFS(Resumen!$N$2:$N$2999,ROW(),Resumen!$V$2:$V$2999,1))</f>
        <v/>
      </c>
      <c r="L2674" s="26"/>
      <c r="N26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5" spans="1:14">
      <c r="A2675" s="16"/>
      <c r="B2675" s="16"/>
      <c r="C2675" s="25"/>
      <c r="D2675" s="25"/>
      <c r="E2675" s="16"/>
      <c r="F2675" s="18"/>
      <c r="G2675" s="19" t="str">
        <f t="shared" ca="1" si="82"/>
        <v/>
      </c>
      <c r="H2675" s="27"/>
      <c r="I2675" s="27"/>
      <c r="J2675" s="77" t="str">
        <f t="shared" ca="1" si="83"/>
        <v/>
      </c>
      <c r="K2675" s="23">
        <f>IF(A2675="","",COUNTIFS(Resumen!$N$2:$N$2999,ROW(),Resumen!$V$2:$V$2999,1))</f>
        <v/>
      </c>
      <c r="L2675" s="26"/>
      <c r="N26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6" spans="1:14">
      <c r="A2676" s="16"/>
      <c r="B2676" s="16"/>
      <c r="C2676" s="25"/>
      <c r="D2676" s="25"/>
      <c r="E2676" s="16"/>
      <c r="F2676" s="18"/>
      <c r="G2676" s="19" t="str">
        <f t="shared" ca="1" si="82"/>
        <v/>
      </c>
      <c r="H2676" s="27"/>
      <c r="I2676" s="27"/>
      <c r="J2676" s="77" t="str">
        <f t="shared" ca="1" si="83"/>
        <v/>
      </c>
      <c r="K2676" s="23">
        <f>IF(A2676="","",COUNTIFS(Resumen!$N$2:$N$2999,ROW(),Resumen!$V$2:$V$2999,1))</f>
        <v/>
      </c>
      <c r="L2676" s="26"/>
      <c r="N26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7" spans="1:14">
      <c r="A2677" s="16"/>
      <c r="B2677" s="16"/>
      <c r="C2677" s="25"/>
      <c r="D2677" s="25"/>
      <c r="E2677" s="16"/>
      <c r="F2677" s="18"/>
      <c r="G2677" s="19" t="str">
        <f t="shared" ca="1" si="82"/>
        <v/>
      </c>
      <c r="H2677" s="27"/>
      <c r="I2677" s="27"/>
      <c r="J2677" s="77" t="str">
        <f t="shared" ca="1" si="83"/>
        <v/>
      </c>
      <c r="K2677" s="23">
        <f>IF(A2677="","",COUNTIFS(Resumen!$N$2:$N$2999,ROW(),Resumen!$V$2:$V$2999,1))</f>
        <v/>
      </c>
      <c r="L2677" s="26"/>
      <c r="N26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8" spans="1:14">
      <c r="A2678" s="16"/>
      <c r="B2678" s="16"/>
      <c r="C2678" s="25"/>
      <c r="D2678" s="25"/>
      <c r="E2678" s="16"/>
      <c r="F2678" s="18"/>
      <c r="G2678" s="19" t="str">
        <f t="shared" ca="1" si="82"/>
        <v/>
      </c>
      <c r="H2678" s="27"/>
      <c r="I2678" s="27"/>
      <c r="J2678" s="77" t="str">
        <f t="shared" ca="1" si="83"/>
        <v/>
      </c>
      <c r="K2678" s="23">
        <f>IF(A2678="","",COUNTIFS(Resumen!$N$2:$N$2999,ROW(),Resumen!$V$2:$V$2999,1))</f>
        <v/>
      </c>
      <c r="L2678" s="26"/>
      <c r="N26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79" spans="1:14">
      <c r="A2679" s="16"/>
      <c r="B2679" s="16"/>
      <c r="C2679" s="25"/>
      <c r="D2679" s="25"/>
      <c r="E2679" s="16"/>
      <c r="F2679" s="18"/>
      <c r="G2679" s="19" t="str">
        <f t="shared" ca="1" si="82"/>
        <v/>
      </c>
      <c r="H2679" s="27"/>
      <c r="I2679" s="27"/>
      <c r="J2679" s="77" t="str">
        <f t="shared" ca="1" si="83"/>
        <v/>
      </c>
      <c r="K2679" s="23">
        <f>IF(A2679="","",COUNTIFS(Resumen!$N$2:$N$2999,ROW(),Resumen!$V$2:$V$2999,1))</f>
        <v/>
      </c>
      <c r="L2679" s="26"/>
      <c r="N26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0" spans="1:14">
      <c r="A2680" s="16"/>
      <c r="B2680" s="16"/>
      <c r="C2680" s="25"/>
      <c r="D2680" s="25"/>
      <c r="E2680" s="16"/>
      <c r="F2680" s="18"/>
      <c r="G2680" s="19" t="str">
        <f t="shared" ca="1" si="82"/>
        <v/>
      </c>
      <c r="H2680" s="27"/>
      <c r="I2680" s="27"/>
      <c r="J2680" s="77" t="str">
        <f t="shared" ca="1" si="83"/>
        <v/>
      </c>
      <c r="K2680" s="23">
        <f>IF(A2680="","",COUNTIFS(Resumen!$N$2:$N$2999,ROW(),Resumen!$V$2:$V$2999,1))</f>
        <v/>
      </c>
      <c r="L2680" s="26"/>
      <c r="N26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1" spans="1:14">
      <c r="A2681" s="16"/>
      <c r="B2681" s="16"/>
      <c r="C2681" s="25"/>
      <c r="D2681" s="25"/>
      <c r="E2681" s="16"/>
      <c r="F2681" s="18"/>
      <c r="G2681" s="19" t="str">
        <f t="shared" ca="1" si="82"/>
        <v/>
      </c>
      <c r="H2681" s="27"/>
      <c r="I2681" s="27"/>
      <c r="J2681" s="77" t="str">
        <f t="shared" ca="1" si="83"/>
        <v/>
      </c>
      <c r="K2681" s="23">
        <f>IF(A2681="","",COUNTIFS(Resumen!$N$2:$N$2999,ROW(),Resumen!$V$2:$V$2999,1))</f>
        <v/>
      </c>
      <c r="L2681" s="26"/>
      <c r="N26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2" spans="1:14">
      <c r="A2682" s="16"/>
      <c r="B2682" s="16"/>
      <c r="C2682" s="25"/>
      <c r="D2682" s="25"/>
      <c r="E2682" s="16"/>
      <c r="F2682" s="18"/>
      <c r="G2682" s="19" t="str">
        <f t="shared" ca="1" si="82"/>
        <v/>
      </c>
      <c r="H2682" s="27"/>
      <c r="I2682" s="27"/>
      <c r="J2682" s="77" t="str">
        <f t="shared" ca="1" si="83"/>
        <v/>
      </c>
      <c r="K2682" s="23">
        <f>IF(A2682="","",COUNTIFS(Resumen!$N$2:$N$2999,ROW(),Resumen!$V$2:$V$2999,1))</f>
        <v/>
      </c>
      <c r="L2682" s="26"/>
      <c r="N26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3" spans="1:14">
      <c r="A2683" s="16"/>
      <c r="B2683" s="16"/>
      <c r="C2683" s="25"/>
      <c r="D2683" s="25"/>
      <c r="E2683" s="16"/>
      <c r="F2683" s="18"/>
      <c r="G2683" s="19" t="str">
        <f t="shared" ca="1" si="82"/>
        <v/>
      </c>
      <c r="H2683" s="27"/>
      <c r="I2683" s="27"/>
      <c r="J2683" s="77" t="str">
        <f t="shared" ca="1" si="83"/>
        <v/>
      </c>
      <c r="K2683" s="23">
        <f>IF(A2683="","",COUNTIFS(Resumen!$N$2:$N$2999,ROW(),Resumen!$V$2:$V$2999,1))</f>
        <v/>
      </c>
      <c r="L2683" s="26"/>
      <c r="N26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4" spans="1:14">
      <c r="A2684" s="16"/>
      <c r="B2684" s="16"/>
      <c r="C2684" s="25"/>
      <c r="D2684" s="25"/>
      <c r="E2684" s="16"/>
      <c r="F2684" s="18"/>
      <c r="G2684" s="19" t="str">
        <f t="shared" ca="1" si="82"/>
        <v/>
      </c>
      <c r="H2684" s="27"/>
      <c r="I2684" s="27"/>
      <c r="J2684" s="77" t="str">
        <f t="shared" ca="1" si="83"/>
        <v/>
      </c>
      <c r="K2684" s="23">
        <f>IF(A2684="","",COUNTIFS(Resumen!$N$2:$N$2999,ROW(),Resumen!$V$2:$V$2999,1))</f>
        <v/>
      </c>
      <c r="L2684" s="26"/>
      <c r="N26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5" spans="1:14">
      <c r="A2685" s="16"/>
      <c r="B2685" s="16"/>
      <c r="C2685" s="25"/>
      <c r="D2685" s="25"/>
      <c r="E2685" s="16"/>
      <c r="F2685" s="18"/>
      <c r="G2685" s="19" t="str">
        <f t="shared" ca="1" si="82"/>
        <v/>
      </c>
      <c r="H2685" s="27"/>
      <c r="I2685" s="27"/>
      <c r="J2685" s="77" t="str">
        <f t="shared" ca="1" si="83"/>
        <v/>
      </c>
      <c r="K2685" s="23">
        <f>IF(A2685="","",COUNTIFS(Resumen!$N$2:$N$2999,ROW(),Resumen!$V$2:$V$2999,1))</f>
        <v/>
      </c>
      <c r="L2685" s="26"/>
      <c r="N26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6" spans="1:14">
      <c r="A2686" s="16"/>
      <c r="B2686" s="16"/>
      <c r="C2686" s="25"/>
      <c r="D2686" s="25"/>
      <c r="E2686" s="16"/>
      <c r="F2686" s="18"/>
      <c r="G2686" s="19" t="str">
        <f t="shared" ca="1" si="82"/>
        <v/>
      </c>
      <c r="H2686" s="27"/>
      <c r="I2686" s="27"/>
      <c r="J2686" s="77" t="str">
        <f t="shared" ca="1" si="83"/>
        <v/>
      </c>
      <c r="K2686" s="23">
        <f>IF(A2686="","",COUNTIFS(Resumen!$N$2:$N$2999,ROW(),Resumen!$V$2:$V$2999,1))</f>
        <v/>
      </c>
      <c r="L2686" s="26"/>
      <c r="N26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7" spans="1:14">
      <c r="A2687" s="16"/>
      <c r="B2687" s="16"/>
      <c r="C2687" s="25"/>
      <c r="D2687" s="25"/>
      <c r="E2687" s="16"/>
      <c r="F2687" s="18"/>
      <c r="G2687" s="19" t="str">
        <f t="shared" ca="1" si="82"/>
        <v/>
      </c>
      <c r="H2687" s="27"/>
      <c r="I2687" s="27"/>
      <c r="J2687" s="77" t="str">
        <f t="shared" ca="1" si="83"/>
        <v/>
      </c>
      <c r="K2687" s="23">
        <f>IF(A2687="","",COUNTIFS(Resumen!$N$2:$N$2999,ROW(),Resumen!$V$2:$V$2999,1))</f>
        <v/>
      </c>
      <c r="L2687" s="26"/>
      <c r="N26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8" spans="1:14">
      <c r="A2688" s="16"/>
      <c r="B2688" s="16"/>
      <c r="C2688" s="25"/>
      <c r="D2688" s="25"/>
      <c r="E2688" s="16"/>
      <c r="F2688" s="18"/>
      <c r="G2688" s="19" t="str">
        <f t="shared" ca="1" si="82"/>
        <v/>
      </c>
      <c r="H2688" s="27"/>
      <c r="I2688" s="27"/>
      <c r="J2688" s="77" t="str">
        <f t="shared" ca="1" si="83"/>
        <v/>
      </c>
      <c r="K2688" s="23">
        <f>IF(A2688="","",COUNTIFS(Resumen!$N$2:$N$2999,ROW(),Resumen!$V$2:$V$2999,1))</f>
        <v/>
      </c>
      <c r="L2688" s="26"/>
      <c r="N26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89" spans="1:14">
      <c r="A2689" s="16"/>
      <c r="B2689" s="16"/>
      <c r="C2689" s="25"/>
      <c r="D2689" s="25"/>
      <c r="E2689" s="16"/>
      <c r="F2689" s="18"/>
      <c r="G2689" s="19" t="str">
        <f t="shared" ca="1" si="82"/>
        <v/>
      </c>
      <c r="H2689" s="27"/>
      <c r="I2689" s="27"/>
      <c r="J2689" s="77" t="str">
        <f t="shared" ca="1" si="83"/>
        <v/>
      </c>
      <c r="K2689" s="23">
        <f>IF(A2689="","",COUNTIFS(Resumen!$N$2:$N$2999,ROW(),Resumen!$V$2:$V$2999,1))</f>
        <v/>
      </c>
      <c r="L2689" s="26"/>
      <c r="N26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0" spans="1:14">
      <c r="A2690" s="16"/>
      <c r="B2690" s="16"/>
      <c r="C2690" s="25"/>
      <c r="D2690" s="25"/>
      <c r="E2690" s="16"/>
      <c r="F2690" s="18"/>
      <c r="G2690" s="19" t="str">
        <f t="shared" ref="G2690:G2753" ca="1" si="84">IF(F2690="", "", DATEDIF(F2690, TODAY(), "Y"))</f>
        <v/>
      </c>
      <c r="H2690" s="27"/>
      <c r="I2690" s="27"/>
      <c r="J2690" s="77" t="str">
        <f t="shared" ref="J2690:J2753" ca="1" si="85">IFERROR(IF(ISNUMBER(INDEX(VigenciasFamilia,ROW())),INDEX(VigenciasFamilia,ROW())-TODAY(),""),"")</f>
        <v/>
      </c>
      <c r="K2690" s="23">
        <f>IF(A2690="","",COUNTIFS(Resumen!$N$2:$N$2999,ROW(),Resumen!$V$2:$V$2999,1))</f>
        <v/>
      </c>
      <c r="L2690" s="26"/>
      <c r="N26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1" spans="1:14">
      <c r="A2691" s="16"/>
      <c r="B2691" s="16"/>
      <c r="C2691" s="25"/>
      <c r="D2691" s="25"/>
      <c r="E2691" s="16"/>
      <c r="F2691" s="18"/>
      <c r="G2691" s="19" t="str">
        <f t="shared" ca="1" si="84"/>
        <v/>
      </c>
      <c r="H2691" s="27"/>
      <c r="I2691" s="27"/>
      <c r="J2691" s="77" t="str">
        <f t="shared" ca="1" si="85"/>
        <v/>
      </c>
      <c r="K2691" s="23">
        <f>IF(A2691="","",COUNTIFS(Resumen!$N$2:$N$2999,ROW(),Resumen!$V$2:$V$2999,1))</f>
        <v/>
      </c>
      <c r="L2691" s="26"/>
      <c r="N26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2" spans="1:14">
      <c r="A2692" s="16"/>
      <c r="B2692" s="16"/>
      <c r="C2692" s="25"/>
      <c r="D2692" s="25"/>
      <c r="E2692" s="16"/>
      <c r="F2692" s="18"/>
      <c r="G2692" s="19" t="str">
        <f t="shared" ca="1" si="84"/>
        <v/>
      </c>
      <c r="H2692" s="27"/>
      <c r="I2692" s="27"/>
      <c r="J2692" s="77" t="str">
        <f t="shared" ca="1" si="85"/>
        <v/>
      </c>
      <c r="K2692" s="23">
        <f>IF(A2692="","",COUNTIFS(Resumen!$N$2:$N$2999,ROW(),Resumen!$V$2:$V$2999,1))</f>
        <v/>
      </c>
      <c r="L2692" s="26"/>
      <c r="N26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3" spans="1:14">
      <c r="A2693" s="16"/>
      <c r="B2693" s="16"/>
      <c r="C2693" s="25"/>
      <c r="D2693" s="25"/>
      <c r="E2693" s="16"/>
      <c r="F2693" s="18"/>
      <c r="G2693" s="19" t="str">
        <f t="shared" ca="1" si="84"/>
        <v/>
      </c>
      <c r="H2693" s="27"/>
      <c r="I2693" s="27"/>
      <c r="J2693" s="77" t="str">
        <f t="shared" ca="1" si="85"/>
        <v/>
      </c>
      <c r="K2693" s="23">
        <f>IF(A2693="","",COUNTIFS(Resumen!$N$2:$N$2999,ROW(),Resumen!$V$2:$V$2999,1))</f>
        <v/>
      </c>
      <c r="L2693" s="26"/>
      <c r="N26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4" spans="1:14">
      <c r="A2694" s="16"/>
      <c r="B2694" s="16"/>
      <c r="C2694" s="25"/>
      <c r="D2694" s="25"/>
      <c r="E2694" s="16"/>
      <c r="F2694" s="18"/>
      <c r="G2694" s="19" t="str">
        <f t="shared" ca="1" si="84"/>
        <v/>
      </c>
      <c r="H2694" s="27"/>
      <c r="I2694" s="27"/>
      <c r="J2694" s="77" t="str">
        <f t="shared" ca="1" si="85"/>
        <v/>
      </c>
      <c r="K2694" s="23">
        <f>IF(A2694="","",COUNTIFS(Resumen!$N$2:$N$2999,ROW(),Resumen!$V$2:$V$2999,1))</f>
        <v/>
      </c>
      <c r="L2694" s="26"/>
      <c r="N26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5" spans="1:14">
      <c r="A2695" s="16"/>
      <c r="B2695" s="16"/>
      <c r="C2695" s="25"/>
      <c r="D2695" s="25"/>
      <c r="E2695" s="16"/>
      <c r="F2695" s="18"/>
      <c r="G2695" s="19" t="str">
        <f t="shared" ca="1" si="84"/>
        <v/>
      </c>
      <c r="H2695" s="27"/>
      <c r="I2695" s="27"/>
      <c r="J2695" s="77" t="str">
        <f t="shared" ca="1" si="85"/>
        <v/>
      </c>
      <c r="K2695" s="23">
        <f>IF(A2695="","",COUNTIFS(Resumen!$N$2:$N$2999,ROW(),Resumen!$V$2:$V$2999,1))</f>
        <v/>
      </c>
      <c r="L2695" s="26"/>
      <c r="N26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6" spans="1:14">
      <c r="A2696" s="16"/>
      <c r="B2696" s="16"/>
      <c r="C2696" s="25"/>
      <c r="D2696" s="25"/>
      <c r="E2696" s="16"/>
      <c r="F2696" s="18"/>
      <c r="G2696" s="19" t="str">
        <f t="shared" ca="1" si="84"/>
        <v/>
      </c>
      <c r="H2696" s="27"/>
      <c r="I2696" s="27"/>
      <c r="J2696" s="77" t="str">
        <f t="shared" ca="1" si="85"/>
        <v/>
      </c>
      <c r="K2696" s="23">
        <f>IF(A2696="","",COUNTIFS(Resumen!$N$2:$N$2999,ROW(),Resumen!$V$2:$V$2999,1))</f>
        <v/>
      </c>
      <c r="L2696" s="26"/>
      <c r="N26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7" spans="1:14">
      <c r="A2697" s="16"/>
      <c r="B2697" s="16"/>
      <c r="C2697" s="25"/>
      <c r="D2697" s="25"/>
      <c r="E2697" s="16"/>
      <c r="F2697" s="18"/>
      <c r="G2697" s="19" t="str">
        <f t="shared" ca="1" si="84"/>
        <v/>
      </c>
      <c r="H2697" s="27"/>
      <c r="I2697" s="27"/>
      <c r="J2697" s="77" t="str">
        <f t="shared" ca="1" si="85"/>
        <v/>
      </c>
      <c r="K2697" s="23">
        <f>IF(A2697="","",COUNTIFS(Resumen!$N$2:$N$2999,ROW(),Resumen!$V$2:$V$2999,1))</f>
        <v/>
      </c>
      <c r="L2697" s="26"/>
      <c r="N26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8" spans="1:14">
      <c r="A2698" s="16"/>
      <c r="B2698" s="16"/>
      <c r="C2698" s="25"/>
      <c r="D2698" s="25"/>
      <c r="E2698" s="16"/>
      <c r="F2698" s="18"/>
      <c r="G2698" s="19" t="str">
        <f t="shared" ca="1" si="84"/>
        <v/>
      </c>
      <c r="H2698" s="27"/>
      <c r="I2698" s="27"/>
      <c r="J2698" s="77" t="str">
        <f t="shared" ca="1" si="85"/>
        <v/>
      </c>
      <c r="K2698" s="23">
        <f>IF(A2698="","",COUNTIFS(Resumen!$N$2:$N$2999,ROW(),Resumen!$V$2:$V$2999,1))</f>
        <v/>
      </c>
      <c r="L2698" s="26"/>
      <c r="N26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699" spans="1:14">
      <c r="A2699" s="16"/>
      <c r="B2699" s="16"/>
      <c r="C2699" s="25"/>
      <c r="D2699" s="25"/>
      <c r="E2699" s="16"/>
      <c r="F2699" s="18"/>
      <c r="G2699" s="19" t="str">
        <f t="shared" ca="1" si="84"/>
        <v/>
      </c>
      <c r="H2699" s="27"/>
      <c r="I2699" s="27"/>
      <c r="J2699" s="77" t="str">
        <f t="shared" ca="1" si="85"/>
        <v/>
      </c>
      <c r="K2699" s="23">
        <f>IF(A2699="","",COUNTIFS(Resumen!$N$2:$N$2999,ROW(),Resumen!$V$2:$V$2999,1))</f>
        <v/>
      </c>
      <c r="L2699" s="26"/>
      <c r="N26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0" spans="1:14">
      <c r="A2700" s="16"/>
      <c r="B2700" s="16"/>
      <c r="C2700" s="25"/>
      <c r="D2700" s="25"/>
      <c r="E2700" s="16"/>
      <c r="F2700" s="18"/>
      <c r="G2700" s="19" t="str">
        <f t="shared" ca="1" si="84"/>
        <v/>
      </c>
      <c r="H2700" s="27"/>
      <c r="I2700" s="27"/>
      <c r="J2700" s="77" t="str">
        <f t="shared" ca="1" si="85"/>
        <v/>
      </c>
      <c r="K2700" s="23">
        <f>IF(A2700="","",COUNTIFS(Resumen!$N$2:$N$2999,ROW(),Resumen!$V$2:$V$2999,1))</f>
        <v/>
      </c>
      <c r="L2700" s="26"/>
      <c r="N27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1" spans="1:14">
      <c r="A2701" s="16"/>
      <c r="B2701" s="16"/>
      <c r="C2701" s="25"/>
      <c r="D2701" s="25"/>
      <c r="E2701" s="16"/>
      <c r="F2701" s="18"/>
      <c r="G2701" s="19" t="str">
        <f t="shared" ca="1" si="84"/>
        <v/>
      </c>
      <c r="H2701" s="27"/>
      <c r="I2701" s="27"/>
      <c r="J2701" s="77" t="str">
        <f t="shared" ca="1" si="85"/>
        <v/>
      </c>
      <c r="K2701" s="23">
        <f>IF(A2701="","",COUNTIFS(Resumen!$N$2:$N$2999,ROW(),Resumen!$V$2:$V$2999,1))</f>
        <v/>
      </c>
      <c r="L2701" s="26"/>
      <c r="N27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2" spans="1:14">
      <c r="A2702" s="16"/>
      <c r="B2702" s="16"/>
      <c r="C2702" s="25"/>
      <c r="D2702" s="25"/>
      <c r="E2702" s="16"/>
      <c r="F2702" s="18"/>
      <c r="G2702" s="19" t="str">
        <f t="shared" ca="1" si="84"/>
        <v/>
      </c>
      <c r="H2702" s="27"/>
      <c r="I2702" s="27"/>
      <c r="J2702" s="77" t="str">
        <f t="shared" ca="1" si="85"/>
        <v/>
      </c>
      <c r="K2702" s="23">
        <f>IF(A2702="","",COUNTIFS(Resumen!$N$2:$N$2999,ROW(),Resumen!$V$2:$V$2999,1))</f>
        <v/>
      </c>
      <c r="L2702" s="26"/>
      <c r="N27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3" spans="1:14">
      <c r="A2703" s="16"/>
      <c r="B2703" s="16"/>
      <c r="C2703" s="25"/>
      <c r="D2703" s="25"/>
      <c r="E2703" s="16"/>
      <c r="F2703" s="18"/>
      <c r="G2703" s="19" t="str">
        <f t="shared" ca="1" si="84"/>
        <v/>
      </c>
      <c r="H2703" s="27"/>
      <c r="I2703" s="27"/>
      <c r="J2703" s="77" t="str">
        <f t="shared" ca="1" si="85"/>
        <v/>
      </c>
      <c r="K2703" s="23">
        <f>IF(A2703="","",COUNTIFS(Resumen!$N$2:$N$2999,ROW(),Resumen!$V$2:$V$2999,1))</f>
        <v/>
      </c>
      <c r="L2703" s="26"/>
      <c r="N27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4" spans="1:14">
      <c r="A2704" s="16"/>
      <c r="B2704" s="16"/>
      <c r="C2704" s="25"/>
      <c r="D2704" s="25"/>
      <c r="E2704" s="16"/>
      <c r="F2704" s="18"/>
      <c r="G2704" s="19" t="str">
        <f t="shared" ca="1" si="84"/>
        <v/>
      </c>
      <c r="H2704" s="27"/>
      <c r="I2704" s="27"/>
      <c r="J2704" s="77" t="str">
        <f t="shared" ca="1" si="85"/>
        <v/>
      </c>
      <c r="K2704" s="23">
        <f>IF(A2704="","",COUNTIFS(Resumen!$N$2:$N$2999,ROW(),Resumen!$V$2:$V$2999,1))</f>
        <v/>
      </c>
      <c r="L2704" s="26"/>
      <c r="N27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5" spans="1:14">
      <c r="A2705" s="16"/>
      <c r="B2705" s="16"/>
      <c r="C2705" s="25"/>
      <c r="D2705" s="25"/>
      <c r="E2705" s="16"/>
      <c r="F2705" s="18"/>
      <c r="G2705" s="19" t="str">
        <f t="shared" ca="1" si="84"/>
        <v/>
      </c>
      <c r="H2705" s="27"/>
      <c r="I2705" s="27"/>
      <c r="J2705" s="77" t="str">
        <f t="shared" ca="1" si="85"/>
        <v/>
      </c>
      <c r="K2705" s="23">
        <f>IF(A2705="","",COUNTIFS(Resumen!$N$2:$N$2999,ROW(),Resumen!$V$2:$V$2999,1))</f>
        <v/>
      </c>
      <c r="L2705" s="26"/>
      <c r="N27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6" spans="1:14">
      <c r="A2706" s="16"/>
      <c r="B2706" s="16"/>
      <c r="C2706" s="25"/>
      <c r="D2706" s="25"/>
      <c r="E2706" s="16"/>
      <c r="F2706" s="18"/>
      <c r="G2706" s="19" t="str">
        <f t="shared" ca="1" si="84"/>
        <v/>
      </c>
      <c r="H2706" s="27"/>
      <c r="I2706" s="27"/>
      <c r="J2706" s="77" t="str">
        <f t="shared" ca="1" si="85"/>
        <v/>
      </c>
      <c r="K2706" s="23">
        <f>IF(A2706="","",COUNTIFS(Resumen!$N$2:$N$2999,ROW(),Resumen!$V$2:$V$2999,1))</f>
        <v/>
      </c>
      <c r="L2706" s="26"/>
      <c r="N27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7" spans="1:14">
      <c r="A2707" s="16"/>
      <c r="B2707" s="16"/>
      <c r="C2707" s="25"/>
      <c r="D2707" s="25"/>
      <c r="E2707" s="16"/>
      <c r="F2707" s="18"/>
      <c r="G2707" s="19" t="str">
        <f t="shared" ca="1" si="84"/>
        <v/>
      </c>
      <c r="H2707" s="27"/>
      <c r="I2707" s="27"/>
      <c r="J2707" s="77" t="str">
        <f t="shared" ca="1" si="85"/>
        <v/>
      </c>
      <c r="K2707" s="23">
        <f>IF(A2707="","",COUNTIFS(Resumen!$N$2:$N$2999,ROW(),Resumen!$V$2:$V$2999,1))</f>
        <v/>
      </c>
      <c r="L2707" s="26"/>
      <c r="N27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8" spans="1:14">
      <c r="A2708" s="16"/>
      <c r="B2708" s="16"/>
      <c r="C2708" s="25"/>
      <c r="D2708" s="25"/>
      <c r="E2708" s="16"/>
      <c r="F2708" s="18"/>
      <c r="G2708" s="19" t="str">
        <f t="shared" ca="1" si="84"/>
        <v/>
      </c>
      <c r="H2708" s="27"/>
      <c r="I2708" s="27"/>
      <c r="J2708" s="77" t="str">
        <f t="shared" ca="1" si="85"/>
        <v/>
      </c>
      <c r="K2708" s="23">
        <f>IF(A2708="","",COUNTIFS(Resumen!$N$2:$N$2999,ROW(),Resumen!$V$2:$V$2999,1))</f>
        <v/>
      </c>
      <c r="L2708" s="26"/>
      <c r="N27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09" spans="1:14">
      <c r="A2709" s="16"/>
      <c r="B2709" s="16"/>
      <c r="C2709" s="25"/>
      <c r="D2709" s="25"/>
      <c r="E2709" s="16"/>
      <c r="F2709" s="18"/>
      <c r="G2709" s="19" t="str">
        <f t="shared" ca="1" si="84"/>
        <v/>
      </c>
      <c r="H2709" s="27"/>
      <c r="I2709" s="27"/>
      <c r="J2709" s="77" t="str">
        <f t="shared" ca="1" si="85"/>
        <v/>
      </c>
      <c r="K2709" s="23">
        <f>IF(A2709="","",COUNTIFS(Resumen!$N$2:$N$2999,ROW(),Resumen!$V$2:$V$2999,1))</f>
        <v/>
      </c>
      <c r="L2709" s="26"/>
      <c r="N27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0" spans="1:14">
      <c r="A2710" s="16"/>
      <c r="B2710" s="16"/>
      <c r="C2710" s="25"/>
      <c r="D2710" s="25"/>
      <c r="E2710" s="16"/>
      <c r="F2710" s="18"/>
      <c r="G2710" s="19" t="str">
        <f t="shared" ca="1" si="84"/>
        <v/>
      </c>
      <c r="H2710" s="27"/>
      <c r="I2710" s="27"/>
      <c r="J2710" s="77" t="str">
        <f t="shared" ca="1" si="85"/>
        <v/>
      </c>
      <c r="K2710" s="23">
        <f>IF(A2710="","",COUNTIFS(Resumen!$N$2:$N$2999,ROW(),Resumen!$V$2:$V$2999,1))</f>
        <v/>
      </c>
      <c r="L2710" s="26"/>
      <c r="N27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1" spans="1:14">
      <c r="A2711" s="16"/>
      <c r="B2711" s="16"/>
      <c r="C2711" s="25"/>
      <c r="D2711" s="25"/>
      <c r="E2711" s="16"/>
      <c r="F2711" s="18"/>
      <c r="G2711" s="19" t="str">
        <f t="shared" ca="1" si="84"/>
        <v/>
      </c>
      <c r="H2711" s="27"/>
      <c r="I2711" s="27"/>
      <c r="J2711" s="77" t="str">
        <f t="shared" ca="1" si="85"/>
        <v/>
      </c>
      <c r="K2711" s="23">
        <f>IF(A2711="","",COUNTIFS(Resumen!$N$2:$N$2999,ROW(),Resumen!$V$2:$V$2999,1))</f>
        <v/>
      </c>
      <c r="L2711" s="26"/>
      <c r="N27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2" spans="1:14">
      <c r="A2712" s="16"/>
      <c r="B2712" s="16"/>
      <c r="C2712" s="25"/>
      <c r="D2712" s="25"/>
      <c r="E2712" s="16"/>
      <c r="F2712" s="18"/>
      <c r="G2712" s="19" t="str">
        <f t="shared" ca="1" si="84"/>
        <v/>
      </c>
      <c r="H2712" s="27"/>
      <c r="I2712" s="27"/>
      <c r="J2712" s="77" t="str">
        <f t="shared" ca="1" si="85"/>
        <v/>
      </c>
      <c r="K2712" s="23">
        <f>IF(A2712="","",COUNTIFS(Resumen!$N$2:$N$2999,ROW(),Resumen!$V$2:$V$2999,1))</f>
        <v/>
      </c>
      <c r="L2712" s="26"/>
      <c r="N27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3" spans="1:14">
      <c r="A2713" s="16"/>
      <c r="B2713" s="16"/>
      <c r="C2713" s="25"/>
      <c r="D2713" s="25"/>
      <c r="E2713" s="16"/>
      <c r="F2713" s="18"/>
      <c r="G2713" s="19" t="str">
        <f t="shared" ca="1" si="84"/>
        <v/>
      </c>
      <c r="H2713" s="27"/>
      <c r="I2713" s="27"/>
      <c r="J2713" s="77" t="str">
        <f t="shared" ca="1" si="85"/>
        <v/>
      </c>
      <c r="K2713" s="23">
        <f>IF(A2713="","",COUNTIFS(Resumen!$N$2:$N$2999,ROW(),Resumen!$V$2:$V$2999,1))</f>
        <v/>
      </c>
      <c r="L2713" s="26"/>
      <c r="N27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4" spans="1:14">
      <c r="A2714" s="16"/>
      <c r="B2714" s="16"/>
      <c r="C2714" s="25"/>
      <c r="D2714" s="25"/>
      <c r="E2714" s="16"/>
      <c r="F2714" s="18"/>
      <c r="G2714" s="19" t="str">
        <f t="shared" ca="1" si="84"/>
        <v/>
      </c>
      <c r="H2714" s="27"/>
      <c r="I2714" s="27"/>
      <c r="J2714" s="77" t="str">
        <f t="shared" ca="1" si="85"/>
        <v/>
      </c>
      <c r="K2714" s="23">
        <f>IF(A2714="","",COUNTIFS(Resumen!$N$2:$N$2999,ROW(),Resumen!$V$2:$V$2999,1))</f>
        <v/>
      </c>
      <c r="L2714" s="26"/>
      <c r="N27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5" spans="1:14">
      <c r="A2715" s="16"/>
      <c r="B2715" s="16"/>
      <c r="C2715" s="25"/>
      <c r="D2715" s="25"/>
      <c r="E2715" s="16"/>
      <c r="F2715" s="18"/>
      <c r="G2715" s="19" t="str">
        <f t="shared" ca="1" si="84"/>
        <v/>
      </c>
      <c r="H2715" s="27"/>
      <c r="I2715" s="27"/>
      <c r="J2715" s="77" t="str">
        <f t="shared" ca="1" si="85"/>
        <v/>
      </c>
      <c r="K2715" s="23">
        <f>IF(A2715="","",COUNTIFS(Resumen!$N$2:$N$2999,ROW(),Resumen!$V$2:$V$2999,1))</f>
        <v/>
      </c>
      <c r="L2715" s="26"/>
      <c r="N27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6" spans="1:14">
      <c r="A2716" s="16"/>
      <c r="B2716" s="16"/>
      <c r="C2716" s="25"/>
      <c r="D2716" s="25"/>
      <c r="E2716" s="16"/>
      <c r="F2716" s="18"/>
      <c r="G2716" s="19" t="str">
        <f t="shared" ca="1" si="84"/>
        <v/>
      </c>
      <c r="H2716" s="27"/>
      <c r="I2716" s="27"/>
      <c r="J2716" s="77" t="str">
        <f t="shared" ca="1" si="85"/>
        <v/>
      </c>
      <c r="K2716" s="23">
        <f>IF(A2716="","",COUNTIFS(Resumen!$N$2:$N$2999,ROW(),Resumen!$V$2:$V$2999,1))</f>
        <v/>
      </c>
      <c r="L2716" s="26"/>
      <c r="N27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7" spans="1:14">
      <c r="A2717" s="16"/>
      <c r="B2717" s="16"/>
      <c r="C2717" s="25"/>
      <c r="D2717" s="25"/>
      <c r="E2717" s="16"/>
      <c r="F2717" s="18"/>
      <c r="G2717" s="19" t="str">
        <f t="shared" ca="1" si="84"/>
        <v/>
      </c>
      <c r="H2717" s="27"/>
      <c r="I2717" s="27"/>
      <c r="J2717" s="77" t="str">
        <f t="shared" ca="1" si="85"/>
        <v/>
      </c>
      <c r="K2717" s="23">
        <f>IF(A2717="","",COUNTIFS(Resumen!$N$2:$N$2999,ROW(),Resumen!$V$2:$V$2999,1))</f>
        <v/>
      </c>
      <c r="L2717" s="26"/>
      <c r="N27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8" spans="1:14">
      <c r="A2718" s="16"/>
      <c r="B2718" s="16"/>
      <c r="C2718" s="25"/>
      <c r="D2718" s="25"/>
      <c r="E2718" s="16"/>
      <c r="F2718" s="18"/>
      <c r="G2718" s="19" t="str">
        <f t="shared" ca="1" si="84"/>
        <v/>
      </c>
      <c r="H2718" s="27"/>
      <c r="I2718" s="27"/>
      <c r="J2718" s="77" t="str">
        <f t="shared" ca="1" si="85"/>
        <v/>
      </c>
      <c r="K2718" s="23">
        <f>IF(A2718="","",COUNTIFS(Resumen!$N$2:$N$2999,ROW(),Resumen!$V$2:$V$2999,1))</f>
        <v/>
      </c>
      <c r="L2718" s="26"/>
      <c r="N27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19" spans="1:14">
      <c r="A2719" s="16"/>
      <c r="B2719" s="16"/>
      <c r="C2719" s="25"/>
      <c r="D2719" s="25"/>
      <c r="E2719" s="16"/>
      <c r="F2719" s="18"/>
      <c r="G2719" s="19" t="str">
        <f t="shared" ca="1" si="84"/>
        <v/>
      </c>
      <c r="H2719" s="27"/>
      <c r="I2719" s="27"/>
      <c r="J2719" s="77" t="str">
        <f t="shared" ca="1" si="85"/>
        <v/>
      </c>
      <c r="K2719" s="23">
        <f>IF(A2719="","",COUNTIFS(Resumen!$N$2:$N$2999,ROW(),Resumen!$V$2:$V$2999,1))</f>
        <v/>
      </c>
      <c r="L2719" s="26"/>
      <c r="N27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0" spans="1:14">
      <c r="A2720" s="16"/>
      <c r="B2720" s="16"/>
      <c r="C2720" s="25"/>
      <c r="D2720" s="25"/>
      <c r="E2720" s="16"/>
      <c r="F2720" s="18"/>
      <c r="G2720" s="19" t="str">
        <f t="shared" ca="1" si="84"/>
        <v/>
      </c>
      <c r="H2720" s="27"/>
      <c r="I2720" s="27"/>
      <c r="J2720" s="77" t="str">
        <f t="shared" ca="1" si="85"/>
        <v/>
      </c>
      <c r="K2720" s="23">
        <f>IF(A2720="","",COUNTIFS(Resumen!$N$2:$N$2999,ROW(),Resumen!$V$2:$V$2999,1))</f>
        <v/>
      </c>
      <c r="L2720" s="26"/>
      <c r="N27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1" spans="1:14">
      <c r="A2721" s="16"/>
      <c r="B2721" s="16"/>
      <c r="C2721" s="25"/>
      <c r="D2721" s="25"/>
      <c r="E2721" s="16"/>
      <c r="F2721" s="18"/>
      <c r="G2721" s="19" t="str">
        <f t="shared" ca="1" si="84"/>
        <v/>
      </c>
      <c r="H2721" s="27"/>
      <c r="I2721" s="27"/>
      <c r="J2721" s="77" t="str">
        <f t="shared" ca="1" si="85"/>
        <v/>
      </c>
      <c r="K2721" s="23">
        <f>IF(A2721="","",COUNTIFS(Resumen!$N$2:$N$2999,ROW(),Resumen!$V$2:$V$2999,1))</f>
        <v/>
      </c>
      <c r="L2721" s="26"/>
      <c r="N27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2" spans="1:14">
      <c r="A2722" s="16"/>
      <c r="B2722" s="16"/>
      <c r="C2722" s="25"/>
      <c r="D2722" s="25"/>
      <c r="E2722" s="16"/>
      <c r="F2722" s="18"/>
      <c r="G2722" s="19" t="str">
        <f t="shared" ca="1" si="84"/>
        <v/>
      </c>
      <c r="H2722" s="27"/>
      <c r="I2722" s="27"/>
      <c r="J2722" s="77" t="str">
        <f t="shared" ca="1" si="85"/>
        <v/>
      </c>
      <c r="K2722" s="23">
        <f>IF(A2722="","",COUNTIFS(Resumen!$N$2:$N$2999,ROW(),Resumen!$V$2:$V$2999,1))</f>
        <v/>
      </c>
      <c r="L2722" s="26"/>
      <c r="N27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3" spans="1:14">
      <c r="A2723" s="16"/>
      <c r="B2723" s="16"/>
      <c r="C2723" s="25"/>
      <c r="D2723" s="25"/>
      <c r="E2723" s="16"/>
      <c r="F2723" s="18"/>
      <c r="G2723" s="19" t="str">
        <f t="shared" ca="1" si="84"/>
        <v/>
      </c>
      <c r="H2723" s="27"/>
      <c r="I2723" s="27"/>
      <c r="J2723" s="77" t="str">
        <f t="shared" ca="1" si="85"/>
        <v/>
      </c>
      <c r="K2723" s="23">
        <f>IF(A2723="","",COUNTIFS(Resumen!$N$2:$N$2999,ROW(),Resumen!$V$2:$V$2999,1))</f>
        <v/>
      </c>
      <c r="L2723" s="26"/>
      <c r="N27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4" spans="1:14">
      <c r="A2724" s="16"/>
      <c r="B2724" s="16"/>
      <c r="C2724" s="25"/>
      <c r="D2724" s="25"/>
      <c r="E2724" s="16"/>
      <c r="F2724" s="18"/>
      <c r="G2724" s="19" t="str">
        <f t="shared" ca="1" si="84"/>
        <v/>
      </c>
      <c r="H2724" s="27"/>
      <c r="I2724" s="27"/>
      <c r="J2724" s="77" t="str">
        <f t="shared" ca="1" si="85"/>
        <v/>
      </c>
      <c r="K2724" s="23">
        <f>IF(A2724="","",COUNTIFS(Resumen!$N$2:$N$2999,ROW(),Resumen!$V$2:$V$2999,1))</f>
        <v/>
      </c>
      <c r="L2724" s="26"/>
      <c r="N27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5" spans="1:14">
      <c r="A2725" s="16"/>
      <c r="B2725" s="16"/>
      <c r="C2725" s="25"/>
      <c r="D2725" s="25"/>
      <c r="E2725" s="16"/>
      <c r="F2725" s="18"/>
      <c r="G2725" s="19" t="str">
        <f t="shared" ca="1" si="84"/>
        <v/>
      </c>
      <c r="H2725" s="27"/>
      <c r="I2725" s="27"/>
      <c r="J2725" s="77" t="str">
        <f t="shared" ca="1" si="85"/>
        <v/>
      </c>
      <c r="K2725" s="23">
        <f>IF(A2725="","",COUNTIFS(Resumen!$N$2:$N$2999,ROW(),Resumen!$V$2:$V$2999,1))</f>
        <v/>
      </c>
      <c r="L2725" s="26"/>
      <c r="N27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6" spans="1:14">
      <c r="A2726" s="16"/>
      <c r="B2726" s="16"/>
      <c r="C2726" s="25"/>
      <c r="D2726" s="25"/>
      <c r="E2726" s="16"/>
      <c r="F2726" s="18"/>
      <c r="G2726" s="19" t="str">
        <f t="shared" ca="1" si="84"/>
        <v/>
      </c>
      <c r="H2726" s="27"/>
      <c r="I2726" s="27"/>
      <c r="J2726" s="77" t="str">
        <f t="shared" ca="1" si="85"/>
        <v/>
      </c>
      <c r="K2726" s="23">
        <f>IF(A2726="","",COUNTIFS(Resumen!$N$2:$N$2999,ROW(),Resumen!$V$2:$V$2999,1))</f>
        <v/>
      </c>
      <c r="L2726" s="26"/>
      <c r="N27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7" spans="1:14">
      <c r="A2727" s="16"/>
      <c r="B2727" s="16"/>
      <c r="C2727" s="25"/>
      <c r="D2727" s="25"/>
      <c r="E2727" s="16"/>
      <c r="F2727" s="18"/>
      <c r="G2727" s="19" t="str">
        <f t="shared" ca="1" si="84"/>
        <v/>
      </c>
      <c r="H2727" s="27"/>
      <c r="I2727" s="27"/>
      <c r="J2727" s="77" t="str">
        <f t="shared" ca="1" si="85"/>
        <v/>
      </c>
      <c r="K2727" s="23">
        <f>IF(A2727="","",COUNTIFS(Resumen!$N$2:$N$2999,ROW(),Resumen!$V$2:$V$2999,1))</f>
        <v/>
      </c>
      <c r="L2727" s="26"/>
      <c r="N27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8" spans="1:14">
      <c r="A2728" s="16"/>
      <c r="B2728" s="16"/>
      <c r="C2728" s="25"/>
      <c r="D2728" s="25"/>
      <c r="E2728" s="16"/>
      <c r="F2728" s="18"/>
      <c r="G2728" s="19" t="str">
        <f t="shared" ca="1" si="84"/>
        <v/>
      </c>
      <c r="H2728" s="27"/>
      <c r="I2728" s="27"/>
      <c r="J2728" s="77" t="str">
        <f t="shared" ca="1" si="85"/>
        <v/>
      </c>
      <c r="K2728" s="23">
        <f>IF(A2728="","",COUNTIFS(Resumen!$N$2:$N$2999,ROW(),Resumen!$V$2:$V$2999,1))</f>
        <v/>
      </c>
      <c r="L2728" s="26"/>
      <c r="N27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29" spans="1:14">
      <c r="A2729" s="16"/>
      <c r="B2729" s="16"/>
      <c r="C2729" s="25"/>
      <c r="D2729" s="25"/>
      <c r="E2729" s="16"/>
      <c r="F2729" s="18"/>
      <c r="G2729" s="19" t="str">
        <f t="shared" ca="1" si="84"/>
        <v/>
      </c>
      <c r="H2729" s="27"/>
      <c r="I2729" s="27"/>
      <c r="J2729" s="77" t="str">
        <f t="shared" ca="1" si="85"/>
        <v/>
      </c>
      <c r="K2729" s="23">
        <f>IF(A2729="","",COUNTIFS(Resumen!$N$2:$N$2999,ROW(),Resumen!$V$2:$V$2999,1))</f>
        <v/>
      </c>
      <c r="L2729" s="26"/>
      <c r="N27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0" spans="1:14">
      <c r="A2730" s="16"/>
      <c r="B2730" s="16"/>
      <c r="C2730" s="25"/>
      <c r="D2730" s="25"/>
      <c r="E2730" s="16"/>
      <c r="F2730" s="18"/>
      <c r="G2730" s="19" t="str">
        <f t="shared" ca="1" si="84"/>
        <v/>
      </c>
      <c r="H2730" s="27"/>
      <c r="I2730" s="27"/>
      <c r="J2730" s="77" t="str">
        <f t="shared" ca="1" si="85"/>
        <v/>
      </c>
      <c r="K2730" s="23">
        <f>IF(A2730="","",COUNTIFS(Resumen!$N$2:$N$2999,ROW(),Resumen!$V$2:$V$2999,1))</f>
        <v/>
      </c>
      <c r="L2730" s="26"/>
      <c r="N27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1" spans="1:14">
      <c r="A2731" s="16"/>
      <c r="B2731" s="16"/>
      <c r="C2731" s="25"/>
      <c r="D2731" s="25"/>
      <c r="E2731" s="16"/>
      <c r="F2731" s="18"/>
      <c r="G2731" s="19" t="str">
        <f t="shared" ca="1" si="84"/>
        <v/>
      </c>
      <c r="H2731" s="27"/>
      <c r="I2731" s="27"/>
      <c r="J2731" s="77" t="str">
        <f t="shared" ca="1" si="85"/>
        <v/>
      </c>
      <c r="K2731" s="23">
        <f>IF(A2731="","",COUNTIFS(Resumen!$N$2:$N$2999,ROW(),Resumen!$V$2:$V$2999,1))</f>
        <v/>
      </c>
      <c r="L2731" s="26"/>
      <c r="N27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2" spans="1:14">
      <c r="A2732" s="16"/>
      <c r="B2732" s="16"/>
      <c r="C2732" s="25"/>
      <c r="D2732" s="25"/>
      <c r="E2732" s="16"/>
      <c r="F2732" s="18"/>
      <c r="G2732" s="19" t="str">
        <f t="shared" ca="1" si="84"/>
        <v/>
      </c>
      <c r="H2732" s="27"/>
      <c r="I2732" s="27"/>
      <c r="J2732" s="77" t="str">
        <f t="shared" ca="1" si="85"/>
        <v/>
      </c>
      <c r="K2732" s="23">
        <f>IF(A2732="","",COUNTIFS(Resumen!$N$2:$N$2999,ROW(),Resumen!$V$2:$V$2999,1))</f>
        <v/>
      </c>
      <c r="L2732" s="26"/>
      <c r="N27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3" spans="1:14">
      <c r="A2733" s="16"/>
      <c r="B2733" s="16"/>
      <c r="C2733" s="25"/>
      <c r="D2733" s="25"/>
      <c r="E2733" s="16"/>
      <c r="F2733" s="18"/>
      <c r="G2733" s="19" t="str">
        <f t="shared" ca="1" si="84"/>
        <v/>
      </c>
      <c r="H2733" s="27"/>
      <c r="I2733" s="27"/>
      <c r="J2733" s="77" t="str">
        <f t="shared" ca="1" si="85"/>
        <v/>
      </c>
      <c r="K2733" s="23">
        <f>IF(A2733="","",COUNTIFS(Resumen!$N$2:$N$2999,ROW(),Resumen!$V$2:$V$2999,1))</f>
        <v/>
      </c>
      <c r="L2733" s="26"/>
      <c r="N27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4" spans="1:14">
      <c r="A2734" s="16"/>
      <c r="B2734" s="16"/>
      <c r="C2734" s="25"/>
      <c r="D2734" s="25"/>
      <c r="E2734" s="16"/>
      <c r="F2734" s="18"/>
      <c r="G2734" s="19" t="str">
        <f t="shared" ca="1" si="84"/>
        <v/>
      </c>
      <c r="H2734" s="27"/>
      <c r="I2734" s="27"/>
      <c r="J2734" s="77" t="str">
        <f t="shared" ca="1" si="85"/>
        <v/>
      </c>
      <c r="K2734" s="23">
        <f>IF(A2734="","",COUNTIFS(Resumen!$N$2:$N$2999,ROW(),Resumen!$V$2:$V$2999,1))</f>
        <v/>
      </c>
      <c r="L2734" s="26"/>
      <c r="N27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5" spans="1:14">
      <c r="A2735" s="16"/>
      <c r="B2735" s="16"/>
      <c r="C2735" s="25"/>
      <c r="D2735" s="25"/>
      <c r="E2735" s="16"/>
      <c r="F2735" s="18"/>
      <c r="G2735" s="19" t="str">
        <f t="shared" ca="1" si="84"/>
        <v/>
      </c>
      <c r="H2735" s="27"/>
      <c r="I2735" s="27"/>
      <c r="J2735" s="77" t="str">
        <f t="shared" ca="1" si="85"/>
        <v/>
      </c>
      <c r="K2735" s="23">
        <f>IF(A2735="","",COUNTIFS(Resumen!$N$2:$N$2999,ROW(),Resumen!$V$2:$V$2999,1))</f>
        <v/>
      </c>
      <c r="L2735" s="26"/>
      <c r="N27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6" spans="1:14">
      <c r="A2736" s="16"/>
      <c r="B2736" s="16"/>
      <c r="C2736" s="25"/>
      <c r="D2736" s="25"/>
      <c r="E2736" s="16"/>
      <c r="F2736" s="18"/>
      <c r="G2736" s="19" t="str">
        <f t="shared" ca="1" si="84"/>
        <v/>
      </c>
      <c r="H2736" s="27"/>
      <c r="I2736" s="27"/>
      <c r="J2736" s="77" t="str">
        <f t="shared" ca="1" si="85"/>
        <v/>
      </c>
      <c r="K2736" s="23">
        <f>IF(A2736="","",COUNTIFS(Resumen!$N$2:$N$2999,ROW(),Resumen!$V$2:$V$2999,1))</f>
        <v/>
      </c>
      <c r="L2736" s="26"/>
      <c r="N27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7" spans="1:14">
      <c r="A2737" s="16"/>
      <c r="B2737" s="16"/>
      <c r="C2737" s="25"/>
      <c r="D2737" s="25"/>
      <c r="E2737" s="16"/>
      <c r="F2737" s="18"/>
      <c r="G2737" s="19" t="str">
        <f t="shared" ca="1" si="84"/>
        <v/>
      </c>
      <c r="H2737" s="27"/>
      <c r="I2737" s="27"/>
      <c r="J2737" s="77" t="str">
        <f t="shared" ca="1" si="85"/>
        <v/>
      </c>
      <c r="K2737" s="23">
        <f>IF(A2737="","",COUNTIFS(Resumen!$N$2:$N$2999,ROW(),Resumen!$V$2:$V$2999,1))</f>
        <v/>
      </c>
      <c r="L2737" s="26"/>
      <c r="N27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8" spans="1:14">
      <c r="A2738" s="16"/>
      <c r="B2738" s="16"/>
      <c r="C2738" s="25"/>
      <c r="D2738" s="25"/>
      <c r="E2738" s="16"/>
      <c r="F2738" s="18"/>
      <c r="G2738" s="19" t="str">
        <f t="shared" ca="1" si="84"/>
        <v/>
      </c>
      <c r="H2738" s="27"/>
      <c r="I2738" s="27"/>
      <c r="J2738" s="77" t="str">
        <f t="shared" ca="1" si="85"/>
        <v/>
      </c>
      <c r="K2738" s="23">
        <f>IF(A2738="","",COUNTIFS(Resumen!$N$2:$N$2999,ROW(),Resumen!$V$2:$V$2999,1))</f>
        <v/>
      </c>
      <c r="L2738" s="26"/>
      <c r="N27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39" spans="1:14">
      <c r="A2739" s="16"/>
      <c r="B2739" s="16"/>
      <c r="C2739" s="25"/>
      <c r="D2739" s="25"/>
      <c r="E2739" s="16"/>
      <c r="F2739" s="18"/>
      <c r="G2739" s="19" t="str">
        <f t="shared" ca="1" si="84"/>
        <v/>
      </c>
      <c r="H2739" s="27"/>
      <c r="I2739" s="27"/>
      <c r="J2739" s="77" t="str">
        <f t="shared" ca="1" si="85"/>
        <v/>
      </c>
      <c r="K2739" s="23">
        <f>IF(A2739="","",COUNTIFS(Resumen!$N$2:$N$2999,ROW(),Resumen!$V$2:$V$2999,1))</f>
        <v/>
      </c>
      <c r="L2739" s="26"/>
      <c r="N27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0" spans="1:14">
      <c r="A2740" s="16"/>
      <c r="B2740" s="16"/>
      <c r="C2740" s="25"/>
      <c r="D2740" s="25"/>
      <c r="E2740" s="16"/>
      <c r="F2740" s="18"/>
      <c r="G2740" s="19" t="str">
        <f t="shared" ca="1" si="84"/>
        <v/>
      </c>
      <c r="H2740" s="27"/>
      <c r="I2740" s="27"/>
      <c r="J2740" s="77" t="str">
        <f t="shared" ca="1" si="85"/>
        <v/>
      </c>
      <c r="K2740" s="23">
        <f>IF(A2740="","",COUNTIFS(Resumen!$N$2:$N$2999,ROW(),Resumen!$V$2:$V$2999,1))</f>
        <v/>
      </c>
      <c r="L2740" s="26"/>
      <c r="N27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1" spans="1:14">
      <c r="A2741" s="16"/>
      <c r="B2741" s="16"/>
      <c r="C2741" s="25"/>
      <c r="D2741" s="25"/>
      <c r="E2741" s="16"/>
      <c r="F2741" s="18"/>
      <c r="G2741" s="19" t="str">
        <f t="shared" ca="1" si="84"/>
        <v/>
      </c>
      <c r="H2741" s="27"/>
      <c r="I2741" s="27"/>
      <c r="J2741" s="77" t="str">
        <f t="shared" ca="1" si="85"/>
        <v/>
      </c>
      <c r="K2741" s="23">
        <f>IF(A2741="","",COUNTIFS(Resumen!$N$2:$N$2999,ROW(),Resumen!$V$2:$V$2999,1))</f>
        <v/>
      </c>
      <c r="L2741" s="26"/>
      <c r="N27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2" spans="1:14">
      <c r="A2742" s="16"/>
      <c r="B2742" s="16"/>
      <c r="C2742" s="25"/>
      <c r="D2742" s="25"/>
      <c r="E2742" s="16"/>
      <c r="F2742" s="18"/>
      <c r="G2742" s="19" t="str">
        <f t="shared" ca="1" si="84"/>
        <v/>
      </c>
      <c r="H2742" s="27"/>
      <c r="I2742" s="27"/>
      <c r="J2742" s="77" t="str">
        <f t="shared" ca="1" si="85"/>
        <v/>
      </c>
      <c r="K2742" s="23">
        <f>IF(A2742="","",COUNTIFS(Resumen!$N$2:$N$2999,ROW(),Resumen!$V$2:$V$2999,1))</f>
        <v/>
      </c>
      <c r="L2742" s="26"/>
      <c r="N27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3" spans="1:14">
      <c r="A2743" s="16"/>
      <c r="B2743" s="16"/>
      <c r="C2743" s="25"/>
      <c r="D2743" s="25"/>
      <c r="E2743" s="16"/>
      <c r="F2743" s="18"/>
      <c r="G2743" s="19" t="str">
        <f t="shared" ca="1" si="84"/>
        <v/>
      </c>
      <c r="H2743" s="27"/>
      <c r="I2743" s="27"/>
      <c r="J2743" s="77" t="str">
        <f t="shared" ca="1" si="85"/>
        <v/>
      </c>
      <c r="K2743" s="23">
        <f>IF(A2743="","",COUNTIFS(Resumen!$N$2:$N$2999,ROW(),Resumen!$V$2:$V$2999,1))</f>
        <v/>
      </c>
      <c r="L2743" s="26"/>
      <c r="N27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4" spans="1:14">
      <c r="A2744" s="16"/>
      <c r="B2744" s="16"/>
      <c r="C2744" s="25"/>
      <c r="D2744" s="25"/>
      <c r="E2744" s="16"/>
      <c r="F2744" s="18"/>
      <c r="G2744" s="19" t="str">
        <f t="shared" ca="1" si="84"/>
        <v/>
      </c>
      <c r="H2744" s="27"/>
      <c r="I2744" s="27"/>
      <c r="J2744" s="77" t="str">
        <f t="shared" ca="1" si="85"/>
        <v/>
      </c>
      <c r="K2744" s="23">
        <f>IF(A2744="","",COUNTIFS(Resumen!$N$2:$N$2999,ROW(),Resumen!$V$2:$V$2999,1))</f>
        <v/>
      </c>
      <c r="L2744" s="26"/>
      <c r="N27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5" spans="1:14">
      <c r="A2745" s="16"/>
      <c r="B2745" s="16"/>
      <c r="C2745" s="25"/>
      <c r="D2745" s="25"/>
      <c r="E2745" s="16"/>
      <c r="F2745" s="18"/>
      <c r="G2745" s="19" t="str">
        <f t="shared" ca="1" si="84"/>
        <v/>
      </c>
      <c r="H2745" s="27"/>
      <c r="I2745" s="27"/>
      <c r="J2745" s="77" t="str">
        <f t="shared" ca="1" si="85"/>
        <v/>
      </c>
      <c r="K2745" s="23">
        <f>IF(A2745="","",COUNTIFS(Resumen!$N$2:$N$2999,ROW(),Resumen!$V$2:$V$2999,1))</f>
        <v/>
      </c>
      <c r="L2745" s="26"/>
      <c r="N27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6" spans="1:14">
      <c r="A2746" s="16"/>
      <c r="B2746" s="16"/>
      <c r="C2746" s="25"/>
      <c r="D2746" s="25"/>
      <c r="E2746" s="16"/>
      <c r="F2746" s="18"/>
      <c r="G2746" s="19" t="str">
        <f t="shared" ca="1" si="84"/>
        <v/>
      </c>
      <c r="H2746" s="27"/>
      <c r="I2746" s="27"/>
      <c r="J2746" s="77" t="str">
        <f t="shared" ca="1" si="85"/>
        <v/>
      </c>
      <c r="K2746" s="23">
        <f>IF(A2746="","",COUNTIFS(Resumen!$N$2:$N$2999,ROW(),Resumen!$V$2:$V$2999,1))</f>
        <v/>
      </c>
      <c r="L2746" s="26"/>
      <c r="N27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7" spans="1:14">
      <c r="A2747" s="16"/>
      <c r="B2747" s="16"/>
      <c r="C2747" s="25"/>
      <c r="D2747" s="25"/>
      <c r="E2747" s="16"/>
      <c r="F2747" s="18"/>
      <c r="G2747" s="19" t="str">
        <f t="shared" ca="1" si="84"/>
        <v/>
      </c>
      <c r="H2747" s="27"/>
      <c r="I2747" s="27"/>
      <c r="J2747" s="77" t="str">
        <f t="shared" ca="1" si="85"/>
        <v/>
      </c>
      <c r="K2747" s="23">
        <f>IF(A2747="","",COUNTIFS(Resumen!$N$2:$N$2999,ROW(),Resumen!$V$2:$V$2999,1))</f>
        <v/>
      </c>
      <c r="L2747" s="26"/>
      <c r="N27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8" spans="1:14">
      <c r="A2748" s="16"/>
      <c r="B2748" s="16"/>
      <c r="C2748" s="25"/>
      <c r="D2748" s="25"/>
      <c r="E2748" s="16"/>
      <c r="F2748" s="18"/>
      <c r="G2748" s="19" t="str">
        <f t="shared" ca="1" si="84"/>
        <v/>
      </c>
      <c r="H2748" s="27"/>
      <c r="I2748" s="27"/>
      <c r="J2748" s="77" t="str">
        <f t="shared" ca="1" si="85"/>
        <v/>
      </c>
      <c r="K2748" s="23">
        <f>IF(A2748="","",COUNTIFS(Resumen!$N$2:$N$2999,ROW(),Resumen!$V$2:$V$2999,1))</f>
        <v/>
      </c>
      <c r="L2748" s="26"/>
      <c r="N27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49" spans="1:14">
      <c r="A2749" s="16"/>
      <c r="B2749" s="16"/>
      <c r="C2749" s="25"/>
      <c r="D2749" s="25"/>
      <c r="E2749" s="16"/>
      <c r="F2749" s="18"/>
      <c r="G2749" s="19" t="str">
        <f t="shared" ca="1" si="84"/>
        <v/>
      </c>
      <c r="H2749" s="27"/>
      <c r="I2749" s="27"/>
      <c r="J2749" s="77" t="str">
        <f t="shared" ca="1" si="85"/>
        <v/>
      </c>
      <c r="K2749" s="23">
        <f>IF(A2749="","",COUNTIFS(Resumen!$N$2:$N$2999,ROW(),Resumen!$V$2:$V$2999,1))</f>
        <v/>
      </c>
      <c r="L2749" s="26"/>
      <c r="N27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0" spans="1:14">
      <c r="A2750" s="16"/>
      <c r="B2750" s="16"/>
      <c r="C2750" s="25"/>
      <c r="D2750" s="25"/>
      <c r="E2750" s="16"/>
      <c r="F2750" s="18"/>
      <c r="G2750" s="19" t="str">
        <f t="shared" ca="1" si="84"/>
        <v/>
      </c>
      <c r="H2750" s="27"/>
      <c r="I2750" s="27"/>
      <c r="J2750" s="77" t="str">
        <f t="shared" ca="1" si="85"/>
        <v/>
      </c>
      <c r="K2750" s="23">
        <f>IF(A2750="","",COUNTIFS(Resumen!$N$2:$N$2999,ROW(),Resumen!$V$2:$V$2999,1))</f>
        <v/>
      </c>
      <c r="L2750" s="26"/>
      <c r="N27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1" spans="1:14">
      <c r="A2751" s="16"/>
      <c r="B2751" s="16"/>
      <c r="C2751" s="25"/>
      <c r="D2751" s="25"/>
      <c r="E2751" s="16"/>
      <c r="F2751" s="18"/>
      <c r="G2751" s="19" t="str">
        <f t="shared" ca="1" si="84"/>
        <v/>
      </c>
      <c r="H2751" s="27"/>
      <c r="I2751" s="27"/>
      <c r="J2751" s="77" t="str">
        <f t="shared" ca="1" si="85"/>
        <v/>
      </c>
      <c r="K2751" s="23">
        <f>IF(A2751="","",COUNTIFS(Resumen!$N$2:$N$2999,ROW(),Resumen!$V$2:$V$2999,1))</f>
        <v/>
      </c>
      <c r="L2751" s="26"/>
      <c r="N27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2" spans="1:14">
      <c r="A2752" s="16"/>
      <c r="B2752" s="16"/>
      <c r="C2752" s="25"/>
      <c r="D2752" s="25"/>
      <c r="E2752" s="16"/>
      <c r="F2752" s="18"/>
      <c r="G2752" s="19" t="str">
        <f t="shared" ca="1" si="84"/>
        <v/>
      </c>
      <c r="H2752" s="27"/>
      <c r="I2752" s="27"/>
      <c r="J2752" s="77" t="str">
        <f t="shared" ca="1" si="85"/>
        <v/>
      </c>
      <c r="K2752" s="23">
        <f>IF(A2752="","",COUNTIFS(Resumen!$N$2:$N$2999,ROW(),Resumen!$V$2:$V$2999,1))</f>
        <v/>
      </c>
      <c r="L2752" s="26"/>
      <c r="N27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3" spans="1:14">
      <c r="A2753" s="16"/>
      <c r="B2753" s="16"/>
      <c r="C2753" s="25"/>
      <c r="D2753" s="25"/>
      <c r="E2753" s="16"/>
      <c r="F2753" s="18"/>
      <c r="G2753" s="19" t="str">
        <f t="shared" ca="1" si="84"/>
        <v/>
      </c>
      <c r="H2753" s="27"/>
      <c r="I2753" s="27"/>
      <c r="J2753" s="77" t="str">
        <f t="shared" ca="1" si="85"/>
        <v/>
      </c>
      <c r="K2753" s="23">
        <f>IF(A2753="","",COUNTIFS(Resumen!$N$2:$N$2999,ROW(),Resumen!$V$2:$V$2999,1))</f>
        <v/>
      </c>
      <c r="L2753" s="26"/>
      <c r="N27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4" spans="1:14">
      <c r="A2754" s="16"/>
      <c r="B2754" s="16"/>
      <c r="C2754" s="25"/>
      <c r="D2754" s="25"/>
      <c r="E2754" s="16"/>
      <c r="F2754" s="18"/>
      <c r="G2754" s="19" t="str">
        <f t="shared" ref="G2754:G2817" ca="1" si="86">IF(F2754="", "", DATEDIF(F2754, TODAY(), "Y"))</f>
        <v/>
      </c>
      <c r="H2754" s="27"/>
      <c r="I2754" s="27"/>
      <c r="J2754" s="77" t="str">
        <f t="shared" ref="J2754:J2817" ca="1" si="87">IFERROR(IF(ISNUMBER(INDEX(VigenciasFamilia,ROW())),INDEX(VigenciasFamilia,ROW())-TODAY(),""),"")</f>
        <v/>
      </c>
      <c r="K2754" s="23">
        <f>IF(A2754="","",COUNTIFS(Resumen!$N$2:$N$2999,ROW(),Resumen!$V$2:$V$2999,1))</f>
        <v/>
      </c>
      <c r="L2754" s="26"/>
      <c r="N27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5" spans="1:14">
      <c r="A2755" s="16"/>
      <c r="B2755" s="16"/>
      <c r="C2755" s="25"/>
      <c r="D2755" s="25"/>
      <c r="E2755" s="16"/>
      <c r="F2755" s="18"/>
      <c r="G2755" s="19" t="str">
        <f t="shared" ca="1" si="86"/>
        <v/>
      </c>
      <c r="H2755" s="27"/>
      <c r="I2755" s="27"/>
      <c r="J2755" s="77" t="str">
        <f t="shared" ca="1" si="87"/>
        <v/>
      </c>
      <c r="K2755" s="23">
        <f>IF(A2755="","",COUNTIFS(Resumen!$N$2:$N$2999,ROW(),Resumen!$V$2:$V$2999,1))</f>
        <v/>
      </c>
      <c r="L2755" s="26"/>
      <c r="N27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6" spans="1:14">
      <c r="A2756" s="16"/>
      <c r="B2756" s="16"/>
      <c r="C2756" s="25"/>
      <c r="D2756" s="25"/>
      <c r="E2756" s="16"/>
      <c r="F2756" s="18"/>
      <c r="G2756" s="19" t="str">
        <f t="shared" ca="1" si="86"/>
        <v/>
      </c>
      <c r="H2756" s="27"/>
      <c r="I2756" s="27"/>
      <c r="J2756" s="77" t="str">
        <f t="shared" ca="1" si="87"/>
        <v/>
      </c>
      <c r="K2756" s="23">
        <f>IF(A2756="","",COUNTIFS(Resumen!$N$2:$N$2999,ROW(),Resumen!$V$2:$V$2999,1))</f>
        <v/>
      </c>
      <c r="L2756" s="26"/>
      <c r="N27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7" spans="1:14">
      <c r="A2757" s="16"/>
      <c r="B2757" s="16"/>
      <c r="C2757" s="25"/>
      <c r="D2757" s="25"/>
      <c r="E2757" s="16"/>
      <c r="F2757" s="18"/>
      <c r="G2757" s="19" t="str">
        <f t="shared" ca="1" si="86"/>
        <v/>
      </c>
      <c r="H2757" s="27"/>
      <c r="I2757" s="27"/>
      <c r="J2757" s="77" t="str">
        <f t="shared" ca="1" si="87"/>
        <v/>
      </c>
      <c r="K2757" s="23">
        <f>IF(A2757="","",COUNTIFS(Resumen!$N$2:$N$2999,ROW(),Resumen!$V$2:$V$2999,1))</f>
        <v/>
      </c>
      <c r="L2757" s="26"/>
      <c r="N27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8" spans="1:14">
      <c r="A2758" s="16"/>
      <c r="B2758" s="16"/>
      <c r="C2758" s="25"/>
      <c r="D2758" s="25"/>
      <c r="E2758" s="16"/>
      <c r="F2758" s="18"/>
      <c r="G2758" s="19" t="str">
        <f t="shared" ca="1" si="86"/>
        <v/>
      </c>
      <c r="H2758" s="27"/>
      <c r="I2758" s="27"/>
      <c r="J2758" s="77" t="str">
        <f t="shared" ca="1" si="87"/>
        <v/>
      </c>
      <c r="K2758" s="23">
        <f>IF(A2758="","",COUNTIFS(Resumen!$N$2:$N$2999,ROW(),Resumen!$V$2:$V$2999,1))</f>
        <v/>
      </c>
      <c r="L2758" s="26"/>
      <c r="N27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59" spans="1:14">
      <c r="A2759" s="16"/>
      <c r="B2759" s="16"/>
      <c r="C2759" s="25"/>
      <c r="D2759" s="25"/>
      <c r="E2759" s="16"/>
      <c r="F2759" s="18"/>
      <c r="G2759" s="19" t="str">
        <f t="shared" ca="1" si="86"/>
        <v/>
      </c>
      <c r="H2759" s="27"/>
      <c r="I2759" s="27"/>
      <c r="J2759" s="77" t="str">
        <f t="shared" ca="1" si="87"/>
        <v/>
      </c>
      <c r="K2759" s="23">
        <f>IF(A2759="","",COUNTIFS(Resumen!$N$2:$N$2999,ROW(),Resumen!$V$2:$V$2999,1))</f>
        <v/>
      </c>
      <c r="L2759" s="26"/>
      <c r="N27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0" spans="1:14">
      <c r="A2760" s="16"/>
      <c r="B2760" s="16"/>
      <c r="C2760" s="25"/>
      <c r="D2760" s="25"/>
      <c r="E2760" s="16"/>
      <c r="F2760" s="18"/>
      <c r="G2760" s="19" t="str">
        <f t="shared" ca="1" si="86"/>
        <v/>
      </c>
      <c r="H2760" s="27"/>
      <c r="I2760" s="27"/>
      <c r="J2760" s="77" t="str">
        <f t="shared" ca="1" si="87"/>
        <v/>
      </c>
      <c r="K2760" s="23">
        <f>IF(A2760="","",COUNTIFS(Resumen!$N$2:$N$2999,ROW(),Resumen!$V$2:$V$2999,1))</f>
        <v/>
      </c>
      <c r="L2760" s="26"/>
      <c r="N27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1" spans="1:14">
      <c r="A2761" s="16"/>
      <c r="B2761" s="16"/>
      <c r="C2761" s="25"/>
      <c r="D2761" s="25"/>
      <c r="E2761" s="16"/>
      <c r="F2761" s="18"/>
      <c r="G2761" s="19" t="str">
        <f t="shared" ca="1" si="86"/>
        <v/>
      </c>
      <c r="H2761" s="27"/>
      <c r="I2761" s="27"/>
      <c r="J2761" s="77" t="str">
        <f t="shared" ca="1" si="87"/>
        <v/>
      </c>
      <c r="K2761" s="23">
        <f>IF(A2761="","",COUNTIFS(Resumen!$N$2:$N$2999,ROW(),Resumen!$V$2:$V$2999,1))</f>
        <v/>
      </c>
      <c r="L2761" s="26"/>
      <c r="N27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2" spans="1:14">
      <c r="A2762" s="16"/>
      <c r="B2762" s="16"/>
      <c r="C2762" s="25"/>
      <c r="D2762" s="25"/>
      <c r="E2762" s="16"/>
      <c r="F2762" s="18"/>
      <c r="G2762" s="19" t="str">
        <f t="shared" ca="1" si="86"/>
        <v/>
      </c>
      <c r="H2762" s="27"/>
      <c r="I2762" s="27"/>
      <c r="J2762" s="77" t="str">
        <f t="shared" ca="1" si="87"/>
        <v/>
      </c>
      <c r="K2762" s="23">
        <f>IF(A2762="","",COUNTIFS(Resumen!$N$2:$N$2999,ROW(),Resumen!$V$2:$V$2999,1))</f>
        <v/>
      </c>
      <c r="L2762" s="26"/>
      <c r="N27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3" spans="1:14">
      <c r="A2763" s="16"/>
      <c r="B2763" s="16"/>
      <c r="C2763" s="25"/>
      <c r="D2763" s="25"/>
      <c r="E2763" s="16"/>
      <c r="F2763" s="18"/>
      <c r="G2763" s="19" t="str">
        <f t="shared" ca="1" si="86"/>
        <v/>
      </c>
      <c r="H2763" s="27"/>
      <c r="I2763" s="27"/>
      <c r="J2763" s="77" t="str">
        <f t="shared" ca="1" si="87"/>
        <v/>
      </c>
      <c r="K2763" s="23">
        <f>IF(A2763="","",COUNTIFS(Resumen!$N$2:$N$2999,ROW(),Resumen!$V$2:$V$2999,1))</f>
        <v/>
      </c>
      <c r="L2763" s="26"/>
      <c r="N27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4" spans="1:14">
      <c r="A2764" s="16"/>
      <c r="B2764" s="16"/>
      <c r="C2764" s="25"/>
      <c r="D2764" s="25"/>
      <c r="E2764" s="16"/>
      <c r="F2764" s="18"/>
      <c r="G2764" s="19" t="str">
        <f t="shared" ca="1" si="86"/>
        <v/>
      </c>
      <c r="H2764" s="27"/>
      <c r="I2764" s="27"/>
      <c r="J2764" s="77" t="str">
        <f t="shared" ca="1" si="87"/>
        <v/>
      </c>
      <c r="K2764" s="23">
        <f>IF(A2764="","",COUNTIFS(Resumen!$N$2:$N$2999,ROW(),Resumen!$V$2:$V$2999,1))</f>
        <v/>
      </c>
      <c r="L2764" s="26"/>
      <c r="N27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5" spans="1:14">
      <c r="A2765" s="16"/>
      <c r="B2765" s="16"/>
      <c r="C2765" s="25"/>
      <c r="D2765" s="25"/>
      <c r="E2765" s="16"/>
      <c r="F2765" s="18"/>
      <c r="G2765" s="19" t="str">
        <f t="shared" ca="1" si="86"/>
        <v/>
      </c>
      <c r="H2765" s="27"/>
      <c r="I2765" s="27"/>
      <c r="J2765" s="77" t="str">
        <f t="shared" ca="1" si="87"/>
        <v/>
      </c>
      <c r="K2765" s="23">
        <f>IF(A2765="","",COUNTIFS(Resumen!$N$2:$N$2999,ROW(),Resumen!$V$2:$V$2999,1))</f>
        <v/>
      </c>
      <c r="L2765" s="26"/>
      <c r="N27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6" spans="1:14">
      <c r="A2766" s="16"/>
      <c r="B2766" s="16"/>
      <c r="C2766" s="25"/>
      <c r="D2766" s="25"/>
      <c r="E2766" s="16"/>
      <c r="F2766" s="18"/>
      <c r="G2766" s="19" t="str">
        <f t="shared" ca="1" si="86"/>
        <v/>
      </c>
      <c r="H2766" s="27"/>
      <c r="I2766" s="27"/>
      <c r="J2766" s="77" t="str">
        <f t="shared" ca="1" si="87"/>
        <v/>
      </c>
      <c r="K2766" s="23">
        <f>IF(A2766="","",COUNTIFS(Resumen!$N$2:$N$2999,ROW(),Resumen!$V$2:$V$2999,1))</f>
        <v/>
      </c>
      <c r="L2766" s="26"/>
      <c r="N27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7" spans="1:14">
      <c r="A2767" s="16"/>
      <c r="B2767" s="16"/>
      <c r="C2767" s="25"/>
      <c r="D2767" s="25"/>
      <c r="E2767" s="16"/>
      <c r="F2767" s="18"/>
      <c r="G2767" s="19" t="str">
        <f t="shared" ca="1" si="86"/>
        <v/>
      </c>
      <c r="H2767" s="27"/>
      <c r="I2767" s="27"/>
      <c r="J2767" s="77" t="str">
        <f t="shared" ca="1" si="87"/>
        <v/>
      </c>
      <c r="K2767" s="23">
        <f>IF(A2767="","",COUNTIFS(Resumen!$N$2:$N$2999,ROW(),Resumen!$V$2:$V$2999,1))</f>
        <v/>
      </c>
      <c r="L2767" s="26"/>
      <c r="N27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8" spans="1:14">
      <c r="A2768" s="16"/>
      <c r="B2768" s="16"/>
      <c r="C2768" s="25"/>
      <c r="D2768" s="25"/>
      <c r="E2768" s="16"/>
      <c r="F2768" s="18"/>
      <c r="G2768" s="19" t="str">
        <f t="shared" ca="1" si="86"/>
        <v/>
      </c>
      <c r="H2768" s="27"/>
      <c r="I2768" s="27"/>
      <c r="J2768" s="77" t="str">
        <f t="shared" ca="1" si="87"/>
        <v/>
      </c>
      <c r="K2768" s="23">
        <f>IF(A2768="","",COUNTIFS(Resumen!$N$2:$N$2999,ROW(),Resumen!$V$2:$V$2999,1))</f>
        <v/>
      </c>
      <c r="L2768" s="26"/>
      <c r="N27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69" spans="1:14">
      <c r="A2769" s="16"/>
      <c r="B2769" s="16"/>
      <c r="C2769" s="25"/>
      <c r="D2769" s="25"/>
      <c r="E2769" s="16"/>
      <c r="F2769" s="18"/>
      <c r="G2769" s="19" t="str">
        <f t="shared" ca="1" si="86"/>
        <v/>
      </c>
      <c r="H2769" s="27"/>
      <c r="I2769" s="27"/>
      <c r="J2769" s="77" t="str">
        <f t="shared" ca="1" si="87"/>
        <v/>
      </c>
      <c r="K2769" s="23">
        <f>IF(A2769="","",COUNTIFS(Resumen!$N$2:$N$2999,ROW(),Resumen!$V$2:$V$2999,1))</f>
        <v/>
      </c>
      <c r="L2769" s="26"/>
      <c r="N27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0" spans="1:14">
      <c r="A2770" s="16"/>
      <c r="B2770" s="16"/>
      <c r="C2770" s="25"/>
      <c r="D2770" s="25"/>
      <c r="E2770" s="16"/>
      <c r="F2770" s="18"/>
      <c r="G2770" s="19" t="str">
        <f t="shared" ca="1" si="86"/>
        <v/>
      </c>
      <c r="H2770" s="27"/>
      <c r="I2770" s="27"/>
      <c r="J2770" s="77" t="str">
        <f t="shared" ca="1" si="87"/>
        <v/>
      </c>
      <c r="K2770" s="23">
        <f>IF(A2770="","",COUNTIFS(Resumen!$N$2:$N$2999,ROW(),Resumen!$V$2:$V$2999,1))</f>
        <v/>
      </c>
      <c r="L2770" s="26"/>
      <c r="N27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1" spans="1:14">
      <c r="A2771" s="16"/>
      <c r="B2771" s="16"/>
      <c r="C2771" s="25"/>
      <c r="D2771" s="25"/>
      <c r="E2771" s="16"/>
      <c r="F2771" s="18"/>
      <c r="G2771" s="19" t="str">
        <f t="shared" ca="1" si="86"/>
        <v/>
      </c>
      <c r="H2771" s="27"/>
      <c r="I2771" s="27"/>
      <c r="J2771" s="77" t="str">
        <f t="shared" ca="1" si="87"/>
        <v/>
      </c>
      <c r="K2771" s="23">
        <f>IF(A2771="","",COUNTIFS(Resumen!$N$2:$N$2999,ROW(),Resumen!$V$2:$V$2999,1))</f>
        <v/>
      </c>
      <c r="L2771" s="26"/>
      <c r="N27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2" spans="1:14">
      <c r="A2772" s="16"/>
      <c r="B2772" s="16"/>
      <c r="C2772" s="25"/>
      <c r="D2772" s="25"/>
      <c r="E2772" s="16"/>
      <c r="F2772" s="18"/>
      <c r="G2772" s="19" t="str">
        <f t="shared" ca="1" si="86"/>
        <v/>
      </c>
      <c r="H2772" s="27"/>
      <c r="I2772" s="27"/>
      <c r="J2772" s="77" t="str">
        <f t="shared" ca="1" si="87"/>
        <v/>
      </c>
      <c r="K2772" s="23">
        <f>IF(A2772="","",COUNTIFS(Resumen!$N$2:$N$2999,ROW(),Resumen!$V$2:$V$2999,1))</f>
        <v/>
      </c>
      <c r="L2772" s="26"/>
      <c r="N27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3" spans="1:14">
      <c r="A2773" s="16"/>
      <c r="B2773" s="16"/>
      <c r="C2773" s="25"/>
      <c r="D2773" s="25"/>
      <c r="E2773" s="16"/>
      <c r="F2773" s="18"/>
      <c r="G2773" s="19" t="str">
        <f t="shared" ca="1" si="86"/>
        <v/>
      </c>
      <c r="H2773" s="27"/>
      <c r="I2773" s="27"/>
      <c r="J2773" s="77" t="str">
        <f t="shared" ca="1" si="87"/>
        <v/>
      </c>
      <c r="K2773" s="23">
        <f>IF(A2773="","",COUNTIFS(Resumen!$N$2:$N$2999,ROW(),Resumen!$V$2:$V$2999,1))</f>
        <v/>
      </c>
      <c r="L2773" s="26"/>
      <c r="N27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4" spans="1:14">
      <c r="A2774" s="16"/>
      <c r="B2774" s="16"/>
      <c r="C2774" s="25"/>
      <c r="D2774" s="25"/>
      <c r="E2774" s="16"/>
      <c r="F2774" s="18"/>
      <c r="G2774" s="19" t="str">
        <f t="shared" ca="1" si="86"/>
        <v/>
      </c>
      <c r="H2774" s="27"/>
      <c r="I2774" s="27"/>
      <c r="J2774" s="77" t="str">
        <f t="shared" ca="1" si="87"/>
        <v/>
      </c>
      <c r="K2774" s="23">
        <f>IF(A2774="","",COUNTIFS(Resumen!$N$2:$N$2999,ROW(),Resumen!$V$2:$V$2999,1))</f>
        <v/>
      </c>
      <c r="L2774" s="26"/>
      <c r="N27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5" spans="1:14">
      <c r="A2775" s="16"/>
      <c r="B2775" s="16"/>
      <c r="C2775" s="25"/>
      <c r="D2775" s="25"/>
      <c r="E2775" s="16"/>
      <c r="F2775" s="18"/>
      <c r="G2775" s="19" t="str">
        <f t="shared" ca="1" si="86"/>
        <v/>
      </c>
      <c r="H2775" s="27"/>
      <c r="I2775" s="27"/>
      <c r="J2775" s="77" t="str">
        <f t="shared" ca="1" si="87"/>
        <v/>
      </c>
      <c r="K2775" s="23">
        <f>IF(A2775="","",COUNTIFS(Resumen!$N$2:$N$2999,ROW(),Resumen!$V$2:$V$2999,1))</f>
        <v/>
      </c>
      <c r="L2775" s="26"/>
      <c r="N27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6" spans="1:14">
      <c r="A2776" s="16"/>
      <c r="B2776" s="16"/>
      <c r="C2776" s="25"/>
      <c r="D2776" s="25"/>
      <c r="E2776" s="16"/>
      <c r="F2776" s="18"/>
      <c r="G2776" s="19" t="str">
        <f t="shared" ca="1" si="86"/>
        <v/>
      </c>
      <c r="H2776" s="27"/>
      <c r="I2776" s="27"/>
      <c r="J2776" s="77" t="str">
        <f t="shared" ca="1" si="87"/>
        <v/>
      </c>
      <c r="K2776" s="23">
        <f>IF(A2776="","",COUNTIFS(Resumen!$N$2:$N$2999,ROW(),Resumen!$V$2:$V$2999,1))</f>
        <v/>
      </c>
      <c r="L2776" s="26"/>
      <c r="N27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7" spans="1:14">
      <c r="A2777" s="16"/>
      <c r="B2777" s="16"/>
      <c r="C2777" s="25"/>
      <c r="D2777" s="25"/>
      <c r="E2777" s="16"/>
      <c r="F2777" s="18"/>
      <c r="G2777" s="19" t="str">
        <f t="shared" ca="1" si="86"/>
        <v/>
      </c>
      <c r="H2777" s="27"/>
      <c r="I2777" s="27"/>
      <c r="J2777" s="77" t="str">
        <f t="shared" ca="1" si="87"/>
        <v/>
      </c>
      <c r="K2777" s="23">
        <f>IF(A2777="","",COUNTIFS(Resumen!$N$2:$N$2999,ROW(),Resumen!$V$2:$V$2999,1))</f>
        <v/>
      </c>
      <c r="L2777" s="26"/>
      <c r="N27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8" spans="1:14">
      <c r="A2778" s="16"/>
      <c r="B2778" s="16"/>
      <c r="C2778" s="25"/>
      <c r="D2778" s="25"/>
      <c r="E2778" s="16"/>
      <c r="F2778" s="18"/>
      <c r="G2778" s="19" t="str">
        <f t="shared" ca="1" si="86"/>
        <v/>
      </c>
      <c r="H2778" s="27"/>
      <c r="I2778" s="27"/>
      <c r="J2778" s="77" t="str">
        <f t="shared" ca="1" si="87"/>
        <v/>
      </c>
      <c r="K2778" s="23">
        <f>IF(A2778="","",COUNTIFS(Resumen!$N$2:$N$2999,ROW(),Resumen!$V$2:$V$2999,1))</f>
        <v/>
      </c>
      <c r="L2778" s="26"/>
      <c r="N27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79" spans="1:14">
      <c r="A2779" s="16"/>
      <c r="B2779" s="16"/>
      <c r="C2779" s="25"/>
      <c r="D2779" s="25"/>
      <c r="E2779" s="16"/>
      <c r="F2779" s="18"/>
      <c r="G2779" s="19" t="str">
        <f t="shared" ca="1" si="86"/>
        <v/>
      </c>
      <c r="H2779" s="27"/>
      <c r="I2779" s="27"/>
      <c r="J2779" s="77" t="str">
        <f t="shared" ca="1" si="87"/>
        <v/>
      </c>
      <c r="K2779" s="23">
        <f>IF(A2779="","",COUNTIFS(Resumen!$N$2:$N$2999,ROW(),Resumen!$V$2:$V$2999,1))</f>
        <v/>
      </c>
      <c r="L2779" s="26"/>
      <c r="N27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0" spans="1:14">
      <c r="A2780" s="16"/>
      <c r="B2780" s="16"/>
      <c r="C2780" s="25"/>
      <c r="D2780" s="25"/>
      <c r="E2780" s="16"/>
      <c r="F2780" s="18"/>
      <c r="G2780" s="19" t="str">
        <f t="shared" ca="1" si="86"/>
        <v/>
      </c>
      <c r="H2780" s="27"/>
      <c r="I2780" s="27"/>
      <c r="J2780" s="77" t="str">
        <f t="shared" ca="1" si="87"/>
        <v/>
      </c>
      <c r="K2780" s="23">
        <f>IF(A2780="","",COUNTIFS(Resumen!$N$2:$N$2999,ROW(),Resumen!$V$2:$V$2999,1))</f>
        <v/>
      </c>
      <c r="L2780" s="26"/>
      <c r="N27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1" spans="1:14">
      <c r="A2781" s="16"/>
      <c r="B2781" s="16"/>
      <c r="C2781" s="25"/>
      <c r="D2781" s="25"/>
      <c r="E2781" s="16"/>
      <c r="F2781" s="18"/>
      <c r="G2781" s="19" t="str">
        <f t="shared" ca="1" si="86"/>
        <v/>
      </c>
      <c r="H2781" s="27"/>
      <c r="I2781" s="27"/>
      <c r="J2781" s="77" t="str">
        <f t="shared" ca="1" si="87"/>
        <v/>
      </c>
      <c r="K2781" s="23">
        <f>IF(A2781="","",COUNTIFS(Resumen!$N$2:$N$2999,ROW(),Resumen!$V$2:$V$2999,1))</f>
        <v/>
      </c>
      <c r="L2781" s="26"/>
      <c r="N27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2" spans="1:14">
      <c r="A2782" s="16"/>
      <c r="B2782" s="16"/>
      <c r="C2782" s="25"/>
      <c r="D2782" s="25"/>
      <c r="E2782" s="16"/>
      <c r="F2782" s="18"/>
      <c r="G2782" s="19" t="str">
        <f t="shared" ca="1" si="86"/>
        <v/>
      </c>
      <c r="H2782" s="27"/>
      <c r="I2782" s="27"/>
      <c r="J2782" s="77" t="str">
        <f t="shared" ca="1" si="87"/>
        <v/>
      </c>
      <c r="K2782" s="23">
        <f>IF(A2782="","",COUNTIFS(Resumen!$N$2:$N$2999,ROW(),Resumen!$V$2:$V$2999,1))</f>
        <v/>
      </c>
      <c r="L2782" s="26"/>
      <c r="N27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3" spans="1:14">
      <c r="A2783" s="16"/>
      <c r="B2783" s="16"/>
      <c r="C2783" s="25"/>
      <c r="D2783" s="25"/>
      <c r="E2783" s="16"/>
      <c r="F2783" s="18"/>
      <c r="G2783" s="19" t="str">
        <f t="shared" ca="1" si="86"/>
        <v/>
      </c>
      <c r="H2783" s="27"/>
      <c r="I2783" s="27"/>
      <c r="J2783" s="77" t="str">
        <f t="shared" ca="1" si="87"/>
        <v/>
      </c>
      <c r="K2783" s="23">
        <f>IF(A2783="","",COUNTIFS(Resumen!$N$2:$N$2999,ROW(),Resumen!$V$2:$V$2999,1))</f>
        <v/>
      </c>
      <c r="L2783" s="26"/>
      <c r="N27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4" spans="1:14">
      <c r="A2784" s="16"/>
      <c r="B2784" s="16"/>
      <c r="C2784" s="25"/>
      <c r="D2784" s="25"/>
      <c r="E2784" s="16"/>
      <c r="F2784" s="18"/>
      <c r="G2784" s="19" t="str">
        <f t="shared" ca="1" si="86"/>
        <v/>
      </c>
      <c r="H2784" s="27"/>
      <c r="I2784" s="27"/>
      <c r="J2784" s="77" t="str">
        <f t="shared" ca="1" si="87"/>
        <v/>
      </c>
      <c r="K2784" s="23">
        <f>IF(A2784="","",COUNTIFS(Resumen!$N$2:$N$2999,ROW(),Resumen!$V$2:$V$2999,1))</f>
        <v/>
      </c>
      <c r="L2784" s="26"/>
      <c r="N27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5" spans="1:14">
      <c r="A2785" s="16"/>
      <c r="B2785" s="16"/>
      <c r="C2785" s="25"/>
      <c r="D2785" s="25"/>
      <c r="E2785" s="16"/>
      <c r="F2785" s="18"/>
      <c r="G2785" s="19" t="str">
        <f t="shared" ca="1" si="86"/>
        <v/>
      </c>
      <c r="H2785" s="27"/>
      <c r="I2785" s="27"/>
      <c r="J2785" s="77" t="str">
        <f t="shared" ca="1" si="87"/>
        <v/>
      </c>
      <c r="K2785" s="23">
        <f>IF(A2785="","",COUNTIFS(Resumen!$N$2:$N$2999,ROW(),Resumen!$V$2:$V$2999,1))</f>
        <v/>
      </c>
      <c r="L2785" s="26"/>
      <c r="N27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6" spans="1:14">
      <c r="A2786" s="16"/>
      <c r="B2786" s="16"/>
      <c r="C2786" s="25"/>
      <c r="D2786" s="25"/>
      <c r="E2786" s="16"/>
      <c r="F2786" s="18"/>
      <c r="G2786" s="19" t="str">
        <f t="shared" ca="1" si="86"/>
        <v/>
      </c>
      <c r="H2786" s="27"/>
      <c r="I2786" s="27"/>
      <c r="J2786" s="77" t="str">
        <f t="shared" ca="1" si="87"/>
        <v/>
      </c>
      <c r="K2786" s="23">
        <f>IF(A2786="","",COUNTIFS(Resumen!$N$2:$N$2999,ROW(),Resumen!$V$2:$V$2999,1))</f>
        <v/>
      </c>
      <c r="L2786" s="26"/>
      <c r="N27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7" spans="1:14">
      <c r="A2787" s="16"/>
      <c r="B2787" s="16"/>
      <c r="C2787" s="25"/>
      <c r="D2787" s="25"/>
      <c r="E2787" s="16"/>
      <c r="F2787" s="18"/>
      <c r="G2787" s="19" t="str">
        <f t="shared" ca="1" si="86"/>
        <v/>
      </c>
      <c r="H2787" s="27"/>
      <c r="I2787" s="27"/>
      <c r="J2787" s="77" t="str">
        <f t="shared" ca="1" si="87"/>
        <v/>
      </c>
      <c r="K2787" s="23">
        <f>IF(A2787="","",COUNTIFS(Resumen!$N$2:$N$2999,ROW(),Resumen!$V$2:$V$2999,1))</f>
        <v/>
      </c>
      <c r="L2787" s="26"/>
      <c r="N27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8" spans="1:14">
      <c r="A2788" s="16"/>
      <c r="B2788" s="16"/>
      <c r="C2788" s="25"/>
      <c r="D2788" s="25"/>
      <c r="E2788" s="16"/>
      <c r="F2788" s="18"/>
      <c r="G2788" s="19" t="str">
        <f t="shared" ca="1" si="86"/>
        <v/>
      </c>
      <c r="H2788" s="27"/>
      <c r="I2788" s="27"/>
      <c r="J2788" s="77" t="str">
        <f t="shared" ca="1" si="87"/>
        <v/>
      </c>
      <c r="K2788" s="23">
        <f>IF(A2788="","",COUNTIFS(Resumen!$N$2:$N$2999,ROW(),Resumen!$V$2:$V$2999,1))</f>
        <v/>
      </c>
      <c r="L2788" s="26"/>
      <c r="N27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89" spans="1:14">
      <c r="A2789" s="16"/>
      <c r="B2789" s="16"/>
      <c r="C2789" s="25"/>
      <c r="D2789" s="25"/>
      <c r="E2789" s="16"/>
      <c r="F2789" s="18"/>
      <c r="G2789" s="19" t="str">
        <f t="shared" ca="1" si="86"/>
        <v/>
      </c>
      <c r="H2789" s="27"/>
      <c r="I2789" s="27"/>
      <c r="J2789" s="77" t="str">
        <f t="shared" ca="1" si="87"/>
        <v/>
      </c>
      <c r="K2789" s="23">
        <f>IF(A2789="","",COUNTIFS(Resumen!$N$2:$N$2999,ROW(),Resumen!$V$2:$V$2999,1))</f>
        <v/>
      </c>
      <c r="L2789" s="26"/>
      <c r="N27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0" spans="1:14">
      <c r="A2790" s="16"/>
      <c r="B2790" s="16"/>
      <c r="C2790" s="25"/>
      <c r="D2790" s="25"/>
      <c r="E2790" s="16"/>
      <c r="F2790" s="18"/>
      <c r="G2790" s="19" t="str">
        <f t="shared" ca="1" si="86"/>
        <v/>
      </c>
      <c r="H2790" s="27"/>
      <c r="I2790" s="27"/>
      <c r="J2790" s="77" t="str">
        <f t="shared" ca="1" si="87"/>
        <v/>
      </c>
      <c r="K2790" s="23">
        <f>IF(A2790="","",COUNTIFS(Resumen!$N$2:$N$2999,ROW(),Resumen!$V$2:$V$2999,1))</f>
        <v/>
      </c>
      <c r="L2790" s="26"/>
      <c r="N27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1" spans="1:14">
      <c r="A2791" s="16"/>
      <c r="B2791" s="16"/>
      <c r="C2791" s="25"/>
      <c r="D2791" s="25"/>
      <c r="E2791" s="16"/>
      <c r="F2791" s="18"/>
      <c r="G2791" s="19" t="str">
        <f t="shared" ca="1" si="86"/>
        <v/>
      </c>
      <c r="H2791" s="27"/>
      <c r="I2791" s="27"/>
      <c r="J2791" s="77" t="str">
        <f t="shared" ca="1" si="87"/>
        <v/>
      </c>
      <c r="K2791" s="23">
        <f>IF(A2791="","",COUNTIFS(Resumen!$N$2:$N$2999,ROW(),Resumen!$V$2:$V$2999,1))</f>
        <v/>
      </c>
      <c r="L2791" s="26"/>
      <c r="N27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2" spans="1:14">
      <c r="A2792" s="16"/>
      <c r="B2792" s="16"/>
      <c r="C2792" s="25"/>
      <c r="D2792" s="25"/>
      <c r="E2792" s="16"/>
      <c r="F2792" s="18"/>
      <c r="G2792" s="19" t="str">
        <f t="shared" ca="1" si="86"/>
        <v/>
      </c>
      <c r="H2792" s="27"/>
      <c r="I2792" s="27"/>
      <c r="J2792" s="77" t="str">
        <f t="shared" ca="1" si="87"/>
        <v/>
      </c>
      <c r="K2792" s="23">
        <f>IF(A2792="","",COUNTIFS(Resumen!$N$2:$N$2999,ROW(),Resumen!$V$2:$V$2999,1))</f>
        <v/>
      </c>
      <c r="L2792" s="26"/>
      <c r="N27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3" spans="1:14">
      <c r="A2793" s="16"/>
      <c r="B2793" s="16"/>
      <c r="C2793" s="25"/>
      <c r="D2793" s="25"/>
      <c r="E2793" s="16"/>
      <c r="F2793" s="18"/>
      <c r="G2793" s="19" t="str">
        <f t="shared" ca="1" si="86"/>
        <v/>
      </c>
      <c r="H2793" s="27"/>
      <c r="I2793" s="27"/>
      <c r="J2793" s="77" t="str">
        <f t="shared" ca="1" si="87"/>
        <v/>
      </c>
      <c r="K2793" s="23">
        <f>IF(A2793="","",COUNTIFS(Resumen!$N$2:$N$2999,ROW(),Resumen!$V$2:$V$2999,1))</f>
        <v/>
      </c>
      <c r="L2793" s="26"/>
      <c r="N27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4" spans="1:14">
      <c r="A2794" s="16"/>
      <c r="B2794" s="16"/>
      <c r="C2794" s="25"/>
      <c r="D2794" s="25"/>
      <c r="E2794" s="16"/>
      <c r="F2794" s="18"/>
      <c r="G2794" s="19" t="str">
        <f t="shared" ca="1" si="86"/>
        <v/>
      </c>
      <c r="H2794" s="27"/>
      <c r="I2794" s="27"/>
      <c r="J2794" s="77" t="str">
        <f t="shared" ca="1" si="87"/>
        <v/>
      </c>
      <c r="K2794" s="23">
        <f>IF(A2794="","",COUNTIFS(Resumen!$N$2:$N$2999,ROW(),Resumen!$V$2:$V$2999,1))</f>
        <v/>
      </c>
      <c r="L2794" s="26"/>
      <c r="N27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5" spans="1:14">
      <c r="A2795" s="16"/>
      <c r="B2795" s="16"/>
      <c r="C2795" s="25"/>
      <c r="D2795" s="25"/>
      <c r="E2795" s="16"/>
      <c r="F2795" s="18"/>
      <c r="G2795" s="19" t="str">
        <f t="shared" ca="1" si="86"/>
        <v/>
      </c>
      <c r="H2795" s="27"/>
      <c r="I2795" s="27"/>
      <c r="J2795" s="77" t="str">
        <f t="shared" ca="1" si="87"/>
        <v/>
      </c>
      <c r="K2795" s="23">
        <f>IF(A2795="","",COUNTIFS(Resumen!$N$2:$N$2999,ROW(),Resumen!$V$2:$V$2999,1))</f>
        <v/>
      </c>
      <c r="L2795" s="26"/>
      <c r="N27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6" spans="1:14">
      <c r="A2796" s="16"/>
      <c r="B2796" s="16"/>
      <c r="C2796" s="25"/>
      <c r="D2796" s="25"/>
      <c r="E2796" s="16"/>
      <c r="F2796" s="18"/>
      <c r="G2796" s="19" t="str">
        <f t="shared" ca="1" si="86"/>
        <v/>
      </c>
      <c r="H2796" s="27"/>
      <c r="I2796" s="27"/>
      <c r="J2796" s="77" t="str">
        <f t="shared" ca="1" si="87"/>
        <v/>
      </c>
      <c r="K2796" s="23">
        <f>IF(A2796="","",COUNTIFS(Resumen!$N$2:$N$2999,ROW(),Resumen!$V$2:$V$2999,1))</f>
        <v/>
      </c>
      <c r="L2796" s="26"/>
      <c r="N27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7" spans="1:14">
      <c r="A2797" s="16"/>
      <c r="B2797" s="16"/>
      <c r="C2797" s="25"/>
      <c r="D2797" s="25"/>
      <c r="E2797" s="16"/>
      <c r="F2797" s="18"/>
      <c r="G2797" s="19" t="str">
        <f t="shared" ca="1" si="86"/>
        <v/>
      </c>
      <c r="H2797" s="27"/>
      <c r="I2797" s="27"/>
      <c r="J2797" s="77" t="str">
        <f t="shared" ca="1" si="87"/>
        <v/>
      </c>
      <c r="K2797" s="23">
        <f>IF(A2797="","",COUNTIFS(Resumen!$N$2:$N$2999,ROW(),Resumen!$V$2:$V$2999,1))</f>
        <v/>
      </c>
      <c r="L2797" s="26"/>
      <c r="N27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8" spans="1:14">
      <c r="A2798" s="16"/>
      <c r="B2798" s="16"/>
      <c r="C2798" s="25"/>
      <c r="D2798" s="25"/>
      <c r="E2798" s="16"/>
      <c r="F2798" s="18"/>
      <c r="G2798" s="19" t="str">
        <f t="shared" ca="1" si="86"/>
        <v/>
      </c>
      <c r="H2798" s="27"/>
      <c r="I2798" s="27"/>
      <c r="J2798" s="77" t="str">
        <f t="shared" ca="1" si="87"/>
        <v/>
      </c>
      <c r="K2798" s="23">
        <f>IF(A2798="","",COUNTIFS(Resumen!$N$2:$N$2999,ROW(),Resumen!$V$2:$V$2999,1))</f>
        <v/>
      </c>
      <c r="L2798" s="26"/>
      <c r="N27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799" spans="1:14">
      <c r="A2799" s="16"/>
      <c r="B2799" s="16"/>
      <c r="C2799" s="25"/>
      <c r="D2799" s="25"/>
      <c r="E2799" s="16"/>
      <c r="F2799" s="18"/>
      <c r="G2799" s="19" t="str">
        <f t="shared" ca="1" si="86"/>
        <v/>
      </c>
      <c r="H2799" s="27"/>
      <c r="I2799" s="27"/>
      <c r="J2799" s="77" t="str">
        <f t="shared" ca="1" si="87"/>
        <v/>
      </c>
      <c r="K2799" s="23">
        <f>IF(A2799="","",COUNTIFS(Resumen!$N$2:$N$2999,ROW(),Resumen!$V$2:$V$2999,1))</f>
        <v/>
      </c>
      <c r="L2799" s="26"/>
      <c r="N27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0" spans="1:14">
      <c r="A2800" s="16"/>
      <c r="B2800" s="16"/>
      <c r="C2800" s="25"/>
      <c r="D2800" s="25"/>
      <c r="E2800" s="16"/>
      <c r="F2800" s="18"/>
      <c r="G2800" s="19" t="str">
        <f t="shared" ca="1" si="86"/>
        <v/>
      </c>
      <c r="H2800" s="27"/>
      <c r="I2800" s="27"/>
      <c r="J2800" s="77" t="str">
        <f t="shared" ca="1" si="87"/>
        <v/>
      </c>
      <c r="K2800" s="23">
        <f>IF(A2800="","",COUNTIFS(Resumen!$N$2:$N$2999,ROW(),Resumen!$V$2:$V$2999,1))</f>
        <v/>
      </c>
      <c r="L2800" s="26"/>
      <c r="N28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1" spans="1:14">
      <c r="A2801" s="16"/>
      <c r="B2801" s="16"/>
      <c r="C2801" s="25"/>
      <c r="D2801" s="25"/>
      <c r="E2801" s="16"/>
      <c r="F2801" s="18"/>
      <c r="G2801" s="19" t="str">
        <f t="shared" ca="1" si="86"/>
        <v/>
      </c>
      <c r="H2801" s="27"/>
      <c r="I2801" s="27"/>
      <c r="J2801" s="77" t="str">
        <f t="shared" ca="1" si="87"/>
        <v/>
      </c>
      <c r="K2801" s="23">
        <f>IF(A2801="","",COUNTIFS(Resumen!$N$2:$N$2999,ROW(),Resumen!$V$2:$V$2999,1))</f>
        <v/>
      </c>
      <c r="L2801" s="26"/>
      <c r="N28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2" spans="1:14">
      <c r="A2802" s="16"/>
      <c r="B2802" s="16"/>
      <c r="C2802" s="25"/>
      <c r="D2802" s="25"/>
      <c r="E2802" s="16"/>
      <c r="F2802" s="18"/>
      <c r="G2802" s="19" t="str">
        <f t="shared" ca="1" si="86"/>
        <v/>
      </c>
      <c r="H2802" s="27"/>
      <c r="I2802" s="27"/>
      <c r="J2802" s="77" t="str">
        <f t="shared" ca="1" si="87"/>
        <v/>
      </c>
      <c r="K2802" s="23">
        <f>IF(A2802="","",COUNTIFS(Resumen!$N$2:$N$2999,ROW(),Resumen!$V$2:$V$2999,1))</f>
        <v/>
      </c>
      <c r="L2802" s="26"/>
      <c r="N28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3" spans="1:14">
      <c r="A2803" s="16"/>
      <c r="B2803" s="16"/>
      <c r="C2803" s="25"/>
      <c r="D2803" s="25"/>
      <c r="E2803" s="16"/>
      <c r="F2803" s="18"/>
      <c r="G2803" s="19" t="str">
        <f t="shared" ca="1" si="86"/>
        <v/>
      </c>
      <c r="H2803" s="27"/>
      <c r="I2803" s="27"/>
      <c r="J2803" s="77" t="str">
        <f t="shared" ca="1" si="87"/>
        <v/>
      </c>
      <c r="K2803" s="23">
        <f>IF(A2803="","",COUNTIFS(Resumen!$N$2:$N$2999,ROW(),Resumen!$V$2:$V$2999,1))</f>
        <v/>
      </c>
      <c r="L2803" s="26"/>
      <c r="N28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4" spans="1:14">
      <c r="A2804" s="16"/>
      <c r="B2804" s="16"/>
      <c r="C2804" s="25"/>
      <c r="D2804" s="25"/>
      <c r="E2804" s="16"/>
      <c r="F2804" s="18"/>
      <c r="G2804" s="19" t="str">
        <f t="shared" ca="1" si="86"/>
        <v/>
      </c>
      <c r="H2804" s="27"/>
      <c r="I2804" s="27"/>
      <c r="J2804" s="77" t="str">
        <f t="shared" ca="1" si="87"/>
        <v/>
      </c>
      <c r="K2804" s="23">
        <f>IF(A2804="","",COUNTIFS(Resumen!$N$2:$N$2999,ROW(),Resumen!$V$2:$V$2999,1))</f>
        <v/>
      </c>
      <c r="L2804" s="26"/>
      <c r="N28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5" spans="1:14">
      <c r="A2805" s="16"/>
      <c r="B2805" s="16"/>
      <c r="C2805" s="25"/>
      <c r="D2805" s="25"/>
      <c r="E2805" s="16"/>
      <c r="F2805" s="18"/>
      <c r="G2805" s="19" t="str">
        <f t="shared" ca="1" si="86"/>
        <v/>
      </c>
      <c r="H2805" s="27"/>
      <c r="I2805" s="27"/>
      <c r="J2805" s="77" t="str">
        <f t="shared" ca="1" si="87"/>
        <v/>
      </c>
      <c r="K2805" s="23">
        <f>IF(A2805="","",COUNTIFS(Resumen!$N$2:$N$2999,ROW(),Resumen!$V$2:$V$2999,1))</f>
        <v/>
      </c>
      <c r="L2805" s="26"/>
      <c r="N28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6" spans="1:14">
      <c r="A2806" s="16"/>
      <c r="B2806" s="16"/>
      <c r="C2806" s="25"/>
      <c r="D2806" s="25"/>
      <c r="E2806" s="16"/>
      <c r="F2806" s="18"/>
      <c r="G2806" s="19" t="str">
        <f t="shared" ca="1" si="86"/>
        <v/>
      </c>
      <c r="H2806" s="27"/>
      <c r="I2806" s="27"/>
      <c r="J2806" s="77" t="str">
        <f t="shared" ca="1" si="87"/>
        <v/>
      </c>
      <c r="K2806" s="23">
        <f>IF(A2806="","",COUNTIFS(Resumen!$N$2:$N$2999,ROW(),Resumen!$V$2:$V$2999,1))</f>
        <v/>
      </c>
      <c r="L2806" s="26"/>
      <c r="N28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7" spans="1:14">
      <c r="A2807" s="16"/>
      <c r="B2807" s="16"/>
      <c r="C2807" s="25"/>
      <c r="D2807" s="25"/>
      <c r="E2807" s="16"/>
      <c r="F2807" s="18"/>
      <c r="G2807" s="19" t="str">
        <f t="shared" ca="1" si="86"/>
        <v/>
      </c>
      <c r="H2807" s="27"/>
      <c r="I2807" s="27"/>
      <c r="J2807" s="77" t="str">
        <f t="shared" ca="1" si="87"/>
        <v/>
      </c>
      <c r="K2807" s="23">
        <f>IF(A2807="","",COUNTIFS(Resumen!$N$2:$N$2999,ROW(),Resumen!$V$2:$V$2999,1))</f>
        <v/>
      </c>
      <c r="L2807" s="26"/>
      <c r="N28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8" spans="1:14">
      <c r="A2808" s="16"/>
      <c r="B2808" s="16"/>
      <c r="C2808" s="25"/>
      <c r="D2808" s="25"/>
      <c r="E2808" s="16"/>
      <c r="F2808" s="18"/>
      <c r="G2808" s="19" t="str">
        <f t="shared" ca="1" si="86"/>
        <v/>
      </c>
      <c r="H2808" s="27"/>
      <c r="I2808" s="27"/>
      <c r="J2808" s="77" t="str">
        <f t="shared" ca="1" si="87"/>
        <v/>
      </c>
      <c r="K2808" s="23">
        <f>IF(A2808="","",COUNTIFS(Resumen!$N$2:$N$2999,ROW(),Resumen!$V$2:$V$2999,1))</f>
        <v/>
      </c>
      <c r="L2808" s="26"/>
      <c r="N28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09" spans="1:14">
      <c r="A2809" s="16"/>
      <c r="B2809" s="16"/>
      <c r="C2809" s="25"/>
      <c r="D2809" s="25"/>
      <c r="E2809" s="16"/>
      <c r="F2809" s="18"/>
      <c r="G2809" s="19" t="str">
        <f t="shared" ca="1" si="86"/>
        <v/>
      </c>
      <c r="H2809" s="27"/>
      <c r="I2809" s="27"/>
      <c r="J2809" s="77" t="str">
        <f t="shared" ca="1" si="87"/>
        <v/>
      </c>
      <c r="K2809" s="23">
        <f>IF(A2809="","",COUNTIFS(Resumen!$N$2:$N$2999,ROW(),Resumen!$V$2:$V$2999,1))</f>
        <v/>
      </c>
      <c r="L2809" s="26"/>
      <c r="N28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0" spans="1:14">
      <c r="A2810" s="16"/>
      <c r="B2810" s="16"/>
      <c r="C2810" s="25"/>
      <c r="D2810" s="25"/>
      <c r="E2810" s="16"/>
      <c r="F2810" s="18"/>
      <c r="G2810" s="19" t="str">
        <f t="shared" ca="1" si="86"/>
        <v/>
      </c>
      <c r="H2810" s="27"/>
      <c r="I2810" s="27"/>
      <c r="J2810" s="77" t="str">
        <f t="shared" ca="1" si="87"/>
        <v/>
      </c>
      <c r="K2810" s="23">
        <f>IF(A2810="","",COUNTIFS(Resumen!$N$2:$N$2999,ROW(),Resumen!$V$2:$V$2999,1))</f>
        <v/>
      </c>
      <c r="L2810" s="26"/>
      <c r="N28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1" spans="1:14">
      <c r="A2811" s="16"/>
      <c r="B2811" s="16"/>
      <c r="C2811" s="25"/>
      <c r="D2811" s="25"/>
      <c r="E2811" s="16"/>
      <c r="F2811" s="18"/>
      <c r="G2811" s="19" t="str">
        <f t="shared" ca="1" si="86"/>
        <v/>
      </c>
      <c r="H2811" s="27"/>
      <c r="I2811" s="27"/>
      <c r="J2811" s="77" t="str">
        <f t="shared" ca="1" si="87"/>
        <v/>
      </c>
      <c r="K2811" s="23">
        <f>IF(A2811="","",COUNTIFS(Resumen!$N$2:$N$2999,ROW(),Resumen!$V$2:$V$2999,1))</f>
        <v/>
      </c>
      <c r="L2811" s="26"/>
      <c r="N28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2" spans="1:14">
      <c r="A2812" s="16"/>
      <c r="B2812" s="16"/>
      <c r="C2812" s="25"/>
      <c r="D2812" s="25"/>
      <c r="E2812" s="16"/>
      <c r="F2812" s="18"/>
      <c r="G2812" s="19" t="str">
        <f t="shared" ca="1" si="86"/>
        <v/>
      </c>
      <c r="H2812" s="27"/>
      <c r="I2812" s="27"/>
      <c r="J2812" s="77" t="str">
        <f t="shared" ca="1" si="87"/>
        <v/>
      </c>
      <c r="K2812" s="23">
        <f>IF(A2812="","",COUNTIFS(Resumen!$N$2:$N$2999,ROW(),Resumen!$V$2:$V$2999,1))</f>
        <v/>
      </c>
      <c r="L2812" s="26"/>
      <c r="N28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3" spans="1:14">
      <c r="A2813" s="16"/>
      <c r="B2813" s="16"/>
      <c r="C2813" s="25"/>
      <c r="D2813" s="25"/>
      <c r="E2813" s="16"/>
      <c r="F2813" s="18"/>
      <c r="G2813" s="19" t="str">
        <f t="shared" ca="1" si="86"/>
        <v/>
      </c>
      <c r="H2813" s="27"/>
      <c r="I2813" s="27"/>
      <c r="J2813" s="77" t="str">
        <f t="shared" ca="1" si="87"/>
        <v/>
      </c>
      <c r="K2813" s="23">
        <f>IF(A2813="","",COUNTIFS(Resumen!$N$2:$N$2999,ROW(),Resumen!$V$2:$V$2999,1))</f>
        <v/>
      </c>
      <c r="L2813" s="26"/>
      <c r="N28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4" spans="1:14">
      <c r="A2814" s="16"/>
      <c r="B2814" s="16"/>
      <c r="C2814" s="25"/>
      <c r="D2814" s="25"/>
      <c r="E2814" s="16"/>
      <c r="F2814" s="18"/>
      <c r="G2814" s="19" t="str">
        <f t="shared" ca="1" si="86"/>
        <v/>
      </c>
      <c r="H2814" s="27"/>
      <c r="I2814" s="27"/>
      <c r="J2814" s="77" t="str">
        <f t="shared" ca="1" si="87"/>
        <v/>
      </c>
      <c r="K2814" s="23">
        <f>IF(A2814="","",COUNTIFS(Resumen!$N$2:$N$2999,ROW(),Resumen!$V$2:$V$2999,1))</f>
        <v/>
      </c>
      <c r="L2814" s="26"/>
      <c r="N28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5" spans="1:14">
      <c r="A2815" s="16"/>
      <c r="B2815" s="16"/>
      <c r="C2815" s="25"/>
      <c r="D2815" s="25"/>
      <c r="E2815" s="16"/>
      <c r="F2815" s="18"/>
      <c r="G2815" s="19" t="str">
        <f t="shared" ca="1" si="86"/>
        <v/>
      </c>
      <c r="H2815" s="27"/>
      <c r="I2815" s="27"/>
      <c r="J2815" s="77" t="str">
        <f t="shared" ca="1" si="87"/>
        <v/>
      </c>
      <c r="K2815" s="23">
        <f>IF(A2815="","",COUNTIFS(Resumen!$N$2:$N$2999,ROW(),Resumen!$V$2:$V$2999,1))</f>
        <v/>
      </c>
      <c r="L2815" s="26"/>
      <c r="N28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6" spans="1:14">
      <c r="A2816" s="16"/>
      <c r="B2816" s="16"/>
      <c r="C2816" s="25"/>
      <c r="D2816" s="25"/>
      <c r="E2816" s="16"/>
      <c r="F2816" s="18"/>
      <c r="G2816" s="19" t="str">
        <f t="shared" ca="1" si="86"/>
        <v/>
      </c>
      <c r="H2816" s="27"/>
      <c r="I2816" s="27"/>
      <c r="J2816" s="77" t="str">
        <f t="shared" ca="1" si="87"/>
        <v/>
      </c>
      <c r="K2816" s="23">
        <f>IF(A2816="","",COUNTIFS(Resumen!$N$2:$N$2999,ROW(),Resumen!$V$2:$V$2999,1))</f>
        <v/>
      </c>
      <c r="L2816" s="26"/>
      <c r="N28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7" spans="1:14">
      <c r="A2817" s="16"/>
      <c r="B2817" s="16"/>
      <c r="C2817" s="25"/>
      <c r="D2817" s="25"/>
      <c r="E2817" s="16"/>
      <c r="F2817" s="18"/>
      <c r="G2817" s="19" t="str">
        <f t="shared" ca="1" si="86"/>
        <v/>
      </c>
      <c r="H2817" s="27"/>
      <c r="I2817" s="27"/>
      <c r="J2817" s="77" t="str">
        <f t="shared" ca="1" si="87"/>
        <v/>
      </c>
      <c r="K2817" s="23">
        <f>IF(A2817="","",COUNTIFS(Resumen!$N$2:$N$2999,ROW(),Resumen!$V$2:$V$2999,1))</f>
        <v/>
      </c>
      <c r="L2817" s="26"/>
      <c r="N28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8" spans="1:14">
      <c r="A2818" s="16"/>
      <c r="B2818" s="16"/>
      <c r="C2818" s="25"/>
      <c r="D2818" s="25"/>
      <c r="E2818" s="16"/>
      <c r="F2818" s="18"/>
      <c r="G2818" s="19" t="str">
        <f t="shared" ref="G2818:G2881" ca="1" si="88">IF(F2818="", "", DATEDIF(F2818, TODAY(), "Y"))</f>
        <v/>
      </c>
      <c r="H2818" s="27"/>
      <c r="I2818" s="27"/>
      <c r="J2818" s="77" t="str">
        <f t="shared" ref="J2818:J2881" ca="1" si="89">IFERROR(IF(ISNUMBER(INDEX(VigenciasFamilia,ROW())),INDEX(VigenciasFamilia,ROW())-TODAY(),""),"")</f>
        <v/>
      </c>
      <c r="K2818" s="23">
        <f>IF(A2818="","",COUNTIFS(Resumen!$N$2:$N$2999,ROW(),Resumen!$V$2:$V$2999,1))</f>
        <v/>
      </c>
      <c r="L2818" s="26"/>
      <c r="N28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19" spans="1:14">
      <c r="A2819" s="16"/>
      <c r="B2819" s="16"/>
      <c r="C2819" s="25"/>
      <c r="D2819" s="25"/>
      <c r="E2819" s="16"/>
      <c r="F2819" s="18"/>
      <c r="G2819" s="19" t="str">
        <f t="shared" ca="1" si="88"/>
        <v/>
      </c>
      <c r="H2819" s="27"/>
      <c r="I2819" s="27"/>
      <c r="J2819" s="77" t="str">
        <f t="shared" ca="1" si="89"/>
        <v/>
      </c>
      <c r="K2819" s="23">
        <f>IF(A2819="","",COUNTIFS(Resumen!$N$2:$N$2999,ROW(),Resumen!$V$2:$V$2999,1))</f>
        <v/>
      </c>
      <c r="L2819" s="26"/>
      <c r="N28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0" spans="1:14">
      <c r="A2820" s="16"/>
      <c r="B2820" s="16"/>
      <c r="C2820" s="25"/>
      <c r="D2820" s="25"/>
      <c r="E2820" s="16"/>
      <c r="F2820" s="18"/>
      <c r="G2820" s="19" t="str">
        <f t="shared" ca="1" si="88"/>
        <v/>
      </c>
      <c r="H2820" s="27"/>
      <c r="I2820" s="27"/>
      <c r="J2820" s="77" t="str">
        <f t="shared" ca="1" si="89"/>
        <v/>
      </c>
      <c r="K2820" s="23">
        <f>IF(A2820="","",COUNTIFS(Resumen!$N$2:$N$2999,ROW(),Resumen!$V$2:$V$2999,1))</f>
        <v/>
      </c>
      <c r="L2820" s="26"/>
      <c r="N28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1" spans="1:14">
      <c r="A2821" s="16"/>
      <c r="B2821" s="16"/>
      <c r="C2821" s="25"/>
      <c r="D2821" s="25"/>
      <c r="E2821" s="16"/>
      <c r="F2821" s="18"/>
      <c r="G2821" s="19" t="str">
        <f t="shared" ca="1" si="88"/>
        <v/>
      </c>
      <c r="H2821" s="27"/>
      <c r="I2821" s="27"/>
      <c r="J2821" s="77" t="str">
        <f t="shared" ca="1" si="89"/>
        <v/>
      </c>
      <c r="K2821" s="23">
        <f>IF(A2821="","",COUNTIFS(Resumen!$N$2:$N$2999,ROW(),Resumen!$V$2:$V$2999,1))</f>
        <v/>
      </c>
      <c r="L2821" s="26"/>
      <c r="N28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2" spans="1:14">
      <c r="A2822" s="16"/>
      <c r="B2822" s="16"/>
      <c r="C2822" s="25"/>
      <c r="D2822" s="25"/>
      <c r="E2822" s="16"/>
      <c r="F2822" s="18"/>
      <c r="G2822" s="19" t="str">
        <f t="shared" ca="1" si="88"/>
        <v/>
      </c>
      <c r="H2822" s="27"/>
      <c r="I2822" s="27"/>
      <c r="J2822" s="77" t="str">
        <f t="shared" ca="1" si="89"/>
        <v/>
      </c>
      <c r="K2822" s="23">
        <f>IF(A2822="","",COUNTIFS(Resumen!$N$2:$N$2999,ROW(),Resumen!$V$2:$V$2999,1))</f>
        <v/>
      </c>
      <c r="L2822" s="26"/>
      <c r="N28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3" spans="1:14">
      <c r="A2823" s="16"/>
      <c r="B2823" s="16"/>
      <c r="C2823" s="25"/>
      <c r="D2823" s="25"/>
      <c r="E2823" s="16"/>
      <c r="F2823" s="18"/>
      <c r="G2823" s="19" t="str">
        <f t="shared" ca="1" si="88"/>
        <v/>
      </c>
      <c r="H2823" s="27"/>
      <c r="I2823" s="27"/>
      <c r="J2823" s="77" t="str">
        <f t="shared" ca="1" si="89"/>
        <v/>
      </c>
      <c r="K2823" s="23">
        <f>IF(A2823="","",COUNTIFS(Resumen!$N$2:$N$2999,ROW(),Resumen!$V$2:$V$2999,1))</f>
        <v/>
      </c>
      <c r="L2823" s="26"/>
      <c r="N28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4" spans="1:14">
      <c r="A2824" s="16"/>
      <c r="B2824" s="16"/>
      <c r="C2824" s="25"/>
      <c r="D2824" s="25"/>
      <c r="E2824" s="16"/>
      <c r="F2824" s="18"/>
      <c r="G2824" s="19" t="str">
        <f t="shared" ca="1" si="88"/>
        <v/>
      </c>
      <c r="H2824" s="27"/>
      <c r="I2824" s="27"/>
      <c r="J2824" s="77" t="str">
        <f t="shared" ca="1" si="89"/>
        <v/>
      </c>
      <c r="K2824" s="23">
        <f>IF(A2824="","",COUNTIFS(Resumen!$N$2:$N$2999,ROW(),Resumen!$V$2:$V$2999,1))</f>
        <v/>
      </c>
      <c r="L2824" s="26"/>
      <c r="N28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5" spans="1:14">
      <c r="A2825" s="16"/>
      <c r="B2825" s="16"/>
      <c r="C2825" s="25"/>
      <c r="D2825" s="25"/>
      <c r="E2825" s="16"/>
      <c r="F2825" s="18"/>
      <c r="G2825" s="19" t="str">
        <f t="shared" ca="1" si="88"/>
        <v/>
      </c>
      <c r="H2825" s="27"/>
      <c r="I2825" s="27"/>
      <c r="J2825" s="77" t="str">
        <f t="shared" ca="1" si="89"/>
        <v/>
      </c>
      <c r="K2825" s="23">
        <f>IF(A2825="","",COUNTIFS(Resumen!$N$2:$N$2999,ROW(),Resumen!$V$2:$V$2999,1))</f>
        <v/>
      </c>
      <c r="L2825" s="26"/>
      <c r="N28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6" spans="1:14">
      <c r="A2826" s="16"/>
      <c r="B2826" s="16"/>
      <c r="C2826" s="25"/>
      <c r="D2826" s="25"/>
      <c r="E2826" s="16"/>
      <c r="F2826" s="18"/>
      <c r="G2826" s="19" t="str">
        <f t="shared" ca="1" si="88"/>
        <v/>
      </c>
      <c r="H2826" s="27"/>
      <c r="I2826" s="27"/>
      <c r="J2826" s="77" t="str">
        <f t="shared" ca="1" si="89"/>
        <v/>
      </c>
      <c r="K2826" s="23">
        <f>IF(A2826="","",COUNTIFS(Resumen!$N$2:$N$2999,ROW(),Resumen!$V$2:$V$2999,1))</f>
        <v/>
      </c>
      <c r="L2826" s="26"/>
      <c r="N28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7" spans="1:14">
      <c r="A2827" s="16"/>
      <c r="B2827" s="16"/>
      <c r="C2827" s="25"/>
      <c r="D2827" s="25"/>
      <c r="E2827" s="16"/>
      <c r="F2827" s="18"/>
      <c r="G2827" s="19" t="str">
        <f t="shared" ca="1" si="88"/>
        <v/>
      </c>
      <c r="H2827" s="27"/>
      <c r="I2827" s="27"/>
      <c r="J2827" s="77" t="str">
        <f t="shared" ca="1" si="89"/>
        <v/>
      </c>
      <c r="K2827" s="23">
        <f>IF(A2827="","",COUNTIFS(Resumen!$N$2:$N$2999,ROW(),Resumen!$V$2:$V$2999,1))</f>
        <v/>
      </c>
      <c r="L2827" s="26"/>
      <c r="N28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8" spans="1:14">
      <c r="A2828" s="16"/>
      <c r="B2828" s="16"/>
      <c r="C2828" s="25"/>
      <c r="D2828" s="25"/>
      <c r="E2828" s="16"/>
      <c r="F2828" s="18"/>
      <c r="G2828" s="19" t="str">
        <f t="shared" ca="1" si="88"/>
        <v/>
      </c>
      <c r="H2828" s="27"/>
      <c r="I2828" s="27"/>
      <c r="J2828" s="77" t="str">
        <f t="shared" ca="1" si="89"/>
        <v/>
      </c>
      <c r="K2828" s="23">
        <f>IF(A2828="","",COUNTIFS(Resumen!$N$2:$N$2999,ROW(),Resumen!$V$2:$V$2999,1))</f>
        <v/>
      </c>
      <c r="L2828" s="26"/>
      <c r="N28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29" spans="1:14">
      <c r="A2829" s="16"/>
      <c r="B2829" s="16"/>
      <c r="C2829" s="25"/>
      <c r="D2829" s="25"/>
      <c r="E2829" s="16"/>
      <c r="F2829" s="18"/>
      <c r="G2829" s="19" t="str">
        <f t="shared" ca="1" si="88"/>
        <v/>
      </c>
      <c r="H2829" s="27"/>
      <c r="I2829" s="27"/>
      <c r="J2829" s="77" t="str">
        <f t="shared" ca="1" si="89"/>
        <v/>
      </c>
      <c r="K2829" s="23">
        <f>IF(A2829="","",COUNTIFS(Resumen!$N$2:$N$2999,ROW(),Resumen!$V$2:$V$2999,1))</f>
        <v/>
      </c>
      <c r="L2829" s="26"/>
      <c r="N28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0" spans="1:14">
      <c r="A2830" s="16"/>
      <c r="B2830" s="16"/>
      <c r="C2830" s="25"/>
      <c r="D2830" s="25"/>
      <c r="E2830" s="16"/>
      <c r="F2830" s="18"/>
      <c r="G2830" s="19" t="str">
        <f t="shared" ca="1" si="88"/>
        <v/>
      </c>
      <c r="H2830" s="27"/>
      <c r="I2830" s="27"/>
      <c r="J2830" s="77" t="str">
        <f t="shared" ca="1" si="89"/>
        <v/>
      </c>
      <c r="K2830" s="23">
        <f>IF(A2830="","",COUNTIFS(Resumen!$N$2:$N$2999,ROW(),Resumen!$V$2:$V$2999,1))</f>
        <v/>
      </c>
      <c r="L2830" s="26"/>
      <c r="N28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1" spans="1:14">
      <c r="A2831" s="16"/>
      <c r="B2831" s="16"/>
      <c r="C2831" s="25"/>
      <c r="D2831" s="25"/>
      <c r="E2831" s="16"/>
      <c r="F2831" s="18"/>
      <c r="G2831" s="19" t="str">
        <f t="shared" ca="1" si="88"/>
        <v/>
      </c>
      <c r="H2831" s="27"/>
      <c r="I2831" s="27"/>
      <c r="J2831" s="77" t="str">
        <f t="shared" ca="1" si="89"/>
        <v/>
      </c>
      <c r="K2831" s="23">
        <f>IF(A2831="","",COUNTIFS(Resumen!$N$2:$N$2999,ROW(),Resumen!$V$2:$V$2999,1))</f>
        <v/>
      </c>
      <c r="L2831" s="26"/>
      <c r="N28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2" spans="1:14">
      <c r="A2832" s="16"/>
      <c r="B2832" s="16"/>
      <c r="C2832" s="25"/>
      <c r="D2832" s="25"/>
      <c r="E2832" s="16"/>
      <c r="F2832" s="18"/>
      <c r="G2832" s="19" t="str">
        <f t="shared" ca="1" si="88"/>
        <v/>
      </c>
      <c r="H2832" s="27"/>
      <c r="I2832" s="27"/>
      <c r="J2832" s="77" t="str">
        <f t="shared" ca="1" si="89"/>
        <v/>
      </c>
      <c r="K2832" s="23">
        <f>IF(A2832="","",COUNTIFS(Resumen!$N$2:$N$2999,ROW(),Resumen!$V$2:$V$2999,1))</f>
        <v/>
      </c>
      <c r="L2832" s="26"/>
      <c r="N28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3" spans="1:14">
      <c r="A2833" s="16"/>
      <c r="B2833" s="16"/>
      <c r="C2833" s="25"/>
      <c r="D2833" s="25"/>
      <c r="E2833" s="16"/>
      <c r="F2833" s="18"/>
      <c r="G2833" s="19" t="str">
        <f t="shared" ca="1" si="88"/>
        <v/>
      </c>
      <c r="H2833" s="27"/>
      <c r="I2833" s="27"/>
      <c r="J2833" s="77" t="str">
        <f t="shared" ca="1" si="89"/>
        <v/>
      </c>
      <c r="K2833" s="23">
        <f>IF(A2833="","",COUNTIFS(Resumen!$N$2:$N$2999,ROW(),Resumen!$V$2:$V$2999,1))</f>
        <v/>
      </c>
      <c r="L2833" s="26"/>
      <c r="N28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4" spans="1:14">
      <c r="A2834" s="16"/>
      <c r="B2834" s="16"/>
      <c r="C2834" s="25"/>
      <c r="D2834" s="25"/>
      <c r="E2834" s="16"/>
      <c r="F2834" s="18"/>
      <c r="G2834" s="19" t="str">
        <f t="shared" ca="1" si="88"/>
        <v/>
      </c>
      <c r="H2834" s="27"/>
      <c r="I2834" s="27"/>
      <c r="J2834" s="77" t="str">
        <f t="shared" ca="1" si="89"/>
        <v/>
      </c>
      <c r="K2834" s="23">
        <f>IF(A2834="","",COUNTIFS(Resumen!$N$2:$N$2999,ROW(),Resumen!$V$2:$V$2999,1))</f>
        <v/>
      </c>
      <c r="L2834" s="26"/>
      <c r="N28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5" spans="1:14">
      <c r="A2835" s="16"/>
      <c r="B2835" s="16"/>
      <c r="C2835" s="25"/>
      <c r="D2835" s="25"/>
      <c r="E2835" s="16"/>
      <c r="F2835" s="18"/>
      <c r="G2835" s="19" t="str">
        <f t="shared" ca="1" si="88"/>
        <v/>
      </c>
      <c r="H2835" s="27"/>
      <c r="I2835" s="27"/>
      <c r="J2835" s="77" t="str">
        <f t="shared" ca="1" si="89"/>
        <v/>
      </c>
      <c r="K2835" s="23">
        <f>IF(A2835="","",COUNTIFS(Resumen!$N$2:$N$2999,ROW(),Resumen!$V$2:$V$2999,1))</f>
        <v/>
      </c>
      <c r="L2835" s="26"/>
      <c r="N28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6" spans="1:14">
      <c r="A2836" s="16"/>
      <c r="B2836" s="16"/>
      <c r="C2836" s="25"/>
      <c r="D2836" s="25"/>
      <c r="E2836" s="16"/>
      <c r="F2836" s="18"/>
      <c r="G2836" s="19" t="str">
        <f t="shared" ca="1" si="88"/>
        <v/>
      </c>
      <c r="H2836" s="27"/>
      <c r="I2836" s="27"/>
      <c r="J2836" s="77" t="str">
        <f t="shared" ca="1" si="89"/>
        <v/>
      </c>
      <c r="K2836" s="23">
        <f>IF(A2836="","",COUNTIFS(Resumen!$N$2:$N$2999,ROW(),Resumen!$V$2:$V$2999,1))</f>
        <v/>
      </c>
      <c r="L2836" s="26"/>
      <c r="N28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7" spans="1:14">
      <c r="A2837" s="16"/>
      <c r="B2837" s="16"/>
      <c r="C2837" s="25"/>
      <c r="D2837" s="25"/>
      <c r="E2837" s="16"/>
      <c r="F2837" s="18"/>
      <c r="G2837" s="19" t="str">
        <f t="shared" ca="1" si="88"/>
        <v/>
      </c>
      <c r="H2837" s="27"/>
      <c r="I2837" s="27"/>
      <c r="J2837" s="77" t="str">
        <f t="shared" ca="1" si="89"/>
        <v/>
      </c>
      <c r="K2837" s="23">
        <f>IF(A2837="","",COUNTIFS(Resumen!$N$2:$N$2999,ROW(),Resumen!$V$2:$V$2999,1))</f>
        <v/>
      </c>
      <c r="L2837" s="26"/>
      <c r="N28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8" spans="1:14">
      <c r="A2838" s="16"/>
      <c r="B2838" s="16"/>
      <c r="C2838" s="25"/>
      <c r="D2838" s="25"/>
      <c r="E2838" s="16"/>
      <c r="F2838" s="18"/>
      <c r="G2838" s="19" t="str">
        <f t="shared" ca="1" si="88"/>
        <v/>
      </c>
      <c r="H2838" s="27"/>
      <c r="I2838" s="27"/>
      <c r="J2838" s="77" t="str">
        <f t="shared" ca="1" si="89"/>
        <v/>
      </c>
      <c r="K2838" s="23">
        <f>IF(A2838="","",COUNTIFS(Resumen!$N$2:$N$2999,ROW(),Resumen!$V$2:$V$2999,1))</f>
        <v/>
      </c>
      <c r="L2838" s="26"/>
      <c r="N28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39" spans="1:14">
      <c r="A2839" s="16"/>
      <c r="B2839" s="16"/>
      <c r="C2839" s="25"/>
      <c r="D2839" s="25"/>
      <c r="E2839" s="16"/>
      <c r="F2839" s="18"/>
      <c r="G2839" s="19" t="str">
        <f t="shared" ca="1" si="88"/>
        <v/>
      </c>
      <c r="H2839" s="27"/>
      <c r="I2839" s="27"/>
      <c r="J2839" s="77" t="str">
        <f t="shared" ca="1" si="89"/>
        <v/>
      </c>
      <c r="K2839" s="23">
        <f>IF(A2839="","",COUNTIFS(Resumen!$N$2:$N$2999,ROW(),Resumen!$V$2:$V$2999,1))</f>
        <v/>
      </c>
      <c r="L2839" s="26"/>
      <c r="N28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0" spans="1:14">
      <c r="A2840" s="16"/>
      <c r="B2840" s="16"/>
      <c r="C2840" s="25"/>
      <c r="D2840" s="25"/>
      <c r="E2840" s="16"/>
      <c r="F2840" s="18"/>
      <c r="G2840" s="19" t="str">
        <f t="shared" ca="1" si="88"/>
        <v/>
      </c>
      <c r="H2840" s="27"/>
      <c r="I2840" s="27"/>
      <c r="J2840" s="77" t="str">
        <f t="shared" ca="1" si="89"/>
        <v/>
      </c>
      <c r="K2840" s="23">
        <f>IF(A2840="","",COUNTIFS(Resumen!$N$2:$N$2999,ROW(),Resumen!$V$2:$V$2999,1))</f>
        <v/>
      </c>
      <c r="L2840" s="26"/>
      <c r="N28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1" spans="1:14">
      <c r="A2841" s="16"/>
      <c r="B2841" s="16"/>
      <c r="C2841" s="25"/>
      <c r="D2841" s="25"/>
      <c r="E2841" s="16"/>
      <c r="F2841" s="18"/>
      <c r="G2841" s="19" t="str">
        <f t="shared" ca="1" si="88"/>
        <v/>
      </c>
      <c r="H2841" s="27"/>
      <c r="I2841" s="27"/>
      <c r="J2841" s="77" t="str">
        <f t="shared" ca="1" si="89"/>
        <v/>
      </c>
      <c r="K2841" s="23">
        <f>IF(A2841="","",COUNTIFS(Resumen!$N$2:$N$2999,ROW(),Resumen!$V$2:$V$2999,1))</f>
        <v/>
      </c>
      <c r="L2841" s="26"/>
      <c r="N28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2" spans="1:14">
      <c r="A2842" s="16"/>
      <c r="B2842" s="16"/>
      <c r="C2842" s="25"/>
      <c r="D2842" s="25"/>
      <c r="E2842" s="16"/>
      <c r="F2842" s="18"/>
      <c r="G2842" s="19" t="str">
        <f t="shared" ca="1" si="88"/>
        <v/>
      </c>
      <c r="H2842" s="27"/>
      <c r="I2842" s="27"/>
      <c r="J2842" s="77" t="str">
        <f t="shared" ca="1" si="89"/>
        <v/>
      </c>
      <c r="K2842" s="23">
        <f>IF(A2842="","",COUNTIFS(Resumen!$N$2:$N$2999,ROW(),Resumen!$V$2:$V$2999,1))</f>
        <v/>
      </c>
      <c r="L2842" s="26"/>
      <c r="N28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3" spans="1:14">
      <c r="A2843" s="16"/>
      <c r="B2843" s="16"/>
      <c r="C2843" s="25"/>
      <c r="D2843" s="25"/>
      <c r="E2843" s="16"/>
      <c r="F2843" s="18"/>
      <c r="G2843" s="19" t="str">
        <f t="shared" ca="1" si="88"/>
        <v/>
      </c>
      <c r="H2843" s="27"/>
      <c r="I2843" s="27"/>
      <c r="J2843" s="77" t="str">
        <f t="shared" ca="1" si="89"/>
        <v/>
      </c>
      <c r="K2843" s="23">
        <f>IF(A2843="","",COUNTIFS(Resumen!$N$2:$N$2999,ROW(),Resumen!$V$2:$V$2999,1))</f>
        <v/>
      </c>
      <c r="L2843" s="26"/>
      <c r="N28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4" spans="1:14">
      <c r="A2844" s="16"/>
      <c r="B2844" s="16"/>
      <c r="C2844" s="25"/>
      <c r="D2844" s="25"/>
      <c r="E2844" s="16"/>
      <c r="F2844" s="18"/>
      <c r="G2844" s="19" t="str">
        <f t="shared" ca="1" si="88"/>
        <v/>
      </c>
      <c r="H2844" s="27"/>
      <c r="I2844" s="27"/>
      <c r="J2844" s="77" t="str">
        <f t="shared" ca="1" si="89"/>
        <v/>
      </c>
      <c r="K2844" s="23">
        <f>IF(A2844="","",COUNTIFS(Resumen!$N$2:$N$2999,ROW(),Resumen!$V$2:$V$2999,1))</f>
        <v/>
      </c>
      <c r="L2844" s="26"/>
      <c r="N28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5" spans="1:14">
      <c r="A2845" s="16"/>
      <c r="B2845" s="16"/>
      <c r="C2845" s="25"/>
      <c r="D2845" s="25"/>
      <c r="E2845" s="16"/>
      <c r="F2845" s="18"/>
      <c r="G2845" s="19" t="str">
        <f t="shared" ca="1" si="88"/>
        <v/>
      </c>
      <c r="H2845" s="27"/>
      <c r="I2845" s="27"/>
      <c r="J2845" s="77" t="str">
        <f t="shared" ca="1" si="89"/>
        <v/>
      </c>
      <c r="K2845" s="23">
        <f>IF(A2845="","",COUNTIFS(Resumen!$N$2:$N$2999,ROW(),Resumen!$V$2:$V$2999,1))</f>
        <v/>
      </c>
      <c r="L2845" s="26"/>
      <c r="N28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6" spans="1:14">
      <c r="A2846" s="16"/>
      <c r="B2846" s="16"/>
      <c r="C2846" s="25"/>
      <c r="D2846" s="25"/>
      <c r="E2846" s="16"/>
      <c r="F2846" s="18"/>
      <c r="G2846" s="19" t="str">
        <f t="shared" ca="1" si="88"/>
        <v/>
      </c>
      <c r="H2846" s="27"/>
      <c r="I2846" s="27"/>
      <c r="J2846" s="77" t="str">
        <f t="shared" ca="1" si="89"/>
        <v/>
      </c>
      <c r="K2846" s="23">
        <f>IF(A2846="","",COUNTIFS(Resumen!$N$2:$N$2999,ROW(),Resumen!$V$2:$V$2999,1))</f>
        <v/>
      </c>
      <c r="L2846" s="26"/>
      <c r="N28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7" spans="1:14">
      <c r="A2847" s="16"/>
      <c r="B2847" s="16"/>
      <c r="C2847" s="25"/>
      <c r="D2847" s="25"/>
      <c r="E2847" s="16"/>
      <c r="F2847" s="18"/>
      <c r="G2847" s="19" t="str">
        <f t="shared" ca="1" si="88"/>
        <v/>
      </c>
      <c r="H2847" s="27"/>
      <c r="I2847" s="27"/>
      <c r="J2847" s="77" t="str">
        <f t="shared" ca="1" si="89"/>
        <v/>
      </c>
      <c r="K2847" s="23">
        <f>IF(A2847="","",COUNTIFS(Resumen!$N$2:$N$2999,ROW(),Resumen!$V$2:$V$2999,1))</f>
        <v/>
      </c>
      <c r="L2847" s="26"/>
      <c r="N28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8" spans="1:14">
      <c r="A2848" s="16"/>
      <c r="B2848" s="16"/>
      <c r="C2848" s="25"/>
      <c r="D2848" s="25"/>
      <c r="E2848" s="16"/>
      <c r="F2848" s="18"/>
      <c r="G2848" s="19" t="str">
        <f t="shared" ca="1" si="88"/>
        <v/>
      </c>
      <c r="H2848" s="27"/>
      <c r="I2848" s="27"/>
      <c r="J2848" s="77" t="str">
        <f t="shared" ca="1" si="89"/>
        <v/>
      </c>
      <c r="K2848" s="23">
        <f>IF(A2848="","",COUNTIFS(Resumen!$N$2:$N$2999,ROW(),Resumen!$V$2:$V$2999,1))</f>
        <v/>
      </c>
      <c r="L2848" s="26"/>
      <c r="N28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49" spans="1:14">
      <c r="A2849" s="16"/>
      <c r="B2849" s="16"/>
      <c r="C2849" s="25"/>
      <c r="D2849" s="25"/>
      <c r="E2849" s="16"/>
      <c r="F2849" s="18"/>
      <c r="G2849" s="19" t="str">
        <f t="shared" ca="1" si="88"/>
        <v/>
      </c>
      <c r="H2849" s="27"/>
      <c r="I2849" s="27"/>
      <c r="J2849" s="77" t="str">
        <f t="shared" ca="1" si="89"/>
        <v/>
      </c>
      <c r="K2849" s="23">
        <f>IF(A2849="","",COUNTIFS(Resumen!$N$2:$N$2999,ROW(),Resumen!$V$2:$V$2999,1))</f>
        <v/>
      </c>
      <c r="L2849" s="26"/>
      <c r="N28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0" spans="1:14">
      <c r="A2850" s="16"/>
      <c r="B2850" s="16"/>
      <c r="C2850" s="25"/>
      <c r="D2850" s="25"/>
      <c r="E2850" s="16"/>
      <c r="F2850" s="18"/>
      <c r="G2850" s="19" t="str">
        <f t="shared" ca="1" si="88"/>
        <v/>
      </c>
      <c r="H2850" s="27"/>
      <c r="I2850" s="27"/>
      <c r="J2850" s="77" t="str">
        <f t="shared" ca="1" si="89"/>
        <v/>
      </c>
      <c r="K2850" s="23">
        <f>IF(A2850="","",COUNTIFS(Resumen!$N$2:$N$2999,ROW(),Resumen!$V$2:$V$2999,1))</f>
        <v/>
      </c>
      <c r="L2850" s="26"/>
      <c r="N28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1" spans="1:14">
      <c r="A2851" s="16"/>
      <c r="B2851" s="16"/>
      <c r="C2851" s="25"/>
      <c r="D2851" s="25"/>
      <c r="E2851" s="16"/>
      <c r="F2851" s="18"/>
      <c r="G2851" s="19" t="str">
        <f t="shared" ca="1" si="88"/>
        <v/>
      </c>
      <c r="H2851" s="27"/>
      <c r="I2851" s="27"/>
      <c r="J2851" s="77" t="str">
        <f t="shared" ca="1" si="89"/>
        <v/>
      </c>
      <c r="K2851" s="23">
        <f>IF(A2851="","",COUNTIFS(Resumen!$N$2:$N$2999,ROW(),Resumen!$V$2:$V$2999,1))</f>
        <v/>
      </c>
      <c r="L2851" s="26"/>
      <c r="N28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2" spans="1:14">
      <c r="A2852" s="16"/>
      <c r="B2852" s="16"/>
      <c r="C2852" s="25"/>
      <c r="D2852" s="25"/>
      <c r="E2852" s="16"/>
      <c r="F2852" s="18"/>
      <c r="G2852" s="19" t="str">
        <f t="shared" ca="1" si="88"/>
        <v/>
      </c>
      <c r="H2852" s="27"/>
      <c r="I2852" s="27"/>
      <c r="J2852" s="77" t="str">
        <f t="shared" ca="1" si="89"/>
        <v/>
      </c>
      <c r="K2852" s="23">
        <f>IF(A2852="","",COUNTIFS(Resumen!$N$2:$N$2999,ROW(),Resumen!$V$2:$V$2999,1))</f>
        <v/>
      </c>
      <c r="L2852" s="26"/>
      <c r="N28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3" spans="1:14">
      <c r="A2853" s="16"/>
      <c r="B2853" s="16"/>
      <c r="C2853" s="25"/>
      <c r="D2853" s="25"/>
      <c r="E2853" s="16"/>
      <c r="F2853" s="18"/>
      <c r="G2853" s="19" t="str">
        <f t="shared" ca="1" si="88"/>
        <v/>
      </c>
      <c r="H2853" s="27"/>
      <c r="I2853" s="27"/>
      <c r="J2853" s="77" t="str">
        <f t="shared" ca="1" si="89"/>
        <v/>
      </c>
      <c r="K2853" s="23">
        <f>IF(A2853="","",COUNTIFS(Resumen!$N$2:$N$2999,ROW(),Resumen!$V$2:$V$2999,1))</f>
        <v/>
      </c>
      <c r="L2853" s="26"/>
      <c r="N28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4" spans="1:14">
      <c r="A2854" s="16"/>
      <c r="B2854" s="16"/>
      <c r="C2854" s="25"/>
      <c r="D2854" s="25"/>
      <c r="E2854" s="16"/>
      <c r="F2854" s="18"/>
      <c r="G2854" s="19" t="str">
        <f t="shared" ca="1" si="88"/>
        <v/>
      </c>
      <c r="H2854" s="27"/>
      <c r="I2854" s="27"/>
      <c r="J2854" s="77" t="str">
        <f t="shared" ca="1" si="89"/>
        <v/>
      </c>
      <c r="K2854" s="23">
        <f>IF(A2854="","",COUNTIFS(Resumen!$N$2:$N$2999,ROW(),Resumen!$V$2:$V$2999,1))</f>
        <v/>
      </c>
      <c r="L2854" s="26"/>
      <c r="N28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5" spans="1:14">
      <c r="A2855" s="16"/>
      <c r="B2855" s="16"/>
      <c r="C2855" s="25"/>
      <c r="D2855" s="25"/>
      <c r="E2855" s="16"/>
      <c r="F2855" s="18"/>
      <c r="G2855" s="19" t="str">
        <f t="shared" ca="1" si="88"/>
        <v/>
      </c>
      <c r="H2855" s="27"/>
      <c r="I2855" s="27"/>
      <c r="J2855" s="77" t="str">
        <f t="shared" ca="1" si="89"/>
        <v/>
      </c>
      <c r="K2855" s="23">
        <f>IF(A2855="","",COUNTIFS(Resumen!$N$2:$N$2999,ROW(),Resumen!$V$2:$V$2999,1))</f>
        <v/>
      </c>
      <c r="L2855" s="26"/>
      <c r="N28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6" spans="1:14">
      <c r="A2856" s="16"/>
      <c r="B2856" s="16"/>
      <c r="C2856" s="25"/>
      <c r="D2856" s="25"/>
      <c r="E2856" s="16"/>
      <c r="F2856" s="18"/>
      <c r="G2856" s="19" t="str">
        <f t="shared" ca="1" si="88"/>
        <v/>
      </c>
      <c r="H2856" s="27"/>
      <c r="I2856" s="27"/>
      <c r="J2856" s="77" t="str">
        <f t="shared" ca="1" si="89"/>
        <v/>
      </c>
      <c r="K2856" s="23">
        <f>IF(A2856="","",COUNTIFS(Resumen!$N$2:$N$2999,ROW(),Resumen!$V$2:$V$2999,1))</f>
        <v/>
      </c>
      <c r="L2856" s="26"/>
      <c r="N28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7" spans="1:14">
      <c r="A2857" s="16"/>
      <c r="B2857" s="16"/>
      <c r="C2857" s="25"/>
      <c r="D2857" s="25"/>
      <c r="E2857" s="16"/>
      <c r="F2857" s="18"/>
      <c r="G2857" s="19" t="str">
        <f t="shared" ca="1" si="88"/>
        <v/>
      </c>
      <c r="H2857" s="27"/>
      <c r="I2857" s="27"/>
      <c r="J2857" s="77" t="str">
        <f t="shared" ca="1" si="89"/>
        <v/>
      </c>
      <c r="K2857" s="23">
        <f>IF(A2857="","",COUNTIFS(Resumen!$N$2:$N$2999,ROW(),Resumen!$V$2:$V$2999,1))</f>
        <v/>
      </c>
      <c r="L2857" s="26"/>
      <c r="N28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8" spans="1:14">
      <c r="A2858" s="16"/>
      <c r="B2858" s="16"/>
      <c r="C2858" s="25"/>
      <c r="D2858" s="25"/>
      <c r="E2858" s="16"/>
      <c r="F2858" s="18"/>
      <c r="G2858" s="19" t="str">
        <f t="shared" ca="1" si="88"/>
        <v/>
      </c>
      <c r="H2858" s="27"/>
      <c r="I2858" s="27"/>
      <c r="J2858" s="77" t="str">
        <f t="shared" ca="1" si="89"/>
        <v/>
      </c>
      <c r="K2858" s="23">
        <f>IF(A2858="","",COUNTIFS(Resumen!$N$2:$N$2999,ROW(),Resumen!$V$2:$V$2999,1))</f>
        <v/>
      </c>
      <c r="L2858" s="26"/>
      <c r="N28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59" spans="1:14">
      <c r="A2859" s="16"/>
      <c r="B2859" s="16"/>
      <c r="C2859" s="25"/>
      <c r="D2859" s="25"/>
      <c r="E2859" s="16"/>
      <c r="F2859" s="18"/>
      <c r="G2859" s="19" t="str">
        <f t="shared" ca="1" si="88"/>
        <v/>
      </c>
      <c r="H2859" s="27"/>
      <c r="I2859" s="27"/>
      <c r="J2859" s="77" t="str">
        <f t="shared" ca="1" si="89"/>
        <v/>
      </c>
      <c r="K2859" s="23">
        <f>IF(A2859="","",COUNTIFS(Resumen!$N$2:$N$2999,ROW(),Resumen!$V$2:$V$2999,1))</f>
        <v/>
      </c>
      <c r="L2859" s="26"/>
      <c r="N28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0" spans="1:14">
      <c r="A2860" s="16"/>
      <c r="B2860" s="16"/>
      <c r="C2860" s="25"/>
      <c r="D2860" s="25"/>
      <c r="E2860" s="16"/>
      <c r="F2860" s="18"/>
      <c r="G2860" s="19" t="str">
        <f t="shared" ca="1" si="88"/>
        <v/>
      </c>
      <c r="H2860" s="27"/>
      <c r="I2860" s="27"/>
      <c r="J2860" s="77" t="str">
        <f t="shared" ca="1" si="89"/>
        <v/>
      </c>
      <c r="K2860" s="23">
        <f>IF(A2860="","",COUNTIFS(Resumen!$N$2:$N$2999,ROW(),Resumen!$V$2:$V$2999,1))</f>
        <v/>
      </c>
      <c r="L2860" s="26"/>
      <c r="N28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1" spans="1:14">
      <c r="A2861" s="16"/>
      <c r="B2861" s="16"/>
      <c r="C2861" s="25"/>
      <c r="D2861" s="25"/>
      <c r="E2861" s="16"/>
      <c r="F2861" s="18"/>
      <c r="G2861" s="19" t="str">
        <f t="shared" ca="1" si="88"/>
        <v/>
      </c>
      <c r="H2861" s="27"/>
      <c r="I2861" s="27"/>
      <c r="J2861" s="77" t="str">
        <f t="shared" ca="1" si="89"/>
        <v/>
      </c>
      <c r="K2861" s="23">
        <f>IF(A2861="","",COUNTIFS(Resumen!$N$2:$N$2999,ROW(),Resumen!$V$2:$V$2999,1))</f>
        <v/>
      </c>
      <c r="L2861" s="26"/>
      <c r="N28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2" spans="1:14">
      <c r="A2862" s="16"/>
      <c r="B2862" s="16"/>
      <c r="C2862" s="25"/>
      <c r="D2862" s="25"/>
      <c r="E2862" s="16"/>
      <c r="F2862" s="18"/>
      <c r="G2862" s="19" t="str">
        <f t="shared" ca="1" si="88"/>
        <v/>
      </c>
      <c r="H2862" s="27"/>
      <c r="I2862" s="27"/>
      <c r="J2862" s="77" t="str">
        <f t="shared" ca="1" si="89"/>
        <v/>
      </c>
      <c r="K2862" s="23">
        <f>IF(A2862="","",COUNTIFS(Resumen!$N$2:$N$2999,ROW(),Resumen!$V$2:$V$2999,1))</f>
        <v/>
      </c>
      <c r="L2862" s="26"/>
      <c r="N28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3" spans="1:14">
      <c r="A2863" s="16"/>
      <c r="B2863" s="16"/>
      <c r="C2863" s="25"/>
      <c r="D2863" s="25"/>
      <c r="E2863" s="16"/>
      <c r="F2863" s="18"/>
      <c r="G2863" s="19" t="str">
        <f t="shared" ca="1" si="88"/>
        <v/>
      </c>
      <c r="H2863" s="27"/>
      <c r="I2863" s="27"/>
      <c r="J2863" s="77" t="str">
        <f t="shared" ca="1" si="89"/>
        <v/>
      </c>
      <c r="K2863" s="23">
        <f>IF(A2863="","",COUNTIFS(Resumen!$N$2:$N$2999,ROW(),Resumen!$V$2:$V$2999,1))</f>
        <v/>
      </c>
      <c r="L2863" s="26"/>
      <c r="N28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4" spans="1:14">
      <c r="A2864" s="16"/>
      <c r="B2864" s="16"/>
      <c r="C2864" s="25"/>
      <c r="D2864" s="25"/>
      <c r="E2864" s="16"/>
      <c r="F2864" s="18"/>
      <c r="G2864" s="19" t="str">
        <f t="shared" ca="1" si="88"/>
        <v/>
      </c>
      <c r="H2864" s="27"/>
      <c r="I2864" s="27"/>
      <c r="J2864" s="77" t="str">
        <f t="shared" ca="1" si="89"/>
        <v/>
      </c>
      <c r="K2864" s="23">
        <f>IF(A2864="","",COUNTIFS(Resumen!$N$2:$N$2999,ROW(),Resumen!$V$2:$V$2999,1))</f>
        <v/>
      </c>
      <c r="L2864" s="26"/>
      <c r="N28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5" spans="1:14">
      <c r="A2865" s="16"/>
      <c r="B2865" s="16"/>
      <c r="C2865" s="25"/>
      <c r="D2865" s="25"/>
      <c r="E2865" s="16"/>
      <c r="F2865" s="18"/>
      <c r="G2865" s="19" t="str">
        <f t="shared" ca="1" si="88"/>
        <v/>
      </c>
      <c r="H2865" s="27"/>
      <c r="I2865" s="27"/>
      <c r="J2865" s="77" t="str">
        <f t="shared" ca="1" si="89"/>
        <v/>
      </c>
      <c r="K2865" s="23">
        <f>IF(A2865="","",COUNTIFS(Resumen!$N$2:$N$2999,ROW(),Resumen!$V$2:$V$2999,1))</f>
        <v/>
      </c>
      <c r="L2865" s="26"/>
      <c r="N28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6" spans="1:14">
      <c r="A2866" s="16"/>
      <c r="B2866" s="16"/>
      <c r="C2866" s="25"/>
      <c r="D2866" s="25"/>
      <c r="E2866" s="16"/>
      <c r="F2866" s="18"/>
      <c r="G2866" s="19" t="str">
        <f t="shared" ca="1" si="88"/>
        <v/>
      </c>
      <c r="H2866" s="27"/>
      <c r="I2866" s="27"/>
      <c r="J2866" s="77" t="str">
        <f t="shared" ca="1" si="89"/>
        <v/>
      </c>
      <c r="K2866" s="23">
        <f>IF(A2866="","",COUNTIFS(Resumen!$N$2:$N$2999,ROW(),Resumen!$V$2:$V$2999,1))</f>
        <v/>
      </c>
      <c r="L2866" s="26"/>
      <c r="N28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7" spans="1:14">
      <c r="A2867" s="16"/>
      <c r="B2867" s="16"/>
      <c r="C2867" s="25"/>
      <c r="D2867" s="25"/>
      <c r="E2867" s="16"/>
      <c r="F2867" s="18"/>
      <c r="G2867" s="19" t="str">
        <f t="shared" ca="1" si="88"/>
        <v/>
      </c>
      <c r="H2867" s="27"/>
      <c r="I2867" s="27"/>
      <c r="J2867" s="77" t="str">
        <f t="shared" ca="1" si="89"/>
        <v/>
      </c>
      <c r="K2867" s="23">
        <f>IF(A2867="","",COUNTIFS(Resumen!$N$2:$N$2999,ROW(),Resumen!$V$2:$V$2999,1))</f>
        <v/>
      </c>
      <c r="L2867" s="26"/>
      <c r="N28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8" spans="1:14">
      <c r="A2868" s="16"/>
      <c r="B2868" s="16"/>
      <c r="C2868" s="25"/>
      <c r="D2868" s="25"/>
      <c r="E2868" s="16"/>
      <c r="F2868" s="18"/>
      <c r="G2868" s="19" t="str">
        <f t="shared" ca="1" si="88"/>
        <v/>
      </c>
      <c r="H2868" s="27"/>
      <c r="I2868" s="27"/>
      <c r="J2868" s="77" t="str">
        <f t="shared" ca="1" si="89"/>
        <v/>
      </c>
      <c r="K2868" s="23">
        <f>IF(A2868="","",COUNTIFS(Resumen!$N$2:$N$2999,ROW(),Resumen!$V$2:$V$2999,1))</f>
        <v/>
      </c>
      <c r="L2868" s="26"/>
      <c r="N28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69" spans="1:14">
      <c r="A2869" s="16"/>
      <c r="B2869" s="16"/>
      <c r="C2869" s="25"/>
      <c r="D2869" s="25"/>
      <c r="E2869" s="16"/>
      <c r="F2869" s="18"/>
      <c r="G2869" s="19" t="str">
        <f t="shared" ca="1" si="88"/>
        <v/>
      </c>
      <c r="H2869" s="27"/>
      <c r="I2869" s="27"/>
      <c r="J2869" s="77" t="str">
        <f t="shared" ca="1" si="89"/>
        <v/>
      </c>
      <c r="K2869" s="23">
        <f>IF(A2869="","",COUNTIFS(Resumen!$N$2:$N$2999,ROW(),Resumen!$V$2:$V$2999,1))</f>
        <v/>
      </c>
      <c r="L2869" s="26"/>
      <c r="N28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0" spans="1:14">
      <c r="A2870" s="16"/>
      <c r="B2870" s="16"/>
      <c r="C2870" s="25"/>
      <c r="D2870" s="25"/>
      <c r="E2870" s="16"/>
      <c r="F2870" s="18"/>
      <c r="G2870" s="19" t="str">
        <f t="shared" ca="1" si="88"/>
        <v/>
      </c>
      <c r="H2870" s="27"/>
      <c r="I2870" s="27"/>
      <c r="J2870" s="77" t="str">
        <f t="shared" ca="1" si="89"/>
        <v/>
      </c>
      <c r="K2870" s="23">
        <f>IF(A2870="","",COUNTIFS(Resumen!$N$2:$N$2999,ROW(),Resumen!$V$2:$V$2999,1))</f>
        <v/>
      </c>
      <c r="L2870" s="26"/>
      <c r="N28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1" spans="1:14">
      <c r="A2871" s="16"/>
      <c r="B2871" s="16"/>
      <c r="C2871" s="25"/>
      <c r="D2871" s="25"/>
      <c r="E2871" s="16"/>
      <c r="F2871" s="18"/>
      <c r="G2871" s="19" t="str">
        <f t="shared" ca="1" si="88"/>
        <v/>
      </c>
      <c r="H2871" s="27"/>
      <c r="I2871" s="27"/>
      <c r="J2871" s="77" t="str">
        <f t="shared" ca="1" si="89"/>
        <v/>
      </c>
      <c r="K2871" s="23">
        <f>IF(A2871="","",COUNTIFS(Resumen!$N$2:$N$2999,ROW(),Resumen!$V$2:$V$2999,1))</f>
        <v/>
      </c>
      <c r="L2871" s="26"/>
      <c r="N28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2" spans="1:14">
      <c r="A2872" s="16"/>
      <c r="B2872" s="16"/>
      <c r="C2872" s="25"/>
      <c r="D2872" s="25"/>
      <c r="E2872" s="16"/>
      <c r="F2872" s="18"/>
      <c r="G2872" s="19" t="str">
        <f t="shared" ca="1" si="88"/>
        <v/>
      </c>
      <c r="H2872" s="27"/>
      <c r="I2872" s="27"/>
      <c r="J2872" s="77" t="str">
        <f t="shared" ca="1" si="89"/>
        <v/>
      </c>
      <c r="K2872" s="23">
        <f>IF(A2872="","",COUNTIFS(Resumen!$N$2:$N$2999,ROW(),Resumen!$V$2:$V$2999,1))</f>
        <v/>
      </c>
      <c r="L2872" s="26"/>
      <c r="N28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3" spans="1:14">
      <c r="A2873" s="16"/>
      <c r="B2873" s="16"/>
      <c r="C2873" s="25"/>
      <c r="D2873" s="25"/>
      <c r="E2873" s="16"/>
      <c r="F2873" s="18"/>
      <c r="G2873" s="19" t="str">
        <f t="shared" ca="1" si="88"/>
        <v/>
      </c>
      <c r="H2873" s="27"/>
      <c r="I2873" s="27"/>
      <c r="J2873" s="77" t="str">
        <f t="shared" ca="1" si="89"/>
        <v/>
      </c>
      <c r="K2873" s="23">
        <f>IF(A2873="","",COUNTIFS(Resumen!$N$2:$N$2999,ROW(),Resumen!$V$2:$V$2999,1))</f>
        <v/>
      </c>
      <c r="L2873" s="26"/>
      <c r="N28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4" spans="1:14">
      <c r="A2874" s="16"/>
      <c r="B2874" s="16"/>
      <c r="C2874" s="25"/>
      <c r="D2874" s="25"/>
      <c r="E2874" s="16"/>
      <c r="F2874" s="18"/>
      <c r="G2874" s="19" t="str">
        <f t="shared" ca="1" si="88"/>
        <v/>
      </c>
      <c r="H2874" s="27"/>
      <c r="I2874" s="27"/>
      <c r="J2874" s="77" t="str">
        <f t="shared" ca="1" si="89"/>
        <v/>
      </c>
      <c r="K2874" s="23">
        <f>IF(A2874="","",COUNTIFS(Resumen!$N$2:$N$2999,ROW(),Resumen!$V$2:$V$2999,1))</f>
        <v/>
      </c>
      <c r="L2874" s="26"/>
      <c r="N28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5" spans="1:14">
      <c r="A2875" s="16"/>
      <c r="B2875" s="16"/>
      <c r="C2875" s="25"/>
      <c r="D2875" s="25"/>
      <c r="E2875" s="16"/>
      <c r="F2875" s="18"/>
      <c r="G2875" s="19" t="str">
        <f t="shared" ca="1" si="88"/>
        <v/>
      </c>
      <c r="H2875" s="27"/>
      <c r="I2875" s="27"/>
      <c r="J2875" s="77" t="str">
        <f t="shared" ca="1" si="89"/>
        <v/>
      </c>
      <c r="K2875" s="23">
        <f>IF(A2875="","",COUNTIFS(Resumen!$N$2:$N$2999,ROW(),Resumen!$V$2:$V$2999,1))</f>
        <v/>
      </c>
      <c r="L2875" s="26"/>
      <c r="N28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6" spans="1:14">
      <c r="A2876" s="16"/>
      <c r="B2876" s="16"/>
      <c r="C2876" s="25"/>
      <c r="D2876" s="25"/>
      <c r="E2876" s="16"/>
      <c r="F2876" s="18"/>
      <c r="G2876" s="19" t="str">
        <f t="shared" ca="1" si="88"/>
        <v/>
      </c>
      <c r="H2876" s="27"/>
      <c r="I2876" s="27"/>
      <c r="J2876" s="77" t="str">
        <f t="shared" ca="1" si="89"/>
        <v/>
      </c>
      <c r="K2876" s="23">
        <f>IF(A2876="","",COUNTIFS(Resumen!$N$2:$N$2999,ROW(),Resumen!$V$2:$V$2999,1))</f>
        <v/>
      </c>
      <c r="L2876" s="26"/>
      <c r="N28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7" spans="1:14">
      <c r="A2877" s="16"/>
      <c r="B2877" s="16"/>
      <c r="C2877" s="25"/>
      <c r="D2877" s="25"/>
      <c r="E2877" s="16"/>
      <c r="F2877" s="18"/>
      <c r="G2877" s="19" t="str">
        <f t="shared" ca="1" si="88"/>
        <v/>
      </c>
      <c r="H2877" s="27"/>
      <c r="I2877" s="27"/>
      <c r="J2877" s="77" t="str">
        <f t="shared" ca="1" si="89"/>
        <v/>
      </c>
      <c r="K2877" s="23">
        <f>IF(A2877="","",COUNTIFS(Resumen!$N$2:$N$2999,ROW(),Resumen!$V$2:$V$2999,1))</f>
        <v/>
      </c>
      <c r="L2877" s="26"/>
      <c r="N28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8" spans="1:14">
      <c r="A2878" s="16"/>
      <c r="B2878" s="16"/>
      <c r="C2878" s="25"/>
      <c r="D2878" s="25"/>
      <c r="E2878" s="16"/>
      <c r="F2878" s="18"/>
      <c r="G2878" s="19" t="str">
        <f t="shared" ca="1" si="88"/>
        <v/>
      </c>
      <c r="H2878" s="27"/>
      <c r="I2878" s="27"/>
      <c r="J2878" s="77" t="str">
        <f t="shared" ca="1" si="89"/>
        <v/>
      </c>
      <c r="K2878" s="23">
        <f>IF(A2878="","",COUNTIFS(Resumen!$N$2:$N$2999,ROW(),Resumen!$V$2:$V$2999,1))</f>
        <v/>
      </c>
      <c r="L2878" s="26"/>
      <c r="N28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79" spans="1:14">
      <c r="A2879" s="16"/>
      <c r="B2879" s="16"/>
      <c r="C2879" s="25"/>
      <c r="D2879" s="25"/>
      <c r="E2879" s="16"/>
      <c r="F2879" s="18"/>
      <c r="G2879" s="19" t="str">
        <f t="shared" ca="1" si="88"/>
        <v/>
      </c>
      <c r="H2879" s="27"/>
      <c r="I2879" s="27"/>
      <c r="J2879" s="77" t="str">
        <f t="shared" ca="1" si="89"/>
        <v/>
      </c>
      <c r="K2879" s="23">
        <f>IF(A2879="","",COUNTIFS(Resumen!$N$2:$N$2999,ROW(),Resumen!$V$2:$V$2999,1))</f>
        <v/>
      </c>
      <c r="L2879" s="26"/>
      <c r="N28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0" spans="1:14">
      <c r="A2880" s="16"/>
      <c r="B2880" s="16"/>
      <c r="C2880" s="25"/>
      <c r="D2880" s="25"/>
      <c r="E2880" s="16"/>
      <c r="F2880" s="18"/>
      <c r="G2880" s="19" t="str">
        <f t="shared" ca="1" si="88"/>
        <v/>
      </c>
      <c r="H2880" s="27"/>
      <c r="I2880" s="27"/>
      <c r="J2880" s="77" t="str">
        <f t="shared" ca="1" si="89"/>
        <v/>
      </c>
      <c r="K2880" s="23">
        <f>IF(A2880="","",COUNTIFS(Resumen!$N$2:$N$2999,ROW(),Resumen!$V$2:$V$2999,1))</f>
        <v/>
      </c>
      <c r="L2880" s="26"/>
      <c r="N28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1" spans="1:14">
      <c r="A2881" s="16"/>
      <c r="B2881" s="16"/>
      <c r="C2881" s="25"/>
      <c r="D2881" s="25"/>
      <c r="E2881" s="16"/>
      <c r="F2881" s="18"/>
      <c r="G2881" s="19" t="str">
        <f t="shared" ca="1" si="88"/>
        <v/>
      </c>
      <c r="H2881" s="27"/>
      <c r="I2881" s="27"/>
      <c r="J2881" s="77" t="str">
        <f t="shared" ca="1" si="89"/>
        <v/>
      </c>
      <c r="K2881" s="23">
        <f>IF(A2881="","",COUNTIFS(Resumen!$N$2:$N$2999,ROW(),Resumen!$V$2:$V$2999,1))</f>
        <v/>
      </c>
      <c r="L2881" s="26"/>
      <c r="N28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2" spans="1:14">
      <c r="A2882" s="16"/>
      <c r="B2882" s="16"/>
      <c r="C2882" s="25"/>
      <c r="D2882" s="25"/>
      <c r="E2882" s="16"/>
      <c r="F2882" s="18"/>
      <c r="G2882" s="19" t="str">
        <f t="shared" ref="G2882:G2945" ca="1" si="90">IF(F2882="", "", DATEDIF(F2882, TODAY(), "Y"))</f>
        <v/>
      </c>
      <c r="H2882" s="27"/>
      <c r="I2882" s="27"/>
      <c r="J2882" s="77" t="str">
        <f t="shared" ref="J2882:J2945" ca="1" si="91">IFERROR(IF(ISNUMBER(INDEX(VigenciasFamilia,ROW())),INDEX(VigenciasFamilia,ROW())-TODAY(),""),"")</f>
        <v/>
      </c>
      <c r="K2882" s="23">
        <f>IF(A2882="","",COUNTIFS(Resumen!$N$2:$N$2999,ROW(),Resumen!$V$2:$V$2999,1))</f>
        <v/>
      </c>
      <c r="L2882" s="26"/>
      <c r="N28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3" spans="1:14">
      <c r="A2883" s="16"/>
      <c r="B2883" s="16"/>
      <c r="C2883" s="25"/>
      <c r="D2883" s="25"/>
      <c r="E2883" s="16"/>
      <c r="F2883" s="18"/>
      <c r="G2883" s="19" t="str">
        <f t="shared" ca="1" si="90"/>
        <v/>
      </c>
      <c r="H2883" s="27"/>
      <c r="I2883" s="27"/>
      <c r="J2883" s="77" t="str">
        <f t="shared" ca="1" si="91"/>
        <v/>
      </c>
      <c r="K2883" s="23">
        <f>IF(A2883="","",COUNTIFS(Resumen!$N$2:$N$2999,ROW(),Resumen!$V$2:$V$2999,1))</f>
        <v/>
      </c>
      <c r="L2883" s="26"/>
      <c r="N28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4" spans="1:14">
      <c r="A2884" s="16"/>
      <c r="B2884" s="16"/>
      <c r="C2884" s="25"/>
      <c r="D2884" s="25"/>
      <c r="E2884" s="16"/>
      <c r="F2884" s="18"/>
      <c r="G2884" s="19" t="str">
        <f t="shared" ca="1" si="90"/>
        <v/>
      </c>
      <c r="H2884" s="27"/>
      <c r="I2884" s="27"/>
      <c r="J2884" s="77" t="str">
        <f t="shared" ca="1" si="91"/>
        <v/>
      </c>
      <c r="K2884" s="23">
        <f>IF(A2884="","",COUNTIFS(Resumen!$N$2:$N$2999,ROW(),Resumen!$V$2:$V$2999,1))</f>
        <v/>
      </c>
      <c r="L2884" s="26"/>
      <c r="N28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5" spans="1:14">
      <c r="A2885" s="16"/>
      <c r="B2885" s="16"/>
      <c r="C2885" s="25"/>
      <c r="D2885" s="25"/>
      <c r="E2885" s="16"/>
      <c r="F2885" s="18"/>
      <c r="G2885" s="19" t="str">
        <f t="shared" ca="1" si="90"/>
        <v/>
      </c>
      <c r="H2885" s="27"/>
      <c r="I2885" s="27"/>
      <c r="J2885" s="77" t="str">
        <f t="shared" ca="1" si="91"/>
        <v/>
      </c>
      <c r="K2885" s="23">
        <f>IF(A2885="","",COUNTIFS(Resumen!$N$2:$N$2999,ROW(),Resumen!$V$2:$V$2999,1))</f>
        <v/>
      </c>
      <c r="L2885" s="26"/>
      <c r="N28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6" spans="1:14">
      <c r="A2886" s="16"/>
      <c r="B2886" s="16"/>
      <c r="C2886" s="25"/>
      <c r="D2886" s="25"/>
      <c r="E2886" s="16"/>
      <c r="F2886" s="18"/>
      <c r="G2886" s="19" t="str">
        <f t="shared" ca="1" si="90"/>
        <v/>
      </c>
      <c r="H2886" s="27"/>
      <c r="I2886" s="27"/>
      <c r="J2886" s="77" t="str">
        <f t="shared" ca="1" si="91"/>
        <v/>
      </c>
      <c r="K2886" s="23">
        <f>IF(A2886="","",COUNTIFS(Resumen!$N$2:$N$2999,ROW(),Resumen!$V$2:$V$2999,1))</f>
        <v/>
      </c>
      <c r="L2886" s="26"/>
      <c r="N28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7" spans="1:14">
      <c r="A2887" s="16"/>
      <c r="B2887" s="16"/>
      <c r="C2887" s="25"/>
      <c r="D2887" s="25"/>
      <c r="E2887" s="16"/>
      <c r="F2887" s="18"/>
      <c r="G2887" s="19" t="str">
        <f t="shared" ca="1" si="90"/>
        <v/>
      </c>
      <c r="H2887" s="27"/>
      <c r="I2887" s="27"/>
      <c r="J2887" s="77" t="str">
        <f t="shared" ca="1" si="91"/>
        <v/>
      </c>
      <c r="K2887" s="23">
        <f>IF(A2887="","",COUNTIFS(Resumen!$N$2:$N$2999,ROW(),Resumen!$V$2:$V$2999,1))</f>
        <v/>
      </c>
      <c r="L2887" s="26"/>
      <c r="N28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8" spans="1:14">
      <c r="A2888" s="16"/>
      <c r="B2888" s="16"/>
      <c r="C2888" s="25"/>
      <c r="D2888" s="25"/>
      <c r="E2888" s="16"/>
      <c r="F2888" s="18"/>
      <c r="G2888" s="19" t="str">
        <f t="shared" ca="1" si="90"/>
        <v/>
      </c>
      <c r="H2888" s="27"/>
      <c r="I2888" s="27"/>
      <c r="J2888" s="77" t="str">
        <f t="shared" ca="1" si="91"/>
        <v/>
      </c>
      <c r="K2888" s="23">
        <f>IF(A2888="","",COUNTIFS(Resumen!$N$2:$N$2999,ROW(),Resumen!$V$2:$V$2999,1))</f>
        <v/>
      </c>
      <c r="L2888" s="26"/>
      <c r="N28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89" spans="1:14">
      <c r="A2889" s="16"/>
      <c r="B2889" s="16"/>
      <c r="C2889" s="25"/>
      <c r="D2889" s="25"/>
      <c r="E2889" s="16"/>
      <c r="F2889" s="18"/>
      <c r="G2889" s="19" t="str">
        <f t="shared" ca="1" si="90"/>
        <v/>
      </c>
      <c r="H2889" s="27"/>
      <c r="I2889" s="27"/>
      <c r="J2889" s="77" t="str">
        <f t="shared" ca="1" si="91"/>
        <v/>
      </c>
      <c r="K2889" s="23">
        <f>IF(A2889="","",COUNTIFS(Resumen!$N$2:$N$2999,ROW(),Resumen!$V$2:$V$2999,1))</f>
        <v/>
      </c>
      <c r="L2889" s="26"/>
      <c r="N28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0" spans="1:14">
      <c r="A2890" s="16"/>
      <c r="B2890" s="16"/>
      <c r="C2890" s="25"/>
      <c r="D2890" s="25"/>
      <c r="E2890" s="16"/>
      <c r="F2890" s="18"/>
      <c r="G2890" s="19" t="str">
        <f t="shared" ca="1" si="90"/>
        <v/>
      </c>
      <c r="H2890" s="27"/>
      <c r="I2890" s="27"/>
      <c r="J2890" s="77" t="str">
        <f t="shared" ca="1" si="91"/>
        <v/>
      </c>
      <c r="K2890" s="23">
        <f>IF(A2890="","",COUNTIFS(Resumen!$N$2:$N$2999,ROW(),Resumen!$V$2:$V$2999,1))</f>
        <v/>
      </c>
      <c r="L2890" s="26"/>
      <c r="N28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1" spans="1:14">
      <c r="A2891" s="16"/>
      <c r="B2891" s="16"/>
      <c r="C2891" s="25"/>
      <c r="D2891" s="25"/>
      <c r="E2891" s="16"/>
      <c r="F2891" s="18"/>
      <c r="G2891" s="19" t="str">
        <f t="shared" ca="1" si="90"/>
        <v/>
      </c>
      <c r="H2891" s="27"/>
      <c r="I2891" s="27"/>
      <c r="J2891" s="77" t="str">
        <f t="shared" ca="1" si="91"/>
        <v/>
      </c>
      <c r="K2891" s="23">
        <f>IF(A2891="","",COUNTIFS(Resumen!$N$2:$N$2999,ROW(),Resumen!$V$2:$V$2999,1))</f>
        <v/>
      </c>
      <c r="L2891" s="26"/>
      <c r="N28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2" spans="1:14">
      <c r="A2892" s="16"/>
      <c r="B2892" s="16"/>
      <c r="C2892" s="25"/>
      <c r="D2892" s="25"/>
      <c r="E2892" s="16"/>
      <c r="F2892" s="18"/>
      <c r="G2892" s="19" t="str">
        <f t="shared" ca="1" si="90"/>
        <v/>
      </c>
      <c r="H2892" s="27"/>
      <c r="I2892" s="27"/>
      <c r="J2892" s="77" t="str">
        <f t="shared" ca="1" si="91"/>
        <v/>
      </c>
      <c r="K2892" s="23">
        <f>IF(A2892="","",COUNTIFS(Resumen!$N$2:$N$2999,ROW(),Resumen!$V$2:$V$2999,1))</f>
        <v/>
      </c>
      <c r="L2892" s="26"/>
      <c r="N28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3" spans="1:14">
      <c r="A2893" s="16"/>
      <c r="B2893" s="16"/>
      <c r="C2893" s="25"/>
      <c r="D2893" s="25"/>
      <c r="E2893" s="16"/>
      <c r="F2893" s="18"/>
      <c r="G2893" s="19" t="str">
        <f t="shared" ca="1" si="90"/>
        <v/>
      </c>
      <c r="H2893" s="27"/>
      <c r="I2893" s="27"/>
      <c r="J2893" s="77" t="str">
        <f t="shared" ca="1" si="91"/>
        <v/>
      </c>
      <c r="K2893" s="23">
        <f>IF(A2893="","",COUNTIFS(Resumen!$N$2:$N$2999,ROW(),Resumen!$V$2:$V$2999,1))</f>
        <v/>
      </c>
      <c r="L2893" s="26"/>
      <c r="N28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4" spans="1:14">
      <c r="A2894" s="16"/>
      <c r="B2894" s="16"/>
      <c r="C2894" s="25"/>
      <c r="D2894" s="25"/>
      <c r="E2894" s="16"/>
      <c r="F2894" s="18"/>
      <c r="G2894" s="19" t="str">
        <f t="shared" ca="1" si="90"/>
        <v/>
      </c>
      <c r="H2894" s="27"/>
      <c r="I2894" s="27"/>
      <c r="J2894" s="77" t="str">
        <f t="shared" ca="1" si="91"/>
        <v/>
      </c>
      <c r="K2894" s="23">
        <f>IF(A2894="","",COUNTIFS(Resumen!$N$2:$N$2999,ROW(),Resumen!$V$2:$V$2999,1))</f>
        <v/>
      </c>
      <c r="L2894" s="26"/>
      <c r="N28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5" spans="1:14">
      <c r="A2895" s="16"/>
      <c r="B2895" s="16"/>
      <c r="C2895" s="25"/>
      <c r="D2895" s="25"/>
      <c r="E2895" s="16"/>
      <c r="F2895" s="18"/>
      <c r="G2895" s="19" t="str">
        <f t="shared" ca="1" si="90"/>
        <v/>
      </c>
      <c r="H2895" s="27"/>
      <c r="I2895" s="27"/>
      <c r="J2895" s="77" t="str">
        <f t="shared" ca="1" si="91"/>
        <v/>
      </c>
      <c r="K2895" s="23">
        <f>IF(A2895="","",COUNTIFS(Resumen!$N$2:$N$2999,ROW(),Resumen!$V$2:$V$2999,1))</f>
        <v/>
      </c>
      <c r="L2895" s="26"/>
      <c r="N28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6" spans="1:14">
      <c r="A2896" s="16"/>
      <c r="B2896" s="16"/>
      <c r="C2896" s="25"/>
      <c r="D2896" s="25"/>
      <c r="E2896" s="16"/>
      <c r="F2896" s="18"/>
      <c r="G2896" s="19" t="str">
        <f t="shared" ca="1" si="90"/>
        <v/>
      </c>
      <c r="H2896" s="27"/>
      <c r="I2896" s="27"/>
      <c r="J2896" s="77" t="str">
        <f t="shared" ca="1" si="91"/>
        <v/>
      </c>
      <c r="K2896" s="23">
        <f>IF(A2896="","",COUNTIFS(Resumen!$N$2:$N$2999,ROW(),Resumen!$V$2:$V$2999,1))</f>
        <v/>
      </c>
      <c r="L2896" s="26"/>
      <c r="N28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7" spans="1:14">
      <c r="A2897" s="16"/>
      <c r="B2897" s="16"/>
      <c r="C2897" s="25"/>
      <c r="D2897" s="25"/>
      <c r="E2897" s="16"/>
      <c r="F2897" s="18"/>
      <c r="G2897" s="19" t="str">
        <f t="shared" ca="1" si="90"/>
        <v/>
      </c>
      <c r="H2897" s="27"/>
      <c r="I2897" s="27"/>
      <c r="J2897" s="77" t="str">
        <f t="shared" ca="1" si="91"/>
        <v/>
      </c>
      <c r="K2897" s="23">
        <f>IF(A2897="","",COUNTIFS(Resumen!$N$2:$N$2999,ROW(),Resumen!$V$2:$V$2999,1))</f>
        <v/>
      </c>
      <c r="L2897" s="26"/>
      <c r="N28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8" spans="1:14">
      <c r="A2898" s="16"/>
      <c r="B2898" s="16"/>
      <c r="C2898" s="25"/>
      <c r="D2898" s="25"/>
      <c r="E2898" s="16"/>
      <c r="F2898" s="18"/>
      <c r="G2898" s="19" t="str">
        <f t="shared" ca="1" si="90"/>
        <v/>
      </c>
      <c r="H2898" s="27"/>
      <c r="I2898" s="27"/>
      <c r="J2898" s="77" t="str">
        <f t="shared" ca="1" si="91"/>
        <v/>
      </c>
      <c r="K2898" s="23">
        <f>IF(A2898="","",COUNTIFS(Resumen!$N$2:$N$2999,ROW(),Resumen!$V$2:$V$2999,1))</f>
        <v/>
      </c>
      <c r="L2898" s="26"/>
      <c r="N28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899" spans="1:14">
      <c r="A2899" s="16"/>
      <c r="B2899" s="16"/>
      <c r="C2899" s="25"/>
      <c r="D2899" s="25"/>
      <c r="E2899" s="16"/>
      <c r="F2899" s="18"/>
      <c r="G2899" s="19" t="str">
        <f t="shared" ca="1" si="90"/>
        <v/>
      </c>
      <c r="H2899" s="27"/>
      <c r="I2899" s="27"/>
      <c r="J2899" s="77" t="str">
        <f t="shared" ca="1" si="91"/>
        <v/>
      </c>
      <c r="K2899" s="23">
        <f>IF(A2899="","",COUNTIFS(Resumen!$N$2:$N$2999,ROW(),Resumen!$V$2:$V$2999,1))</f>
        <v/>
      </c>
      <c r="L2899" s="26"/>
      <c r="N28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0" spans="1:14">
      <c r="A2900" s="16"/>
      <c r="B2900" s="16"/>
      <c r="C2900" s="25"/>
      <c r="D2900" s="25"/>
      <c r="E2900" s="16"/>
      <c r="F2900" s="18"/>
      <c r="G2900" s="19" t="str">
        <f t="shared" ca="1" si="90"/>
        <v/>
      </c>
      <c r="H2900" s="27"/>
      <c r="I2900" s="27"/>
      <c r="J2900" s="77" t="str">
        <f t="shared" ca="1" si="91"/>
        <v/>
      </c>
      <c r="K2900" s="23">
        <f>IF(A2900="","",COUNTIFS(Resumen!$N$2:$N$2999,ROW(),Resumen!$V$2:$V$2999,1))</f>
        <v/>
      </c>
      <c r="L2900" s="26"/>
      <c r="N290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1" spans="1:14">
      <c r="A2901" s="16"/>
      <c r="B2901" s="16"/>
      <c r="C2901" s="25"/>
      <c r="D2901" s="25"/>
      <c r="E2901" s="16"/>
      <c r="F2901" s="18"/>
      <c r="G2901" s="19" t="str">
        <f t="shared" ca="1" si="90"/>
        <v/>
      </c>
      <c r="H2901" s="27"/>
      <c r="I2901" s="27"/>
      <c r="J2901" s="77" t="str">
        <f t="shared" ca="1" si="91"/>
        <v/>
      </c>
      <c r="K2901" s="23">
        <f>IF(A2901="","",COUNTIFS(Resumen!$N$2:$N$2999,ROW(),Resumen!$V$2:$V$2999,1))</f>
        <v/>
      </c>
      <c r="L2901" s="26"/>
      <c r="N290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2" spans="1:14">
      <c r="A2902" s="16"/>
      <c r="B2902" s="16"/>
      <c r="C2902" s="25"/>
      <c r="D2902" s="25"/>
      <c r="E2902" s="16"/>
      <c r="F2902" s="18"/>
      <c r="G2902" s="19" t="str">
        <f t="shared" ca="1" si="90"/>
        <v/>
      </c>
      <c r="H2902" s="27"/>
      <c r="I2902" s="27"/>
      <c r="J2902" s="77" t="str">
        <f t="shared" ca="1" si="91"/>
        <v/>
      </c>
      <c r="K2902" s="23">
        <f>IF(A2902="","",COUNTIFS(Resumen!$N$2:$N$2999,ROW(),Resumen!$V$2:$V$2999,1))</f>
        <v/>
      </c>
      <c r="L2902" s="26"/>
      <c r="N290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3" spans="1:14">
      <c r="A2903" s="16"/>
      <c r="B2903" s="16"/>
      <c r="C2903" s="25"/>
      <c r="D2903" s="25"/>
      <c r="E2903" s="16"/>
      <c r="F2903" s="18"/>
      <c r="G2903" s="19" t="str">
        <f t="shared" ca="1" si="90"/>
        <v/>
      </c>
      <c r="H2903" s="27"/>
      <c r="I2903" s="27"/>
      <c r="J2903" s="77" t="str">
        <f t="shared" ca="1" si="91"/>
        <v/>
      </c>
      <c r="K2903" s="23">
        <f>IF(A2903="","",COUNTIFS(Resumen!$N$2:$N$2999,ROW(),Resumen!$V$2:$V$2999,1))</f>
        <v/>
      </c>
      <c r="L2903" s="26"/>
      <c r="N290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4" spans="1:14">
      <c r="A2904" s="16"/>
      <c r="B2904" s="16"/>
      <c r="C2904" s="25"/>
      <c r="D2904" s="25"/>
      <c r="E2904" s="16"/>
      <c r="F2904" s="18"/>
      <c r="G2904" s="19" t="str">
        <f t="shared" ca="1" si="90"/>
        <v/>
      </c>
      <c r="H2904" s="27"/>
      <c r="I2904" s="27"/>
      <c r="J2904" s="77" t="str">
        <f t="shared" ca="1" si="91"/>
        <v/>
      </c>
      <c r="K2904" s="23">
        <f>IF(A2904="","",COUNTIFS(Resumen!$N$2:$N$2999,ROW(),Resumen!$V$2:$V$2999,1))</f>
        <v/>
      </c>
      <c r="L2904" s="26"/>
      <c r="N290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5" spans="1:14">
      <c r="A2905" s="16"/>
      <c r="B2905" s="16"/>
      <c r="C2905" s="25"/>
      <c r="D2905" s="25"/>
      <c r="E2905" s="16"/>
      <c r="F2905" s="18"/>
      <c r="G2905" s="19" t="str">
        <f t="shared" ca="1" si="90"/>
        <v/>
      </c>
      <c r="H2905" s="27"/>
      <c r="I2905" s="27"/>
      <c r="J2905" s="77" t="str">
        <f t="shared" ca="1" si="91"/>
        <v/>
      </c>
      <c r="K2905" s="23">
        <f>IF(A2905="","",COUNTIFS(Resumen!$N$2:$N$2999,ROW(),Resumen!$V$2:$V$2999,1))</f>
        <v/>
      </c>
      <c r="L2905" s="26"/>
      <c r="N290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6" spans="1:14">
      <c r="A2906" s="16"/>
      <c r="B2906" s="16"/>
      <c r="C2906" s="25"/>
      <c r="D2906" s="25"/>
      <c r="E2906" s="16"/>
      <c r="F2906" s="18"/>
      <c r="G2906" s="19" t="str">
        <f t="shared" ca="1" si="90"/>
        <v/>
      </c>
      <c r="H2906" s="27"/>
      <c r="I2906" s="27"/>
      <c r="J2906" s="77" t="str">
        <f t="shared" ca="1" si="91"/>
        <v/>
      </c>
      <c r="K2906" s="23">
        <f>IF(A2906="","",COUNTIFS(Resumen!$N$2:$N$2999,ROW(),Resumen!$V$2:$V$2999,1))</f>
        <v/>
      </c>
      <c r="L2906" s="26"/>
      <c r="N290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7" spans="1:14">
      <c r="A2907" s="16"/>
      <c r="B2907" s="16"/>
      <c r="C2907" s="25"/>
      <c r="D2907" s="25"/>
      <c r="E2907" s="16"/>
      <c r="F2907" s="18"/>
      <c r="G2907" s="19" t="str">
        <f t="shared" ca="1" si="90"/>
        <v/>
      </c>
      <c r="H2907" s="27"/>
      <c r="I2907" s="27"/>
      <c r="J2907" s="77" t="str">
        <f t="shared" ca="1" si="91"/>
        <v/>
      </c>
      <c r="K2907" s="23">
        <f>IF(A2907="","",COUNTIFS(Resumen!$N$2:$N$2999,ROW(),Resumen!$V$2:$V$2999,1))</f>
        <v/>
      </c>
      <c r="L2907" s="26"/>
      <c r="N290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8" spans="1:14">
      <c r="A2908" s="16"/>
      <c r="B2908" s="16"/>
      <c r="C2908" s="25"/>
      <c r="D2908" s="25"/>
      <c r="E2908" s="16"/>
      <c r="F2908" s="18"/>
      <c r="G2908" s="19" t="str">
        <f t="shared" ca="1" si="90"/>
        <v/>
      </c>
      <c r="H2908" s="27"/>
      <c r="I2908" s="27"/>
      <c r="J2908" s="77" t="str">
        <f t="shared" ca="1" si="91"/>
        <v/>
      </c>
      <c r="K2908" s="23">
        <f>IF(A2908="","",COUNTIFS(Resumen!$N$2:$N$2999,ROW(),Resumen!$V$2:$V$2999,1))</f>
        <v/>
      </c>
      <c r="L2908" s="26"/>
      <c r="N290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09" spans="1:14">
      <c r="A2909" s="16"/>
      <c r="B2909" s="16"/>
      <c r="C2909" s="25"/>
      <c r="D2909" s="25"/>
      <c r="E2909" s="16"/>
      <c r="F2909" s="18"/>
      <c r="G2909" s="19" t="str">
        <f t="shared" ca="1" si="90"/>
        <v/>
      </c>
      <c r="H2909" s="27"/>
      <c r="I2909" s="27"/>
      <c r="J2909" s="77" t="str">
        <f t="shared" ca="1" si="91"/>
        <v/>
      </c>
      <c r="K2909" s="23">
        <f>IF(A2909="","",COUNTIFS(Resumen!$N$2:$N$2999,ROW(),Resumen!$V$2:$V$2999,1))</f>
        <v/>
      </c>
      <c r="L2909" s="26"/>
      <c r="N290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0" spans="1:14">
      <c r="A2910" s="16"/>
      <c r="B2910" s="16"/>
      <c r="C2910" s="25"/>
      <c r="D2910" s="25"/>
      <c r="E2910" s="16"/>
      <c r="F2910" s="18"/>
      <c r="G2910" s="19" t="str">
        <f t="shared" ca="1" si="90"/>
        <v/>
      </c>
      <c r="H2910" s="27"/>
      <c r="I2910" s="27"/>
      <c r="J2910" s="77" t="str">
        <f t="shared" ca="1" si="91"/>
        <v/>
      </c>
      <c r="K2910" s="23">
        <f>IF(A2910="","",COUNTIFS(Resumen!$N$2:$N$2999,ROW(),Resumen!$V$2:$V$2999,1))</f>
        <v/>
      </c>
      <c r="L2910" s="26"/>
      <c r="N291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1" spans="1:14">
      <c r="A2911" s="16"/>
      <c r="B2911" s="16"/>
      <c r="C2911" s="25"/>
      <c r="D2911" s="25"/>
      <c r="E2911" s="16"/>
      <c r="F2911" s="18"/>
      <c r="G2911" s="19" t="str">
        <f t="shared" ca="1" si="90"/>
        <v/>
      </c>
      <c r="H2911" s="27"/>
      <c r="I2911" s="27"/>
      <c r="J2911" s="77" t="str">
        <f t="shared" ca="1" si="91"/>
        <v/>
      </c>
      <c r="K2911" s="23">
        <f>IF(A2911="","",COUNTIFS(Resumen!$N$2:$N$2999,ROW(),Resumen!$V$2:$V$2999,1))</f>
        <v/>
      </c>
      <c r="L2911" s="26"/>
      <c r="N291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2" spans="1:14">
      <c r="A2912" s="16"/>
      <c r="B2912" s="16"/>
      <c r="C2912" s="25"/>
      <c r="D2912" s="25"/>
      <c r="E2912" s="16"/>
      <c r="F2912" s="18"/>
      <c r="G2912" s="19" t="str">
        <f t="shared" ca="1" si="90"/>
        <v/>
      </c>
      <c r="H2912" s="27"/>
      <c r="I2912" s="27"/>
      <c r="J2912" s="77" t="str">
        <f t="shared" ca="1" si="91"/>
        <v/>
      </c>
      <c r="K2912" s="23">
        <f>IF(A2912="","",COUNTIFS(Resumen!$N$2:$N$2999,ROW(),Resumen!$V$2:$V$2999,1))</f>
        <v/>
      </c>
      <c r="L2912" s="26"/>
      <c r="N291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3" spans="1:14">
      <c r="A2913" s="16"/>
      <c r="B2913" s="16"/>
      <c r="C2913" s="25"/>
      <c r="D2913" s="25"/>
      <c r="E2913" s="16"/>
      <c r="F2913" s="18"/>
      <c r="G2913" s="19" t="str">
        <f t="shared" ca="1" si="90"/>
        <v/>
      </c>
      <c r="H2913" s="27"/>
      <c r="I2913" s="27"/>
      <c r="J2913" s="77" t="str">
        <f t="shared" ca="1" si="91"/>
        <v/>
      </c>
      <c r="K2913" s="23">
        <f>IF(A2913="","",COUNTIFS(Resumen!$N$2:$N$2999,ROW(),Resumen!$V$2:$V$2999,1))</f>
        <v/>
      </c>
      <c r="L2913" s="26"/>
      <c r="N291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4" spans="1:14">
      <c r="A2914" s="16"/>
      <c r="B2914" s="16"/>
      <c r="C2914" s="25"/>
      <c r="D2914" s="25"/>
      <c r="E2914" s="16"/>
      <c r="F2914" s="18"/>
      <c r="G2914" s="19" t="str">
        <f t="shared" ca="1" si="90"/>
        <v/>
      </c>
      <c r="H2914" s="27"/>
      <c r="I2914" s="27"/>
      <c r="J2914" s="77" t="str">
        <f t="shared" ca="1" si="91"/>
        <v/>
      </c>
      <c r="K2914" s="23">
        <f>IF(A2914="","",COUNTIFS(Resumen!$N$2:$N$2999,ROW(),Resumen!$V$2:$V$2999,1))</f>
        <v/>
      </c>
      <c r="L2914" s="26"/>
      <c r="N291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5" spans="1:14">
      <c r="A2915" s="16"/>
      <c r="B2915" s="16"/>
      <c r="C2915" s="25"/>
      <c r="D2915" s="25"/>
      <c r="E2915" s="16"/>
      <c r="F2915" s="18"/>
      <c r="G2915" s="19" t="str">
        <f t="shared" ca="1" si="90"/>
        <v/>
      </c>
      <c r="H2915" s="27"/>
      <c r="I2915" s="27"/>
      <c r="J2915" s="77" t="str">
        <f t="shared" ca="1" si="91"/>
        <v/>
      </c>
      <c r="K2915" s="23">
        <f>IF(A2915="","",COUNTIFS(Resumen!$N$2:$N$2999,ROW(),Resumen!$V$2:$V$2999,1))</f>
        <v/>
      </c>
      <c r="L2915" s="26"/>
      <c r="N291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6" spans="1:14">
      <c r="A2916" s="16"/>
      <c r="B2916" s="16"/>
      <c r="C2916" s="25"/>
      <c r="D2916" s="25"/>
      <c r="E2916" s="16"/>
      <c r="F2916" s="18"/>
      <c r="G2916" s="19" t="str">
        <f t="shared" ca="1" si="90"/>
        <v/>
      </c>
      <c r="H2916" s="27"/>
      <c r="I2916" s="27"/>
      <c r="J2916" s="77" t="str">
        <f t="shared" ca="1" si="91"/>
        <v/>
      </c>
      <c r="K2916" s="23">
        <f>IF(A2916="","",COUNTIFS(Resumen!$N$2:$N$2999,ROW(),Resumen!$V$2:$V$2999,1))</f>
        <v/>
      </c>
      <c r="L2916" s="26"/>
      <c r="N291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7" spans="1:14">
      <c r="A2917" s="16"/>
      <c r="B2917" s="16"/>
      <c r="C2917" s="25"/>
      <c r="D2917" s="25"/>
      <c r="E2917" s="16"/>
      <c r="F2917" s="18"/>
      <c r="G2917" s="19" t="str">
        <f t="shared" ca="1" si="90"/>
        <v/>
      </c>
      <c r="H2917" s="27"/>
      <c r="I2917" s="27"/>
      <c r="J2917" s="77" t="str">
        <f t="shared" ca="1" si="91"/>
        <v/>
      </c>
      <c r="K2917" s="23">
        <f>IF(A2917="","",COUNTIFS(Resumen!$N$2:$N$2999,ROW(),Resumen!$V$2:$V$2999,1))</f>
        <v/>
      </c>
      <c r="L2917" s="26"/>
      <c r="N291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8" spans="1:14">
      <c r="A2918" s="16"/>
      <c r="B2918" s="16"/>
      <c r="C2918" s="25"/>
      <c r="D2918" s="25"/>
      <c r="E2918" s="16"/>
      <c r="F2918" s="18"/>
      <c r="G2918" s="19" t="str">
        <f t="shared" ca="1" si="90"/>
        <v/>
      </c>
      <c r="H2918" s="27"/>
      <c r="I2918" s="27"/>
      <c r="J2918" s="77" t="str">
        <f t="shared" ca="1" si="91"/>
        <v/>
      </c>
      <c r="K2918" s="23">
        <f>IF(A2918="","",COUNTIFS(Resumen!$N$2:$N$2999,ROW(),Resumen!$V$2:$V$2999,1))</f>
        <v/>
      </c>
      <c r="L2918" s="26"/>
      <c r="N291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19" spans="1:14">
      <c r="A2919" s="16"/>
      <c r="B2919" s="16"/>
      <c r="C2919" s="25"/>
      <c r="D2919" s="25"/>
      <c r="E2919" s="16"/>
      <c r="F2919" s="18"/>
      <c r="G2919" s="19" t="str">
        <f t="shared" ca="1" si="90"/>
        <v/>
      </c>
      <c r="H2919" s="27"/>
      <c r="I2919" s="27"/>
      <c r="J2919" s="77" t="str">
        <f t="shared" ca="1" si="91"/>
        <v/>
      </c>
      <c r="K2919" s="23">
        <f>IF(A2919="","",COUNTIFS(Resumen!$N$2:$N$2999,ROW(),Resumen!$V$2:$V$2999,1))</f>
        <v/>
      </c>
      <c r="L2919" s="26"/>
      <c r="N291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0" spans="1:14">
      <c r="A2920" s="16"/>
      <c r="B2920" s="16"/>
      <c r="C2920" s="25"/>
      <c r="D2920" s="25"/>
      <c r="E2920" s="16"/>
      <c r="F2920" s="18"/>
      <c r="G2920" s="19" t="str">
        <f t="shared" ca="1" si="90"/>
        <v/>
      </c>
      <c r="H2920" s="27"/>
      <c r="I2920" s="27"/>
      <c r="J2920" s="77" t="str">
        <f t="shared" ca="1" si="91"/>
        <v/>
      </c>
      <c r="K2920" s="23">
        <f>IF(A2920="","",COUNTIFS(Resumen!$N$2:$N$2999,ROW(),Resumen!$V$2:$V$2999,1))</f>
        <v/>
      </c>
      <c r="L2920" s="26"/>
      <c r="N292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1" spans="1:14">
      <c r="A2921" s="16"/>
      <c r="B2921" s="16"/>
      <c r="C2921" s="25"/>
      <c r="D2921" s="25"/>
      <c r="E2921" s="16"/>
      <c r="F2921" s="18"/>
      <c r="G2921" s="19" t="str">
        <f t="shared" ca="1" si="90"/>
        <v/>
      </c>
      <c r="H2921" s="27"/>
      <c r="I2921" s="27"/>
      <c r="J2921" s="77" t="str">
        <f t="shared" ca="1" si="91"/>
        <v/>
      </c>
      <c r="K2921" s="23">
        <f>IF(A2921="","",COUNTIFS(Resumen!$N$2:$N$2999,ROW(),Resumen!$V$2:$V$2999,1))</f>
        <v/>
      </c>
      <c r="L2921" s="26"/>
      <c r="N292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2" spans="1:14">
      <c r="A2922" s="16"/>
      <c r="B2922" s="16"/>
      <c r="C2922" s="25"/>
      <c r="D2922" s="25"/>
      <c r="E2922" s="16"/>
      <c r="F2922" s="18"/>
      <c r="G2922" s="19" t="str">
        <f t="shared" ca="1" si="90"/>
        <v/>
      </c>
      <c r="H2922" s="27"/>
      <c r="I2922" s="27"/>
      <c r="J2922" s="77" t="str">
        <f t="shared" ca="1" si="91"/>
        <v/>
      </c>
      <c r="K2922" s="23">
        <f>IF(A2922="","",COUNTIFS(Resumen!$N$2:$N$2999,ROW(),Resumen!$V$2:$V$2999,1))</f>
        <v/>
      </c>
      <c r="L2922" s="26"/>
      <c r="N292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3" spans="1:14">
      <c r="A2923" s="16"/>
      <c r="B2923" s="16"/>
      <c r="C2923" s="25"/>
      <c r="D2923" s="25"/>
      <c r="E2923" s="16"/>
      <c r="F2923" s="18"/>
      <c r="G2923" s="19" t="str">
        <f t="shared" ca="1" si="90"/>
        <v/>
      </c>
      <c r="H2923" s="27"/>
      <c r="I2923" s="27"/>
      <c r="J2923" s="77" t="str">
        <f t="shared" ca="1" si="91"/>
        <v/>
      </c>
      <c r="K2923" s="23">
        <f>IF(A2923="","",COUNTIFS(Resumen!$N$2:$N$2999,ROW(),Resumen!$V$2:$V$2999,1))</f>
        <v/>
      </c>
      <c r="L2923" s="26"/>
      <c r="N292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4" spans="1:14">
      <c r="A2924" s="16"/>
      <c r="B2924" s="16"/>
      <c r="C2924" s="25"/>
      <c r="D2924" s="25"/>
      <c r="E2924" s="16"/>
      <c r="F2924" s="18"/>
      <c r="G2924" s="19" t="str">
        <f t="shared" ca="1" si="90"/>
        <v/>
      </c>
      <c r="H2924" s="27"/>
      <c r="I2924" s="27"/>
      <c r="J2924" s="77" t="str">
        <f t="shared" ca="1" si="91"/>
        <v/>
      </c>
      <c r="K2924" s="23">
        <f>IF(A2924="","",COUNTIFS(Resumen!$N$2:$N$2999,ROW(),Resumen!$V$2:$V$2999,1))</f>
        <v/>
      </c>
      <c r="L2924" s="26"/>
      <c r="N292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5" spans="1:14">
      <c r="A2925" s="16"/>
      <c r="B2925" s="16"/>
      <c r="C2925" s="25"/>
      <c r="D2925" s="25"/>
      <c r="E2925" s="16"/>
      <c r="F2925" s="18"/>
      <c r="G2925" s="19" t="str">
        <f t="shared" ca="1" si="90"/>
        <v/>
      </c>
      <c r="H2925" s="27"/>
      <c r="I2925" s="27"/>
      <c r="J2925" s="77" t="str">
        <f t="shared" ca="1" si="91"/>
        <v/>
      </c>
      <c r="K2925" s="23">
        <f>IF(A2925="","",COUNTIFS(Resumen!$N$2:$N$2999,ROW(),Resumen!$V$2:$V$2999,1))</f>
        <v/>
      </c>
      <c r="L2925" s="26"/>
      <c r="N292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6" spans="1:14">
      <c r="A2926" s="16"/>
      <c r="B2926" s="16"/>
      <c r="C2926" s="25"/>
      <c r="D2926" s="25"/>
      <c r="E2926" s="16"/>
      <c r="F2926" s="18"/>
      <c r="G2926" s="19" t="str">
        <f t="shared" ca="1" si="90"/>
        <v/>
      </c>
      <c r="H2926" s="27"/>
      <c r="I2926" s="27"/>
      <c r="J2926" s="77" t="str">
        <f t="shared" ca="1" si="91"/>
        <v/>
      </c>
      <c r="K2926" s="23">
        <f>IF(A2926="","",COUNTIFS(Resumen!$N$2:$N$2999,ROW(),Resumen!$V$2:$V$2999,1))</f>
        <v/>
      </c>
      <c r="L2926" s="26"/>
      <c r="N292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7" spans="1:14">
      <c r="A2927" s="16"/>
      <c r="B2927" s="16"/>
      <c r="C2927" s="25"/>
      <c r="D2927" s="25"/>
      <c r="E2927" s="16"/>
      <c r="F2927" s="18"/>
      <c r="G2927" s="19" t="str">
        <f t="shared" ca="1" si="90"/>
        <v/>
      </c>
      <c r="H2927" s="27"/>
      <c r="I2927" s="27"/>
      <c r="J2927" s="77" t="str">
        <f t="shared" ca="1" si="91"/>
        <v/>
      </c>
      <c r="K2927" s="23">
        <f>IF(A2927="","",COUNTIFS(Resumen!$N$2:$N$2999,ROW(),Resumen!$V$2:$V$2999,1))</f>
        <v/>
      </c>
      <c r="L2927" s="26"/>
      <c r="N292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8" spans="1:14">
      <c r="A2928" s="16"/>
      <c r="B2928" s="16"/>
      <c r="C2928" s="25"/>
      <c r="D2928" s="25"/>
      <c r="E2928" s="16"/>
      <c r="F2928" s="18"/>
      <c r="G2928" s="19" t="str">
        <f t="shared" ca="1" si="90"/>
        <v/>
      </c>
      <c r="H2928" s="27"/>
      <c r="I2928" s="27"/>
      <c r="J2928" s="77" t="str">
        <f t="shared" ca="1" si="91"/>
        <v/>
      </c>
      <c r="K2928" s="23">
        <f>IF(A2928="","",COUNTIFS(Resumen!$N$2:$N$2999,ROW(),Resumen!$V$2:$V$2999,1))</f>
        <v/>
      </c>
      <c r="L2928" s="26"/>
      <c r="N292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29" spans="1:14">
      <c r="A2929" s="16"/>
      <c r="B2929" s="16"/>
      <c r="C2929" s="25"/>
      <c r="D2929" s="25"/>
      <c r="E2929" s="16"/>
      <c r="F2929" s="18"/>
      <c r="G2929" s="19" t="str">
        <f t="shared" ca="1" si="90"/>
        <v/>
      </c>
      <c r="H2929" s="27"/>
      <c r="I2929" s="27"/>
      <c r="J2929" s="77" t="str">
        <f t="shared" ca="1" si="91"/>
        <v/>
      </c>
      <c r="K2929" s="23">
        <f>IF(A2929="","",COUNTIFS(Resumen!$N$2:$N$2999,ROW(),Resumen!$V$2:$V$2999,1))</f>
        <v/>
      </c>
      <c r="L2929" s="26"/>
      <c r="N292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0" spans="1:14">
      <c r="A2930" s="16"/>
      <c r="B2930" s="16"/>
      <c r="C2930" s="25"/>
      <c r="D2930" s="25"/>
      <c r="E2930" s="16"/>
      <c r="F2930" s="18"/>
      <c r="G2930" s="19" t="str">
        <f t="shared" ca="1" si="90"/>
        <v/>
      </c>
      <c r="H2930" s="27"/>
      <c r="I2930" s="27"/>
      <c r="J2930" s="77" t="str">
        <f t="shared" ca="1" si="91"/>
        <v/>
      </c>
      <c r="K2930" s="23">
        <f>IF(A2930="","",COUNTIFS(Resumen!$N$2:$N$2999,ROW(),Resumen!$V$2:$V$2999,1))</f>
        <v/>
      </c>
      <c r="L2930" s="26"/>
      <c r="N293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1" spans="1:14">
      <c r="A2931" s="16"/>
      <c r="B2931" s="16"/>
      <c r="C2931" s="25"/>
      <c r="D2931" s="25"/>
      <c r="E2931" s="16"/>
      <c r="F2931" s="18"/>
      <c r="G2931" s="19" t="str">
        <f t="shared" ca="1" si="90"/>
        <v/>
      </c>
      <c r="H2931" s="27"/>
      <c r="I2931" s="27"/>
      <c r="J2931" s="77" t="str">
        <f t="shared" ca="1" si="91"/>
        <v/>
      </c>
      <c r="K2931" s="23">
        <f>IF(A2931="","",COUNTIFS(Resumen!$N$2:$N$2999,ROW(),Resumen!$V$2:$V$2999,1))</f>
        <v/>
      </c>
      <c r="L2931" s="26"/>
      <c r="N293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2" spans="1:14">
      <c r="A2932" s="16"/>
      <c r="B2932" s="16"/>
      <c r="C2932" s="25"/>
      <c r="D2932" s="25"/>
      <c r="E2932" s="16"/>
      <c r="F2932" s="18"/>
      <c r="G2932" s="19" t="str">
        <f t="shared" ca="1" si="90"/>
        <v/>
      </c>
      <c r="H2932" s="27"/>
      <c r="I2932" s="27"/>
      <c r="J2932" s="77" t="str">
        <f t="shared" ca="1" si="91"/>
        <v/>
      </c>
      <c r="K2932" s="23">
        <f>IF(A2932="","",COUNTIFS(Resumen!$N$2:$N$2999,ROW(),Resumen!$V$2:$V$2999,1))</f>
        <v/>
      </c>
      <c r="L2932" s="26"/>
      <c r="N293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3" spans="1:14">
      <c r="A2933" s="16"/>
      <c r="B2933" s="16"/>
      <c r="C2933" s="25"/>
      <c r="D2933" s="25"/>
      <c r="E2933" s="16"/>
      <c r="F2933" s="18"/>
      <c r="G2933" s="19" t="str">
        <f t="shared" ca="1" si="90"/>
        <v/>
      </c>
      <c r="H2933" s="27"/>
      <c r="I2933" s="27"/>
      <c r="J2933" s="77" t="str">
        <f t="shared" ca="1" si="91"/>
        <v/>
      </c>
      <c r="K2933" s="23">
        <f>IF(A2933="","",COUNTIFS(Resumen!$N$2:$N$2999,ROW(),Resumen!$V$2:$V$2999,1))</f>
        <v/>
      </c>
      <c r="L2933" s="26"/>
      <c r="N293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4" spans="1:14">
      <c r="A2934" s="16"/>
      <c r="B2934" s="16"/>
      <c r="C2934" s="25"/>
      <c r="D2934" s="25"/>
      <c r="E2934" s="16"/>
      <c r="F2934" s="18"/>
      <c r="G2934" s="19" t="str">
        <f t="shared" ca="1" si="90"/>
        <v/>
      </c>
      <c r="H2934" s="27"/>
      <c r="I2934" s="27"/>
      <c r="J2934" s="77" t="str">
        <f t="shared" ca="1" si="91"/>
        <v/>
      </c>
      <c r="K2934" s="23">
        <f>IF(A2934="","",COUNTIFS(Resumen!$N$2:$N$2999,ROW(),Resumen!$V$2:$V$2999,1))</f>
        <v/>
      </c>
      <c r="L2934" s="26"/>
      <c r="N293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5" spans="1:14">
      <c r="A2935" s="16"/>
      <c r="B2935" s="16"/>
      <c r="C2935" s="25"/>
      <c r="D2935" s="25"/>
      <c r="E2935" s="16"/>
      <c r="F2935" s="18"/>
      <c r="G2935" s="19" t="str">
        <f t="shared" ca="1" si="90"/>
        <v/>
      </c>
      <c r="H2935" s="27"/>
      <c r="I2935" s="27"/>
      <c r="J2935" s="77" t="str">
        <f t="shared" ca="1" si="91"/>
        <v/>
      </c>
      <c r="K2935" s="23">
        <f>IF(A2935="","",COUNTIFS(Resumen!$N$2:$N$2999,ROW(),Resumen!$V$2:$V$2999,1))</f>
        <v/>
      </c>
      <c r="L2935" s="26"/>
      <c r="N293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6" spans="1:14">
      <c r="A2936" s="16"/>
      <c r="B2936" s="16"/>
      <c r="C2936" s="25"/>
      <c r="D2936" s="25"/>
      <c r="E2936" s="16"/>
      <c r="F2936" s="18"/>
      <c r="G2936" s="19" t="str">
        <f t="shared" ca="1" si="90"/>
        <v/>
      </c>
      <c r="H2936" s="27"/>
      <c r="I2936" s="27"/>
      <c r="J2936" s="77" t="str">
        <f t="shared" ca="1" si="91"/>
        <v/>
      </c>
      <c r="K2936" s="23">
        <f>IF(A2936="","",COUNTIFS(Resumen!$N$2:$N$2999,ROW(),Resumen!$V$2:$V$2999,1))</f>
        <v/>
      </c>
      <c r="L2936" s="26"/>
      <c r="N293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7" spans="1:14">
      <c r="A2937" s="16"/>
      <c r="B2937" s="16"/>
      <c r="C2937" s="25"/>
      <c r="D2937" s="25"/>
      <c r="E2937" s="16"/>
      <c r="F2937" s="18"/>
      <c r="G2937" s="19" t="str">
        <f t="shared" ca="1" si="90"/>
        <v/>
      </c>
      <c r="H2937" s="27"/>
      <c r="I2937" s="27"/>
      <c r="J2937" s="77" t="str">
        <f t="shared" ca="1" si="91"/>
        <v/>
      </c>
      <c r="K2937" s="23">
        <f>IF(A2937="","",COUNTIFS(Resumen!$N$2:$N$2999,ROW(),Resumen!$V$2:$V$2999,1))</f>
        <v/>
      </c>
      <c r="L2937" s="26"/>
      <c r="N293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8" spans="1:14">
      <c r="A2938" s="16"/>
      <c r="B2938" s="16"/>
      <c r="C2938" s="25"/>
      <c r="D2938" s="25"/>
      <c r="E2938" s="16"/>
      <c r="F2938" s="18"/>
      <c r="G2938" s="19" t="str">
        <f t="shared" ca="1" si="90"/>
        <v/>
      </c>
      <c r="H2938" s="27"/>
      <c r="I2938" s="27"/>
      <c r="J2938" s="77" t="str">
        <f t="shared" ca="1" si="91"/>
        <v/>
      </c>
      <c r="K2938" s="23">
        <f>IF(A2938="","",COUNTIFS(Resumen!$N$2:$N$2999,ROW(),Resumen!$V$2:$V$2999,1))</f>
        <v/>
      </c>
      <c r="L2938" s="26"/>
      <c r="N293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39" spans="1:14">
      <c r="A2939" s="16"/>
      <c r="B2939" s="16"/>
      <c r="C2939" s="25"/>
      <c r="D2939" s="25"/>
      <c r="E2939" s="16"/>
      <c r="F2939" s="18"/>
      <c r="G2939" s="19" t="str">
        <f t="shared" ca="1" si="90"/>
        <v/>
      </c>
      <c r="H2939" s="27"/>
      <c r="I2939" s="27"/>
      <c r="J2939" s="77" t="str">
        <f t="shared" ca="1" si="91"/>
        <v/>
      </c>
      <c r="K2939" s="23">
        <f>IF(A2939="","",COUNTIFS(Resumen!$N$2:$N$2999,ROW(),Resumen!$V$2:$V$2999,1))</f>
        <v/>
      </c>
      <c r="L2939" s="26"/>
      <c r="N293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0" spans="1:14">
      <c r="A2940" s="16"/>
      <c r="B2940" s="16"/>
      <c r="C2940" s="25"/>
      <c r="D2940" s="25"/>
      <c r="E2940" s="16"/>
      <c r="F2940" s="18"/>
      <c r="G2940" s="19" t="str">
        <f t="shared" ca="1" si="90"/>
        <v/>
      </c>
      <c r="H2940" s="27"/>
      <c r="I2940" s="27"/>
      <c r="J2940" s="77" t="str">
        <f t="shared" ca="1" si="91"/>
        <v/>
      </c>
      <c r="K2940" s="23">
        <f>IF(A2940="","",COUNTIFS(Resumen!$N$2:$N$2999,ROW(),Resumen!$V$2:$V$2999,1))</f>
        <v/>
      </c>
      <c r="L2940" s="26"/>
      <c r="N294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1" spans="1:14">
      <c r="A2941" s="16"/>
      <c r="B2941" s="16"/>
      <c r="C2941" s="25"/>
      <c r="D2941" s="25"/>
      <c r="E2941" s="16"/>
      <c r="F2941" s="18"/>
      <c r="G2941" s="19" t="str">
        <f t="shared" ca="1" si="90"/>
        <v/>
      </c>
      <c r="H2941" s="27"/>
      <c r="I2941" s="27"/>
      <c r="J2941" s="77" t="str">
        <f t="shared" ca="1" si="91"/>
        <v/>
      </c>
      <c r="K2941" s="23">
        <f>IF(A2941="","",COUNTIFS(Resumen!$N$2:$N$2999,ROW(),Resumen!$V$2:$V$2999,1))</f>
        <v/>
      </c>
      <c r="L2941" s="26"/>
      <c r="N294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2" spans="1:14">
      <c r="A2942" s="16"/>
      <c r="B2942" s="16"/>
      <c r="C2942" s="25"/>
      <c r="D2942" s="25"/>
      <c r="E2942" s="16"/>
      <c r="F2942" s="18"/>
      <c r="G2942" s="19" t="str">
        <f t="shared" ca="1" si="90"/>
        <v/>
      </c>
      <c r="H2942" s="27"/>
      <c r="I2942" s="27"/>
      <c r="J2942" s="77" t="str">
        <f t="shared" ca="1" si="91"/>
        <v/>
      </c>
      <c r="K2942" s="23">
        <f>IF(A2942="","",COUNTIFS(Resumen!$N$2:$N$2999,ROW(),Resumen!$V$2:$V$2999,1))</f>
        <v/>
      </c>
      <c r="L2942" s="26"/>
      <c r="N294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3" spans="1:14">
      <c r="A2943" s="16"/>
      <c r="B2943" s="16"/>
      <c r="C2943" s="25"/>
      <c r="D2943" s="25"/>
      <c r="E2943" s="16"/>
      <c r="F2943" s="18"/>
      <c r="G2943" s="19" t="str">
        <f t="shared" ca="1" si="90"/>
        <v/>
      </c>
      <c r="H2943" s="27"/>
      <c r="I2943" s="27"/>
      <c r="J2943" s="77" t="str">
        <f t="shared" ca="1" si="91"/>
        <v/>
      </c>
      <c r="K2943" s="23">
        <f>IF(A2943="","",COUNTIFS(Resumen!$N$2:$N$2999,ROW(),Resumen!$V$2:$V$2999,1))</f>
        <v/>
      </c>
      <c r="L2943" s="26"/>
      <c r="N294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4" spans="1:14">
      <c r="A2944" s="16"/>
      <c r="B2944" s="16"/>
      <c r="C2944" s="25"/>
      <c r="D2944" s="25"/>
      <c r="E2944" s="16"/>
      <c r="F2944" s="18"/>
      <c r="G2944" s="19" t="str">
        <f t="shared" ca="1" si="90"/>
        <v/>
      </c>
      <c r="H2944" s="27"/>
      <c r="I2944" s="27"/>
      <c r="J2944" s="77" t="str">
        <f t="shared" ca="1" si="91"/>
        <v/>
      </c>
      <c r="K2944" s="23">
        <f>IF(A2944="","",COUNTIFS(Resumen!$N$2:$N$2999,ROW(),Resumen!$V$2:$V$2999,1))</f>
        <v/>
      </c>
      <c r="L2944" s="26"/>
      <c r="N294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5" spans="1:14">
      <c r="A2945" s="16"/>
      <c r="B2945" s="16"/>
      <c r="C2945" s="25"/>
      <c r="D2945" s="25"/>
      <c r="E2945" s="16"/>
      <c r="F2945" s="18"/>
      <c r="G2945" s="19" t="str">
        <f t="shared" ca="1" si="90"/>
        <v/>
      </c>
      <c r="H2945" s="27"/>
      <c r="I2945" s="27"/>
      <c r="J2945" s="77" t="str">
        <f t="shared" ca="1" si="91"/>
        <v/>
      </c>
      <c r="K2945" s="23">
        <f>IF(A2945="","",COUNTIFS(Resumen!$N$2:$N$2999,ROW(),Resumen!$V$2:$V$2999,1))</f>
        <v/>
      </c>
      <c r="L2945" s="26"/>
      <c r="N294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6" spans="1:14">
      <c r="A2946" s="16"/>
      <c r="B2946" s="16"/>
      <c r="C2946" s="25"/>
      <c r="D2946" s="25"/>
      <c r="E2946" s="16"/>
      <c r="F2946" s="18"/>
      <c r="G2946" s="19" t="str">
        <f t="shared" ref="G2946:G2999" ca="1" si="92">IF(F2946="", "", DATEDIF(F2946, TODAY(), "Y"))</f>
        <v/>
      </c>
      <c r="H2946" s="27"/>
      <c r="I2946" s="27"/>
      <c r="J2946" s="77" t="str">
        <f t="shared" ref="J2946:J2999" ca="1" si="93">IFERROR(IF(ISNUMBER(INDEX(VigenciasFamilia,ROW())),INDEX(VigenciasFamilia,ROW())-TODAY(),""),"")</f>
        <v/>
      </c>
      <c r="K2946" s="23">
        <f>IF(A2946="","",COUNTIFS(Resumen!$N$2:$N$2999,ROW(),Resumen!$V$2:$V$2999,1))</f>
        <v/>
      </c>
      <c r="L2946" s="26"/>
      <c r="N294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7" spans="1:14">
      <c r="A2947" s="16"/>
      <c r="B2947" s="16"/>
      <c r="C2947" s="25"/>
      <c r="D2947" s="25"/>
      <c r="E2947" s="16"/>
      <c r="F2947" s="18"/>
      <c r="G2947" s="19" t="str">
        <f t="shared" ca="1" si="92"/>
        <v/>
      </c>
      <c r="H2947" s="27"/>
      <c r="I2947" s="27"/>
      <c r="J2947" s="77" t="str">
        <f t="shared" ca="1" si="93"/>
        <v/>
      </c>
      <c r="K2947" s="23">
        <f>IF(A2947="","",COUNTIFS(Resumen!$N$2:$N$2999,ROW(),Resumen!$V$2:$V$2999,1))</f>
        <v/>
      </c>
      <c r="L2947" s="26"/>
      <c r="N294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8" spans="1:14">
      <c r="A2948" s="16"/>
      <c r="B2948" s="16"/>
      <c r="C2948" s="25"/>
      <c r="D2948" s="25"/>
      <c r="E2948" s="16"/>
      <c r="F2948" s="18"/>
      <c r="G2948" s="19" t="str">
        <f t="shared" ca="1" si="92"/>
        <v/>
      </c>
      <c r="H2948" s="27"/>
      <c r="I2948" s="27"/>
      <c r="J2948" s="77" t="str">
        <f t="shared" ca="1" si="93"/>
        <v/>
      </c>
      <c r="K2948" s="23">
        <f>IF(A2948="","",COUNTIFS(Resumen!$N$2:$N$2999,ROW(),Resumen!$V$2:$V$2999,1))</f>
        <v/>
      </c>
      <c r="L2948" s="26"/>
      <c r="N294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49" spans="1:14">
      <c r="A2949" s="16"/>
      <c r="B2949" s="16"/>
      <c r="C2949" s="25"/>
      <c r="D2949" s="25"/>
      <c r="E2949" s="16"/>
      <c r="F2949" s="18"/>
      <c r="G2949" s="19" t="str">
        <f t="shared" ca="1" si="92"/>
        <v/>
      </c>
      <c r="H2949" s="27"/>
      <c r="I2949" s="27"/>
      <c r="J2949" s="77" t="str">
        <f t="shared" ca="1" si="93"/>
        <v/>
      </c>
      <c r="K2949" s="23">
        <f>IF(A2949="","",COUNTIFS(Resumen!$N$2:$N$2999,ROW(),Resumen!$V$2:$V$2999,1))</f>
        <v/>
      </c>
      <c r="L2949" s="26"/>
      <c r="N294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0" spans="1:14">
      <c r="A2950" s="16"/>
      <c r="B2950" s="16"/>
      <c r="C2950" s="25"/>
      <c r="D2950" s="25"/>
      <c r="E2950" s="16"/>
      <c r="F2950" s="18"/>
      <c r="G2950" s="19" t="str">
        <f t="shared" ca="1" si="92"/>
        <v/>
      </c>
      <c r="H2950" s="27"/>
      <c r="I2950" s="27"/>
      <c r="J2950" s="77" t="str">
        <f t="shared" ca="1" si="93"/>
        <v/>
      </c>
      <c r="K2950" s="23">
        <f>IF(A2950="","",COUNTIFS(Resumen!$N$2:$N$2999,ROW(),Resumen!$V$2:$V$2999,1))</f>
        <v/>
      </c>
      <c r="L2950" s="26"/>
      <c r="N295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1" spans="1:14">
      <c r="A2951" s="16"/>
      <c r="B2951" s="16"/>
      <c r="C2951" s="25"/>
      <c r="D2951" s="25"/>
      <c r="E2951" s="16"/>
      <c r="F2951" s="18"/>
      <c r="G2951" s="19" t="str">
        <f t="shared" ca="1" si="92"/>
        <v/>
      </c>
      <c r="H2951" s="27"/>
      <c r="I2951" s="27"/>
      <c r="J2951" s="77" t="str">
        <f t="shared" ca="1" si="93"/>
        <v/>
      </c>
      <c r="K2951" s="23">
        <f>IF(A2951="","",COUNTIFS(Resumen!$N$2:$N$2999,ROW(),Resumen!$V$2:$V$2999,1))</f>
        <v/>
      </c>
      <c r="L2951" s="26"/>
      <c r="N295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2" spans="1:14">
      <c r="A2952" s="16"/>
      <c r="B2952" s="16"/>
      <c r="C2952" s="25"/>
      <c r="D2952" s="25"/>
      <c r="E2952" s="16"/>
      <c r="F2952" s="18"/>
      <c r="G2952" s="19" t="str">
        <f t="shared" ca="1" si="92"/>
        <v/>
      </c>
      <c r="H2952" s="27"/>
      <c r="I2952" s="27"/>
      <c r="J2952" s="77" t="str">
        <f t="shared" ca="1" si="93"/>
        <v/>
      </c>
      <c r="K2952" s="23">
        <f>IF(A2952="","",COUNTIFS(Resumen!$N$2:$N$2999,ROW(),Resumen!$V$2:$V$2999,1))</f>
        <v/>
      </c>
      <c r="L2952" s="26"/>
      <c r="N295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3" spans="1:14">
      <c r="A2953" s="16"/>
      <c r="B2953" s="16"/>
      <c r="C2953" s="25"/>
      <c r="D2953" s="25"/>
      <c r="E2953" s="16"/>
      <c r="F2953" s="18"/>
      <c r="G2953" s="19" t="str">
        <f t="shared" ca="1" si="92"/>
        <v/>
      </c>
      <c r="H2953" s="27"/>
      <c r="I2953" s="27"/>
      <c r="J2953" s="77" t="str">
        <f t="shared" ca="1" si="93"/>
        <v/>
      </c>
      <c r="K2953" s="23">
        <f>IF(A2953="","",COUNTIFS(Resumen!$N$2:$N$2999,ROW(),Resumen!$V$2:$V$2999,1))</f>
        <v/>
      </c>
      <c r="L2953" s="26"/>
      <c r="N295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4" spans="1:14">
      <c r="A2954" s="16"/>
      <c r="B2954" s="16"/>
      <c r="C2954" s="25"/>
      <c r="D2954" s="25"/>
      <c r="E2954" s="16"/>
      <c r="F2954" s="18"/>
      <c r="G2954" s="19" t="str">
        <f t="shared" ca="1" si="92"/>
        <v/>
      </c>
      <c r="H2954" s="27"/>
      <c r="I2954" s="27"/>
      <c r="J2954" s="77" t="str">
        <f t="shared" ca="1" si="93"/>
        <v/>
      </c>
      <c r="K2954" s="23">
        <f>IF(A2954="","",COUNTIFS(Resumen!$N$2:$N$2999,ROW(),Resumen!$V$2:$V$2999,1))</f>
        <v/>
      </c>
      <c r="L2954" s="26"/>
      <c r="N295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5" spans="1:14">
      <c r="A2955" s="16"/>
      <c r="B2955" s="16"/>
      <c r="C2955" s="25"/>
      <c r="D2955" s="25"/>
      <c r="E2955" s="16"/>
      <c r="F2955" s="18"/>
      <c r="G2955" s="19" t="str">
        <f t="shared" ca="1" si="92"/>
        <v/>
      </c>
      <c r="H2955" s="27"/>
      <c r="I2955" s="27"/>
      <c r="J2955" s="77" t="str">
        <f t="shared" ca="1" si="93"/>
        <v/>
      </c>
      <c r="K2955" s="23">
        <f>IF(A2955="","",COUNTIFS(Resumen!$N$2:$N$2999,ROW(),Resumen!$V$2:$V$2999,1))</f>
        <v/>
      </c>
      <c r="L2955" s="26"/>
      <c r="N295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6" spans="1:14">
      <c r="A2956" s="16"/>
      <c r="B2956" s="16"/>
      <c r="C2956" s="25"/>
      <c r="D2956" s="25"/>
      <c r="E2956" s="16"/>
      <c r="F2956" s="18"/>
      <c r="G2956" s="19" t="str">
        <f t="shared" ca="1" si="92"/>
        <v/>
      </c>
      <c r="H2956" s="27"/>
      <c r="I2956" s="27"/>
      <c r="J2956" s="77" t="str">
        <f t="shared" ca="1" si="93"/>
        <v/>
      </c>
      <c r="K2956" s="23">
        <f>IF(A2956="","",COUNTIFS(Resumen!$N$2:$N$2999,ROW(),Resumen!$V$2:$V$2999,1))</f>
        <v/>
      </c>
      <c r="L2956" s="26"/>
      <c r="N295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7" spans="1:14">
      <c r="A2957" s="16"/>
      <c r="B2957" s="16"/>
      <c r="C2957" s="25"/>
      <c r="D2957" s="25"/>
      <c r="E2957" s="16"/>
      <c r="F2957" s="18"/>
      <c r="G2957" s="19" t="str">
        <f t="shared" ca="1" si="92"/>
        <v/>
      </c>
      <c r="H2957" s="27"/>
      <c r="I2957" s="27"/>
      <c r="J2957" s="77" t="str">
        <f t="shared" ca="1" si="93"/>
        <v/>
      </c>
      <c r="K2957" s="23">
        <f>IF(A2957="","",COUNTIFS(Resumen!$N$2:$N$2999,ROW(),Resumen!$V$2:$V$2999,1))</f>
        <v/>
      </c>
      <c r="L2957" s="26"/>
      <c r="N295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8" spans="1:14">
      <c r="A2958" s="16"/>
      <c r="B2958" s="16"/>
      <c r="C2958" s="25"/>
      <c r="D2958" s="25"/>
      <c r="E2958" s="16"/>
      <c r="F2958" s="18"/>
      <c r="G2958" s="19" t="str">
        <f t="shared" ca="1" si="92"/>
        <v/>
      </c>
      <c r="H2958" s="27"/>
      <c r="I2958" s="27"/>
      <c r="J2958" s="77" t="str">
        <f t="shared" ca="1" si="93"/>
        <v/>
      </c>
      <c r="K2958" s="23">
        <f>IF(A2958="","",COUNTIFS(Resumen!$N$2:$N$2999,ROW(),Resumen!$V$2:$V$2999,1))</f>
        <v/>
      </c>
      <c r="L2958" s="26"/>
      <c r="N295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59" spans="1:14">
      <c r="A2959" s="16"/>
      <c r="B2959" s="16"/>
      <c r="C2959" s="25"/>
      <c r="D2959" s="25"/>
      <c r="E2959" s="16"/>
      <c r="F2959" s="18"/>
      <c r="G2959" s="19" t="str">
        <f t="shared" ca="1" si="92"/>
        <v/>
      </c>
      <c r="H2959" s="27"/>
      <c r="I2959" s="27"/>
      <c r="J2959" s="77" t="str">
        <f t="shared" ca="1" si="93"/>
        <v/>
      </c>
      <c r="K2959" s="23">
        <f>IF(A2959="","",COUNTIFS(Resumen!$N$2:$N$2999,ROW(),Resumen!$V$2:$V$2999,1))</f>
        <v/>
      </c>
      <c r="L2959" s="26"/>
      <c r="N295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0" spans="1:14">
      <c r="A2960" s="16"/>
      <c r="B2960" s="16"/>
      <c r="C2960" s="25"/>
      <c r="D2960" s="25"/>
      <c r="E2960" s="16"/>
      <c r="F2960" s="18"/>
      <c r="G2960" s="19" t="str">
        <f t="shared" ca="1" si="92"/>
        <v/>
      </c>
      <c r="H2960" s="27"/>
      <c r="I2960" s="27"/>
      <c r="J2960" s="77" t="str">
        <f t="shared" ca="1" si="93"/>
        <v/>
      </c>
      <c r="K2960" s="23">
        <f>IF(A2960="","",COUNTIFS(Resumen!$N$2:$N$2999,ROW(),Resumen!$V$2:$V$2999,1))</f>
        <v/>
      </c>
      <c r="L2960" s="26"/>
      <c r="N296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1" spans="1:14">
      <c r="A2961" s="16"/>
      <c r="B2961" s="16"/>
      <c r="C2961" s="25"/>
      <c r="D2961" s="25"/>
      <c r="E2961" s="16"/>
      <c r="F2961" s="18"/>
      <c r="G2961" s="19" t="str">
        <f t="shared" ca="1" si="92"/>
        <v/>
      </c>
      <c r="H2961" s="27"/>
      <c r="I2961" s="27"/>
      <c r="J2961" s="77" t="str">
        <f t="shared" ca="1" si="93"/>
        <v/>
      </c>
      <c r="K2961" s="23">
        <f>IF(A2961="","",COUNTIFS(Resumen!$N$2:$N$2999,ROW(),Resumen!$V$2:$V$2999,1))</f>
        <v/>
      </c>
      <c r="L2961" s="26"/>
      <c r="N296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2" spans="1:14">
      <c r="A2962" s="16"/>
      <c r="B2962" s="16"/>
      <c r="C2962" s="25"/>
      <c r="D2962" s="25"/>
      <c r="E2962" s="16"/>
      <c r="F2962" s="18"/>
      <c r="G2962" s="19" t="str">
        <f t="shared" ca="1" si="92"/>
        <v/>
      </c>
      <c r="H2962" s="27"/>
      <c r="I2962" s="27"/>
      <c r="J2962" s="77" t="str">
        <f t="shared" ca="1" si="93"/>
        <v/>
      </c>
      <c r="K2962" s="23">
        <f>IF(A2962="","",COUNTIFS(Resumen!$N$2:$N$2999,ROW(),Resumen!$V$2:$V$2999,1))</f>
        <v/>
      </c>
      <c r="L2962" s="26"/>
      <c r="N296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3" spans="1:14">
      <c r="A2963" s="16"/>
      <c r="B2963" s="16"/>
      <c r="C2963" s="25"/>
      <c r="D2963" s="25"/>
      <c r="E2963" s="16"/>
      <c r="F2963" s="18"/>
      <c r="G2963" s="19" t="str">
        <f t="shared" ca="1" si="92"/>
        <v/>
      </c>
      <c r="H2963" s="27"/>
      <c r="I2963" s="27"/>
      <c r="J2963" s="77" t="str">
        <f t="shared" ca="1" si="93"/>
        <v/>
      </c>
      <c r="K2963" s="23">
        <f>IF(A2963="","",COUNTIFS(Resumen!$N$2:$N$2999,ROW(),Resumen!$V$2:$V$2999,1))</f>
        <v/>
      </c>
      <c r="L2963" s="26"/>
      <c r="N296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4" spans="1:14">
      <c r="A2964" s="16"/>
      <c r="B2964" s="16"/>
      <c r="C2964" s="25"/>
      <c r="D2964" s="25"/>
      <c r="E2964" s="16"/>
      <c r="F2964" s="18"/>
      <c r="G2964" s="19" t="str">
        <f t="shared" ca="1" si="92"/>
        <v/>
      </c>
      <c r="H2964" s="27"/>
      <c r="I2964" s="27"/>
      <c r="J2964" s="77" t="str">
        <f t="shared" ca="1" si="93"/>
        <v/>
      </c>
      <c r="K2964" s="23">
        <f>IF(A2964="","",COUNTIFS(Resumen!$N$2:$N$2999,ROW(),Resumen!$V$2:$V$2999,1))</f>
        <v/>
      </c>
      <c r="L2964" s="26"/>
      <c r="N296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5" spans="1:14">
      <c r="A2965" s="16"/>
      <c r="B2965" s="16"/>
      <c r="C2965" s="25"/>
      <c r="D2965" s="25"/>
      <c r="E2965" s="16"/>
      <c r="F2965" s="18"/>
      <c r="G2965" s="19" t="str">
        <f t="shared" ca="1" si="92"/>
        <v/>
      </c>
      <c r="H2965" s="27"/>
      <c r="I2965" s="27"/>
      <c r="J2965" s="77" t="str">
        <f t="shared" ca="1" si="93"/>
        <v/>
      </c>
      <c r="K2965" s="23">
        <f>IF(A2965="","",COUNTIFS(Resumen!$N$2:$N$2999,ROW(),Resumen!$V$2:$V$2999,1))</f>
        <v/>
      </c>
      <c r="L2965" s="26"/>
      <c r="N296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6" spans="1:14">
      <c r="A2966" s="16"/>
      <c r="B2966" s="16"/>
      <c r="C2966" s="25"/>
      <c r="D2966" s="25"/>
      <c r="E2966" s="16"/>
      <c r="F2966" s="18"/>
      <c r="G2966" s="19" t="str">
        <f t="shared" ca="1" si="92"/>
        <v/>
      </c>
      <c r="H2966" s="27"/>
      <c r="I2966" s="27"/>
      <c r="J2966" s="77" t="str">
        <f t="shared" ca="1" si="93"/>
        <v/>
      </c>
      <c r="K2966" s="23">
        <f>IF(A2966="","",COUNTIFS(Resumen!$N$2:$N$2999,ROW(),Resumen!$V$2:$V$2999,1))</f>
        <v/>
      </c>
      <c r="L2966" s="26"/>
      <c r="N296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7" spans="1:14">
      <c r="A2967" s="16"/>
      <c r="B2967" s="16"/>
      <c r="C2967" s="25"/>
      <c r="D2967" s="25"/>
      <c r="E2967" s="16"/>
      <c r="F2967" s="18"/>
      <c r="G2967" s="19" t="str">
        <f t="shared" ca="1" si="92"/>
        <v/>
      </c>
      <c r="H2967" s="27"/>
      <c r="I2967" s="27"/>
      <c r="J2967" s="77" t="str">
        <f t="shared" ca="1" si="93"/>
        <v/>
      </c>
      <c r="K2967" s="23">
        <f>IF(A2967="","",COUNTIFS(Resumen!$N$2:$N$2999,ROW(),Resumen!$V$2:$V$2999,1))</f>
        <v/>
      </c>
      <c r="L2967" s="26"/>
      <c r="N296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8" spans="1:14">
      <c r="A2968" s="16"/>
      <c r="B2968" s="16"/>
      <c r="C2968" s="25"/>
      <c r="D2968" s="25"/>
      <c r="E2968" s="16"/>
      <c r="F2968" s="18"/>
      <c r="G2968" s="19" t="str">
        <f t="shared" ca="1" si="92"/>
        <v/>
      </c>
      <c r="H2968" s="27"/>
      <c r="I2968" s="27"/>
      <c r="J2968" s="77" t="str">
        <f t="shared" ca="1" si="93"/>
        <v/>
      </c>
      <c r="K2968" s="23">
        <f>IF(A2968="","",COUNTIFS(Resumen!$N$2:$N$2999,ROW(),Resumen!$V$2:$V$2999,1))</f>
        <v/>
      </c>
      <c r="L2968" s="26"/>
      <c r="N296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69" spans="1:14">
      <c r="A2969" s="16"/>
      <c r="B2969" s="16"/>
      <c r="C2969" s="25"/>
      <c r="D2969" s="25"/>
      <c r="E2969" s="16"/>
      <c r="F2969" s="18"/>
      <c r="G2969" s="19" t="str">
        <f t="shared" ca="1" si="92"/>
        <v/>
      </c>
      <c r="H2969" s="27"/>
      <c r="I2969" s="27"/>
      <c r="J2969" s="77" t="str">
        <f t="shared" ca="1" si="93"/>
        <v/>
      </c>
      <c r="K2969" s="23">
        <f>IF(A2969="","",COUNTIFS(Resumen!$N$2:$N$2999,ROW(),Resumen!$V$2:$V$2999,1))</f>
        <v/>
      </c>
      <c r="L2969" s="26"/>
      <c r="N296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0" spans="1:14">
      <c r="A2970" s="16"/>
      <c r="B2970" s="16"/>
      <c r="C2970" s="25"/>
      <c r="D2970" s="25"/>
      <c r="E2970" s="16"/>
      <c r="F2970" s="18"/>
      <c r="G2970" s="19" t="str">
        <f t="shared" ca="1" si="92"/>
        <v/>
      </c>
      <c r="H2970" s="27"/>
      <c r="I2970" s="27"/>
      <c r="J2970" s="77" t="str">
        <f t="shared" ca="1" si="93"/>
        <v/>
      </c>
      <c r="K2970" s="23">
        <f>IF(A2970="","",COUNTIFS(Resumen!$N$2:$N$2999,ROW(),Resumen!$V$2:$V$2999,1))</f>
        <v/>
      </c>
      <c r="L2970" s="26"/>
      <c r="N297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1" spans="1:14">
      <c r="A2971" s="16"/>
      <c r="B2971" s="16"/>
      <c r="C2971" s="25"/>
      <c r="D2971" s="25"/>
      <c r="E2971" s="16"/>
      <c r="F2971" s="18"/>
      <c r="G2971" s="19" t="str">
        <f t="shared" ca="1" si="92"/>
        <v/>
      </c>
      <c r="H2971" s="27"/>
      <c r="I2971" s="27"/>
      <c r="J2971" s="77" t="str">
        <f t="shared" ca="1" si="93"/>
        <v/>
      </c>
      <c r="K2971" s="23">
        <f>IF(A2971="","",COUNTIFS(Resumen!$N$2:$N$2999,ROW(),Resumen!$V$2:$V$2999,1))</f>
        <v/>
      </c>
      <c r="L2971" s="26"/>
      <c r="N297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2" spans="1:14">
      <c r="A2972" s="16"/>
      <c r="B2972" s="16"/>
      <c r="C2972" s="25"/>
      <c r="D2972" s="25"/>
      <c r="E2972" s="16"/>
      <c r="F2972" s="18"/>
      <c r="G2972" s="19" t="str">
        <f t="shared" ca="1" si="92"/>
        <v/>
      </c>
      <c r="H2972" s="27"/>
      <c r="I2972" s="27"/>
      <c r="J2972" s="77" t="str">
        <f t="shared" ca="1" si="93"/>
        <v/>
      </c>
      <c r="K2972" s="23">
        <f>IF(A2972="","",COUNTIFS(Resumen!$N$2:$N$2999,ROW(),Resumen!$V$2:$V$2999,1))</f>
        <v/>
      </c>
      <c r="L2972" s="26"/>
      <c r="N297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3" spans="1:14">
      <c r="A2973" s="16"/>
      <c r="B2973" s="16"/>
      <c r="C2973" s="25"/>
      <c r="D2973" s="25"/>
      <c r="E2973" s="16"/>
      <c r="F2973" s="18"/>
      <c r="G2973" s="19" t="str">
        <f t="shared" ca="1" si="92"/>
        <v/>
      </c>
      <c r="H2973" s="27"/>
      <c r="I2973" s="27"/>
      <c r="J2973" s="77" t="str">
        <f t="shared" ca="1" si="93"/>
        <v/>
      </c>
      <c r="K2973" s="23">
        <f>IF(A2973="","",COUNTIFS(Resumen!$N$2:$N$2999,ROW(),Resumen!$V$2:$V$2999,1))</f>
        <v/>
      </c>
      <c r="L2973" s="26"/>
      <c r="N297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4" spans="1:14">
      <c r="A2974" s="16"/>
      <c r="B2974" s="16"/>
      <c r="C2974" s="25"/>
      <c r="D2974" s="25"/>
      <c r="E2974" s="16"/>
      <c r="F2974" s="18"/>
      <c r="G2974" s="19" t="str">
        <f t="shared" ca="1" si="92"/>
        <v/>
      </c>
      <c r="H2974" s="27"/>
      <c r="I2974" s="27"/>
      <c r="J2974" s="77" t="str">
        <f t="shared" ca="1" si="93"/>
        <v/>
      </c>
      <c r="K2974" s="23">
        <f>IF(A2974="","",COUNTIFS(Resumen!$N$2:$N$2999,ROW(),Resumen!$V$2:$V$2999,1))</f>
        <v/>
      </c>
      <c r="L2974" s="26"/>
      <c r="N297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5" spans="1:14">
      <c r="A2975" s="16"/>
      <c r="B2975" s="16"/>
      <c r="C2975" s="25"/>
      <c r="D2975" s="25"/>
      <c r="E2975" s="16"/>
      <c r="F2975" s="18"/>
      <c r="G2975" s="19" t="str">
        <f t="shared" ca="1" si="92"/>
        <v/>
      </c>
      <c r="H2975" s="27"/>
      <c r="I2975" s="27"/>
      <c r="J2975" s="77" t="str">
        <f t="shared" ca="1" si="93"/>
        <v/>
      </c>
      <c r="K2975" s="23">
        <f>IF(A2975="","",COUNTIFS(Resumen!$N$2:$N$2999,ROW(),Resumen!$V$2:$V$2999,1))</f>
        <v/>
      </c>
      <c r="L2975" s="26"/>
      <c r="N297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6" spans="1:14">
      <c r="A2976" s="16"/>
      <c r="B2976" s="16"/>
      <c r="C2976" s="25"/>
      <c r="D2976" s="25"/>
      <c r="E2976" s="16"/>
      <c r="F2976" s="18"/>
      <c r="G2976" s="19" t="str">
        <f t="shared" ca="1" si="92"/>
        <v/>
      </c>
      <c r="H2976" s="27"/>
      <c r="I2976" s="27"/>
      <c r="J2976" s="77" t="str">
        <f t="shared" ca="1" si="93"/>
        <v/>
      </c>
      <c r="K2976" s="23">
        <f>IF(A2976="","",COUNTIFS(Resumen!$N$2:$N$2999,ROW(),Resumen!$V$2:$V$2999,1))</f>
        <v/>
      </c>
      <c r="L2976" s="26"/>
      <c r="N297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7" spans="1:14">
      <c r="A2977" s="16"/>
      <c r="B2977" s="16"/>
      <c r="C2977" s="25"/>
      <c r="D2977" s="25"/>
      <c r="E2977" s="16"/>
      <c r="F2977" s="18"/>
      <c r="G2977" s="19" t="str">
        <f t="shared" ca="1" si="92"/>
        <v/>
      </c>
      <c r="H2977" s="27"/>
      <c r="I2977" s="27"/>
      <c r="J2977" s="77" t="str">
        <f t="shared" ca="1" si="93"/>
        <v/>
      </c>
      <c r="K2977" s="23">
        <f>IF(A2977="","",COUNTIFS(Resumen!$N$2:$N$2999,ROW(),Resumen!$V$2:$V$2999,1))</f>
        <v/>
      </c>
      <c r="L2977" s="26"/>
      <c r="N297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8" spans="1:14">
      <c r="A2978" s="16"/>
      <c r="B2978" s="16"/>
      <c r="C2978" s="25"/>
      <c r="D2978" s="25"/>
      <c r="E2978" s="16"/>
      <c r="F2978" s="18"/>
      <c r="G2978" s="19" t="str">
        <f t="shared" ca="1" si="92"/>
        <v/>
      </c>
      <c r="H2978" s="27"/>
      <c r="I2978" s="27"/>
      <c r="J2978" s="77" t="str">
        <f t="shared" ca="1" si="93"/>
        <v/>
      </c>
      <c r="K2978" s="23">
        <f>IF(A2978="","",COUNTIFS(Resumen!$N$2:$N$2999,ROW(),Resumen!$V$2:$V$2999,1))</f>
        <v/>
      </c>
      <c r="L2978" s="26"/>
      <c r="N297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79" spans="1:14">
      <c r="A2979" s="16"/>
      <c r="B2979" s="16"/>
      <c r="C2979" s="25"/>
      <c r="D2979" s="25"/>
      <c r="E2979" s="16"/>
      <c r="F2979" s="18"/>
      <c r="G2979" s="19" t="str">
        <f t="shared" ca="1" si="92"/>
        <v/>
      </c>
      <c r="H2979" s="27"/>
      <c r="I2979" s="27"/>
      <c r="J2979" s="77" t="str">
        <f t="shared" ca="1" si="93"/>
        <v/>
      </c>
      <c r="K2979" s="23">
        <f>IF(A2979="","",COUNTIFS(Resumen!$N$2:$N$2999,ROW(),Resumen!$V$2:$V$2999,1))</f>
        <v/>
      </c>
      <c r="L2979" s="26"/>
      <c r="N297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0" spans="1:14">
      <c r="A2980" s="16"/>
      <c r="B2980" s="16"/>
      <c r="C2980" s="25"/>
      <c r="D2980" s="25"/>
      <c r="E2980" s="16"/>
      <c r="F2980" s="18"/>
      <c r="G2980" s="19" t="str">
        <f t="shared" ca="1" si="92"/>
        <v/>
      </c>
      <c r="H2980" s="27"/>
      <c r="I2980" s="27"/>
      <c r="J2980" s="77" t="str">
        <f t="shared" ca="1" si="93"/>
        <v/>
      </c>
      <c r="K2980" s="23">
        <f>IF(A2980="","",COUNTIFS(Resumen!$N$2:$N$2999,ROW(),Resumen!$V$2:$V$2999,1))</f>
        <v/>
      </c>
      <c r="L2980" s="26"/>
      <c r="N298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1" spans="1:14">
      <c r="A2981" s="16"/>
      <c r="B2981" s="16"/>
      <c r="C2981" s="25"/>
      <c r="D2981" s="25"/>
      <c r="E2981" s="16"/>
      <c r="F2981" s="18"/>
      <c r="G2981" s="19" t="str">
        <f t="shared" ca="1" si="92"/>
        <v/>
      </c>
      <c r="H2981" s="27"/>
      <c r="I2981" s="27"/>
      <c r="J2981" s="77" t="str">
        <f t="shared" ca="1" si="93"/>
        <v/>
      </c>
      <c r="K2981" s="23">
        <f>IF(A2981="","",COUNTIFS(Resumen!$N$2:$N$2999,ROW(),Resumen!$V$2:$V$2999,1))</f>
        <v/>
      </c>
      <c r="L2981" s="26"/>
      <c r="N298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2" spans="1:14">
      <c r="A2982" s="16"/>
      <c r="B2982" s="16"/>
      <c r="C2982" s="25"/>
      <c r="D2982" s="25"/>
      <c r="E2982" s="16"/>
      <c r="F2982" s="18"/>
      <c r="G2982" s="19" t="str">
        <f t="shared" ca="1" si="92"/>
        <v/>
      </c>
      <c r="H2982" s="27"/>
      <c r="I2982" s="27"/>
      <c r="J2982" s="77" t="str">
        <f t="shared" ca="1" si="93"/>
        <v/>
      </c>
      <c r="K2982" s="23">
        <f>IF(A2982="","",COUNTIFS(Resumen!$N$2:$N$2999,ROW(),Resumen!$V$2:$V$2999,1))</f>
        <v/>
      </c>
      <c r="L2982" s="26"/>
      <c r="N298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3" spans="1:14">
      <c r="A2983" s="16"/>
      <c r="B2983" s="16"/>
      <c r="C2983" s="25"/>
      <c r="D2983" s="25"/>
      <c r="E2983" s="16"/>
      <c r="F2983" s="18"/>
      <c r="G2983" s="19" t="str">
        <f t="shared" ca="1" si="92"/>
        <v/>
      </c>
      <c r="H2983" s="27"/>
      <c r="I2983" s="27"/>
      <c r="J2983" s="77" t="str">
        <f t="shared" ca="1" si="93"/>
        <v/>
      </c>
      <c r="K2983" s="23">
        <f>IF(A2983="","",COUNTIFS(Resumen!$N$2:$N$2999,ROW(),Resumen!$V$2:$V$2999,1))</f>
        <v/>
      </c>
      <c r="L2983" s="26"/>
      <c r="N298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4" spans="1:14">
      <c r="A2984" s="16"/>
      <c r="B2984" s="16"/>
      <c r="C2984" s="25"/>
      <c r="D2984" s="25"/>
      <c r="E2984" s="16"/>
      <c r="F2984" s="18"/>
      <c r="G2984" s="19" t="str">
        <f t="shared" ca="1" si="92"/>
        <v/>
      </c>
      <c r="H2984" s="27"/>
      <c r="I2984" s="27"/>
      <c r="J2984" s="77" t="str">
        <f t="shared" ca="1" si="93"/>
        <v/>
      </c>
      <c r="K2984" s="23">
        <f>IF(A2984="","",COUNTIFS(Resumen!$N$2:$N$2999,ROW(),Resumen!$V$2:$V$2999,1))</f>
        <v/>
      </c>
      <c r="L2984" s="26"/>
      <c r="N298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5" spans="1:14">
      <c r="A2985" s="16"/>
      <c r="B2985" s="16"/>
      <c r="C2985" s="25"/>
      <c r="D2985" s="25"/>
      <c r="E2985" s="16"/>
      <c r="F2985" s="18"/>
      <c r="G2985" s="19" t="str">
        <f t="shared" ca="1" si="92"/>
        <v/>
      </c>
      <c r="H2985" s="27"/>
      <c r="I2985" s="27"/>
      <c r="J2985" s="77" t="str">
        <f t="shared" ca="1" si="93"/>
        <v/>
      </c>
      <c r="K2985" s="23">
        <f>IF(A2985="","",COUNTIFS(Resumen!$N$2:$N$2999,ROW(),Resumen!$V$2:$V$2999,1))</f>
        <v/>
      </c>
      <c r="L2985" s="26"/>
      <c r="N298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6" spans="1:14">
      <c r="A2986" s="16"/>
      <c r="B2986" s="16"/>
      <c r="C2986" s="25"/>
      <c r="D2986" s="25"/>
      <c r="E2986" s="16"/>
      <c r="F2986" s="18"/>
      <c r="G2986" s="19" t="str">
        <f t="shared" ca="1" si="92"/>
        <v/>
      </c>
      <c r="H2986" s="27"/>
      <c r="I2986" s="27"/>
      <c r="J2986" s="77" t="str">
        <f t="shared" ca="1" si="93"/>
        <v/>
      </c>
      <c r="K2986" s="23">
        <f>IF(A2986="","",COUNTIFS(Resumen!$N$2:$N$2999,ROW(),Resumen!$V$2:$V$2999,1))</f>
        <v/>
      </c>
      <c r="L2986" s="26"/>
      <c r="N298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7" spans="1:14">
      <c r="A2987" s="16"/>
      <c r="B2987" s="16"/>
      <c r="C2987" s="25"/>
      <c r="D2987" s="25"/>
      <c r="E2987" s="16"/>
      <c r="F2987" s="18"/>
      <c r="G2987" s="19" t="str">
        <f t="shared" ca="1" si="92"/>
        <v/>
      </c>
      <c r="H2987" s="27"/>
      <c r="I2987" s="27"/>
      <c r="J2987" s="77" t="str">
        <f t="shared" ca="1" si="93"/>
        <v/>
      </c>
      <c r="K2987" s="23">
        <f>IF(A2987="","",COUNTIFS(Resumen!$N$2:$N$2999,ROW(),Resumen!$V$2:$V$2999,1))</f>
        <v/>
      </c>
      <c r="L2987" s="26"/>
      <c r="N298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8" spans="1:14">
      <c r="A2988" s="16"/>
      <c r="B2988" s="16"/>
      <c r="C2988" s="25"/>
      <c r="D2988" s="25"/>
      <c r="E2988" s="16"/>
      <c r="F2988" s="18"/>
      <c r="G2988" s="19" t="str">
        <f t="shared" ca="1" si="92"/>
        <v/>
      </c>
      <c r="H2988" s="27"/>
      <c r="I2988" s="27"/>
      <c r="J2988" s="77" t="str">
        <f t="shared" ca="1" si="93"/>
        <v/>
      </c>
      <c r="K2988" s="23">
        <f>IF(A2988="","",COUNTIFS(Resumen!$N$2:$N$2999,ROW(),Resumen!$V$2:$V$2999,1))</f>
        <v/>
      </c>
      <c r="L2988" s="26"/>
      <c r="N298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89" spans="1:14">
      <c r="A2989" s="16"/>
      <c r="B2989" s="16"/>
      <c r="C2989" s="25"/>
      <c r="D2989" s="25"/>
      <c r="E2989" s="16"/>
      <c r="F2989" s="18"/>
      <c r="G2989" s="19" t="str">
        <f t="shared" ca="1" si="92"/>
        <v/>
      </c>
      <c r="H2989" s="27"/>
      <c r="I2989" s="27"/>
      <c r="J2989" s="77" t="str">
        <f t="shared" ca="1" si="93"/>
        <v/>
      </c>
      <c r="K2989" s="23">
        <f>IF(A2989="","",COUNTIFS(Resumen!$N$2:$N$2999,ROW(),Resumen!$V$2:$V$2999,1))</f>
        <v/>
      </c>
      <c r="L2989" s="26"/>
      <c r="N298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0" spans="1:14">
      <c r="A2990" s="16"/>
      <c r="B2990" s="16"/>
      <c r="C2990" s="25"/>
      <c r="D2990" s="25"/>
      <c r="E2990" s="16"/>
      <c r="F2990" s="18"/>
      <c r="G2990" s="19" t="str">
        <f t="shared" ca="1" si="92"/>
        <v/>
      </c>
      <c r="H2990" s="27"/>
      <c r="I2990" s="27"/>
      <c r="J2990" s="77" t="str">
        <f t="shared" ca="1" si="93"/>
        <v/>
      </c>
      <c r="K2990" s="23">
        <f>IF(A2990="","",COUNTIFS(Resumen!$N$2:$N$2999,ROW(),Resumen!$V$2:$V$2999,1))</f>
        <v/>
      </c>
      <c r="L2990" s="26"/>
      <c r="N2990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1" spans="1:14">
      <c r="A2991" s="16"/>
      <c r="B2991" s="16"/>
      <c r="C2991" s="25"/>
      <c r="D2991" s="25"/>
      <c r="E2991" s="16"/>
      <c r="F2991" s="18"/>
      <c r="G2991" s="19" t="str">
        <f t="shared" ca="1" si="92"/>
        <v/>
      </c>
      <c r="H2991" s="27"/>
      <c r="I2991" s="27"/>
      <c r="J2991" s="77" t="str">
        <f t="shared" ca="1" si="93"/>
        <v/>
      </c>
      <c r="K2991" s="23">
        <f>IF(A2991="","",COUNTIFS(Resumen!$N$2:$N$2999,ROW(),Resumen!$V$2:$V$2999,1))</f>
        <v/>
      </c>
      <c r="L2991" s="26"/>
      <c r="N2991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2" spans="1:14">
      <c r="A2992" s="16"/>
      <c r="B2992" s="16"/>
      <c r="C2992" s="25"/>
      <c r="D2992" s="25"/>
      <c r="E2992" s="16"/>
      <c r="F2992" s="18"/>
      <c r="G2992" s="19" t="str">
        <f t="shared" ca="1" si="92"/>
        <v/>
      </c>
      <c r="H2992" s="27"/>
      <c r="I2992" s="27"/>
      <c r="J2992" s="77" t="str">
        <f t="shared" ca="1" si="93"/>
        <v/>
      </c>
      <c r="K2992" s="23">
        <f>IF(A2992="","",COUNTIFS(Resumen!$N$2:$N$2999,ROW(),Resumen!$V$2:$V$2999,1))</f>
        <v/>
      </c>
      <c r="L2992" s="26"/>
      <c r="N2992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3" spans="1:14">
      <c r="A2993" s="16"/>
      <c r="B2993" s="16"/>
      <c r="C2993" s="25"/>
      <c r="D2993" s="25"/>
      <c r="E2993" s="16"/>
      <c r="F2993" s="18"/>
      <c r="G2993" s="19" t="str">
        <f t="shared" ca="1" si="92"/>
        <v/>
      </c>
      <c r="H2993" s="27"/>
      <c r="I2993" s="27"/>
      <c r="J2993" s="77" t="str">
        <f t="shared" ca="1" si="93"/>
        <v/>
      </c>
      <c r="K2993" s="23">
        <f>IF(A2993="","",COUNTIFS(Resumen!$N$2:$N$2999,ROW(),Resumen!$V$2:$V$2999,1))</f>
        <v/>
      </c>
      <c r="L2993" s="26"/>
      <c r="N2993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4" spans="1:14">
      <c r="A2994" s="16"/>
      <c r="B2994" s="16"/>
      <c r="C2994" s="25"/>
      <c r="D2994" s="25"/>
      <c r="E2994" s="16"/>
      <c r="F2994" s="18"/>
      <c r="G2994" s="19" t="str">
        <f t="shared" ca="1" si="92"/>
        <v/>
      </c>
      <c r="H2994" s="27"/>
      <c r="I2994" s="27"/>
      <c r="J2994" s="77" t="str">
        <f t="shared" ca="1" si="93"/>
        <v/>
      </c>
      <c r="K2994" s="23">
        <f>IF(A2994="","",COUNTIFS(Resumen!$N$2:$N$2999,ROW(),Resumen!$V$2:$V$2999,1))</f>
        <v/>
      </c>
      <c r="L2994" s="26"/>
      <c r="N2994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5" spans="1:14">
      <c r="A2995" s="16"/>
      <c r="B2995" s="16"/>
      <c r="C2995" s="25"/>
      <c r="D2995" s="25"/>
      <c r="E2995" s="16"/>
      <c r="F2995" s="18"/>
      <c r="G2995" s="19" t="str">
        <f t="shared" ca="1" si="92"/>
        <v/>
      </c>
      <c r="H2995" s="27"/>
      <c r="I2995" s="27"/>
      <c r="J2995" s="77" t="str">
        <f t="shared" ca="1" si="93"/>
        <v/>
      </c>
      <c r="K2995" s="23">
        <f>IF(A2995="","",COUNTIFS(Resumen!$N$2:$N$2999,ROW(),Resumen!$V$2:$V$2999,1))</f>
        <v/>
      </c>
      <c r="L2995" s="26"/>
      <c r="N2995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6" spans="1:14">
      <c r="A2996" s="16"/>
      <c r="B2996" s="16"/>
      <c r="C2996" s="25"/>
      <c r="D2996" s="25"/>
      <c r="E2996" s="16"/>
      <c r="F2996" s="18"/>
      <c r="G2996" s="19" t="str">
        <f t="shared" ca="1" si="92"/>
        <v/>
      </c>
      <c r="H2996" s="27"/>
      <c r="I2996" s="27"/>
      <c r="J2996" s="77" t="str">
        <f t="shared" ca="1" si="93"/>
        <v/>
      </c>
      <c r="K2996" s="23">
        <f>IF(A2996="","",COUNTIFS(Resumen!$N$2:$N$2999,ROW(),Resumen!$V$2:$V$2999,1))</f>
        <v/>
      </c>
      <c r="L2996" s="26"/>
      <c r="N2996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7" spans="1:14">
      <c r="A2997" s="16"/>
      <c r="B2997" s="16"/>
      <c r="C2997" s="25"/>
      <c r="D2997" s="25"/>
      <c r="E2997" s="16"/>
      <c r="F2997" s="18"/>
      <c r="G2997" s="19" t="str">
        <f t="shared" ca="1" si="92"/>
        <v/>
      </c>
      <c r="H2997" s="27"/>
      <c r="I2997" s="27"/>
      <c r="J2997" s="77" t="str">
        <f t="shared" ca="1" si="93"/>
        <v/>
      </c>
      <c r="K2997" s="23">
        <f>IF(A2997="","",COUNTIFS(Resumen!$N$2:$N$2999,ROW(),Resumen!$V$2:$V$2999,1))</f>
        <v/>
      </c>
      <c r="L2997" s="26"/>
      <c r="N2997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8" spans="1:14">
      <c r="A2998" s="16"/>
      <c r="B2998" s="16"/>
      <c r="C2998" s="25"/>
      <c r="D2998" s="25"/>
      <c r="E2998" s="16"/>
      <c r="F2998" s="18"/>
      <c r="G2998" s="19" t="str">
        <f t="shared" ca="1" si="92"/>
        <v/>
      </c>
      <c r="H2998" s="27"/>
      <c r="I2998" s="27"/>
      <c r="J2998" s="77" t="str">
        <f t="shared" ca="1" si="93"/>
        <v/>
      </c>
      <c r="K2998" s="23">
        <f>IF(A2998="","",COUNTIFS(Resumen!$N$2:$N$2999,ROW(),Resumen!$V$2:$V$2999,1))</f>
        <v/>
      </c>
      <c r="L2998" s="26"/>
      <c r="N2998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2999" spans="1:14">
      <c r="A2999" s="16"/>
      <c r="B2999" s="16"/>
      <c r="C2999" s="25"/>
      <c r="D2999" s="25"/>
      <c r="E2999" s="16"/>
      <c r="F2999" s="18"/>
      <c r="G2999" s="19" t="str">
        <f t="shared" ca="1" si="92"/>
        <v/>
      </c>
      <c r="H2999" s="27"/>
      <c r="I2999" s="27"/>
      <c r="J2999" s="77" t="str">
        <f t="shared" ca="1" si="93"/>
        <v/>
      </c>
      <c r="K2999" s="23">
        <f>IF(A2999="","",COUNTIFS(Resumen!$N$2:$N$2999,ROW(),Resumen!$V$2:$V$2999,1))</f>
        <v/>
      </c>
      <c r="L2999" s="26"/>
      <c r="N2999" s="76">
        <f>IFERROR(IF(OR(INDEX(Resumen!$N:$N,ROW())="",INDEX($M:$M,INDEX(Resumen!$N:$N,ROW()))&lt;&gt;"No"),"",IF(AND(ISNUMBER(INDEX($H:$H,INDEX(Resumen!$N:$N,ROW()))),INDEX($H:$H,INDEX(Resumen!$N:$N,ROW()))&gt;0),IF(INDEX($I:$I,INDEX(Resumen!$N:$N,ROW()))=0,EDATE(INDEX($H:$H,INDEX(Resumen!$N:$N,ROW())),3),IF(AND(ISNUMBER(INDEX($I:$I,INDEX(Resumen!$N:$N,ROW()))),INDEX($I:$I,INDEX(Resumen!$N:$N,ROW()))&gt;0),MIN(INDEX($I:$I,INDEX(Resumen!$N:$N,ROW())),EDATE(INDEX($H:$H,INDEX(Resumen!$N:$N,ROW())),3)),"")),"")),"")</f>
        <v/>
      </c>
    </row>
    <row r="3000" spans="1:14">
      <c r="A3000" s="28"/>
      <c r="B3000" s="28"/>
    </row>
    <row r="3001" spans="1:14">
      <c r="A3001" s="28"/>
      <c r="B3001" s="28"/>
    </row>
    <row r="3002" spans="1:14">
      <c r="A3002" s="28"/>
      <c r="B3002" s="28"/>
    </row>
    <row r="3003" spans="1:14">
      <c r="A3003" s="28"/>
      <c r="B3003" s="28"/>
    </row>
    <row r="3004" spans="1:14">
      <c r="A3004" s="28"/>
      <c r="B3004" s="28"/>
    </row>
    <row r="3005" spans="1:14">
      <c r="A3005" s="28"/>
      <c r="B3005" s="28"/>
    </row>
    <row r="3006" spans="1:14">
      <c r="A3006" s="28"/>
      <c r="B3006" s="28"/>
    </row>
    <row r="3007" spans="1:14">
      <c r="A3007" s="28"/>
      <c r="B3007" s="28"/>
    </row>
    <row r="3008" spans="1:14">
      <c r="A3008" s="28"/>
      <c r="B3008" s="28"/>
    </row>
    <row r="3009" spans="1:2">
      <c r="A3009" s="28"/>
      <c r="B3009" s="28"/>
    </row>
    <row r="3010" spans="1:2">
      <c r="A3010" s="28"/>
      <c r="B3010" s="28"/>
    </row>
    <row r="3011" spans="1:2">
      <c r="A3011" s="28"/>
      <c r="B3011" s="28"/>
    </row>
    <row r="3012" spans="1:2">
      <c r="A3012" s="28"/>
      <c r="B3012" s="28"/>
    </row>
    <row r="3013" spans="1:2">
      <c r="A3013" s="28"/>
      <c r="B3013" s="28"/>
    </row>
    <row r="3014" spans="1:2">
      <c r="A3014" s="28"/>
      <c r="B3014" s="28"/>
    </row>
    <row r="3015" spans="1:2">
      <c r="A3015" s="28"/>
      <c r="B3015" s="28"/>
    </row>
    <row r="3016" spans="1:2">
      <c r="A3016" s="28"/>
      <c r="B3016" s="28"/>
    </row>
    <row r="3017" spans="1:2">
      <c r="A3017" s="28"/>
      <c r="B3017" s="28"/>
    </row>
    <row r="3018" spans="1:2">
      <c r="A3018" s="28"/>
      <c r="B3018" s="28"/>
    </row>
    <row r="3019" spans="1:2">
      <c r="A3019" s="28"/>
      <c r="B3019" s="28"/>
    </row>
    <row r="3020" spans="1:2">
      <c r="A3020" s="28"/>
      <c r="B3020" s="28"/>
    </row>
    <row r="3021" spans="1:2">
      <c r="A3021" s="28"/>
      <c r="B3021" s="28"/>
    </row>
    <row r="3022" spans="1:2">
      <c r="A3022" s="28"/>
      <c r="B3022" s="28"/>
    </row>
    <row r="3023" spans="1:2">
      <c r="A3023" s="28"/>
      <c r="B3023" s="28"/>
    </row>
    <row r="3024" spans="1:2">
      <c r="A3024" s="28"/>
      <c r="B3024" s="28"/>
    </row>
    <row r="3025" spans="1:2">
      <c r="A3025" s="28"/>
      <c r="B3025" s="28"/>
    </row>
    <row r="3026" spans="1:2">
      <c r="A3026" s="28"/>
      <c r="B3026" s="28"/>
    </row>
    <row r="3027" spans="1:2">
      <c r="A3027" s="28"/>
      <c r="B3027" s="28"/>
    </row>
    <row r="3028" spans="1:2">
      <c r="A3028" s="28"/>
      <c r="B3028" s="28"/>
    </row>
    <row r="3029" spans="1:2">
      <c r="A3029" s="28"/>
      <c r="B3029" s="28"/>
    </row>
    <row r="3030" spans="1:2">
      <c r="A3030" s="28"/>
      <c r="B3030" s="28"/>
    </row>
    <row r="3031" spans="1:2">
      <c r="A3031" s="28"/>
      <c r="B3031" s="28"/>
    </row>
    <row r="3032" spans="1:2">
      <c r="A3032" s="28"/>
      <c r="B3032" s="28"/>
    </row>
    <row r="3033" spans="1:2">
      <c r="A3033" s="28"/>
      <c r="B3033" s="28"/>
    </row>
    <row r="3034" spans="1:2">
      <c r="A3034" s="28"/>
      <c r="B3034" s="28"/>
    </row>
    <row r="3035" spans="1:2">
      <c r="A3035" s="28"/>
      <c r="B3035" s="28"/>
    </row>
    <row r="3036" spans="1:2">
      <c r="A3036" s="28"/>
      <c r="B3036" s="28"/>
    </row>
    <row r="3037" spans="1:2">
      <c r="A3037" s="28"/>
      <c r="B3037" s="28"/>
    </row>
    <row r="3038" spans="1:2">
      <c r="A3038" s="28"/>
      <c r="B3038" s="28"/>
    </row>
    <row r="3039" spans="1:2">
      <c r="A3039" s="28"/>
      <c r="B3039" s="28"/>
    </row>
    <row r="3040" spans="1:2">
      <c r="A3040" s="28"/>
      <c r="B3040" s="28"/>
    </row>
    <row r="3041" spans="1:2">
      <c r="A3041" s="28"/>
      <c r="B3041" s="28"/>
    </row>
    <row r="3042" spans="1:2">
      <c r="A3042" s="28"/>
      <c r="B3042" s="28"/>
    </row>
    <row r="3043" spans="1:2">
      <c r="A3043" s="28"/>
      <c r="B3043" s="28"/>
    </row>
    <row r="3044" spans="1:2">
      <c r="A3044" s="28"/>
      <c r="B3044" s="28"/>
    </row>
    <row r="3045" spans="1:2">
      <c r="A3045" s="28"/>
      <c r="B3045" s="28"/>
    </row>
    <row r="3046" spans="1:2">
      <c r="A3046" s="28"/>
      <c r="B3046" s="28"/>
    </row>
    <row r="3047" spans="1:2">
      <c r="A3047" s="28"/>
      <c r="B3047" s="28"/>
    </row>
    <row r="3048" spans="1:2">
      <c r="A3048" s="28"/>
      <c r="B3048" s="28"/>
    </row>
    <row r="3049" spans="1:2">
      <c r="A3049" s="28"/>
      <c r="B3049" s="28"/>
    </row>
    <row r="3050" spans="1:2">
      <c r="A3050" s="28"/>
      <c r="B3050" s="28"/>
    </row>
    <row r="3051" spans="1:2">
      <c r="A3051" s="28"/>
      <c r="B3051" s="28"/>
    </row>
    <row r="3052" spans="1:2">
      <c r="A3052" s="28"/>
      <c r="B3052" s="28"/>
    </row>
    <row r="3053" spans="1:2">
      <c r="A3053" s="28"/>
      <c r="B3053" s="28"/>
    </row>
    <row r="3054" spans="1:2">
      <c r="A3054" s="28"/>
      <c r="B3054" s="28"/>
    </row>
    <row r="3055" spans="1:2">
      <c r="A3055" s="28"/>
      <c r="B3055" s="28"/>
    </row>
    <row r="3056" spans="1:2">
      <c r="A3056" s="28"/>
      <c r="B3056" s="28"/>
    </row>
    <row r="3057" spans="1:2">
      <c r="A3057" s="28"/>
      <c r="B3057" s="28"/>
    </row>
    <row r="3058" spans="1:2">
      <c r="A3058" s="28"/>
      <c r="B3058" s="28"/>
    </row>
    <row r="3059" spans="1:2">
      <c r="A3059" s="28"/>
      <c r="B3059" s="28"/>
    </row>
    <row r="3060" spans="1:2">
      <c r="A3060" s="28"/>
      <c r="B3060" s="28"/>
    </row>
    <row r="3061" spans="1:2">
      <c r="A3061" s="28"/>
      <c r="B3061" s="28"/>
    </row>
    <row r="3062" spans="1:2">
      <c r="A3062" s="28"/>
      <c r="B3062" s="28"/>
    </row>
    <row r="3063" spans="1:2">
      <c r="A3063" s="28"/>
      <c r="B3063" s="28"/>
    </row>
    <row r="3064" spans="1:2">
      <c r="A3064" s="28"/>
      <c r="B3064" s="28"/>
    </row>
    <row r="3065" spans="1:2">
      <c r="A3065" s="28"/>
      <c r="B3065" s="28"/>
    </row>
    <row r="3066" spans="1:2">
      <c r="A3066" s="28"/>
      <c r="B3066" s="28"/>
    </row>
    <row r="3067" spans="1:2">
      <c r="A3067" s="28"/>
      <c r="B3067" s="28"/>
    </row>
    <row r="3068" spans="1:2">
      <c r="A3068" s="28"/>
      <c r="B3068" s="28"/>
    </row>
    <row r="3069" spans="1:2">
      <c r="A3069" s="28"/>
      <c r="B3069" s="28"/>
    </row>
    <row r="3070" spans="1:2">
      <c r="A3070" s="28"/>
      <c r="B3070" s="28"/>
    </row>
    <row r="3071" spans="1:2">
      <c r="A3071" s="28"/>
      <c r="B3071" s="28"/>
    </row>
    <row r="3072" spans="1:2">
      <c r="A3072" s="28"/>
      <c r="B3072" s="28"/>
    </row>
    <row r="3073" spans="1:2">
      <c r="A3073" s="28"/>
      <c r="B3073" s="28"/>
    </row>
    <row r="3074" spans="1:2">
      <c r="A3074" s="28"/>
      <c r="B3074" s="28"/>
    </row>
    <row r="3075" spans="1:2">
      <c r="A3075" s="28"/>
      <c r="B3075" s="28"/>
    </row>
    <row r="3076" spans="1:2">
      <c r="A3076" s="28"/>
      <c r="B3076" s="28"/>
    </row>
    <row r="3077" spans="1:2">
      <c r="A3077" s="28"/>
      <c r="B3077" s="28"/>
    </row>
    <row r="3078" spans="1:2">
      <c r="A3078" s="28"/>
      <c r="B3078" s="28"/>
    </row>
    <row r="3079" spans="1:2">
      <c r="A3079" s="28"/>
      <c r="B3079" s="28"/>
    </row>
    <row r="3080" spans="1:2">
      <c r="A3080" s="28"/>
      <c r="B3080" s="28"/>
    </row>
    <row r="3081" spans="1:2">
      <c r="A3081" s="28"/>
      <c r="B3081" s="28"/>
    </row>
    <row r="3082" spans="1:2">
      <c r="A3082" s="28"/>
      <c r="B3082" s="28"/>
    </row>
    <row r="3083" spans="1:2">
      <c r="A3083" s="28"/>
      <c r="B3083" s="28"/>
    </row>
    <row r="3084" spans="1:2">
      <c r="A3084" s="28"/>
      <c r="B3084" s="28"/>
    </row>
    <row r="3085" spans="1:2">
      <c r="A3085" s="28"/>
      <c r="B3085" s="28"/>
    </row>
    <row r="3086" spans="1:2">
      <c r="A3086" s="28"/>
      <c r="B3086" s="28"/>
    </row>
    <row r="3087" spans="1:2">
      <c r="A3087" s="28"/>
      <c r="B3087" s="28"/>
    </row>
    <row r="3088" spans="1:2">
      <c r="A3088" s="28"/>
      <c r="B3088" s="28"/>
    </row>
    <row r="3089" spans="1:2">
      <c r="A3089" s="28"/>
      <c r="B3089" s="28"/>
    </row>
    <row r="3090" spans="1:2">
      <c r="A3090" s="28"/>
      <c r="B3090" s="28"/>
    </row>
    <row r="3091" spans="1:2">
      <c r="A3091" s="28"/>
      <c r="B3091" s="28"/>
    </row>
    <row r="3092" spans="1:2">
      <c r="A3092" s="28"/>
      <c r="B3092" s="28"/>
    </row>
    <row r="3093" spans="1:2">
      <c r="A3093" s="28"/>
      <c r="B3093" s="28"/>
    </row>
    <row r="3094" spans="1:2">
      <c r="A3094" s="28"/>
      <c r="B3094" s="28"/>
    </row>
    <row r="3095" spans="1:2">
      <c r="A3095" s="28"/>
      <c r="B3095" s="28"/>
    </row>
    <row r="3096" spans="1:2">
      <c r="A3096" s="28"/>
      <c r="B3096" s="28"/>
    </row>
    <row r="3097" spans="1:2">
      <c r="A3097" s="28"/>
      <c r="B3097" s="28"/>
    </row>
    <row r="3098" spans="1:2">
      <c r="A3098" s="28"/>
      <c r="B3098" s="28"/>
    </row>
    <row r="3099" spans="1:2">
      <c r="A3099" s="28"/>
      <c r="B3099" s="28"/>
    </row>
    <row r="3100" spans="1:2">
      <c r="A3100" s="28"/>
      <c r="B3100" s="28"/>
    </row>
    <row r="3101" spans="1:2">
      <c r="A3101" s="28"/>
      <c r="B3101" s="28"/>
    </row>
    <row r="3102" spans="1:2">
      <c r="A3102" s="28"/>
      <c r="B3102" s="28"/>
    </row>
    <row r="3103" spans="1:2">
      <c r="A3103" s="28"/>
      <c r="B3103" s="28"/>
    </row>
    <row r="3104" spans="1:2">
      <c r="A3104" s="28"/>
      <c r="B3104" s="28"/>
    </row>
    <row r="3105" spans="1:2">
      <c r="A3105" s="28"/>
      <c r="B3105" s="28"/>
    </row>
    <row r="3106" spans="1:2">
      <c r="A3106" s="28"/>
      <c r="B3106" s="28"/>
    </row>
    <row r="3107" spans="1:2">
      <c r="A3107" s="28"/>
      <c r="B3107" s="28"/>
    </row>
    <row r="3108" spans="1:2">
      <c r="A3108" s="28"/>
      <c r="B3108" s="28"/>
    </row>
    <row r="3109" spans="1:2">
      <c r="A3109" s="28"/>
      <c r="B3109" s="28"/>
    </row>
    <row r="3110" spans="1:2">
      <c r="A3110" s="28"/>
      <c r="B3110" s="28"/>
    </row>
    <row r="3111" spans="1:2">
      <c r="A3111" s="28"/>
      <c r="B3111" s="28"/>
    </row>
    <row r="3112" spans="1:2">
      <c r="A3112" s="28"/>
      <c r="B3112" s="28"/>
    </row>
    <row r="3113" spans="1:2">
      <c r="A3113" s="28"/>
      <c r="B3113" s="28"/>
    </row>
    <row r="3114" spans="1:2">
      <c r="A3114" s="28"/>
      <c r="B3114" s="28"/>
    </row>
    <row r="3115" spans="1:2">
      <c r="A3115" s="28"/>
      <c r="B3115" s="28"/>
    </row>
    <row r="3116" spans="1:2">
      <c r="A3116" s="28"/>
      <c r="B3116" s="28"/>
    </row>
    <row r="3117" spans="1:2">
      <c r="A3117" s="28"/>
      <c r="B3117" s="28"/>
    </row>
    <row r="3118" spans="1:2">
      <c r="A3118" s="28"/>
      <c r="B3118" s="28"/>
    </row>
    <row r="3119" spans="1:2">
      <c r="A3119" s="28"/>
      <c r="B3119" s="28"/>
    </row>
    <row r="3120" spans="1:2">
      <c r="A3120" s="28"/>
      <c r="B3120" s="28"/>
    </row>
    <row r="3121" spans="1:2">
      <c r="A3121" s="28"/>
      <c r="B3121" s="28"/>
    </row>
    <row r="3122" spans="1:2">
      <c r="A3122" s="28"/>
      <c r="B3122" s="28"/>
    </row>
    <row r="3123" spans="1:2">
      <c r="A3123" s="28"/>
      <c r="B3123" s="28"/>
    </row>
    <row r="3124" spans="1:2">
      <c r="A3124" s="28"/>
      <c r="B3124" s="28"/>
    </row>
    <row r="3125" spans="1:2">
      <c r="A3125" s="28"/>
      <c r="B3125" s="28"/>
    </row>
    <row r="3126" spans="1:2">
      <c r="A3126" s="28"/>
      <c r="B3126" s="28"/>
    </row>
    <row r="3127" spans="1:2">
      <c r="A3127" s="28"/>
      <c r="B3127" s="28"/>
    </row>
    <row r="3128" spans="1:2">
      <c r="A3128" s="28"/>
      <c r="B3128" s="28"/>
    </row>
    <row r="3129" spans="1:2">
      <c r="A3129" s="28"/>
      <c r="B3129" s="28"/>
    </row>
    <row r="3130" spans="1:2">
      <c r="A3130" s="28"/>
      <c r="B3130" s="28"/>
    </row>
    <row r="3131" spans="1:2">
      <c r="A3131" s="28"/>
      <c r="B3131" s="28"/>
    </row>
    <row r="3132" spans="1:2">
      <c r="A3132" s="28"/>
      <c r="B3132" s="28"/>
    </row>
    <row r="3133" spans="1:2">
      <c r="A3133" s="28"/>
      <c r="B3133" s="28"/>
    </row>
    <row r="3134" spans="1:2">
      <c r="A3134" s="28"/>
      <c r="B3134" s="28"/>
    </row>
    <row r="3135" spans="1:2">
      <c r="A3135" s="28"/>
      <c r="B3135" s="28"/>
    </row>
    <row r="3136" spans="1:2">
      <c r="A3136" s="28"/>
      <c r="B3136" s="28"/>
    </row>
    <row r="3137" spans="1:2">
      <c r="A3137" s="28"/>
      <c r="B3137" s="28"/>
    </row>
    <row r="3138" spans="1:2">
      <c r="A3138" s="28"/>
      <c r="B3138" s="28"/>
    </row>
    <row r="3139" spans="1:2">
      <c r="A3139" s="28"/>
      <c r="B3139" s="28"/>
    </row>
    <row r="3140" spans="1:2">
      <c r="A3140" s="28"/>
      <c r="B3140" s="28"/>
    </row>
    <row r="3141" spans="1:2">
      <c r="A3141" s="28"/>
      <c r="B3141" s="28"/>
    </row>
    <row r="3142" spans="1:2">
      <c r="A3142" s="28"/>
      <c r="B3142" s="28"/>
    </row>
    <row r="3143" spans="1:2">
      <c r="A3143" s="28"/>
      <c r="B3143" s="28"/>
    </row>
    <row r="3144" spans="1:2">
      <c r="A3144" s="28"/>
      <c r="B3144" s="28"/>
    </row>
    <row r="3145" spans="1:2">
      <c r="A3145" s="28"/>
      <c r="B3145" s="28"/>
    </row>
    <row r="3146" spans="1:2">
      <c r="A3146" s="28"/>
      <c r="B3146" s="28"/>
    </row>
    <row r="3147" spans="1:2">
      <c r="A3147" s="28"/>
      <c r="B3147" s="28"/>
    </row>
    <row r="3148" spans="1:2">
      <c r="A3148" s="28"/>
      <c r="B3148" s="28"/>
    </row>
    <row r="3149" spans="1:2">
      <c r="A3149" s="28"/>
      <c r="B3149" s="28"/>
    </row>
    <row r="3150" spans="1:2">
      <c r="A3150" s="28"/>
      <c r="B3150" s="28"/>
    </row>
    <row r="3151" spans="1:2">
      <c r="A3151" s="28"/>
      <c r="B3151" s="28"/>
    </row>
    <row r="3152" spans="1:2">
      <c r="A3152" s="28"/>
      <c r="B3152" s="28"/>
    </row>
    <row r="3153" spans="1:2">
      <c r="A3153" s="28"/>
      <c r="B3153" s="28"/>
    </row>
    <row r="3154" spans="1:2">
      <c r="A3154" s="28"/>
      <c r="B3154" s="28"/>
    </row>
    <row r="3155" spans="1:2">
      <c r="A3155" s="28"/>
      <c r="B3155" s="28"/>
    </row>
    <row r="3156" spans="1:2">
      <c r="A3156" s="28"/>
      <c r="B3156" s="28"/>
    </row>
    <row r="3157" spans="1:2">
      <c r="A3157" s="28"/>
      <c r="B3157" s="28"/>
    </row>
    <row r="3158" spans="1:2">
      <c r="A3158" s="28"/>
      <c r="B3158" s="28"/>
    </row>
    <row r="3159" spans="1:2">
      <c r="A3159" s="28"/>
      <c r="B3159" s="28"/>
    </row>
    <row r="3160" spans="1:2">
      <c r="A3160" s="28"/>
      <c r="B3160" s="28"/>
    </row>
    <row r="3161" spans="1:2">
      <c r="A3161" s="28"/>
      <c r="B3161" s="28"/>
    </row>
    <row r="3162" spans="1:2">
      <c r="A3162" s="28"/>
      <c r="B3162" s="28"/>
    </row>
    <row r="3163" spans="1:2">
      <c r="A3163" s="28"/>
      <c r="B3163" s="28"/>
    </row>
    <row r="3164" spans="1:2">
      <c r="A3164" s="28"/>
      <c r="B3164" s="28"/>
    </row>
    <row r="3165" spans="1:2">
      <c r="A3165" s="28"/>
      <c r="B3165" s="28"/>
    </row>
    <row r="3166" spans="1:2">
      <c r="A3166" s="28"/>
      <c r="B3166" s="28"/>
    </row>
    <row r="3167" spans="1:2">
      <c r="A3167" s="28"/>
      <c r="B3167" s="28"/>
    </row>
    <row r="3168" spans="1:2">
      <c r="A3168" s="28"/>
      <c r="B3168" s="28"/>
    </row>
    <row r="3169" spans="1:2">
      <c r="A3169" s="28"/>
      <c r="B3169" s="28"/>
    </row>
    <row r="3170" spans="1:2">
      <c r="A3170" s="28"/>
      <c r="B3170" s="28"/>
    </row>
    <row r="3171" spans="1:2">
      <c r="A3171" s="28"/>
      <c r="B3171" s="28"/>
    </row>
    <row r="3172" spans="1:2">
      <c r="A3172" s="28"/>
      <c r="B3172" s="28"/>
    </row>
    <row r="3173" spans="1:2">
      <c r="A3173" s="28"/>
      <c r="B3173" s="28"/>
    </row>
    <row r="3174" spans="1:2">
      <c r="A3174" s="28"/>
      <c r="B3174" s="28"/>
    </row>
    <row r="3175" spans="1:2">
      <c r="A3175" s="28"/>
      <c r="B3175" s="28"/>
    </row>
    <row r="3176" spans="1:2">
      <c r="A3176" s="28"/>
      <c r="B3176" s="28"/>
    </row>
    <row r="3177" spans="1:2">
      <c r="A3177" s="28"/>
      <c r="B3177" s="28"/>
    </row>
    <row r="3178" spans="1:2">
      <c r="A3178" s="28"/>
      <c r="B3178" s="28"/>
    </row>
    <row r="3179" spans="1:2">
      <c r="A3179" s="28"/>
      <c r="B3179" s="28"/>
    </row>
    <row r="3180" spans="1:2">
      <c r="A3180" s="28"/>
      <c r="B3180" s="28"/>
    </row>
    <row r="3181" spans="1:2">
      <c r="A3181" s="28"/>
      <c r="B3181" s="28"/>
    </row>
    <row r="3182" spans="1:2">
      <c r="A3182" s="28"/>
      <c r="B3182" s="28"/>
    </row>
    <row r="3183" spans="1:2">
      <c r="A3183" s="28"/>
      <c r="B3183" s="28"/>
    </row>
    <row r="3184" spans="1:2">
      <c r="A3184" s="28"/>
      <c r="B3184" s="28"/>
    </row>
    <row r="3185" spans="1:2">
      <c r="A3185" s="28"/>
      <c r="B3185" s="28"/>
    </row>
    <row r="3186" spans="1:2">
      <c r="A3186" s="28"/>
      <c r="B3186" s="28"/>
    </row>
    <row r="3187" spans="1:2">
      <c r="A3187" s="28"/>
      <c r="B3187" s="28"/>
    </row>
    <row r="3188" spans="1:2">
      <c r="A3188" s="28"/>
      <c r="B3188" s="28"/>
    </row>
    <row r="3189" spans="1:2">
      <c r="A3189" s="28"/>
      <c r="B3189" s="28"/>
    </row>
    <row r="3190" spans="1:2">
      <c r="A3190" s="28"/>
      <c r="B3190" s="28"/>
    </row>
    <row r="3191" spans="1:2">
      <c r="A3191" s="28"/>
      <c r="B3191" s="28"/>
    </row>
    <row r="3192" spans="1:2">
      <c r="A3192" s="28"/>
      <c r="B3192" s="28"/>
    </row>
    <row r="3193" spans="1:2">
      <c r="A3193" s="28"/>
      <c r="B3193" s="28"/>
    </row>
    <row r="3194" spans="1:2">
      <c r="A3194" s="28"/>
      <c r="B3194" s="28"/>
    </row>
    <row r="3195" spans="1:2">
      <c r="A3195" s="28"/>
      <c r="B3195" s="28"/>
    </row>
    <row r="3196" spans="1:2">
      <c r="A3196" s="28"/>
      <c r="B3196" s="28"/>
    </row>
    <row r="3197" spans="1:2">
      <c r="A3197" s="28"/>
      <c r="B3197" s="28"/>
    </row>
    <row r="3198" spans="1:2">
      <c r="A3198" s="28"/>
      <c r="B3198" s="28"/>
    </row>
    <row r="3199" spans="1:2">
      <c r="A3199" s="28"/>
      <c r="B3199" s="28"/>
    </row>
    <row r="3200" spans="1:2">
      <c r="A3200" s="28"/>
      <c r="B3200" s="28"/>
    </row>
    <row r="3201" spans="1:2">
      <c r="A3201" s="28"/>
      <c r="B3201" s="28"/>
    </row>
    <row r="3202" spans="1:2">
      <c r="A3202" s="28"/>
      <c r="B3202" s="28"/>
    </row>
    <row r="3203" spans="1:2">
      <c r="A3203" s="28"/>
      <c r="B3203" s="28"/>
    </row>
    <row r="3204" spans="1:2">
      <c r="A3204" s="28"/>
      <c r="B3204" s="28"/>
    </row>
    <row r="3205" spans="1:2">
      <c r="A3205" s="28"/>
      <c r="B3205" s="28"/>
    </row>
    <row r="3206" spans="1:2">
      <c r="A3206" s="28"/>
      <c r="B3206" s="28"/>
    </row>
    <row r="3207" spans="1:2">
      <c r="A3207" s="28"/>
      <c r="B3207" s="28"/>
    </row>
    <row r="3208" spans="1:2">
      <c r="A3208" s="28"/>
      <c r="B3208" s="28"/>
    </row>
    <row r="3209" spans="1:2">
      <c r="A3209" s="28"/>
      <c r="B3209" s="28"/>
    </row>
    <row r="3210" spans="1:2">
      <c r="A3210" s="28"/>
      <c r="B3210" s="28"/>
    </row>
    <row r="3211" spans="1:2">
      <c r="A3211" s="28"/>
      <c r="B3211" s="28"/>
    </row>
    <row r="3212" spans="1:2">
      <c r="A3212" s="28"/>
      <c r="B3212" s="28"/>
    </row>
    <row r="3213" spans="1:2">
      <c r="A3213" s="28"/>
      <c r="B3213" s="28"/>
    </row>
    <row r="3214" spans="1:2">
      <c r="A3214" s="28"/>
      <c r="B3214" s="28"/>
    </row>
    <row r="3215" spans="1:2">
      <c r="A3215" s="28"/>
      <c r="B3215" s="28"/>
    </row>
    <row r="3216" spans="1:2">
      <c r="A3216" s="28"/>
      <c r="B3216" s="28"/>
    </row>
    <row r="3217" spans="1:2">
      <c r="A3217" s="28"/>
      <c r="B3217" s="28"/>
    </row>
    <row r="3218" spans="1:2">
      <c r="A3218" s="28"/>
      <c r="B3218" s="28"/>
    </row>
    <row r="3219" spans="1:2">
      <c r="A3219" s="28"/>
      <c r="B3219" s="28"/>
    </row>
    <row r="3220" spans="1:2">
      <c r="A3220" s="28"/>
      <c r="B3220" s="28"/>
    </row>
    <row r="3221" spans="1:2">
      <c r="A3221" s="28"/>
      <c r="B3221" s="28"/>
    </row>
    <row r="3222" spans="1:2">
      <c r="A3222" s="28"/>
      <c r="B3222" s="28"/>
    </row>
    <row r="3223" spans="1:2">
      <c r="A3223" s="28"/>
      <c r="B3223" s="28"/>
    </row>
    <row r="3224" spans="1:2">
      <c r="A3224" s="28"/>
      <c r="B3224" s="28"/>
    </row>
    <row r="3225" spans="1:2">
      <c r="A3225" s="28"/>
      <c r="B3225" s="28"/>
    </row>
    <row r="3226" spans="1:2">
      <c r="A3226" s="28"/>
      <c r="B3226" s="28"/>
    </row>
    <row r="3227" spans="1:2">
      <c r="A3227" s="28"/>
      <c r="B3227" s="28"/>
    </row>
    <row r="3228" spans="1:2">
      <c r="A3228" s="28"/>
      <c r="B3228" s="28"/>
    </row>
    <row r="3229" spans="1:2">
      <c r="A3229" s="28"/>
      <c r="B3229" s="28"/>
    </row>
    <row r="3230" spans="1:2">
      <c r="A3230" s="28"/>
      <c r="B3230" s="28"/>
    </row>
    <row r="3231" spans="1:2">
      <c r="A3231" s="28"/>
      <c r="B3231" s="28"/>
    </row>
    <row r="3232" spans="1:2">
      <c r="A3232" s="28"/>
      <c r="B3232" s="28"/>
    </row>
    <row r="3233" spans="1:2">
      <c r="A3233" s="28"/>
      <c r="B3233" s="28"/>
    </row>
    <row r="3234" spans="1:2">
      <c r="A3234" s="28"/>
      <c r="B3234" s="28"/>
    </row>
    <row r="3235" spans="1:2">
      <c r="A3235" s="28"/>
      <c r="B3235" s="28"/>
    </row>
    <row r="3236" spans="1:2">
      <c r="A3236" s="28"/>
      <c r="B3236" s="28"/>
    </row>
    <row r="3237" spans="1:2">
      <c r="A3237" s="28"/>
      <c r="B3237" s="28"/>
    </row>
    <row r="3238" spans="1:2">
      <c r="A3238" s="28"/>
      <c r="B3238" s="28"/>
    </row>
    <row r="3239" spans="1:2">
      <c r="A3239" s="28"/>
      <c r="B3239" s="28"/>
    </row>
    <row r="3240" spans="1:2">
      <c r="A3240" s="28"/>
      <c r="B3240" s="28"/>
    </row>
    <row r="3241" spans="1:2">
      <c r="A3241" s="28"/>
      <c r="B3241" s="28"/>
    </row>
    <row r="3242" spans="1:2">
      <c r="A3242" s="28"/>
      <c r="B3242" s="28"/>
    </row>
    <row r="3243" spans="1:2">
      <c r="A3243" s="28"/>
      <c r="B3243" s="28"/>
    </row>
    <row r="3244" spans="1:2">
      <c r="A3244" s="28"/>
      <c r="B3244" s="28"/>
    </row>
    <row r="3245" spans="1:2">
      <c r="A3245" s="28"/>
      <c r="B3245" s="28"/>
    </row>
    <row r="3246" spans="1:2">
      <c r="A3246" s="28"/>
      <c r="B3246" s="28"/>
    </row>
    <row r="3247" spans="1:2">
      <c r="A3247" s="28"/>
      <c r="B3247" s="28"/>
    </row>
    <row r="3248" spans="1:2">
      <c r="A3248" s="28"/>
      <c r="B3248" s="28"/>
    </row>
    <row r="3249" spans="1:2">
      <c r="A3249" s="28"/>
      <c r="B3249" s="28"/>
    </row>
    <row r="3250" spans="1:2">
      <c r="A3250" s="28"/>
      <c r="B3250" s="28"/>
    </row>
    <row r="3251" spans="1:2">
      <c r="A3251" s="28"/>
      <c r="B3251" s="28"/>
    </row>
    <row r="3252" spans="1:2">
      <c r="A3252" s="28"/>
      <c r="B3252" s="28"/>
    </row>
    <row r="3253" spans="1:2">
      <c r="A3253" s="28"/>
      <c r="B3253" s="28"/>
    </row>
    <row r="3254" spans="1:2">
      <c r="A3254" s="28"/>
      <c r="B3254" s="28"/>
    </row>
    <row r="3255" spans="1:2">
      <c r="A3255" s="28"/>
      <c r="B3255" s="28"/>
    </row>
    <row r="3256" spans="1:2">
      <c r="A3256" s="28"/>
      <c r="B3256" s="28"/>
    </row>
    <row r="3257" spans="1:2">
      <c r="A3257" s="28"/>
      <c r="B3257" s="28"/>
    </row>
    <row r="3258" spans="1:2">
      <c r="A3258" s="28"/>
      <c r="B3258" s="28"/>
    </row>
    <row r="3259" spans="1:2">
      <c r="A3259" s="28"/>
      <c r="B3259" s="28"/>
    </row>
    <row r="3260" spans="1:2">
      <c r="A3260" s="28"/>
      <c r="B3260" s="28"/>
    </row>
    <row r="3261" spans="1:2">
      <c r="A3261" s="28"/>
      <c r="B3261" s="28"/>
    </row>
    <row r="3262" spans="1:2">
      <c r="A3262" s="28"/>
      <c r="B3262" s="28"/>
    </row>
    <row r="3263" spans="1:2">
      <c r="A3263" s="28"/>
      <c r="B3263" s="28"/>
    </row>
    <row r="3264" spans="1:2">
      <c r="A3264" s="28"/>
      <c r="B3264" s="28"/>
    </row>
    <row r="3265" spans="1:2">
      <c r="A3265" s="28"/>
      <c r="B3265" s="28"/>
    </row>
    <row r="3266" spans="1:2">
      <c r="A3266" s="28"/>
      <c r="B3266" s="28"/>
    </row>
    <row r="3267" spans="1:2">
      <c r="A3267" s="28"/>
      <c r="B3267" s="28"/>
    </row>
    <row r="3268" spans="1:2">
      <c r="A3268" s="28"/>
      <c r="B3268" s="28"/>
    </row>
    <row r="3269" spans="1:2">
      <c r="A3269" s="28"/>
      <c r="B3269" s="28"/>
    </row>
    <row r="3270" spans="1:2">
      <c r="A3270" s="28"/>
      <c r="B3270" s="28"/>
    </row>
    <row r="3271" spans="1:2">
      <c r="A3271" s="28"/>
      <c r="B3271" s="28"/>
    </row>
    <row r="3272" spans="1:2">
      <c r="A3272" s="28"/>
      <c r="B3272" s="28"/>
    </row>
    <row r="3273" spans="1:2">
      <c r="A3273" s="28"/>
      <c r="B3273" s="28"/>
    </row>
    <row r="3274" spans="1:2">
      <c r="A3274" s="28"/>
      <c r="B3274" s="28"/>
    </row>
    <row r="3275" spans="1:2">
      <c r="A3275" s="28"/>
      <c r="B3275" s="28"/>
    </row>
    <row r="3276" spans="1:2">
      <c r="A3276" s="28"/>
      <c r="B3276" s="28"/>
    </row>
    <row r="3277" spans="1:2">
      <c r="A3277" s="28"/>
      <c r="B3277" s="28"/>
    </row>
    <row r="3278" spans="1:2">
      <c r="A3278" s="28"/>
      <c r="B3278" s="28"/>
    </row>
    <row r="3279" spans="1:2">
      <c r="A3279" s="28"/>
      <c r="B3279" s="28"/>
    </row>
    <row r="3280" spans="1:2">
      <c r="A3280" s="28"/>
      <c r="B3280" s="28"/>
    </row>
    <row r="3281" spans="1:2">
      <c r="A3281" s="28"/>
      <c r="B3281" s="28"/>
    </row>
    <row r="3282" spans="1:2">
      <c r="A3282" s="28"/>
      <c r="B3282" s="28"/>
    </row>
    <row r="3283" spans="1:2">
      <c r="A3283" s="28"/>
      <c r="B3283" s="28"/>
    </row>
    <row r="3284" spans="1:2">
      <c r="A3284" s="28"/>
      <c r="B3284" s="28"/>
    </row>
    <row r="3285" spans="1:2">
      <c r="A3285" s="28"/>
      <c r="B3285" s="28"/>
    </row>
    <row r="3286" spans="1:2">
      <c r="A3286" s="28"/>
      <c r="B3286" s="28"/>
    </row>
    <row r="3287" spans="1:2">
      <c r="A3287" s="28"/>
      <c r="B3287" s="28"/>
    </row>
    <row r="3288" spans="1:2">
      <c r="A3288" s="28"/>
      <c r="B3288" s="28"/>
    </row>
    <row r="3289" spans="1:2">
      <c r="A3289" s="28"/>
      <c r="B3289" s="28"/>
    </row>
    <row r="3290" spans="1:2">
      <c r="A3290" s="28"/>
      <c r="B3290" s="28"/>
    </row>
    <row r="3291" spans="1:2">
      <c r="A3291" s="28"/>
      <c r="B3291" s="28"/>
    </row>
    <row r="3292" spans="1:2">
      <c r="A3292" s="28"/>
      <c r="B3292" s="28"/>
    </row>
    <row r="3293" spans="1:2">
      <c r="A3293" s="28"/>
      <c r="B3293" s="28"/>
    </row>
    <row r="3294" spans="1:2">
      <c r="A3294" s="28"/>
      <c r="B3294" s="28"/>
    </row>
    <row r="3295" spans="1:2">
      <c r="A3295" s="28"/>
      <c r="B3295" s="28"/>
    </row>
    <row r="3296" spans="1:2">
      <c r="A3296" s="28"/>
      <c r="B3296" s="28"/>
    </row>
    <row r="3297" spans="1:2">
      <c r="A3297" s="28"/>
      <c r="B3297" s="28"/>
    </row>
    <row r="3298" spans="1:2">
      <c r="A3298" s="28"/>
      <c r="B3298" s="28"/>
    </row>
    <row r="3299" spans="1:2">
      <c r="A3299" s="28"/>
      <c r="B3299" s="28"/>
    </row>
    <row r="3300" spans="1:2">
      <c r="A3300" s="28"/>
      <c r="B3300" s="28"/>
    </row>
    <row r="3301" spans="1:2">
      <c r="A3301" s="28"/>
      <c r="B3301" s="28"/>
    </row>
    <row r="3302" spans="1:2">
      <c r="A3302" s="28"/>
      <c r="B3302" s="28"/>
    </row>
    <row r="3303" spans="1:2">
      <c r="A3303" s="28"/>
      <c r="B3303" s="28"/>
    </row>
    <row r="3304" spans="1:2">
      <c r="A3304" s="28"/>
      <c r="B3304" s="28"/>
    </row>
    <row r="3305" spans="1:2">
      <c r="A3305" s="28"/>
      <c r="B3305" s="28"/>
    </row>
    <row r="3306" spans="1:2">
      <c r="A3306" s="28"/>
      <c r="B3306" s="28"/>
    </row>
    <row r="3307" spans="1:2">
      <c r="A3307" s="28"/>
      <c r="B3307" s="28"/>
    </row>
    <row r="3308" spans="1:2">
      <c r="A3308" s="28"/>
      <c r="B3308" s="28"/>
    </row>
    <row r="3309" spans="1:2">
      <c r="A3309" s="28"/>
      <c r="B3309" s="28"/>
    </row>
    <row r="3310" spans="1:2">
      <c r="A3310" s="28"/>
      <c r="B3310" s="28"/>
    </row>
    <row r="3311" spans="1:2">
      <c r="A3311" s="28"/>
      <c r="B3311" s="28"/>
    </row>
    <row r="3312" spans="1:2">
      <c r="A3312" s="28"/>
      <c r="B3312" s="28"/>
    </row>
    <row r="3313" spans="1:2">
      <c r="A3313" s="28"/>
      <c r="B3313" s="28"/>
    </row>
    <row r="3314" spans="1:2">
      <c r="A3314" s="28"/>
      <c r="B3314" s="28"/>
    </row>
    <row r="3315" spans="1:2">
      <c r="A3315" s="28"/>
      <c r="B3315" s="28"/>
    </row>
    <row r="3316" spans="1:2">
      <c r="A3316" s="28"/>
      <c r="B3316" s="28"/>
    </row>
    <row r="3317" spans="1:2">
      <c r="A3317" s="28"/>
      <c r="B3317" s="28"/>
    </row>
    <row r="3318" spans="1:2">
      <c r="A3318" s="28"/>
      <c r="B3318" s="28"/>
    </row>
    <row r="3319" spans="1:2">
      <c r="A3319" s="28"/>
      <c r="B3319" s="28"/>
    </row>
    <row r="3320" spans="1:2">
      <c r="A3320" s="28"/>
      <c r="B3320" s="28"/>
    </row>
    <row r="3321" spans="1:2">
      <c r="A3321" s="28"/>
      <c r="B3321" s="28"/>
    </row>
    <row r="3322" spans="1:2">
      <c r="A3322" s="28"/>
      <c r="B3322" s="28"/>
    </row>
    <row r="3323" spans="1:2">
      <c r="A3323" s="28"/>
      <c r="B3323" s="28"/>
    </row>
    <row r="3324" spans="1:2">
      <c r="A3324" s="28"/>
      <c r="B3324" s="28"/>
    </row>
    <row r="3325" spans="1:2">
      <c r="A3325" s="28"/>
      <c r="B3325" s="28"/>
    </row>
    <row r="3326" spans="1:2">
      <c r="A3326" s="28"/>
      <c r="B3326" s="28"/>
    </row>
    <row r="3327" spans="1:2">
      <c r="A3327" s="28"/>
      <c r="B3327" s="28"/>
    </row>
    <row r="3328" spans="1:2">
      <c r="A3328" s="28"/>
      <c r="B3328" s="28"/>
    </row>
    <row r="3329" spans="1:2">
      <c r="A3329" s="28"/>
      <c r="B3329" s="28"/>
    </row>
    <row r="3330" spans="1:2">
      <c r="A3330" s="28"/>
      <c r="B3330" s="28"/>
    </row>
    <row r="3331" spans="1:2">
      <c r="A3331" s="28"/>
      <c r="B3331" s="28"/>
    </row>
    <row r="3332" spans="1:2">
      <c r="A3332" s="28"/>
      <c r="B3332" s="28"/>
    </row>
    <row r="3333" spans="1:2">
      <c r="A3333" s="28"/>
      <c r="B3333" s="28"/>
    </row>
    <row r="3334" spans="1:2">
      <c r="A3334" s="28"/>
      <c r="B3334" s="28"/>
    </row>
    <row r="3335" spans="1:2">
      <c r="A3335" s="28"/>
      <c r="B3335" s="28"/>
    </row>
    <row r="3336" spans="1:2">
      <c r="A3336" s="28"/>
      <c r="B3336" s="28"/>
    </row>
    <row r="3337" spans="1:2">
      <c r="A3337" s="28"/>
      <c r="B3337" s="28"/>
    </row>
    <row r="3338" spans="1:2">
      <c r="A3338" s="28"/>
      <c r="B3338" s="28"/>
    </row>
    <row r="3339" spans="1:2">
      <c r="A3339" s="28"/>
      <c r="B3339" s="28"/>
    </row>
    <row r="3340" spans="1:2">
      <c r="A3340" s="28"/>
      <c r="B3340" s="28"/>
    </row>
    <row r="3341" spans="1:2">
      <c r="A3341" s="28"/>
      <c r="B3341" s="28"/>
    </row>
    <row r="3342" spans="1:2">
      <c r="A3342" s="28"/>
      <c r="B3342" s="28"/>
    </row>
    <row r="3343" spans="1:2">
      <c r="A3343" s="28"/>
      <c r="B3343" s="28"/>
    </row>
    <row r="3344" spans="1:2">
      <c r="A3344" s="28"/>
      <c r="B3344" s="28"/>
    </row>
    <row r="3345" spans="1:2">
      <c r="A3345" s="28"/>
      <c r="B3345" s="28"/>
    </row>
    <row r="3346" spans="1:2">
      <c r="A3346" s="28"/>
      <c r="B3346" s="28"/>
    </row>
    <row r="3347" spans="1:2">
      <c r="A3347" s="28"/>
      <c r="B3347" s="28"/>
    </row>
    <row r="3348" spans="1:2">
      <c r="A3348" s="28"/>
      <c r="B3348" s="28"/>
    </row>
    <row r="3349" spans="1:2">
      <c r="A3349" s="28"/>
      <c r="B3349" s="28"/>
    </row>
    <row r="3350" spans="1:2">
      <c r="A3350" s="28"/>
      <c r="B3350" s="28"/>
    </row>
    <row r="3351" spans="1:2">
      <c r="A3351" s="28"/>
      <c r="B3351" s="28"/>
    </row>
    <row r="3352" spans="1:2">
      <c r="A3352" s="28"/>
      <c r="B3352" s="28"/>
    </row>
    <row r="3353" spans="1:2">
      <c r="A3353" s="28"/>
      <c r="B3353" s="28"/>
    </row>
    <row r="3354" spans="1:2">
      <c r="A3354" s="28"/>
      <c r="B3354" s="28"/>
    </row>
    <row r="3355" spans="1:2">
      <c r="A3355" s="28"/>
      <c r="B3355" s="28"/>
    </row>
    <row r="3356" spans="1:2">
      <c r="A3356" s="28"/>
      <c r="B3356" s="28"/>
    </row>
    <row r="3357" spans="1:2">
      <c r="A3357" s="28"/>
      <c r="B3357" s="28"/>
    </row>
    <row r="3358" spans="1:2">
      <c r="A3358" s="28"/>
      <c r="B3358" s="28"/>
    </row>
    <row r="3359" spans="1:2">
      <c r="A3359" s="28"/>
      <c r="B3359" s="28"/>
    </row>
    <row r="3360" spans="1:2">
      <c r="A3360" s="28"/>
      <c r="B3360" s="28"/>
    </row>
    <row r="3361" spans="1:2">
      <c r="A3361" s="28"/>
      <c r="B3361" s="28"/>
    </row>
    <row r="3362" spans="1:2">
      <c r="A3362" s="28"/>
      <c r="B3362" s="28"/>
    </row>
    <row r="3363" spans="1:2">
      <c r="A3363" s="28"/>
      <c r="B3363" s="28"/>
    </row>
    <row r="3364" spans="1:2">
      <c r="A3364" s="28"/>
      <c r="B3364" s="28"/>
    </row>
    <row r="3365" spans="1:2">
      <c r="A3365" s="28"/>
      <c r="B3365" s="28"/>
    </row>
    <row r="3366" spans="1:2">
      <c r="A3366" s="28"/>
      <c r="B3366" s="28"/>
    </row>
    <row r="3367" spans="1:2">
      <c r="A3367" s="28"/>
      <c r="B3367" s="28"/>
    </row>
    <row r="3368" spans="1:2">
      <c r="A3368" s="28"/>
      <c r="B3368" s="28"/>
    </row>
    <row r="3369" spans="1:2">
      <c r="A3369" s="28"/>
      <c r="B3369" s="28"/>
    </row>
    <row r="3370" spans="1:2">
      <c r="A3370" s="28"/>
      <c r="B3370" s="28"/>
    </row>
    <row r="3371" spans="1:2">
      <c r="A3371" s="28"/>
      <c r="B3371" s="28"/>
    </row>
    <row r="3372" spans="1:2">
      <c r="A3372" s="28"/>
      <c r="B3372" s="28"/>
    </row>
    <row r="3373" spans="1:2">
      <c r="A3373" s="28"/>
      <c r="B3373" s="28"/>
    </row>
    <row r="3374" spans="1:2">
      <c r="A3374" s="28"/>
      <c r="B3374" s="28"/>
    </row>
    <row r="3375" spans="1:2">
      <c r="A3375" s="28"/>
      <c r="B3375" s="28"/>
    </row>
    <row r="3376" spans="1:2">
      <c r="A3376" s="28"/>
      <c r="B3376" s="28"/>
    </row>
    <row r="3377" spans="1:2">
      <c r="A3377" s="28"/>
      <c r="B3377" s="28"/>
    </row>
    <row r="3378" spans="1:2">
      <c r="A3378" s="28"/>
      <c r="B3378" s="28"/>
    </row>
    <row r="3379" spans="1:2">
      <c r="A3379" s="28"/>
      <c r="B3379" s="28"/>
    </row>
    <row r="3380" spans="1:2">
      <c r="A3380" s="28"/>
      <c r="B3380" s="28"/>
    </row>
    <row r="3381" spans="1:2">
      <c r="A3381" s="28"/>
      <c r="B3381" s="28"/>
    </row>
    <row r="3382" spans="1:2">
      <c r="A3382" s="28"/>
      <c r="B3382" s="28"/>
    </row>
    <row r="3383" spans="1:2">
      <c r="A3383" s="28"/>
      <c r="B3383" s="28"/>
    </row>
    <row r="3384" spans="1:2">
      <c r="A3384" s="28"/>
      <c r="B3384" s="28"/>
    </row>
    <row r="3385" spans="1:2">
      <c r="A3385" s="28"/>
      <c r="B3385" s="28"/>
    </row>
    <row r="3386" spans="1:2">
      <c r="A3386" s="28"/>
      <c r="B3386" s="28"/>
    </row>
    <row r="3387" spans="1:2">
      <c r="A3387" s="28"/>
      <c r="B3387" s="28"/>
    </row>
    <row r="3388" spans="1:2">
      <c r="A3388" s="28"/>
      <c r="B3388" s="28"/>
    </row>
    <row r="3389" spans="1:2">
      <c r="A3389" s="28"/>
      <c r="B3389" s="28"/>
    </row>
    <row r="3390" spans="1:2">
      <c r="A3390" s="28"/>
      <c r="B3390" s="28"/>
    </row>
    <row r="3391" spans="1:2">
      <c r="A3391" s="28"/>
      <c r="B3391" s="28"/>
    </row>
    <row r="3392" spans="1:2">
      <c r="A3392" s="28"/>
      <c r="B3392" s="28"/>
    </row>
    <row r="3393" spans="1:2">
      <c r="A3393" s="28"/>
      <c r="B3393" s="28"/>
    </row>
    <row r="3394" spans="1:2">
      <c r="A3394" s="28"/>
      <c r="B3394" s="28"/>
    </row>
    <row r="3395" spans="1:2">
      <c r="A3395" s="28"/>
      <c r="B3395" s="28"/>
    </row>
    <row r="3396" spans="1:2">
      <c r="A3396" s="28"/>
      <c r="B3396" s="28"/>
    </row>
    <row r="3397" spans="1:2">
      <c r="A3397" s="28"/>
      <c r="B3397" s="28"/>
    </row>
    <row r="3398" spans="1:2">
      <c r="A3398" s="28"/>
      <c r="B3398" s="28"/>
    </row>
    <row r="3399" spans="1:2">
      <c r="A3399" s="28"/>
      <c r="B3399" s="28"/>
    </row>
    <row r="3400" spans="1:2">
      <c r="A3400" s="28"/>
      <c r="B3400" s="28"/>
    </row>
    <row r="3401" spans="1:2">
      <c r="A3401" s="28"/>
      <c r="B3401" s="28"/>
    </row>
    <row r="3402" spans="1:2">
      <c r="A3402" s="28"/>
      <c r="B3402" s="28"/>
    </row>
    <row r="3403" spans="1:2">
      <c r="A3403" s="28"/>
      <c r="B3403" s="28"/>
    </row>
    <row r="3404" spans="1:2">
      <c r="A3404" s="28"/>
      <c r="B3404" s="28"/>
    </row>
    <row r="3405" spans="1:2">
      <c r="A3405" s="28"/>
      <c r="B3405" s="28"/>
    </row>
    <row r="3406" spans="1:2">
      <c r="A3406" s="28"/>
      <c r="B3406" s="28"/>
    </row>
    <row r="3407" spans="1:2">
      <c r="A3407" s="28"/>
      <c r="B3407" s="28"/>
    </row>
    <row r="3408" spans="1:2">
      <c r="A3408" s="28"/>
      <c r="B3408" s="28"/>
    </row>
    <row r="3409" spans="1:2">
      <c r="A3409" s="28"/>
      <c r="B3409" s="28"/>
    </row>
    <row r="3410" spans="1:2">
      <c r="A3410" s="28"/>
      <c r="B3410" s="28"/>
    </row>
    <row r="3411" spans="1:2">
      <c r="A3411" s="28"/>
      <c r="B3411" s="28"/>
    </row>
    <row r="3412" spans="1:2">
      <c r="A3412" s="28"/>
      <c r="B3412" s="28"/>
    </row>
    <row r="3413" spans="1:2">
      <c r="A3413" s="28"/>
      <c r="B3413" s="28"/>
    </row>
    <row r="3414" spans="1:2">
      <c r="A3414" s="28"/>
      <c r="B3414" s="28"/>
    </row>
    <row r="3415" spans="1:2">
      <c r="A3415" s="28"/>
      <c r="B3415" s="28"/>
    </row>
    <row r="3416" spans="1:2">
      <c r="A3416" s="28"/>
      <c r="B3416" s="28"/>
    </row>
    <row r="3417" spans="1:2">
      <c r="A3417" s="28"/>
      <c r="B3417" s="28"/>
    </row>
    <row r="3418" spans="1:2">
      <c r="A3418" s="28"/>
      <c r="B3418" s="28"/>
    </row>
    <row r="3419" spans="1:2">
      <c r="A3419" s="28"/>
      <c r="B3419" s="28"/>
    </row>
    <row r="3420" spans="1:2">
      <c r="A3420" s="28"/>
      <c r="B3420" s="28"/>
    </row>
    <row r="3421" spans="1:2">
      <c r="A3421" s="28"/>
      <c r="B3421" s="28"/>
    </row>
    <row r="3422" spans="1:2">
      <c r="A3422" s="28"/>
      <c r="B3422" s="28"/>
    </row>
    <row r="3423" spans="1:2">
      <c r="A3423" s="28"/>
      <c r="B3423" s="28"/>
    </row>
    <row r="3424" spans="1:2">
      <c r="A3424" s="28"/>
      <c r="B3424" s="28"/>
    </row>
    <row r="3425" spans="1:2">
      <c r="A3425" s="28"/>
      <c r="B3425" s="28"/>
    </row>
    <row r="3426" spans="1:2">
      <c r="A3426" s="28"/>
      <c r="B3426" s="28"/>
    </row>
    <row r="3427" spans="1:2">
      <c r="A3427" s="28"/>
      <c r="B3427" s="28"/>
    </row>
    <row r="3428" spans="1:2">
      <c r="A3428" s="28"/>
      <c r="B3428" s="28"/>
    </row>
    <row r="3429" spans="1:2">
      <c r="A3429" s="28"/>
      <c r="B3429" s="28"/>
    </row>
    <row r="3430" spans="1:2">
      <c r="A3430" s="28"/>
      <c r="B3430" s="28"/>
    </row>
    <row r="3431" spans="1:2">
      <c r="A3431" s="28"/>
      <c r="B3431" s="28"/>
    </row>
    <row r="3432" spans="1:2">
      <c r="A3432" s="28"/>
      <c r="B3432" s="28"/>
    </row>
    <row r="3433" spans="1:2">
      <c r="A3433" s="28"/>
      <c r="B3433" s="28"/>
    </row>
    <row r="3434" spans="1:2">
      <c r="A3434" s="28"/>
      <c r="B3434" s="28"/>
    </row>
    <row r="3435" spans="1:2">
      <c r="A3435" s="28"/>
      <c r="B3435" s="28"/>
    </row>
    <row r="3436" spans="1:2">
      <c r="A3436" s="28"/>
      <c r="B3436" s="28"/>
    </row>
    <row r="3437" spans="1:2">
      <c r="A3437" s="28"/>
      <c r="B3437" s="28"/>
    </row>
    <row r="3438" spans="1:2">
      <c r="A3438" s="28"/>
      <c r="B3438" s="28"/>
    </row>
    <row r="3439" spans="1:2">
      <c r="A3439" s="28"/>
      <c r="B3439" s="28"/>
    </row>
    <row r="3440" spans="1:2">
      <c r="A3440" s="28"/>
      <c r="B3440" s="28"/>
    </row>
    <row r="3441" spans="1:2">
      <c r="A3441" s="28"/>
      <c r="B3441" s="28"/>
    </row>
    <row r="3442" spans="1:2">
      <c r="A3442" s="28"/>
      <c r="B3442" s="28"/>
    </row>
    <row r="3443" spans="1:2">
      <c r="A3443" s="28"/>
      <c r="B3443" s="28"/>
    </row>
    <row r="3444" spans="1:2">
      <c r="A3444" s="28"/>
      <c r="B3444" s="28"/>
    </row>
    <row r="3445" spans="1:2">
      <c r="A3445" s="28"/>
      <c r="B3445" s="28"/>
    </row>
    <row r="3446" spans="1:2">
      <c r="A3446" s="28"/>
      <c r="B3446" s="28"/>
    </row>
    <row r="3447" spans="1:2">
      <c r="A3447" s="28"/>
      <c r="B3447" s="28"/>
    </row>
    <row r="3448" spans="1:2">
      <c r="A3448" s="28"/>
      <c r="B3448" s="28"/>
    </row>
    <row r="3449" spans="1:2">
      <c r="A3449" s="28"/>
      <c r="B3449" s="28"/>
    </row>
    <row r="3450" spans="1:2">
      <c r="A3450" s="28"/>
      <c r="B3450" s="28"/>
    </row>
    <row r="3451" spans="1:2">
      <c r="A3451" s="28"/>
      <c r="B3451" s="28"/>
    </row>
    <row r="3452" spans="1:2">
      <c r="A3452" s="28"/>
      <c r="B3452" s="28"/>
    </row>
    <row r="3453" spans="1:2">
      <c r="A3453" s="28"/>
      <c r="B3453" s="28"/>
    </row>
    <row r="3454" spans="1:2">
      <c r="A3454" s="28"/>
      <c r="B3454" s="28"/>
    </row>
    <row r="3455" spans="1:2">
      <c r="A3455" s="28"/>
      <c r="B3455" s="28"/>
    </row>
    <row r="3456" spans="1:2">
      <c r="A3456" s="28"/>
      <c r="B3456" s="28"/>
    </row>
    <row r="3457" spans="1:2">
      <c r="A3457" s="28"/>
      <c r="B3457" s="28"/>
    </row>
    <row r="3458" spans="1:2">
      <c r="A3458" s="28"/>
      <c r="B3458" s="28"/>
    </row>
    <row r="3459" spans="1:2">
      <c r="A3459" s="28"/>
      <c r="B3459" s="28"/>
    </row>
    <row r="3460" spans="1:2">
      <c r="A3460" s="28"/>
      <c r="B3460" s="28"/>
    </row>
    <row r="3461" spans="1:2">
      <c r="A3461" s="28"/>
      <c r="B3461" s="28"/>
    </row>
    <row r="3462" spans="1:2">
      <c r="A3462" s="28"/>
      <c r="B3462" s="28"/>
    </row>
    <row r="3463" spans="1:2">
      <c r="A3463" s="28"/>
      <c r="B3463" s="28"/>
    </row>
    <row r="3464" spans="1:2">
      <c r="A3464" s="28"/>
      <c r="B3464" s="28"/>
    </row>
    <row r="3465" spans="1:2">
      <c r="A3465" s="28"/>
      <c r="B3465" s="28"/>
    </row>
    <row r="3466" spans="1:2">
      <c r="A3466" s="28"/>
      <c r="B3466" s="28"/>
    </row>
    <row r="3467" spans="1:2">
      <c r="A3467" s="28"/>
      <c r="B3467" s="28"/>
    </row>
    <row r="3468" spans="1:2">
      <c r="A3468" s="28"/>
      <c r="B3468" s="28"/>
    </row>
    <row r="3469" spans="1:2">
      <c r="A3469" s="28"/>
      <c r="B3469" s="28"/>
    </row>
    <row r="3470" spans="1:2">
      <c r="A3470" s="28"/>
      <c r="B3470" s="28"/>
    </row>
    <row r="3471" spans="1:2">
      <c r="A3471" s="28"/>
      <c r="B3471" s="28"/>
    </row>
    <row r="3472" spans="1:2">
      <c r="A3472" s="28"/>
      <c r="B3472" s="28"/>
    </row>
    <row r="3473" spans="1:2">
      <c r="A3473" s="28"/>
      <c r="B3473" s="28"/>
    </row>
    <row r="3474" spans="1:2">
      <c r="A3474" s="28"/>
      <c r="B3474" s="28"/>
    </row>
    <row r="3475" spans="1:2">
      <c r="A3475" s="28"/>
      <c r="B3475" s="28"/>
    </row>
    <row r="3476" spans="1:2">
      <c r="A3476" s="28"/>
      <c r="B3476" s="28"/>
    </row>
    <row r="3477" spans="1:2">
      <c r="A3477" s="28"/>
      <c r="B3477" s="28"/>
    </row>
    <row r="3478" spans="1:2">
      <c r="A3478" s="28"/>
      <c r="B3478" s="28"/>
    </row>
    <row r="3479" spans="1:2">
      <c r="A3479" s="28"/>
      <c r="B3479" s="28"/>
    </row>
    <row r="3480" spans="1:2">
      <c r="A3480" s="28"/>
      <c r="B3480" s="28"/>
    </row>
    <row r="3481" spans="1:2">
      <c r="A3481" s="28"/>
      <c r="B3481" s="28"/>
    </row>
    <row r="3482" spans="1:2">
      <c r="A3482" s="28"/>
      <c r="B3482" s="28"/>
    </row>
    <row r="3483" spans="1:2">
      <c r="A3483" s="28"/>
      <c r="B3483" s="28"/>
    </row>
    <row r="3484" spans="1:2">
      <c r="A3484" s="28"/>
      <c r="B3484" s="28"/>
    </row>
    <row r="3485" spans="1:2">
      <c r="A3485" s="28"/>
      <c r="B3485" s="28"/>
    </row>
    <row r="3486" spans="1:2">
      <c r="A3486" s="28"/>
      <c r="B3486" s="28"/>
    </row>
    <row r="3487" spans="1:2">
      <c r="A3487" s="28"/>
      <c r="B3487" s="28"/>
    </row>
    <row r="3488" spans="1:2">
      <c r="A3488" s="28"/>
      <c r="B3488" s="28"/>
    </row>
    <row r="3489" spans="1:2">
      <c r="A3489" s="28"/>
      <c r="B3489" s="28"/>
    </row>
    <row r="3490" spans="1:2">
      <c r="A3490" s="28"/>
      <c r="B3490" s="28"/>
    </row>
    <row r="3491" spans="1:2">
      <c r="A3491" s="28"/>
      <c r="B3491" s="28"/>
    </row>
    <row r="3492" spans="1:2">
      <c r="A3492" s="28"/>
      <c r="B3492" s="28"/>
    </row>
    <row r="3493" spans="1:2">
      <c r="A3493" s="28"/>
      <c r="B3493" s="28"/>
    </row>
    <row r="3494" spans="1:2">
      <c r="A3494" s="28"/>
      <c r="B3494" s="28"/>
    </row>
    <row r="3495" spans="1:2">
      <c r="A3495" s="28"/>
      <c r="B3495" s="28"/>
    </row>
    <row r="3496" spans="1:2">
      <c r="A3496" s="28"/>
      <c r="B3496" s="28"/>
    </row>
    <row r="3497" spans="1:2">
      <c r="A3497" s="28"/>
      <c r="B3497" s="28"/>
    </row>
    <row r="3498" spans="1:2">
      <c r="A3498" s="28"/>
      <c r="B3498" s="28"/>
    </row>
    <row r="3499" spans="1:2">
      <c r="A3499" s="28"/>
      <c r="B3499" s="28"/>
    </row>
    <row r="3500" spans="1:2">
      <c r="A3500" s="28"/>
      <c r="B3500" s="28"/>
    </row>
    <row r="3501" spans="1:2">
      <c r="A3501" s="28"/>
      <c r="B3501" s="28"/>
    </row>
    <row r="3502" spans="1:2">
      <c r="A3502" s="28"/>
      <c r="B3502" s="28"/>
    </row>
    <row r="3503" spans="1:2">
      <c r="A3503" s="28"/>
      <c r="B3503" s="28"/>
    </row>
    <row r="3504" spans="1:2">
      <c r="A3504" s="28"/>
      <c r="B3504" s="28"/>
    </row>
    <row r="3505" spans="1:2">
      <c r="A3505" s="28"/>
      <c r="B3505" s="28"/>
    </row>
    <row r="3506" spans="1:2">
      <c r="A3506" s="28"/>
      <c r="B3506" s="28"/>
    </row>
    <row r="3507" spans="1:2">
      <c r="A3507" s="28"/>
      <c r="B3507" s="28"/>
    </row>
    <row r="3508" spans="1:2">
      <c r="A3508" s="28"/>
      <c r="B3508" s="28"/>
    </row>
    <row r="3509" spans="1:2">
      <c r="A3509" s="28"/>
      <c r="B3509" s="28"/>
    </row>
    <row r="3510" spans="1:2">
      <c r="A3510" s="28"/>
      <c r="B3510" s="28"/>
    </row>
    <row r="3511" spans="1:2">
      <c r="A3511" s="28"/>
      <c r="B3511" s="28"/>
    </row>
    <row r="3512" spans="1:2">
      <c r="A3512" s="28"/>
      <c r="B3512" s="28"/>
    </row>
    <row r="3513" spans="1:2">
      <c r="A3513" s="28"/>
      <c r="B3513" s="28"/>
    </row>
    <row r="3514" spans="1:2">
      <c r="A3514" s="28"/>
      <c r="B3514" s="28"/>
    </row>
    <row r="3515" spans="1:2">
      <c r="A3515" s="28"/>
      <c r="B3515" s="28"/>
    </row>
    <row r="3516" spans="1:2">
      <c r="A3516" s="28"/>
      <c r="B3516" s="28"/>
    </row>
    <row r="3517" spans="1:2">
      <c r="A3517" s="28"/>
      <c r="B3517" s="28"/>
    </row>
    <row r="3518" spans="1:2">
      <c r="A3518" s="28"/>
      <c r="B3518" s="28"/>
    </row>
    <row r="3519" spans="1:2">
      <c r="A3519" s="28"/>
      <c r="B3519" s="28"/>
    </row>
    <row r="3520" spans="1:2">
      <c r="A3520" s="28"/>
      <c r="B3520" s="28"/>
    </row>
    <row r="3521" spans="1:2">
      <c r="A3521" s="28"/>
      <c r="B3521" s="28"/>
    </row>
    <row r="3522" spans="1:2">
      <c r="A3522" s="28"/>
      <c r="B3522" s="28"/>
    </row>
    <row r="3523" spans="1:2">
      <c r="A3523" s="28"/>
      <c r="B3523" s="28"/>
    </row>
    <row r="3524" spans="1:2">
      <c r="A3524" s="28"/>
      <c r="B3524" s="28"/>
    </row>
    <row r="3525" spans="1:2">
      <c r="A3525" s="28"/>
      <c r="B3525" s="28"/>
    </row>
    <row r="3526" spans="1:2">
      <c r="A3526" s="28"/>
      <c r="B3526" s="28"/>
    </row>
    <row r="3527" spans="1:2">
      <c r="A3527" s="28"/>
      <c r="B3527" s="28"/>
    </row>
    <row r="3528" spans="1:2">
      <c r="A3528" s="28"/>
      <c r="B3528" s="28"/>
    </row>
    <row r="3529" spans="1:2">
      <c r="A3529" s="28"/>
      <c r="B3529" s="28"/>
    </row>
    <row r="3530" spans="1:2">
      <c r="A3530" s="28"/>
      <c r="B3530" s="28"/>
    </row>
    <row r="3531" spans="1:2">
      <c r="A3531" s="28"/>
      <c r="B3531" s="28"/>
    </row>
    <row r="3532" spans="1:2">
      <c r="A3532" s="28"/>
      <c r="B3532" s="28"/>
    </row>
    <row r="3533" spans="1:2">
      <c r="A3533" s="28"/>
      <c r="B3533" s="28"/>
    </row>
    <row r="3534" spans="1:2">
      <c r="A3534" s="28"/>
      <c r="B3534" s="28"/>
    </row>
    <row r="3535" spans="1:2">
      <c r="A3535" s="28"/>
      <c r="B3535" s="28"/>
    </row>
    <row r="3536" spans="1:2">
      <c r="A3536" s="28"/>
      <c r="B3536" s="28"/>
    </row>
    <row r="3537" spans="1:2">
      <c r="A3537" s="28"/>
      <c r="B3537" s="28"/>
    </row>
    <row r="3538" spans="1:2">
      <c r="A3538" s="28"/>
      <c r="B3538" s="28"/>
    </row>
    <row r="3539" spans="1:2">
      <c r="A3539" s="28"/>
      <c r="B3539" s="28"/>
    </row>
    <row r="3540" spans="1:2">
      <c r="A3540" s="28"/>
      <c r="B3540" s="28"/>
    </row>
    <row r="3541" spans="1:2">
      <c r="A3541" s="28"/>
      <c r="B3541" s="28"/>
    </row>
    <row r="3542" spans="1:2">
      <c r="A3542" s="28"/>
      <c r="B3542" s="28"/>
    </row>
    <row r="3543" spans="1:2">
      <c r="A3543" s="28"/>
      <c r="B3543" s="28"/>
    </row>
    <row r="3544" spans="1:2">
      <c r="A3544" s="28"/>
      <c r="B3544" s="28"/>
    </row>
    <row r="3545" spans="1:2">
      <c r="A3545" s="28"/>
      <c r="B3545" s="28"/>
    </row>
    <row r="3546" spans="1:2">
      <c r="A3546" s="28"/>
      <c r="B3546" s="28"/>
    </row>
    <row r="3547" spans="1:2">
      <c r="A3547" s="28"/>
      <c r="B3547" s="28"/>
    </row>
    <row r="3548" spans="1:2">
      <c r="A3548" s="28"/>
      <c r="B3548" s="28"/>
    </row>
    <row r="3549" spans="1:2">
      <c r="A3549" s="28"/>
      <c r="B3549" s="28"/>
    </row>
    <row r="3550" spans="1:2">
      <c r="A3550" s="28"/>
      <c r="B3550" s="28"/>
    </row>
    <row r="3551" spans="1:2">
      <c r="A3551" s="28"/>
      <c r="B3551" s="28"/>
    </row>
    <row r="3552" spans="1:2">
      <c r="A3552" s="28"/>
      <c r="B3552" s="28"/>
    </row>
    <row r="3553" spans="1:2">
      <c r="A3553" s="28"/>
      <c r="B3553" s="28"/>
    </row>
    <row r="3554" spans="1:2">
      <c r="A3554" s="28"/>
      <c r="B3554" s="28"/>
    </row>
    <row r="3555" spans="1:2">
      <c r="A3555" s="28"/>
      <c r="B3555" s="28"/>
    </row>
    <row r="3556" spans="1:2">
      <c r="A3556" s="28"/>
      <c r="B3556" s="28"/>
    </row>
    <row r="3557" spans="1:2">
      <c r="A3557" s="28"/>
      <c r="B3557" s="28"/>
    </row>
    <row r="3558" spans="1:2">
      <c r="A3558" s="28"/>
      <c r="B3558" s="28"/>
    </row>
    <row r="3559" spans="1:2">
      <c r="A3559" s="28"/>
      <c r="B3559" s="28"/>
    </row>
    <row r="3560" spans="1:2">
      <c r="A3560" s="28"/>
      <c r="B3560" s="28"/>
    </row>
    <row r="3561" spans="1:2">
      <c r="A3561" s="28"/>
      <c r="B3561" s="28"/>
    </row>
    <row r="3562" spans="1:2">
      <c r="A3562" s="28"/>
      <c r="B3562" s="28"/>
    </row>
    <row r="3563" spans="1:2">
      <c r="A3563" s="28"/>
      <c r="B3563" s="28"/>
    </row>
    <row r="3564" spans="1:2">
      <c r="A3564" s="28"/>
      <c r="B3564" s="28"/>
    </row>
    <row r="3565" spans="1:2">
      <c r="A3565" s="28"/>
      <c r="B3565" s="28"/>
    </row>
    <row r="3566" spans="1:2">
      <c r="A3566" s="28"/>
      <c r="B3566" s="28"/>
    </row>
    <row r="3567" spans="1:2">
      <c r="A3567" s="28"/>
      <c r="B3567" s="28"/>
    </row>
    <row r="3568" spans="1:2">
      <c r="A3568" s="28"/>
      <c r="B3568" s="28"/>
    </row>
    <row r="3569" spans="1:2">
      <c r="A3569" s="28"/>
      <c r="B3569" s="28"/>
    </row>
    <row r="3570" spans="1:2">
      <c r="A3570" s="28"/>
      <c r="B3570" s="28"/>
    </row>
    <row r="3571" spans="1:2">
      <c r="A3571" s="28"/>
      <c r="B3571" s="28"/>
    </row>
    <row r="3572" spans="1:2">
      <c r="A3572" s="28"/>
      <c r="B3572" s="28"/>
    </row>
    <row r="3573" spans="1:2">
      <c r="A3573" s="28"/>
      <c r="B3573" s="28"/>
    </row>
    <row r="3574" spans="1:2">
      <c r="A3574" s="28"/>
      <c r="B3574" s="28"/>
    </row>
    <row r="3575" spans="1:2">
      <c r="A3575" s="28"/>
      <c r="B3575" s="28"/>
    </row>
    <row r="3576" spans="1:2">
      <c r="A3576" s="28"/>
      <c r="B3576" s="28"/>
    </row>
    <row r="3577" spans="1:2">
      <c r="A3577" s="28"/>
      <c r="B3577" s="28"/>
    </row>
    <row r="3578" spans="1:2">
      <c r="A3578" s="28"/>
      <c r="B3578" s="28"/>
    </row>
    <row r="3579" spans="1:2">
      <c r="A3579" s="28"/>
      <c r="B3579" s="28"/>
    </row>
    <row r="3580" spans="1:2">
      <c r="A3580" s="28"/>
      <c r="B3580" s="28"/>
    </row>
    <row r="3581" spans="1:2">
      <c r="A3581" s="28"/>
      <c r="B3581" s="28"/>
    </row>
    <row r="3582" spans="1:2">
      <c r="A3582" s="28"/>
      <c r="B3582" s="28"/>
    </row>
    <row r="3583" spans="1:2">
      <c r="A3583" s="28"/>
      <c r="B3583" s="28"/>
    </row>
    <row r="3584" spans="1:2">
      <c r="A3584" s="28"/>
      <c r="B3584" s="28"/>
    </row>
    <row r="3585" spans="1:2">
      <c r="A3585" s="28"/>
      <c r="B3585" s="28"/>
    </row>
    <row r="3586" spans="1:2">
      <c r="A3586" s="28"/>
      <c r="B3586" s="28"/>
    </row>
    <row r="3587" spans="1:2">
      <c r="A3587" s="28"/>
      <c r="B3587" s="28"/>
    </row>
    <row r="3588" spans="1:2">
      <c r="A3588" s="28"/>
      <c r="B3588" s="28"/>
    </row>
    <row r="3589" spans="1:2">
      <c r="A3589" s="28"/>
      <c r="B3589" s="28"/>
    </row>
    <row r="3590" spans="1:2">
      <c r="A3590" s="28"/>
      <c r="B3590" s="28"/>
    </row>
    <row r="3591" spans="1:2">
      <c r="A3591" s="28"/>
      <c r="B3591" s="28"/>
    </row>
    <row r="3592" spans="1:2">
      <c r="A3592" s="28"/>
      <c r="B3592" s="28"/>
    </row>
    <row r="3593" spans="1:2">
      <c r="A3593" s="28"/>
      <c r="B3593" s="28"/>
    </row>
    <row r="3594" spans="1:2">
      <c r="A3594" s="28"/>
      <c r="B3594" s="28"/>
    </row>
    <row r="3595" spans="1:2">
      <c r="A3595" s="28"/>
      <c r="B3595" s="28"/>
    </row>
    <row r="3596" spans="1:2">
      <c r="A3596" s="28"/>
      <c r="B3596" s="28"/>
    </row>
    <row r="3597" spans="1:2">
      <c r="A3597" s="28"/>
      <c r="B3597" s="28"/>
    </row>
    <row r="3598" spans="1:2">
      <c r="A3598" s="28"/>
      <c r="B3598" s="28"/>
    </row>
    <row r="3599" spans="1:2">
      <c r="A3599" s="28"/>
      <c r="B3599" s="28"/>
    </row>
    <row r="3600" spans="1:2">
      <c r="A3600" s="28"/>
      <c r="B3600" s="28"/>
    </row>
    <row r="3601" spans="1:2">
      <c r="A3601" s="28"/>
      <c r="B3601" s="28"/>
    </row>
    <row r="3602" spans="1:2">
      <c r="A3602" s="28"/>
      <c r="B3602" s="28"/>
    </row>
    <row r="3603" spans="1:2">
      <c r="A3603" s="28"/>
      <c r="B3603" s="28"/>
    </row>
    <row r="3604" spans="1:2">
      <c r="A3604" s="28"/>
      <c r="B3604" s="28"/>
    </row>
    <row r="3605" spans="1:2">
      <c r="A3605" s="28"/>
      <c r="B3605" s="28"/>
    </row>
    <row r="3606" spans="1:2">
      <c r="A3606" s="28"/>
      <c r="B3606" s="28"/>
    </row>
    <row r="3607" spans="1:2">
      <c r="A3607" s="28"/>
      <c r="B3607" s="28"/>
    </row>
    <row r="3608" spans="1:2">
      <c r="A3608" s="28"/>
      <c r="B3608" s="28"/>
    </row>
    <row r="3609" spans="1:2">
      <c r="A3609" s="28"/>
      <c r="B3609" s="28"/>
    </row>
    <row r="3610" spans="1:2">
      <c r="A3610" s="28"/>
      <c r="B3610" s="28"/>
    </row>
    <row r="3611" spans="1:2">
      <c r="A3611" s="28"/>
      <c r="B3611" s="28"/>
    </row>
    <row r="3612" spans="1:2">
      <c r="A3612" s="28"/>
      <c r="B3612" s="28"/>
    </row>
    <row r="3613" spans="1:2">
      <c r="A3613" s="28"/>
      <c r="B3613" s="28"/>
    </row>
    <row r="3614" spans="1:2">
      <c r="A3614" s="28"/>
      <c r="B3614" s="28"/>
    </row>
    <row r="3615" spans="1:2">
      <c r="A3615" s="28"/>
      <c r="B3615" s="28"/>
    </row>
    <row r="3616" spans="1:2">
      <c r="A3616" s="28"/>
      <c r="B3616" s="28"/>
    </row>
    <row r="3617" spans="1:2">
      <c r="A3617" s="28"/>
      <c r="B3617" s="28"/>
    </row>
    <row r="3618" spans="1:2">
      <c r="A3618" s="28"/>
      <c r="B3618" s="28"/>
    </row>
    <row r="3619" spans="1:2">
      <c r="A3619" s="28"/>
      <c r="B3619" s="28"/>
    </row>
    <row r="3620" spans="1:2">
      <c r="A3620" s="28"/>
      <c r="B3620" s="28"/>
    </row>
    <row r="3621" spans="1:2">
      <c r="A3621" s="28"/>
      <c r="B3621" s="28"/>
    </row>
    <row r="3622" spans="1:2">
      <c r="A3622" s="28"/>
      <c r="B3622" s="28"/>
    </row>
    <row r="3623" spans="1:2">
      <c r="A3623" s="28"/>
      <c r="B3623" s="28"/>
    </row>
    <row r="3624" spans="1:2">
      <c r="A3624" s="28"/>
      <c r="B3624" s="28"/>
    </row>
    <row r="3625" spans="1:2">
      <c r="A3625" s="28"/>
      <c r="B3625" s="28"/>
    </row>
    <row r="3626" spans="1:2">
      <c r="A3626" s="28"/>
      <c r="B3626" s="28"/>
    </row>
    <row r="3627" spans="1:2">
      <c r="A3627" s="28"/>
      <c r="B3627" s="28"/>
    </row>
    <row r="3628" spans="1:2">
      <c r="A3628" s="28"/>
      <c r="B3628" s="28"/>
    </row>
    <row r="3629" spans="1:2">
      <c r="A3629" s="28"/>
      <c r="B3629" s="28"/>
    </row>
    <row r="3630" spans="1:2">
      <c r="A3630" s="28"/>
      <c r="B3630" s="28"/>
    </row>
    <row r="3631" spans="1:2">
      <c r="A3631" s="28"/>
      <c r="B3631" s="28"/>
    </row>
    <row r="3632" spans="1:2">
      <c r="A3632" s="28"/>
      <c r="B3632" s="28"/>
    </row>
    <row r="3633" spans="1:2">
      <c r="A3633" s="28"/>
      <c r="B3633" s="28"/>
    </row>
    <row r="3634" spans="1:2">
      <c r="A3634" s="28"/>
      <c r="B3634" s="28"/>
    </row>
    <row r="3635" spans="1:2">
      <c r="A3635" s="28"/>
      <c r="B3635" s="28"/>
    </row>
    <row r="3636" spans="1:2">
      <c r="A3636" s="28"/>
      <c r="B3636" s="28"/>
    </row>
    <row r="3637" spans="1:2">
      <c r="A3637" s="28"/>
      <c r="B3637" s="28"/>
    </row>
    <row r="3638" spans="1:2">
      <c r="A3638" s="28"/>
      <c r="B3638" s="28"/>
    </row>
    <row r="3639" spans="1:2">
      <c r="A3639" s="28"/>
      <c r="B3639" s="28"/>
    </row>
    <row r="3640" spans="1:2">
      <c r="A3640" s="28"/>
      <c r="B3640" s="28"/>
    </row>
    <row r="3641" spans="1:2">
      <c r="A3641" s="28"/>
      <c r="B3641" s="28"/>
    </row>
    <row r="3642" spans="1:2">
      <c r="A3642" s="28"/>
      <c r="B3642" s="28"/>
    </row>
    <row r="3643" spans="1:2">
      <c r="A3643" s="28"/>
      <c r="B3643" s="28"/>
    </row>
    <row r="3644" spans="1:2">
      <c r="A3644" s="28"/>
      <c r="B3644" s="28"/>
    </row>
    <row r="3645" spans="1:2">
      <c r="A3645" s="28"/>
      <c r="B3645" s="28"/>
    </row>
    <row r="3646" spans="1:2">
      <c r="A3646" s="28"/>
      <c r="B3646" s="28"/>
    </row>
    <row r="3647" spans="1:2">
      <c r="A3647" s="28"/>
      <c r="B3647" s="28"/>
    </row>
    <row r="3648" spans="1:2">
      <c r="A3648" s="28"/>
      <c r="B3648" s="28"/>
    </row>
    <row r="3649" spans="1:2">
      <c r="A3649" s="28"/>
      <c r="B3649" s="28"/>
    </row>
    <row r="3650" spans="1:2">
      <c r="A3650" s="28"/>
      <c r="B3650" s="28"/>
    </row>
    <row r="3651" spans="1:2">
      <c r="A3651" s="28"/>
      <c r="B3651" s="28"/>
    </row>
    <row r="3652" spans="1:2">
      <c r="A3652" s="28"/>
      <c r="B3652" s="28"/>
    </row>
    <row r="3653" spans="1:2">
      <c r="A3653" s="28"/>
      <c r="B3653" s="28"/>
    </row>
    <row r="3654" spans="1:2">
      <c r="A3654" s="28"/>
      <c r="B3654" s="28"/>
    </row>
    <row r="3655" spans="1:2">
      <c r="A3655" s="28"/>
      <c r="B3655" s="28"/>
    </row>
    <row r="3656" spans="1:2">
      <c r="A3656" s="28"/>
      <c r="B3656" s="28"/>
    </row>
    <row r="3657" spans="1:2">
      <c r="A3657" s="28"/>
      <c r="B3657" s="28"/>
    </row>
    <row r="3658" spans="1:2">
      <c r="A3658" s="28"/>
      <c r="B3658" s="28"/>
    </row>
    <row r="3659" spans="1:2">
      <c r="A3659" s="28"/>
      <c r="B3659" s="28"/>
    </row>
    <row r="3660" spans="1:2">
      <c r="A3660" s="28"/>
      <c r="B3660" s="28"/>
    </row>
    <row r="3661" spans="1:2">
      <c r="A3661" s="28"/>
      <c r="B3661" s="28"/>
    </row>
    <row r="3662" spans="1:2">
      <c r="A3662" s="28"/>
      <c r="B3662" s="28"/>
    </row>
    <row r="3663" spans="1:2">
      <c r="A3663" s="28"/>
      <c r="B3663" s="28"/>
    </row>
    <row r="3664" spans="1:2">
      <c r="A3664" s="28"/>
      <c r="B3664" s="28"/>
    </row>
    <row r="3665" spans="1:2">
      <c r="A3665" s="28"/>
      <c r="B3665" s="28"/>
    </row>
    <row r="3666" spans="1:2">
      <c r="A3666" s="28"/>
      <c r="B3666" s="28"/>
    </row>
    <row r="3667" spans="1:2">
      <c r="A3667" s="28"/>
      <c r="B3667" s="28"/>
    </row>
    <row r="3668" spans="1:2">
      <c r="A3668" s="28"/>
      <c r="B3668" s="28"/>
    </row>
    <row r="3669" spans="1:2">
      <c r="A3669" s="28"/>
      <c r="B3669" s="28"/>
    </row>
    <row r="3670" spans="1:2">
      <c r="A3670" s="28"/>
      <c r="B3670" s="28"/>
    </row>
    <row r="3671" spans="1:2">
      <c r="A3671" s="28"/>
      <c r="B3671" s="28"/>
    </row>
    <row r="3672" spans="1:2">
      <c r="A3672" s="28"/>
      <c r="B3672" s="28"/>
    </row>
    <row r="3673" spans="1:2">
      <c r="A3673" s="28"/>
      <c r="B3673" s="28"/>
    </row>
    <row r="3674" spans="1:2">
      <c r="A3674" s="28"/>
      <c r="B3674" s="28"/>
    </row>
    <row r="3675" spans="1:2">
      <c r="A3675" s="28"/>
      <c r="B3675" s="28"/>
    </row>
    <row r="3676" spans="1:2">
      <c r="A3676" s="28"/>
      <c r="B3676" s="28"/>
    </row>
    <row r="3677" spans="1:2">
      <c r="A3677" s="28"/>
      <c r="B3677" s="28"/>
    </row>
    <row r="3678" spans="1:2">
      <c r="A3678" s="28"/>
      <c r="B3678" s="28"/>
    </row>
    <row r="3679" spans="1:2">
      <c r="A3679" s="28"/>
      <c r="B3679" s="28"/>
    </row>
    <row r="3680" spans="1:2">
      <c r="A3680" s="28"/>
      <c r="B3680" s="28"/>
    </row>
    <row r="3681" spans="1:2">
      <c r="A3681" s="28"/>
      <c r="B3681" s="28"/>
    </row>
    <row r="3682" spans="1:2">
      <c r="A3682" s="28"/>
      <c r="B3682" s="28"/>
    </row>
    <row r="3683" spans="1:2">
      <c r="A3683" s="28"/>
      <c r="B3683" s="28"/>
    </row>
    <row r="3684" spans="1:2">
      <c r="A3684" s="28"/>
      <c r="B3684" s="28"/>
    </row>
    <row r="3685" spans="1:2">
      <c r="A3685" s="28"/>
      <c r="B3685" s="28"/>
    </row>
    <row r="3686" spans="1:2">
      <c r="A3686" s="28"/>
      <c r="B3686" s="28"/>
    </row>
    <row r="3687" spans="1:2">
      <c r="A3687" s="28"/>
      <c r="B3687" s="28"/>
    </row>
    <row r="3688" spans="1:2">
      <c r="A3688" s="28"/>
      <c r="B3688" s="28"/>
    </row>
    <row r="3689" spans="1:2">
      <c r="A3689" s="28"/>
      <c r="B3689" s="28"/>
    </row>
    <row r="3690" spans="1:2">
      <c r="A3690" s="28"/>
      <c r="B3690" s="28"/>
    </row>
    <row r="3691" spans="1:2">
      <c r="A3691" s="28"/>
      <c r="B3691" s="28"/>
    </row>
    <row r="3692" spans="1:2">
      <c r="A3692" s="28"/>
      <c r="B3692" s="28"/>
    </row>
    <row r="3693" spans="1:2">
      <c r="A3693" s="28"/>
      <c r="B3693" s="28"/>
    </row>
    <row r="3694" spans="1:2">
      <c r="A3694" s="28"/>
      <c r="B3694" s="28"/>
    </row>
    <row r="3695" spans="1:2">
      <c r="A3695" s="28"/>
      <c r="B3695" s="28"/>
    </row>
    <row r="3696" spans="1:2">
      <c r="A3696" s="28"/>
      <c r="B3696" s="28"/>
    </row>
    <row r="3697" spans="1:2">
      <c r="A3697" s="28"/>
      <c r="B3697" s="28"/>
    </row>
    <row r="3698" spans="1:2">
      <c r="A3698" s="28"/>
      <c r="B3698" s="28"/>
    </row>
    <row r="3699" spans="1:2">
      <c r="A3699" s="28"/>
      <c r="B3699" s="28"/>
    </row>
    <row r="3700" spans="1:2">
      <c r="A3700" s="28"/>
      <c r="B3700" s="28"/>
    </row>
    <row r="3701" spans="1:2">
      <c r="A3701" s="28"/>
      <c r="B3701" s="28"/>
    </row>
    <row r="3702" spans="1:2">
      <c r="A3702" s="28"/>
      <c r="B3702" s="28"/>
    </row>
    <row r="3703" spans="1:2">
      <c r="A3703" s="28"/>
      <c r="B3703" s="28"/>
    </row>
    <row r="3704" spans="1:2">
      <c r="A3704" s="28"/>
      <c r="B3704" s="28"/>
    </row>
    <row r="3705" spans="1:2">
      <c r="A3705" s="28"/>
      <c r="B3705" s="28"/>
    </row>
    <row r="3706" spans="1:2">
      <c r="A3706" s="28"/>
      <c r="B3706" s="28"/>
    </row>
    <row r="3707" spans="1:2">
      <c r="A3707" s="28"/>
      <c r="B3707" s="28"/>
    </row>
    <row r="3708" spans="1:2">
      <c r="A3708" s="28"/>
      <c r="B3708" s="28"/>
    </row>
    <row r="3709" spans="1:2">
      <c r="A3709" s="28"/>
      <c r="B3709" s="28"/>
    </row>
    <row r="3710" spans="1:2">
      <c r="A3710" s="28"/>
      <c r="B3710" s="28"/>
    </row>
    <row r="3711" spans="1:2">
      <c r="A3711" s="28"/>
      <c r="B3711" s="28"/>
    </row>
    <row r="3712" spans="1:2">
      <c r="A3712" s="28"/>
      <c r="B3712" s="28"/>
    </row>
    <row r="3713" spans="1:2">
      <c r="A3713" s="28"/>
      <c r="B3713" s="28"/>
    </row>
    <row r="3714" spans="1:2">
      <c r="A3714" s="28"/>
      <c r="B3714" s="28"/>
    </row>
    <row r="3715" spans="1:2">
      <c r="A3715" s="28"/>
      <c r="B3715" s="28"/>
    </row>
    <row r="3716" spans="1:2">
      <c r="A3716" s="28"/>
      <c r="B3716" s="28"/>
    </row>
    <row r="3717" spans="1:2">
      <c r="A3717" s="28"/>
      <c r="B3717" s="28"/>
    </row>
    <row r="3718" spans="1:2">
      <c r="A3718" s="28"/>
      <c r="B3718" s="28"/>
    </row>
    <row r="3719" spans="1:2">
      <c r="A3719" s="28"/>
      <c r="B3719" s="28"/>
    </row>
    <row r="3720" spans="1:2">
      <c r="A3720" s="28"/>
      <c r="B3720" s="28"/>
    </row>
    <row r="3721" spans="1:2">
      <c r="A3721" s="28"/>
      <c r="B3721" s="28"/>
    </row>
    <row r="3722" spans="1:2">
      <c r="A3722" s="28"/>
      <c r="B3722" s="28"/>
    </row>
    <row r="3723" spans="1:2">
      <c r="A3723" s="28"/>
      <c r="B3723" s="28"/>
    </row>
    <row r="3724" spans="1:2">
      <c r="A3724" s="28"/>
      <c r="B3724" s="28"/>
    </row>
    <row r="3725" spans="1:2">
      <c r="A3725" s="28"/>
      <c r="B3725" s="28"/>
    </row>
    <row r="3726" spans="1:2">
      <c r="A3726" s="28"/>
      <c r="B3726" s="28"/>
    </row>
    <row r="3727" spans="1:2">
      <c r="A3727" s="28"/>
      <c r="B3727" s="28"/>
    </row>
    <row r="3728" spans="1:2">
      <c r="A3728" s="28"/>
      <c r="B3728" s="28"/>
    </row>
    <row r="3729" spans="1:2">
      <c r="A3729" s="28"/>
      <c r="B3729" s="28"/>
    </row>
    <row r="3730" spans="1:2">
      <c r="A3730" s="28"/>
      <c r="B3730" s="28"/>
    </row>
    <row r="3731" spans="1:2">
      <c r="A3731" s="28"/>
      <c r="B3731" s="28"/>
    </row>
    <row r="3732" spans="1:2">
      <c r="A3732" s="28"/>
      <c r="B3732" s="28"/>
    </row>
    <row r="3733" spans="1:2">
      <c r="A3733" s="28"/>
      <c r="B3733" s="28"/>
    </row>
    <row r="3734" spans="1:2">
      <c r="A3734" s="28"/>
      <c r="B3734" s="28"/>
    </row>
    <row r="3735" spans="1:2">
      <c r="A3735" s="28"/>
      <c r="B3735" s="28"/>
    </row>
    <row r="3736" spans="1:2">
      <c r="A3736" s="28"/>
      <c r="B3736" s="28"/>
    </row>
    <row r="3737" spans="1:2">
      <c r="A3737" s="28"/>
      <c r="B3737" s="28"/>
    </row>
    <row r="3738" spans="1:2">
      <c r="A3738" s="28"/>
      <c r="B3738" s="28"/>
    </row>
    <row r="3739" spans="1:2">
      <c r="A3739" s="28"/>
      <c r="B3739" s="28"/>
    </row>
    <row r="3740" spans="1:2">
      <c r="A3740" s="28"/>
      <c r="B3740" s="28"/>
    </row>
    <row r="3741" spans="1:2">
      <c r="A3741" s="28"/>
      <c r="B3741" s="28"/>
    </row>
    <row r="3742" spans="1:2">
      <c r="A3742" s="28"/>
      <c r="B3742" s="28"/>
    </row>
    <row r="3743" spans="1:2">
      <c r="A3743" s="28"/>
      <c r="B3743" s="28"/>
    </row>
    <row r="3744" spans="1:2">
      <c r="A3744" s="28"/>
      <c r="B3744" s="28"/>
    </row>
    <row r="3745" spans="1:2">
      <c r="A3745" s="28"/>
      <c r="B3745" s="28"/>
    </row>
    <row r="3746" spans="1:2">
      <c r="A3746" s="28"/>
      <c r="B3746" s="28"/>
    </row>
    <row r="3747" spans="1:2">
      <c r="A3747" s="28"/>
      <c r="B3747" s="28"/>
    </row>
    <row r="3748" spans="1:2">
      <c r="A3748" s="28"/>
      <c r="B3748" s="28"/>
    </row>
    <row r="3749" spans="1:2">
      <c r="A3749" s="28"/>
      <c r="B3749" s="28"/>
    </row>
    <row r="3750" spans="1:2">
      <c r="A3750" s="28"/>
      <c r="B3750" s="28"/>
    </row>
    <row r="3751" spans="1:2">
      <c r="A3751" s="28"/>
      <c r="B3751" s="28"/>
    </row>
    <row r="3752" spans="1:2">
      <c r="A3752" s="28"/>
      <c r="B3752" s="28"/>
    </row>
    <row r="3753" spans="1:2">
      <c r="A3753" s="28"/>
      <c r="B3753" s="28"/>
    </row>
    <row r="3754" spans="1:2">
      <c r="A3754" s="28"/>
      <c r="B3754" s="28"/>
    </row>
    <row r="3755" spans="1:2">
      <c r="A3755" s="28"/>
      <c r="B3755" s="28"/>
    </row>
    <row r="3756" spans="1:2">
      <c r="A3756" s="28"/>
      <c r="B3756" s="28"/>
    </row>
    <row r="3757" spans="1:2">
      <c r="A3757" s="28"/>
      <c r="B3757" s="28"/>
    </row>
    <row r="3758" spans="1:2">
      <c r="A3758" s="28"/>
      <c r="B3758" s="28"/>
    </row>
    <row r="3759" spans="1:2">
      <c r="A3759" s="28"/>
      <c r="B3759" s="28"/>
    </row>
    <row r="3760" spans="1:2">
      <c r="A3760" s="28"/>
      <c r="B3760" s="28"/>
    </row>
    <row r="3761" spans="1:2">
      <c r="A3761" s="28"/>
      <c r="B3761" s="28"/>
    </row>
    <row r="3762" spans="1:2">
      <c r="A3762" s="28"/>
      <c r="B3762" s="28"/>
    </row>
    <row r="3763" spans="1:2">
      <c r="A3763" s="28"/>
      <c r="B3763" s="28"/>
    </row>
    <row r="3764" spans="1:2">
      <c r="A3764" s="28"/>
      <c r="B3764" s="28"/>
    </row>
    <row r="3765" spans="1:2">
      <c r="A3765" s="28"/>
      <c r="B3765" s="28"/>
    </row>
    <row r="3766" spans="1:2">
      <c r="A3766" s="28"/>
      <c r="B3766" s="28"/>
    </row>
    <row r="3767" spans="1:2">
      <c r="A3767" s="28"/>
      <c r="B3767" s="28"/>
    </row>
    <row r="3768" spans="1:2">
      <c r="A3768" s="28"/>
      <c r="B3768" s="28"/>
    </row>
    <row r="3769" spans="1:2">
      <c r="A3769" s="28"/>
      <c r="B3769" s="28"/>
    </row>
    <row r="3770" spans="1:2">
      <c r="A3770" s="28"/>
      <c r="B3770" s="28"/>
    </row>
    <row r="3771" spans="1:2">
      <c r="A3771" s="28"/>
      <c r="B3771" s="28"/>
    </row>
    <row r="3772" spans="1:2">
      <c r="A3772" s="28"/>
      <c r="B3772" s="28"/>
    </row>
    <row r="3773" spans="1:2">
      <c r="A3773" s="28"/>
      <c r="B3773" s="28"/>
    </row>
    <row r="3774" spans="1:2">
      <c r="A3774" s="28"/>
      <c r="B3774" s="28"/>
    </row>
    <row r="3775" spans="1:2">
      <c r="A3775" s="28"/>
      <c r="B3775" s="28"/>
    </row>
    <row r="3776" spans="1:2">
      <c r="A3776" s="28"/>
      <c r="B3776" s="28"/>
    </row>
    <row r="3777" spans="1:2">
      <c r="A3777" s="28"/>
      <c r="B3777" s="28"/>
    </row>
    <row r="3778" spans="1:2">
      <c r="A3778" s="28"/>
      <c r="B3778" s="28"/>
    </row>
    <row r="3779" spans="1:2">
      <c r="A3779" s="28"/>
      <c r="B3779" s="28"/>
    </row>
    <row r="3780" spans="1:2">
      <c r="A3780" s="28"/>
      <c r="B3780" s="28"/>
    </row>
    <row r="3781" spans="1:2">
      <c r="A3781" s="28"/>
      <c r="B3781" s="28"/>
    </row>
    <row r="3782" spans="1:2">
      <c r="A3782" s="28"/>
      <c r="B3782" s="28"/>
    </row>
    <row r="3783" spans="1:2">
      <c r="A3783" s="28"/>
      <c r="B3783" s="28"/>
    </row>
    <row r="3784" spans="1:2">
      <c r="A3784" s="28"/>
      <c r="B3784" s="28"/>
    </row>
    <row r="3785" spans="1:2">
      <c r="A3785" s="28"/>
      <c r="B3785" s="28"/>
    </row>
    <row r="3786" spans="1:2">
      <c r="A3786" s="28"/>
      <c r="B3786" s="28"/>
    </row>
    <row r="3787" spans="1:2">
      <c r="A3787" s="28"/>
      <c r="B3787" s="28"/>
    </row>
    <row r="3788" spans="1:2">
      <c r="A3788" s="28"/>
      <c r="B3788" s="28"/>
    </row>
    <row r="3789" spans="1:2">
      <c r="A3789" s="28"/>
      <c r="B3789" s="28"/>
    </row>
    <row r="3790" spans="1:2">
      <c r="A3790" s="28"/>
      <c r="B3790" s="28"/>
    </row>
    <row r="3791" spans="1:2">
      <c r="A3791" s="28"/>
      <c r="B3791" s="28"/>
    </row>
    <row r="3792" spans="1:2">
      <c r="A3792" s="28"/>
      <c r="B3792" s="28"/>
    </row>
    <row r="3793" spans="1:2">
      <c r="A3793" s="28"/>
      <c r="B3793" s="28"/>
    </row>
    <row r="3794" spans="1:2">
      <c r="A3794" s="28"/>
      <c r="B3794" s="28"/>
    </row>
    <row r="3795" spans="1:2">
      <c r="A3795" s="28"/>
      <c r="B3795" s="28"/>
    </row>
    <row r="3796" spans="1:2">
      <c r="A3796" s="28"/>
      <c r="B3796" s="28"/>
    </row>
    <row r="3797" spans="1:2">
      <c r="A3797" s="28"/>
      <c r="B3797" s="28"/>
    </row>
    <row r="3798" spans="1:2">
      <c r="A3798" s="28"/>
      <c r="B3798" s="28"/>
    </row>
    <row r="3799" spans="1:2">
      <c r="A3799" s="28"/>
      <c r="B3799" s="28"/>
    </row>
    <row r="3800" spans="1:2">
      <c r="A3800" s="28"/>
      <c r="B3800" s="28"/>
    </row>
    <row r="3801" spans="1:2">
      <c r="A3801" s="28"/>
      <c r="B3801" s="28"/>
    </row>
    <row r="3802" spans="1:2">
      <c r="A3802" s="28"/>
      <c r="B3802" s="28"/>
    </row>
    <row r="3803" spans="1:2">
      <c r="A3803" s="28"/>
      <c r="B3803" s="28"/>
    </row>
    <row r="3804" spans="1:2">
      <c r="A3804" s="28"/>
      <c r="B3804" s="28"/>
    </row>
    <row r="3805" spans="1:2">
      <c r="A3805" s="28"/>
      <c r="B3805" s="28"/>
    </row>
    <row r="3806" spans="1:2">
      <c r="A3806" s="28"/>
      <c r="B3806" s="28"/>
    </row>
    <row r="3807" spans="1:2">
      <c r="A3807" s="28"/>
      <c r="B3807" s="28"/>
    </row>
    <row r="3808" spans="1:2">
      <c r="A3808" s="28"/>
      <c r="B3808" s="28"/>
    </row>
    <row r="3809" spans="1:2">
      <c r="A3809" s="28"/>
      <c r="B3809" s="28"/>
    </row>
    <row r="3810" spans="1:2">
      <c r="A3810" s="28"/>
      <c r="B3810" s="28"/>
    </row>
    <row r="3811" spans="1:2">
      <c r="A3811" s="28"/>
      <c r="B3811" s="28"/>
    </row>
    <row r="3812" spans="1:2">
      <c r="A3812" s="28"/>
      <c r="B3812" s="28"/>
    </row>
    <row r="3813" spans="1:2">
      <c r="A3813" s="28"/>
      <c r="B3813" s="28"/>
    </row>
    <row r="3814" spans="1:2">
      <c r="A3814" s="28"/>
      <c r="B3814" s="28"/>
    </row>
    <row r="3815" spans="1:2">
      <c r="A3815" s="28"/>
      <c r="B3815" s="28"/>
    </row>
    <row r="3816" spans="1:2">
      <c r="A3816" s="28"/>
      <c r="B3816" s="28"/>
    </row>
    <row r="3817" spans="1:2">
      <c r="A3817" s="28"/>
      <c r="B3817" s="28"/>
    </row>
    <row r="3818" spans="1:2">
      <c r="A3818" s="28"/>
      <c r="B3818" s="28"/>
    </row>
    <row r="3819" spans="1:2">
      <c r="A3819" s="28"/>
      <c r="B3819" s="28"/>
    </row>
    <row r="3820" spans="1:2">
      <c r="A3820" s="28"/>
      <c r="B3820" s="28"/>
    </row>
    <row r="3821" spans="1:2">
      <c r="A3821" s="28"/>
      <c r="B3821" s="28"/>
    </row>
    <row r="3822" spans="1:2">
      <c r="A3822" s="28"/>
      <c r="B3822" s="28"/>
    </row>
    <row r="3823" spans="1:2">
      <c r="A3823" s="28"/>
      <c r="B3823" s="28"/>
    </row>
    <row r="3824" spans="1:2">
      <c r="A3824" s="28"/>
      <c r="B3824" s="28"/>
    </row>
    <row r="3825" spans="1:2">
      <c r="A3825" s="28"/>
      <c r="B3825" s="28"/>
    </row>
    <row r="3826" spans="1:2">
      <c r="A3826" s="28"/>
      <c r="B3826" s="28"/>
    </row>
    <row r="3827" spans="1:2">
      <c r="A3827" s="28"/>
      <c r="B3827" s="28"/>
    </row>
    <row r="3828" spans="1:2">
      <c r="A3828" s="28"/>
      <c r="B3828" s="28"/>
    </row>
    <row r="3829" spans="1:2">
      <c r="A3829" s="28"/>
      <c r="B3829" s="28"/>
    </row>
    <row r="3830" spans="1:2">
      <c r="A3830" s="28"/>
      <c r="B3830" s="28"/>
    </row>
    <row r="3831" spans="1:2">
      <c r="A3831" s="28"/>
      <c r="B3831" s="28"/>
    </row>
    <row r="3832" spans="1:2">
      <c r="A3832" s="28"/>
      <c r="B3832" s="28"/>
    </row>
    <row r="3833" spans="1:2">
      <c r="A3833" s="28"/>
      <c r="B3833" s="28"/>
    </row>
    <row r="3834" spans="1:2">
      <c r="A3834" s="28"/>
      <c r="B3834" s="28"/>
    </row>
    <row r="3835" spans="1:2">
      <c r="A3835" s="28"/>
      <c r="B3835" s="28"/>
    </row>
    <row r="3836" spans="1:2">
      <c r="A3836" s="28"/>
      <c r="B3836" s="28"/>
    </row>
    <row r="3837" spans="1:2">
      <c r="A3837" s="28"/>
      <c r="B3837" s="28"/>
    </row>
    <row r="3838" spans="1:2">
      <c r="A3838" s="28"/>
      <c r="B3838" s="28"/>
    </row>
    <row r="3839" spans="1:2">
      <c r="A3839" s="28"/>
      <c r="B3839" s="28"/>
    </row>
    <row r="3840" spans="1:2">
      <c r="A3840" s="28"/>
      <c r="B3840" s="28"/>
    </row>
    <row r="3841" spans="1:2">
      <c r="A3841" s="28"/>
      <c r="B3841" s="28"/>
    </row>
    <row r="3842" spans="1:2">
      <c r="A3842" s="28"/>
      <c r="B3842" s="28"/>
    </row>
    <row r="3843" spans="1:2">
      <c r="A3843" s="28"/>
      <c r="B3843" s="28"/>
    </row>
    <row r="3844" spans="1:2">
      <c r="A3844" s="28"/>
      <c r="B3844" s="28"/>
    </row>
    <row r="3845" spans="1:2">
      <c r="A3845" s="28"/>
      <c r="B3845" s="28"/>
    </row>
    <row r="3846" spans="1:2">
      <c r="A3846" s="28"/>
      <c r="B3846" s="28"/>
    </row>
    <row r="3847" spans="1:2">
      <c r="A3847" s="28"/>
      <c r="B3847" s="28"/>
    </row>
    <row r="3848" spans="1:2">
      <c r="A3848" s="28"/>
      <c r="B3848" s="28"/>
    </row>
    <row r="3849" spans="1:2">
      <c r="A3849" s="28"/>
      <c r="B3849" s="28"/>
    </row>
    <row r="3850" spans="1:2">
      <c r="A3850" s="28"/>
      <c r="B3850" s="28"/>
    </row>
    <row r="3851" spans="1:2">
      <c r="A3851" s="28"/>
      <c r="B3851" s="28"/>
    </row>
    <row r="3852" spans="1:2">
      <c r="A3852" s="28"/>
      <c r="B3852" s="28"/>
    </row>
    <row r="3853" spans="1:2">
      <c r="A3853" s="28"/>
      <c r="B3853" s="28"/>
    </row>
    <row r="3854" spans="1:2">
      <c r="A3854" s="28"/>
      <c r="B3854" s="28"/>
    </row>
    <row r="3855" spans="1:2">
      <c r="A3855" s="28"/>
      <c r="B3855" s="28"/>
    </row>
    <row r="3856" spans="1:2">
      <c r="A3856" s="28"/>
      <c r="B3856" s="28"/>
    </row>
    <row r="3857" spans="1:2">
      <c r="A3857" s="28"/>
      <c r="B3857" s="28"/>
    </row>
    <row r="3858" spans="1:2">
      <c r="A3858" s="28"/>
      <c r="B3858" s="28"/>
    </row>
    <row r="3859" spans="1:2">
      <c r="A3859" s="28"/>
      <c r="B3859" s="28"/>
    </row>
    <row r="3860" spans="1:2">
      <c r="A3860" s="28"/>
      <c r="B3860" s="28"/>
    </row>
    <row r="3861" spans="1:2">
      <c r="A3861" s="28"/>
      <c r="B3861" s="28"/>
    </row>
    <row r="3862" spans="1:2">
      <c r="A3862" s="28"/>
      <c r="B3862" s="28"/>
    </row>
    <row r="3863" spans="1:2">
      <c r="A3863" s="28"/>
      <c r="B3863" s="28"/>
    </row>
    <row r="3864" spans="1:2">
      <c r="A3864" s="28"/>
      <c r="B3864" s="28"/>
    </row>
    <row r="3865" spans="1:2">
      <c r="A3865" s="28"/>
      <c r="B3865" s="28"/>
    </row>
    <row r="3866" spans="1:2">
      <c r="A3866" s="28"/>
      <c r="B3866" s="28"/>
    </row>
    <row r="3867" spans="1:2">
      <c r="A3867" s="28"/>
      <c r="B3867" s="28"/>
    </row>
    <row r="3868" spans="1:2">
      <c r="A3868" s="28"/>
      <c r="B3868" s="28"/>
    </row>
    <row r="3869" spans="1:2">
      <c r="A3869" s="28"/>
      <c r="B3869" s="28"/>
    </row>
    <row r="3870" spans="1:2">
      <c r="A3870" s="28"/>
      <c r="B3870" s="28"/>
    </row>
    <row r="3871" spans="1:2">
      <c r="A3871" s="28"/>
      <c r="B3871" s="28"/>
    </row>
    <row r="3872" spans="1:2">
      <c r="A3872" s="28"/>
      <c r="B3872" s="28"/>
    </row>
    <row r="3873" spans="1:2">
      <c r="A3873" s="28"/>
      <c r="B3873" s="28"/>
    </row>
    <row r="3874" spans="1:2">
      <c r="A3874" s="28"/>
      <c r="B3874" s="28"/>
    </row>
    <row r="3875" spans="1:2">
      <c r="A3875" s="28"/>
      <c r="B3875" s="28"/>
    </row>
    <row r="3876" spans="1:2">
      <c r="A3876" s="28"/>
      <c r="B3876" s="28"/>
    </row>
    <row r="3877" spans="1:2">
      <c r="A3877" s="28"/>
      <c r="B3877" s="28"/>
    </row>
    <row r="3878" spans="1:2">
      <c r="A3878" s="28"/>
      <c r="B3878" s="28"/>
    </row>
    <row r="3879" spans="1:2">
      <c r="A3879" s="28"/>
      <c r="B3879" s="28"/>
    </row>
    <row r="3880" spans="1:2">
      <c r="A3880" s="28"/>
      <c r="B3880" s="28"/>
    </row>
    <row r="3881" spans="1:2">
      <c r="A3881" s="28"/>
      <c r="B3881" s="28"/>
    </row>
    <row r="3882" spans="1:2">
      <c r="A3882" s="28"/>
      <c r="B3882" s="28"/>
    </row>
    <row r="3883" spans="1:2">
      <c r="A3883" s="28"/>
      <c r="B3883" s="28"/>
    </row>
    <row r="3884" spans="1:2">
      <c r="A3884" s="28"/>
      <c r="B3884" s="28"/>
    </row>
    <row r="3885" spans="1:2">
      <c r="A3885" s="28"/>
      <c r="B3885" s="28"/>
    </row>
    <row r="3886" spans="1:2">
      <c r="A3886" s="28"/>
      <c r="B3886" s="28"/>
    </row>
    <row r="3887" spans="1:2">
      <c r="A3887" s="28"/>
      <c r="B3887" s="28"/>
    </row>
    <row r="3888" spans="1:2">
      <c r="A3888" s="28"/>
      <c r="B3888" s="28"/>
    </row>
    <row r="3889" spans="1:2">
      <c r="A3889" s="28"/>
      <c r="B3889" s="28"/>
    </row>
    <row r="3890" spans="1:2">
      <c r="A3890" s="28"/>
      <c r="B3890" s="28"/>
    </row>
    <row r="3891" spans="1:2">
      <c r="A3891" s="28"/>
      <c r="B3891" s="28"/>
    </row>
    <row r="3892" spans="1:2">
      <c r="A3892" s="28"/>
      <c r="B3892" s="28"/>
    </row>
    <row r="3893" spans="1:2">
      <c r="A3893" s="28"/>
      <c r="B3893" s="28"/>
    </row>
    <row r="3894" spans="1:2">
      <c r="A3894" s="28"/>
      <c r="B3894" s="28"/>
    </row>
    <row r="3895" spans="1:2">
      <c r="A3895" s="28"/>
      <c r="B3895" s="28"/>
    </row>
    <row r="3896" spans="1:2">
      <c r="A3896" s="28"/>
      <c r="B3896" s="28"/>
    </row>
    <row r="3897" spans="1:2">
      <c r="A3897" s="28"/>
      <c r="B3897" s="28"/>
    </row>
    <row r="3898" spans="1:2">
      <c r="A3898" s="28"/>
      <c r="B3898" s="28"/>
    </row>
    <row r="3899" spans="1:2">
      <c r="A3899" s="28"/>
      <c r="B3899" s="28"/>
    </row>
    <row r="3900" spans="1:2">
      <c r="A3900" s="28"/>
      <c r="B3900" s="28"/>
    </row>
    <row r="3901" spans="1:2">
      <c r="A3901" s="28"/>
      <c r="B3901" s="28"/>
    </row>
    <row r="3902" spans="1:2">
      <c r="A3902" s="28"/>
      <c r="B3902" s="28"/>
    </row>
    <row r="3903" spans="1:2">
      <c r="A3903" s="28"/>
      <c r="B3903" s="28"/>
    </row>
    <row r="3904" spans="1:2">
      <c r="A3904" s="28"/>
      <c r="B3904" s="28"/>
    </row>
    <row r="3905" spans="1:2">
      <c r="A3905" s="28"/>
      <c r="B3905" s="28"/>
    </row>
    <row r="3906" spans="1:2">
      <c r="A3906" s="28"/>
      <c r="B3906" s="28"/>
    </row>
    <row r="3907" spans="1:2">
      <c r="A3907" s="28"/>
      <c r="B3907" s="28"/>
    </row>
    <row r="3908" spans="1:2">
      <c r="A3908" s="28"/>
      <c r="B3908" s="28"/>
    </row>
    <row r="3909" spans="1:2">
      <c r="A3909" s="28"/>
      <c r="B3909" s="28"/>
    </row>
    <row r="3910" spans="1:2">
      <c r="A3910" s="28"/>
      <c r="B3910" s="28"/>
    </row>
    <row r="3911" spans="1:2">
      <c r="A3911" s="28"/>
      <c r="B3911" s="28"/>
    </row>
    <row r="3912" spans="1:2">
      <c r="A3912" s="28"/>
      <c r="B3912" s="28"/>
    </row>
    <row r="3913" spans="1:2">
      <c r="A3913" s="28"/>
      <c r="B3913" s="28"/>
    </row>
    <row r="3914" spans="1:2">
      <c r="A3914" s="28"/>
      <c r="B3914" s="28"/>
    </row>
    <row r="3915" spans="1:2">
      <c r="A3915" s="28"/>
      <c r="B3915" s="28"/>
    </row>
    <row r="3916" spans="1:2">
      <c r="A3916" s="28"/>
      <c r="B3916" s="28"/>
    </row>
    <row r="3917" spans="1:2">
      <c r="A3917" s="28"/>
      <c r="B3917" s="28"/>
    </row>
    <row r="3918" spans="1:2">
      <c r="A3918" s="28"/>
      <c r="B3918" s="28"/>
    </row>
    <row r="3919" spans="1:2">
      <c r="A3919" s="28"/>
      <c r="B3919" s="28"/>
    </row>
    <row r="3920" spans="1:2">
      <c r="A3920" s="28"/>
      <c r="B3920" s="28"/>
    </row>
    <row r="3921" spans="1:2">
      <c r="A3921" s="28"/>
      <c r="B3921" s="28"/>
    </row>
    <row r="3922" spans="1:2">
      <c r="A3922" s="28"/>
      <c r="B3922" s="28"/>
    </row>
    <row r="3923" spans="1:2">
      <c r="A3923" s="28"/>
      <c r="B3923" s="28"/>
    </row>
    <row r="3924" spans="1:2">
      <c r="A3924" s="28"/>
      <c r="B3924" s="28"/>
    </row>
    <row r="3925" spans="1:2">
      <c r="A3925" s="28"/>
      <c r="B3925" s="28"/>
    </row>
    <row r="3926" spans="1:2">
      <c r="A3926" s="28"/>
      <c r="B3926" s="28"/>
    </row>
    <row r="3927" spans="1:2">
      <c r="A3927" s="28"/>
      <c r="B3927" s="28"/>
    </row>
    <row r="3928" spans="1:2">
      <c r="A3928" s="28"/>
      <c r="B3928" s="28"/>
    </row>
    <row r="3929" spans="1:2">
      <c r="A3929" s="28"/>
      <c r="B3929" s="28"/>
    </row>
    <row r="3930" spans="1:2">
      <c r="A3930" s="28"/>
      <c r="B3930" s="28"/>
    </row>
    <row r="3931" spans="1:2">
      <c r="A3931" s="28"/>
      <c r="B3931" s="28"/>
    </row>
    <row r="3932" spans="1:2">
      <c r="A3932" s="28"/>
      <c r="B3932" s="28"/>
    </row>
    <row r="3933" spans="1:2">
      <c r="A3933" s="28"/>
      <c r="B3933" s="28"/>
    </row>
    <row r="3934" spans="1:2">
      <c r="A3934" s="28"/>
      <c r="B3934" s="28"/>
    </row>
    <row r="3935" spans="1:2">
      <c r="A3935" s="28"/>
      <c r="B3935" s="28"/>
    </row>
    <row r="3936" spans="1:2">
      <c r="A3936" s="28"/>
      <c r="B3936" s="28"/>
    </row>
    <row r="3937" spans="1:2">
      <c r="A3937" s="28"/>
      <c r="B3937" s="28"/>
    </row>
    <row r="3938" spans="1:2">
      <c r="A3938" s="28"/>
      <c r="B3938" s="28"/>
    </row>
    <row r="3939" spans="1:2">
      <c r="A3939" s="28"/>
      <c r="B3939" s="28"/>
    </row>
    <row r="3940" spans="1:2">
      <c r="A3940" s="28"/>
      <c r="B3940" s="28"/>
    </row>
    <row r="3941" spans="1:2">
      <c r="A3941" s="28"/>
      <c r="B3941" s="28"/>
    </row>
    <row r="3942" spans="1:2">
      <c r="A3942" s="28"/>
      <c r="B3942" s="28"/>
    </row>
    <row r="3943" spans="1:2">
      <c r="A3943" s="28"/>
      <c r="B3943" s="28"/>
    </row>
    <row r="3944" spans="1:2">
      <c r="A3944" s="28"/>
      <c r="B3944" s="28"/>
    </row>
    <row r="3945" spans="1:2">
      <c r="A3945" s="28"/>
      <c r="B3945" s="28"/>
    </row>
    <row r="3946" spans="1:2">
      <c r="A3946" s="28"/>
      <c r="B3946" s="28"/>
    </row>
    <row r="3947" spans="1:2">
      <c r="A3947" s="28"/>
      <c r="B3947" s="28"/>
    </row>
    <row r="3948" spans="1:2">
      <c r="A3948" s="28"/>
      <c r="B3948" s="28"/>
    </row>
    <row r="3949" spans="1:2">
      <c r="A3949" s="28"/>
      <c r="B3949" s="28"/>
    </row>
    <row r="3950" spans="1:2">
      <c r="A3950" s="28"/>
      <c r="B3950" s="28"/>
    </row>
    <row r="3951" spans="1:2">
      <c r="A3951" s="28"/>
      <c r="B3951" s="28"/>
    </row>
    <row r="3952" spans="1:2">
      <c r="A3952" s="28"/>
      <c r="B3952" s="28"/>
    </row>
    <row r="3953" spans="1:2">
      <c r="A3953" s="28"/>
      <c r="B3953" s="28"/>
    </row>
    <row r="3954" spans="1:2">
      <c r="A3954" s="28"/>
      <c r="B3954" s="28"/>
    </row>
    <row r="3955" spans="1:2">
      <c r="A3955" s="28"/>
      <c r="B3955" s="28"/>
    </row>
    <row r="3956" spans="1:2">
      <c r="A3956" s="28"/>
      <c r="B3956" s="28"/>
    </row>
    <row r="3957" spans="1:2">
      <c r="A3957" s="28"/>
      <c r="B3957" s="28"/>
    </row>
    <row r="3958" spans="1:2">
      <c r="A3958" s="28"/>
      <c r="B3958" s="28"/>
    </row>
    <row r="3959" spans="1:2">
      <c r="A3959" s="28"/>
      <c r="B3959" s="28"/>
    </row>
    <row r="3960" spans="1:2">
      <c r="A3960" s="28"/>
      <c r="B3960" s="28"/>
    </row>
    <row r="3961" spans="1:2">
      <c r="A3961" s="28"/>
      <c r="B3961" s="28"/>
    </row>
    <row r="3962" spans="1:2">
      <c r="A3962" s="28"/>
      <c r="B3962" s="28"/>
    </row>
    <row r="3963" spans="1:2">
      <c r="A3963" s="28"/>
      <c r="B3963" s="28"/>
    </row>
    <row r="3964" spans="1:2">
      <c r="A3964" s="28"/>
      <c r="B3964" s="28"/>
    </row>
    <row r="3965" spans="1:2">
      <c r="A3965" s="28"/>
      <c r="B3965" s="28"/>
    </row>
    <row r="3966" spans="1:2">
      <c r="A3966" s="28"/>
      <c r="B3966" s="28"/>
    </row>
    <row r="3967" spans="1:2">
      <c r="A3967" s="28"/>
      <c r="B3967" s="28"/>
    </row>
    <row r="3968" spans="1:2">
      <c r="A3968" s="28"/>
      <c r="B3968" s="28"/>
    </row>
    <row r="3969" spans="1:2">
      <c r="A3969" s="28"/>
      <c r="B3969" s="28"/>
    </row>
    <row r="3970" spans="1:2">
      <c r="A3970" s="28"/>
      <c r="B3970" s="28"/>
    </row>
    <row r="3971" spans="1:2">
      <c r="A3971" s="28"/>
      <c r="B3971" s="28"/>
    </row>
    <row r="3972" spans="1:2">
      <c r="A3972" s="28"/>
      <c r="B3972" s="28"/>
    </row>
    <row r="3973" spans="1:2">
      <c r="A3973" s="28"/>
      <c r="B3973" s="28"/>
    </row>
    <row r="3974" spans="1:2">
      <c r="A3974" s="28"/>
      <c r="B3974" s="28"/>
    </row>
    <row r="3975" spans="1:2">
      <c r="A3975" s="28"/>
      <c r="B3975" s="28"/>
    </row>
    <row r="3976" spans="1:2">
      <c r="A3976" s="28"/>
      <c r="B3976" s="28"/>
    </row>
    <row r="3977" spans="1:2">
      <c r="A3977" s="28"/>
      <c r="B3977" s="28"/>
    </row>
    <row r="3978" spans="1:2">
      <c r="A3978" s="28"/>
      <c r="B3978" s="28"/>
    </row>
    <row r="3979" spans="1:2">
      <c r="A3979" s="28"/>
      <c r="B3979" s="28"/>
    </row>
    <row r="3980" spans="1:2">
      <c r="A3980" s="28"/>
      <c r="B3980" s="28"/>
    </row>
    <row r="3981" spans="1:2">
      <c r="A3981" s="28"/>
      <c r="B3981" s="28"/>
    </row>
    <row r="3982" spans="1:2">
      <c r="A3982" s="28"/>
      <c r="B3982" s="28"/>
    </row>
    <row r="3983" spans="1:2">
      <c r="A3983" s="28"/>
      <c r="B3983" s="28"/>
    </row>
    <row r="3984" spans="1:2">
      <c r="A3984" s="28"/>
      <c r="B3984" s="28"/>
    </row>
    <row r="3985" spans="1:2">
      <c r="A3985" s="28"/>
      <c r="B3985" s="28"/>
    </row>
    <row r="3986" spans="1:2">
      <c r="A3986" s="28"/>
      <c r="B3986" s="28"/>
    </row>
    <row r="3987" spans="1:2">
      <c r="A3987" s="28"/>
      <c r="B3987" s="28"/>
    </row>
    <row r="3988" spans="1:2">
      <c r="A3988" s="28"/>
      <c r="B3988" s="28"/>
    </row>
    <row r="3989" spans="1:2">
      <c r="A3989" s="28"/>
      <c r="B3989" s="28"/>
    </row>
    <row r="3990" spans="1:2">
      <c r="A3990" s="28"/>
      <c r="B3990" s="28"/>
    </row>
    <row r="3991" spans="1:2">
      <c r="A3991" s="28"/>
      <c r="B3991" s="28"/>
    </row>
    <row r="3992" spans="1:2">
      <c r="A3992" s="28"/>
      <c r="B3992" s="28"/>
    </row>
    <row r="3993" spans="1:2">
      <c r="A3993" s="28"/>
      <c r="B3993" s="28"/>
    </row>
    <row r="3994" spans="1:2">
      <c r="A3994" s="28"/>
      <c r="B3994" s="28"/>
    </row>
    <row r="3995" spans="1:2">
      <c r="A3995" s="28"/>
      <c r="B3995" s="28"/>
    </row>
    <row r="3996" spans="1:2">
      <c r="A3996" s="28"/>
      <c r="B3996" s="28"/>
    </row>
    <row r="3997" spans="1:2">
      <c r="A3997" s="28"/>
      <c r="B3997" s="28"/>
    </row>
    <row r="3998" spans="1:2">
      <c r="A3998" s="28"/>
      <c r="B3998" s="28"/>
    </row>
    <row r="3999" spans="1:2">
      <c r="A3999" s="28"/>
      <c r="B3999" s="28"/>
    </row>
  </sheetData>
  <conditionalFormatting sqref="A2:L2999">
    <cfRule type="expression" dxfId="15" priority="35">
      <formula>$A2&lt;&gt;""</formula>
    </cfRule>
  </conditionalFormatting>
  <conditionalFormatting sqref="E2:E2999">
    <cfRule type="expression" dxfId="14" priority="21" stopIfTrue="1">
      <formula>AND(OR($A2&lt;&gt;"",COUNTA($C2:$F2)&gt;0,$P2="Sí"),TRIM($E2&amp;"")="",OR($A2&lt;&gt;"",$P2&lt;&gt;"Sí"))</formula>
    </cfRule>
    <cfRule type="expression" dxfId="13" priority="27" stopIfTrue="1">
      <formula>AND(LEN(TRIM(E2&amp;""))&gt;0,COUNTIF($E$2:$E$2999,SUBSTITUTE(SUBSTITUTE(SUBSTITUTE(E2,"~","~~"),"*","~*"),"?","~?"))&gt;1)</formula>
    </cfRule>
    <cfRule type="expression" dxfId="12" priority="28" stopIfTrue="1">
      <formula>IFERROR(AND(LEN(TRIM(E2&amp;""))=0,ISNUMBER(G2),G2&gt;18),FALSE)</formula>
    </cfRule>
  </conditionalFormatting>
  <conditionalFormatting sqref="F2:F2999">
    <cfRule type="expression" dxfId="11" priority="20" stopIfTrue="1">
      <formula>AND(OR($A2&lt;&gt;"",COUNTA($C2:$F2)&gt;0,$P2="Sí"),$F2="",OR($A2&lt;&gt;"",$P2&lt;&gt;"Sí"))</formula>
    </cfRule>
    <cfRule type="expression" dxfId="10" priority="29" stopIfTrue="1">
      <formula>AND(F2&lt;&gt;"",NOT(IFERROR(AND(ISNUMBER(F2),F2=INT(F2),F2&gt;=DATE(1900,1,1),F2&lt;=TODAY()),FALSE)))</formula>
    </cfRule>
  </conditionalFormatting>
  <conditionalFormatting sqref="H2:H2999">
    <cfRule type="expression" dxfId="9" priority="19" stopIfTrue="1">
      <formula>AND($A2&lt;&gt;"",$H2="")</formula>
    </cfRule>
  </conditionalFormatting>
  <conditionalFormatting sqref="I2:I2999">
    <cfRule type="expression" dxfId="8" priority="18" stopIfTrue="1">
      <formula>AND($A2&lt;&gt;"",$M2&lt;&gt;"No",$I2="")</formula>
    </cfRule>
  </conditionalFormatting>
  <conditionalFormatting sqref="J2:J2999">
    <cfRule type="cellIs" dxfId="6" priority="33" operator="lessThan">
      <formula>0</formula>
    </cfRule>
    <cfRule type="cellIs" dxfId="5" priority="34" operator="greaterThan">
      <formula>0</formula>
    </cfRule>
  </conditionalFormatting>
  <conditionalFormatting sqref="L2:L2999">
    <cfRule type="expression" dxfId="4" priority="3" stopIfTrue="1">
      <formula>AND($J2&lt;0,L2="")</formula>
    </cfRule>
    <cfRule type="expression" dxfId="3" priority="26" stopIfTrue="1">
      <formula>AND(L2&lt;&gt;"",INDEX(CitasInvalidas,ROW())=1)</formula>
    </cfRule>
  </conditionalFormatting>
  <conditionalFormatting sqref="M2:M2999">
    <cfRule type="expression" dxfId="1" priority="23" stopIfTrue="1">
      <formula>AND(M2&lt;&gt;"",OR(AND(M2&lt;&gt;"Sí",M2&lt;&gt;"No"),AND(M2="Sí",$A2="")))</formula>
    </cfRule>
  </conditionalFormatting>
  <conditionalFormatting sqref="N2:N2999">
    <cfRule type="expression" dxfId="0" priority="25" stopIfTrue="1">
      <formula>AND(N2&lt;&gt;"",IFERROR(INDEX($M:$M,LOOKUP(2,1/($A$2:$A2&lt;&gt;""),ROW($A$2:$A2)))="Sí",FALSE))</formula>
    </cfRule>
  </conditionalFormatting>
  <dataValidations count="6">
    <dataValidation type="custom" allowBlank="1" showErrorMessage="1" errorTitle="Fecha incorrecta" error="Nacimiento: desde 01/01/1900 hasta hoy. Revisa el año y escribe una fecha real." promptTitle="Fecha en formato dd/mm/aaaa" prompt="Nacimiento: desde 01/01/1900 hasta hoy." sqref="F2:F2999" xr:uid="{00000000-0002-0000-0000-000000000000}">
      <formula1>OR(F2="",IFERROR(AND(ISNUMBER(F2),F2=INT(F2),F2&gt;=DATE(1900,1,1),F2&lt;=TODAY()),FALSE))</formula1>
    </dataValidation>
    <dataValidation type="custom" allowBlank="1" showErrorMessage="1" errorTitle="Fecha incorrecta" error="Derivación: Revisar y escribir una fecha correcta." promptTitle="Fecha en formato dd/mm/aaaa" prompt="Derivación: desde hace 3 años hasta hoy." sqref="H2:H2999" xr:uid="{00000000-0002-0000-0000-000001000000}">
      <formula1>OR(H2="",IFERROR(AND(ISNUMBER(H2),H2=INT(H2),H2&gt;=EDATE(TODAY(),-36),H2&lt;=TODAY()),FALSE))</formula1>
    </dataValidation>
    <dataValidation type="custom" allowBlank="1" showErrorMessage="1" errorTitle="Próxima cita no válida" error="La cita debe ser de hoy o futura. Puede ser anterior al vencimiento y como máximo 90 días después de la vigencia." sqref="L2:L2999" xr:uid="{00000000-0002-0000-0000-000003000000}">
      <formula1>OR(L2="",IFERROR(AND(ISNUMBER(L2),L2=INT(L2),ISNUMBER(INDEX(VigenciasFamilia,ROW())),INDEX(VigenciasFamilia,ROW())&gt;0,L2&gt;=TODAY(),L2&lt;=INDEX(VigenciasFamilia,ROW())+90),FALSE))</formula1>
    </dataValidation>
    <dataValidation type="custom" allowBlank="1" showInputMessage="1" showErrorMessage="1" errorTitle="Error de fecha" error="Vigencia: Escribir una fecha correcta." sqref="I3 I6:I17 I19:I2999" xr:uid="{3FD10C03-79A3-42CD-928B-722843510AE4}">
      <formula1>OR(I3="",IFERROR(AND(ISNUMBER(I3),I3=INT(I3),I3&gt;=EDATE(TODAY(),-12),I3&lt;=EDATE(TODAY(),48)),FALSE))</formula1>
    </dataValidation>
    <dataValidation type="custom" allowBlank="1" showErrorMessage="1" errorTitle="Fecha incorrecta" error="Derivación: Revisar y escribir una fecha correcta." promptTitle="Fecha en formato dd/mm/aaaa" prompt="Derivación: desde hace 3 años hasta hoy." sqref="I2 I4:I5 I18" xr:uid="{4FC1A2C8-F367-40FB-B171-241BB62E3830}">
      <formula1>OR(I2="",IFERROR(AND(ISNUMBER(I2),I2=INT(I2),I2&gt;=EDATE(TODAY(),-12),I2&lt;=EDATE(TODAY(),48)),FALSE))</formula1>
    </dataValidation>
    <dataValidation type="list" allowBlank="1" showErrorMessage="1" errorTitle="Origen de la derivación" error="Selecciona Sí o No. El vacío equivale a Sí." sqref="M2:M2999" xr:uid="{00000000-0002-0000-0000-000004000000}">
      <formula1>"Sí,No"</formula1>
    </dataValidation>
  </dataValidations>
  <pageMargins left="0.7" right="0.7" top="1.14375" bottom="1.143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99"/>
  <sheetViews>
    <sheetView zoomScale="85" zoomScaleNormal="85" workbookViewId="0">
      <selection activeCell="G12" sqref="G12"/>
    </sheetView>
  </sheetViews>
  <sheetFormatPr baseColWidth="10" defaultColWidth="10.28515625" defaultRowHeight="12.75"/>
  <cols>
    <col min="1" max="2" width="21.5703125" style="12" customWidth="1"/>
    <col min="3" max="3" width="28.7109375" style="12" customWidth="1"/>
    <col min="4" max="4" width="27" style="12" customWidth="1"/>
    <col min="5" max="5" width="22.42578125" style="12" customWidth="1"/>
    <col min="6" max="6" width="21.42578125" style="12" customWidth="1"/>
    <col min="7" max="7" width="28.7109375" style="12" customWidth="1"/>
    <col min="8" max="8" width="14.42578125" style="12" customWidth="1"/>
    <col min="9" max="13" width="10.28515625" style="12"/>
    <col min="14" max="24" width="12" hidden="1" customWidth="1"/>
  </cols>
  <sheetData>
    <row r="1" spans="2:24" ht="12.75" customHeight="1"/>
    <row r="2" spans="2:24" ht="22.5" customHeight="1">
      <c r="B2" s="87" t="s">
        <v>38</v>
      </c>
      <c r="C2" s="87"/>
      <c r="D2" s="87"/>
      <c r="E2" s="87"/>
      <c r="F2" s="87"/>
      <c r="G2" s="87"/>
      <c r="N2" s="17" t="str">
        <f>IF(V2=0,"",IFERROR(LOOKUP(2,1/(INDEX(Listado!A:A,2):INDEX(Listado!A:A,ROW())&lt;&gt;""),ROW(INDEX(Listado!A:A,2):INDEX(Listado!A:A,ROW()))),""))</f>
        <v/>
      </c>
      <c r="O2" s="17" t="str">
        <f>IFERROR(IF(N2="","",IF(INDEX(Listado!M:M,N2)="No",IF(INDEX(Listado!N:N,N2)=0,"",INDEX(Listado!N:N,N2)),IF(INDEX(Listado!I:I,N2)=0,"",INDEX(Listado!I:I,N2)))),"")</f>
        <v/>
      </c>
      <c r="P2" s="17">
        <f t="shared" ref="P2:P65" ca="1" si="0">IF(W2="",0,IFERROR(IF(AND(ISNUMBER(W2),W2=INT(W2),ISNUMBER(O2),O2&gt;0,W2&gt;=TODAY(),W2&lt;=O2+90),0,1),1))</f>
        <v/>
      </c>
      <c r="Q2" s="17">
        <f>IFERROR(IF(AND(N2&lt;&gt;"",ISNUMBER(O2),O2&gt;0,O2&gt;=TODAY()-90),1,0),0)</f>
        <v/>
      </c>
      <c r="R2" s="17" t="str">
        <f t="shared" ref="R2:R65" si="2">IF(S2="","",COUNTIFS($N$2:$N$2999,ROW(),$Q$2:$Q$2999,1))</f>
        <v/>
      </c>
      <c r="S2" s="17" t="str">
        <f>IF(INDEX(Listado!A:A,ROW())="","",INDEX(Listado!A:A,ROW()))</f>
        <v/>
      </c>
      <c r="T2" s="17" t="str">
        <f ca="1">IF(INDEX(Listado!G:G,ROW())="","",INDEX(Listado!G:G,ROW()))</f>
        <v/>
      </c>
      <c r="U2" s="17" t="str">
        <f>IF(INDEX(Listado!F:F,ROW())="","",INDEX(Listado!F:F,ROW()))</f>
        <v/>
      </c>
      <c r="V2" s="17">
        <f>IF(COUNTA(INDEX(Listado!B:B,ROW()):INDEX(Listado!F:F,ROW()))&gt;0,1,0)</f>
        <v/>
      </c>
      <c r="W2" s="17" t="str">
        <f>IF(INDEX(Listado!L:L,ROW())="","",INDEX(Listado!L:L,ROW()))</f>
        <v/>
      </c>
      <c r="X2" s="17">
        <f>IF(N2="","",IF(INDEX(Listado!$M:$M,N2)="No","No","Sí"))</f>
        <v/>
      </c>
    </row>
    <row r="3" spans="2:24" ht="18">
      <c r="B3" s="88" t="s">
        <v>39</v>
      </c>
      <c r="C3" s="88"/>
      <c r="D3" s="88" t="s">
        <v>40</v>
      </c>
      <c r="E3" s="88"/>
      <c r="F3" s="1" t="s">
        <v>41</v>
      </c>
      <c r="G3" s="1" t="s">
        <v>42</v>
      </c>
      <c r="H3" s="69"/>
      <c r="N3" s="17" t="str">
        <f>IF(V3=0,"",IFERROR(LOOKUP(2,1/(INDEX(Listado!A:A,2):INDEX(Listado!A:A,ROW())&lt;&gt;""),ROW(INDEX(Listado!A:A,2):INDEX(Listado!A:A,ROW()))),""))</f>
        <v/>
      </c>
      <c r="O3" s="17" t="str">
        <f>IFERROR(IF(N3="","",IF(INDEX(Listado!M:M,N3)="No",IF(INDEX(Listado!N:N,N3)=0,"",INDEX(Listado!N:N,N3)),IF(INDEX(Listado!I:I,N3)=0,"",INDEX(Listado!I:I,N3)))),"")</f>
        <v/>
      </c>
      <c r="P3" s="17">
        <f t="shared" ca="1" si="0"/>
        <v/>
      </c>
      <c r="Q3" s="17">
        <f>IFERROR(IF(AND(N3&lt;&gt;"",ISNUMBER(O3),O3&gt;0,O3&gt;=TODAY()-90),1,0),0)</f>
        <v/>
      </c>
      <c r="R3" s="17" t="str">
        <f t="shared" si="2"/>
        <v/>
      </c>
      <c r="S3" s="17" t="str">
        <f>IF(INDEX(Listado!A:A,ROW())="","",INDEX(Listado!A:A,ROW()))</f>
        <v/>
      </c>
      <c r="T3" s="17" t="str">
        <f ca="1">IF(INDEX(Listado!G:G,ROW())="","",INDEX(Listado!G:G,ROW()))</f>
        <v/>
      </c>
      <c r="U3" s="17" t="str">
        <f>IF(INDEX(Listado!F:F,ROW())="","",INDEX(Listado!F:F,ROW()))</f>
        <v/>
      </c>
      <c r="V3" s="17">
        <f>IF(COUNTA(INDEX(Listado!B:B,ROW()):INDEX(Listado!F:F,ROW()))&gt;0,1,0)</f>
        <v/>
      </c>
      <c r="W3" s="17" t="str">
        <f>IF(INDEX(Listado!L:L,ROW())="","",INDEX(Listado!L:L,ROW()))</f>
        <v/>
      </c>
      <c r="X3" s="17">
        <f>IF(N3="","",IF(INDEX(Listado!$M:$M,N3)="No","No","Sí"))</f>
        <v/>
      </c>
    </row>
    <row r="4" spans="2:24" ht="18">
      <c r="B4" s="70">
        <v>1</v>
      </c>
      <c r="C4" s="71">
        <f t="shared" ref="C4:C13" si="3">COUNTIFS($S$2:$S$2999,"&lt;&gt;",$R$2:$R$2999,B4)</f>
        <v/>
      </c>
      <c r="D4" s="1" t="s">
        <v>43</v>
      </c>
      <c r="E4" s="71">
        <f ca="1">COUNTIFS($Q$2:$Q$2999,1,$T$2:$T$2999,"&gt;=0",$T$2:$T$2999,"&lt;=2",$U$2:$U$2999,"&gt;0")</f>
        <v/>
      </c>
      <c r="F4" s="72">
        <f>COUNTIFS($S$2:$S$2999,"&lt;&gt;",$R$2:$R$2999,"&gt;0")</f>
        <v/>
      </c>
      <c r="G4" s="72">
        <f ca="1">SUM($Q$2:$Q$2999)</f>
        <v/>
      </c>
      <c r="H4" s="69"/>
      <c r="N4" s="17" t="str">
        <f>IF(V4=0,"",IFERROR(LOOKUP(2,1/(INDEX(Listado!A:A,2):INDEX(Listado!A:A,ROW())&lt;&gt;""),ROW(INDEX(Listado!A:A,2):INDEX(Listado!A:A,ROW()))),""))</f>
        <v/>
      </c>
      <c r="O4" s="17" t="str">
        <f>IFERROR(IF(N4="","",IF(INDEX(Listado!M:M,N4)="No",IF(INDEX(Listado!N:N,N4)=0,"",INDEX(Listado!N:N,N4)),IF(INDEX(Listado!I:I,N4)=0,"",INDEX(Listado!I:I,N4)))),"")</f>
        <v/>
      </c>
      <c r="P4" s="17">
        <f t="shared" ca="1" si="0"/>
        <v/>
      </c>
      <c r="Q4" s="17">
        <f>IFERROR(IF(AND(N4&lt;&gt;"",ISNUMBER(O4),O4&gt;0,O4&gt;=TODAY()-90),1,0),0)</f>
        <v/>
      </c>
      <c r="R4" s="17" t="str">
        <f t="shared" si="2"/>
        <v/>
      </c>
      <c r="S4" s="17" t="str">
        <f>IF(INDEX(Listado!A:A,ROW())="","",INDEX(Listado!A:A,ROW()))</f>
        <v/>
      </c>
      <c r="T4" s="17" t="str">
        <f ca="1">IF(INDEX(Listado!G:G,ROW())="","",INDEX(Listado!G:G,ROW()))</f>
        <v/>
      </c>
      <c r="U4" s="17" t="str">
        <f>IF(INDEX(Listado!F:F,ROW())="","",INDEX(Listado!F:F,ROW()))</f>
        <v/>
      </c>
      <c r="V4" s="17">
        <f>IF(COUNTA(INDEX(Listado!B:B,ROW()):INDEX(Listado!F:F,ROW()))&gt;0,1,0)</f>
        <v/>
      </c>
      <c r="W4" s="17" t="str">
        <f>IF(INDEX(Listado!L:L,ROW())="","",INDEX(Listado!L:L,ROW()))</f>
        <v/>
      </c>
      <c r="X4" s="17">
        <f>IF(N4="","",IF(INDEX(Listado!$M:$M,N4)="No","No","Sí"))</f>
        <v/>
      </c>
    </row>
    <row r="5" spans="2:24" ht="18">
      <c r="B5" s="70">
        <v>2</v>
      </c>
      <c r="C5" s="71">
        <f t="shared" si="3"/>
        <v/>
      </c>
      <c r="D5" s="73" t="s">
        <v>44</v>
      </c>
      <c r="E5" s="71">
        <f ca="1">COUNTIFS($Q$2:$Q$2999,1,$T$2:$T$2999,"&gt;=3",$T$2:$T$2999,"&lt;=18",$U$2:$U$2999,"&gt;0")</f>
        <v/>
      </c>
      <c r="F5" s="74"/>
      <c r="G5" s="75"/>
      <c r="N5" s="17" t="str">
        <f>IF(V5=0,"",IFERROR(LOOKUP(2,1/(INDEX(Listado!A:A,2):INDEX(Listado!A:A,ROW())&lt;&gt;""),ROW(INDEX(Listado!A:A,2):INDEX(Listado!A:A,ROW()))),""))</f>
        <v/>
      </c>
      <c r="O5" s="17" t="str">
        <f>IFERROR(IF(N5="","",IF(INDEX(Listado!M:M,N5)="No",IF(INDEX(Listado!N:N,N5)=0,"",INDEX(Listado!N:N,N5)),IF(INDEX(Listado!I:I,N5)=0,"",INDEX(Listado!I:I,N5)))),"")</f>
        <v/>
      </c>
      <c r="P5" s="17">
        <f t="shared" ca="1" si="0"/>
        <v/>
      </c>
      <c r="Q5" s="17">
        <f>IFERROR(IF(AND(N5&lt;&gt;"",ISNUMBER(O5),O5&gt;0,O5&gt;=TODAY()-90),1,0),0)</f>
        <v/>
      </c>
      <c r="R5" s="17" t="str">
        <f t="shared" si="2"/>
        <v/>
      </c>
      <c r="S5" s="17" t="str">
        <f>IF(INDEX(Listado!A:A,ROW())="","",INDEX(Listado!A:A,ROW()))</f>
        <v/>
      </c>
      <c r="T5" s="17" t="str">
        <f ca="1">IF(INDEX(Listado!G:G,ROW())="","",INDEX(Listado!G:G,ROW()))</f>
        <v/>
      </c>
      <c r="U5" s="17" t="str">
        <f>IF(INDEX(Listado!F:F,ROW())="","",INDEX(Listado!F:F,ROW()))</f>
        <v/>
      </c>
      <c r="V5" s="17">
        <f>IF(COUNTA(INDEX(Listado!B:B,ROW()):INDEX(Listado!F:F,ROW()))&gt;0,1,0)</f>
        <v/>
      </c>
      <c r="W5" s="17" t="str">
        <f>IF(INDEX(Listado!L:L,ROW())="","",INDEX(Listado!L:L,ROW()))</f>
        <v/>
      </c>
      <c r="X5" s="17">
        <f>IF(N5="","",IF(INDEX(Listado!$M:$M,N5)="No","No","Sí"))</f>
        <v/>
      </c>
    </row>
    <row r="6" spans="2:24" ht="18">
      <c r="B6" s="70">
        <v>3</v>
      </c>
      <c r="C6" s="71">
        <f t="shared" si="3"/>
        <v/>
      </c>
      <c r="D6" s="1" t="s">
        <v>45</v>
      </c>
      <c r="E6" s="71">
        <f ca="1">COUNTIFS($Q$2:$Q$2999,1,$T$2:$T$2999,"&gt;=19",$T$2:$T$2999,"&lt;=100",$U$2:$U$2999,"&gt;0")</f>
        <v/>
      </c>
      <c r="F6" s="69"/>
      <c r="N6" s="17" t="str">
        <f>IF(V6=0,"",IFERROR(LOOKUP(2,1/(INDEX(Listado!A:A,2):INDEX(Listado!A:A,ROW())&lt;&gt;""),ROW(INDEX(Listado!A:A,2):INDEX(Listado!A:A,ROW()))),""))</f>
        <v/>
      </c>
      <c r="O6" s="17" t="str">
        <f>IFERROR(IF(N6="","",IF(INDEX(Listado!M:M,N6)="No",IF(INDEX(Listado!N:N,N6)=0,"",INDEX(Listado!N:N,N6)),IF(INDEX(Listado!I:I,N6)=0,"",INDEX(Listado!I:I,N6)))),"")</f>
        <v/>
      </c>
      <c r="P6" s="17">
        <f t="shared" ca="1" si="0"/>
        <v/>
      </c>
      <c r="Q6" s="17">
        <f>IFERROR(IF(AND(N6&lt;&gt;"",ISNUMBER(O6),O6&gt;0,O6&gt;=TODAY()-90),1,0),0)</f>
        <v/>
      </c>
      <c r="R6" s="17" t="str">
        <f t="shared" si="2"/>
        <v/>
      </c>
      <c r="S6" s="17" t="str">
        <f>IF(INDEX(Listado!A:A,ROW())="","",INDEX(Listado!A:A,ROW()))</f>
        <v/>
      </c>
      <c r="T6" s="17" t="str">
        <f ca="1">IF(INDEX(Listado!G:G,ROW())="","",INDEX(Listado!G:G,ROW()))</f>
        <v/>
      </c>
      <c r="U6" s="17" t="str">
        <f>IF(INDEX(Listado!F:F,ROW())="","",INDEX(Listado!F:F,ROW()))</f>
        <v/>
      </c>
      <c r="V6" s="17">
        <f>IF(COUNTA(INDEX(Listado!B:B,ROW()):INDEX(Listado!F:F,ROW()))&gt;0,1,0)</f>
        <v/>
      </c>
      <c r="W6" s="17" t="str">
        <f>IF(INDEX(Listado!L:L,ROW())="","",INDEX(Listado!L:L,ROW()))</f>
        <v/>
      </c>
      <c r="X6" s="17">
        <f>IF(N6="","",IF(INDEX(Listado!$M:$M,N6)="No","No","Sí"))</f>
        <v/>
      </c>
    </row>
    <row r="7" spans="2:24" ht="18">
      <c r="B7" s="70">
        <v>4</v>
      </c>
      <c r="C7" s="71">
        <f t="shared" si="3"/>
        <v/>
      </c>
      <c r="D7" s="69"/>
      <c r="F7" s="29"/>
      <c r="G7" s="29"/>
      <c r="N7" s="17" t="str">
        <f>IF(V7=0,"",IFERROR(LOOKUP(2,1/(INDEX(Listado!A:A,2):INDEX(Listado!A:A,ROW())&lt;&gt;""),ROW(INDEX(Listado!A:A,2):INDEX(Listado!A:A,ROW()))),""))</f>
        <v/>
      </c>
      <c r="O7" s="17" t="str">
        <f>IFERROR(IF(N7="","",IF(INDEX(Listado!M:M,N7)="No",IF(INDEX(Listado!N:N,N7)=0,"",INDEX(Listado!N:N,N7)),IF(INDEX(Listado!I:I,N7)=0,"",INDEX(Listado!I:I,N7)))),"")</f>
        <v/>
      </c>
      <c r="P7" s="17">
        <f t="shared" ca="1" si="0"/>
        <v/>
      </c>
      <c r="Q7" s="17">
        <f>IFERROR(IF(AND(N7&lt;&gt;"",ISNUMBER(O7),O7&gt;0,O7&gt;=TODAY()-90),1,0),0)</f>
        <v/>
      </c>
      <c r="R7" s="17" t="str">
        <f t="shared" si="2"/>
        <v/>
      </c>
      <c r="S7" s="17" t="str">
        <f>IF(INDEX(Listado!A:A,ROW())="","",INDEX(Listado!A:A,ROW()))</f>
        <v/>
      </c>
      <c r="T7" s="17" t="str">
        <f ca="1">IF(INDEX(Listado!G:G,ROW())="","",INDEX(Listado!G:G,ROW()))</f>
        <v/>
      </c>
      <c r="U7" s="17" t="str">
        <f>IF(INDEX(Listado!F:F,ROW())="","",INDEX(Listado!F:F,ROW()))</f>
        <v/>
      </c>
      <c r="V7" s="17">
        <f>IF(COUNTA(INDEX(Listado!B:B,ROW()):INDEX(Listado!F:F,ROW()))&gt;0,1,0)</f>
        <v/>
      </c>
      <c r="W7" s="17" t="str">
        <f>IF(INDEX(Listado!L:L,ROW())="","",INDEX(Listado!L:L,ROW()))</f>
        <v/>
      </c>
      <c r="X7" s="17">
        <f>IF(N7="","",IF(INDEX(Listado!$M:$M,N7)="No","No","Sí"))</f>
        <v/>
      </c>
    </row>
    <row r="8" spans="2:24" ht="18">
      <c r="B8" s="70">
        <v>5</v>
      </c>
      <c r="C8" s="71">
        <f t="shared" si="3"/>
        <v/>
      </c>
      <c r="D8" s="69"/>
      <c r="F8" s="29"/>
      <c r="G8" s="29"/>
      <c r="N8" s="17" t="str">
        <f>IF(V8=0,"",IFERROR(LOOKUP(2,1/(INDEX(Listado!A:A,2):INDEX(Listado!A:A,ROW())&lt;&gt;""),ROW(INDEX(Listado!A:A,2):INDEX(Listado!A:A,ROW()))),""))</f>
        <v/>
      </c>
      <c r="O8" s="17" t="str">
        <f>IFERROR(IF(N8="","",IF(INDEX(Listado!M:M,N8)="No",IF(INDEX(Listado!N:N,N8)=0,"",INDEX(Listado!N:N,N8)),IF(INDEX(Listado!I:I,N8)=0,"",INDEX(Listado!I:I,N8)))),"")</f>
        <v/>
      </c>
      <c r="P8" s="17">
        <f t="shared" ca="1" si="0"/>
        <v/>
      </c>
      <c r="Q8" s="17">
        <f>IFERROR(IF(AND(N8&lt;&gt;"",ISNUMBER(O8),O8&gt;0,O8&gt;=TODAY()-90),1,0),0)</f>
        <v/>
      </c>
      <c r="R8" s="17" t="str">
        <f t="shared" si="2"/>
        <v/>
      </c>
      <c r="S8" s="17" t="str">
        <f>IF(INDEX(Listado!A:A,ROW())="","",INDEX(Listado!A:A,ROW()))</f>
        <v/>
      </c>
      <c r="T8" s="17" t="str">
        <f ca="1">IF(INDEX(Listado!G:G,ROW())="","",INDEX(Listado!G:G,ROW()))</f>
        <v/>
      </c>
      <c r="U8" s="17" t="str">
        <f>IF(INDEX(Listado!F:F,ROW())="","",INDEX(Listado!F:F,ROW()))</f>
        <v/>
      </c>
      <c r="V8" s="17">
        <f>IF(COUNTA(INDEX(Listado!B:B,ROW()):INDEX(Listado!F:F,ROW()))&gt;0,1,0)</f>
        <v/>
      </c>
      <c r="W8" s="17" t="str">
        <f>IF(INDEX(Listado!L:L,ROW())="","",INDEX(Listado!L:L,ROW()))</f>
        <v/>
      </c>
      <c r="X8" s="17">
        <f>IF(N8="","",IF(INDEX(Listado!$M:$M,N8)="No","No","Sí"))</f>
        <v/>
      </c>
    </row>
    <row r="9" spans="2:24" ht="18">
      <c r="B9" s="70">
        <v>6</v>
      </c>
      <c r="C9" s="71">
        <f t="shared" si="3"/>
        <v/>
      </c>
      <c r="D9" s="69"/>
      <c r="F9" s="29"/>
      <c r="G9" s="29"/>
      <c r="N9" s="17" t="str">
        <f>IF(V9=0,"",IFERROR(LOOKUP(2,1/(INDEX(Listado!A:A,2):INDEX(Listado!A:A,ROW())&lt;&gt;""),ROW(INDEX(Listado!A:A,2):INDEX(Listado!A:A,ROW()))),""))</f>
        <v/>
      </c>
      <c r="O9" s="17" t="str">
        <f>IFERROR(IF(N9="","",IF(INDEX(Listado!M:M,N9)="No",IF(INDEX(Listado!N:N,N9)=0,"",INDEX(Listado!N:N,N9)),IF(INDEX(Listado!I:I,N9)=0,"",INDEX(Listado!I:I,N9)))),"")</f>
        <v/>
      </c>
      <c r="P9" s="17">
        <f t="shared" ca="1" si="0"/>
        <v/>
      </c>
      <c r="Q9" s="17">
        <f>IFERROR(IF(AND(N9&lt;&gt;"",ISNUMBER(O9),O9&gt;0,O9&gt;=TODAY()-90),1,0),0)</f>
        <v/>
      </c>
      <c r="R9" s="17" t="str">
        <f t="shared" si="2"/>
        <v/>
      </c>
      <c r="S9" s="17" t="str">
        <f>IF(INDEX(Listado!A:A,ROW())="","",INDEX(Listado!A:A,ROW()))</f>
        <v/>
      </c>
      <c r="T9" s="17" t="str">
        <f ca="1">IF(INDEX(Listado!G:G,ROW())="","",INDEX(Listado!G:G,ROW()))</f>
        <v/>
      </c>
      <c r="U9" s="17" t="str">
        <f>IF(INDEX(Listado!F:F,ROW())="","",INDEX(Listado!F:F,ROW()))</f>
        <v/>
      </c>
      <c r="V9" s="17">
        <f>IF(COUNTA(INDEX(Listado!B:B,ROW()):INDEX(Listado!F:F,ROW()))&gt;0,1,0)</f>
        <v/>
      </c>
      <c r="W9" s="17" t="str">
        <f>IF(INDEX(Listado!L:L,ROW())="","",INDEX(Listado!L:L,ROW()))</f>
        <v/>
      </c>
      <c r="X9" s="17">
        <f>IF(N9="","",IF(INDEX(Listado!$M:$M,N9)="No","No","Sí"))</f>
        <v/>
      </c>
    </row>
    <row r="10" spans="2:24" ht="18">
      <c r="B10" s="70">
        <v>7</v>
      </c>
      <c r="C10" s="71">
        <f t="shared" si="3"/>
        <v/>
      </c>
      <c r="D10" s="69"/>
      <c r="F10" s="29"/>
      <c r="G10" s="29"/>
      <c r="N10" s="17" t="str">
        <f>IF(V10=0,"",IFERROR(LOOKUP(2,1/(INDEX(Listado!A:A,2):INDEX(Listado!A:A,ROW())&lt;&gt;""),ROW(INDEX(Listado!A:A,2):INDEX(Listado!A:A,ROW()))),""))</f>
        <v/>
      </c>
      <c r="O10" s="17" t="str">
        <f>IFERROR(IF(N10="","",IF(INDEX(Listado!M:M,N10)="No",IF(INDEX(Listado!N:N,N10)=0,"",INDEX(Listado!N:N,N10)),IF(INDEX(Listado!I:I,N10)=0,"",INDEX(Listado!I:I,N10)))),"")</f>
        <v/>
      </c>
      <c r="P10" s="17">
        <f t="shared" ca="1" si="0"/>
        <v/>
      </c>
      <c r="Q10" s="17">
        <f>IFERROR(IF(AND(N10&lt;&gt;"",ISNUMBER(O10),O10&gt;0,O10&gt;=TODAY()-90),1,0),0)</f>
        <v/>
      </c>
      <c r="R10" s="17" t="str">
        <f t="shared" si="2"/>
        <v/>
      </c>
      <c r="S10" s="17" t="str">
        <f>IF(INDEX(Listado!A:A,ROW())="","",INDEX(Listado!A:A,ROW()))</f>
        <v/>
      </c>
      <c r="T10" s="17" t="str">
        <f ca="1">IF(INDEX(Listado!G:G,ROW())="","",INDEX(Listado!G:G,ROW()))</f>
        <v/>
      </c>
      <c r="U10" s="17" t="str">
        <f>IF(INDEX(Listado!F:F,ROW())="","",INDEX(Listado!F:F,ROW()))</f>
        <v/>
      </c>
      <c r="V10" s="17">
        <f>IF(COUNTA(INDEX(Listado!B:B,ROW()):INDEX(Listado!F:F,ROW()))&gt;0,1,0)</f>
        <v/>
      </c>
      <c r="W10" s="17" t="str">
        <f>IF(INDEX(Listado!L:L,ROW())="","",INDEX(Listado!L:L,ROW()))</f>
        <v/>
      </c>
      <c r="X10" s="17">
        <f>IF(N10="","",IF(INDEX(Listado!$M:$M,N10)="No","No","Sí"))</f>
        <v/>
      </c>
    </row>
    <row r="11" spans="2:24" ht="18">
      <c r="B11" s="70">
        <v>8</v>
      </c>
      <c r="C11" s="71">
        <f t="shared" si="3"/>
        <v/>
      </c>
      <c r="D11" s="69"/>
      <c r="F11" s="29"/>
      <c r="G11" s="29"/>
      <c r="N11" s="17" t="str">
        <f>IF(V11=0,"",IFERROR(LOOKUP(2,1/(INDEX(Listado!A:A,2):INDEX(Listado!A:A,ROW())&lt;&gt;""),ROW(INDEX(Listado!A:A,2):INDEX(Listado!A:A,ROW()))),""))</f>
        <v/>
      </c>
      <c r="O11" s="17" t="str">
        <f>IFERROR(IF(N11="","",IF(INDEX(Listado!M:M,N11)="No",IF(INDEX(Listado!N:N,N11)=0,"",INDEX(Listado!N:N,N11)),IF(INDEX(Listado!I:I,N11)=0,"",INDEX(Listado!I:I,N11)))),"")</f>
        <v/>
      </c>
      <c r="P11" s="17">
        <f t="shared" ca="1" si="0"/>
        <v/>
      </c>
      <c r="Q11" s="17">
        <f>IFERROR(IF(AND(N11&lt;&gt;"",ISNUMBER(O11),O11&gt;0,O11&gt;=TODAY()-90),1,0),0)</f>
        <v/>
      </c>
      <c r="R11" s="17" t="str">
        <f t="shared" si="2"/>
        <v/>
      </c>
      <c r="S11" s="17" t="str">
        <f>IF(INDEX(Listado!A:A,ROW())="","",INDEX(Listado!A:A,ROW()))</f>
        <v/>
      </c>
      <c r="T11" s="17" t="str">
        <f ca="1">IF(INDEX(Listado!G:G,ROW())="","",INDEX(Listado!G:G,ROW()))</f>
        <v/>
      </c>
      <c r="U11" s="17" t="str">
        <f>IF(INDEX(Listado!F:F,ROW())="","",INDEX(Listado!F:F,ROW()))</f>
        <v/>
      </c>
      <c r="V11" s="17">
        <f>IF(COUNTA(INDEX(Listado!B:B,ROW()):INDEX(Listado!F:F,ROW()))&gt;0,1,0)</f>
        <v/>
      </c>
      <c r="W11" s="17" t="str">
        <f>IF(INDEX(Listado!L:L,ROW())="","",INDEX(Listado!L:L,ROW()))</f>
        <v/>
      </c>
      <c r="X11" s="17">
        <f>IF(N11="","",IF(INDEX(Listado!$M:$M,N11)="No","No","Sí"))</f>
        <v/>
      </c>
    </row>
    <row r="12" spans="2:24" ht="18">
      <c r="B12" s="70">
        <v>9</v>
      </c>
      <c r="C12" s="71">
        <f t="shared" si="3"/>
        <v/>
      </c>
      <c r="D12" s="69"/>
      <c r="F12" s="29"/>
      <c r="G12" s="29"/>
      <c r="N12" s="17" t="str">
        <f>IF(V12=0,"",IFERROR(LOOKUP(2,1/(INDEX(Listado!A:A,2):INDEX(Listado!A:A,ROW())&lt;&gt;""),ROW(INDEX(Listado!A:A,2):INDEX(Listado!A:A,ROW()))),""))</f>
        <v/>
      </c>
      <c r="O12" s="17" t="str">
        <f>IFERROR(IF(N12="","",IF(INDEX(Listado!M:M,N12)="No",IF(INDEX(Listado!N:N,N12)=0,"",INDEX(Listado!N:N,N12)),IF(INDEX(Listado!I:I,N12)=0,"",INDEX(Listado!I:I,N12)))),"")</f>
        <v/>
      </c>
      <c r="P12" s="17">
        <f t="shared" ca="1" si="0"/>
        <v/>
      </c>
      <c r="Q12" s="17">
        <f>IFERROR(IF(AND(N12&lt;&gt;"",ISNUMBER(O12),O12&gt;0,O12&gt;=TODAY()-90),1,0),0)</f>
        <v/>
      </c>
      <c r="R12" s="17" t="str">
        <f t="shared" si="2"/>
        <v/>
      </c>
      <c r="S12" s="17" t="str">
        <f>IF(INDEX(Listado!A:A,ROW())="","",INDEX(Listado!A:A,ROW()))</f>
        <v/>
      </c>
      <c r="T12" s="17" t="str">
        <f ca="1">IF(INDEX(Listado!G:G,ROW())="","",INDEX(Listado!G:G,ROW()))</f>
        <v/>
      </c>
      <c r="U12" s="17" t="str">
        <f>IF(INDEX(Listado!F:F,ROW())="","",INDEX(Listado!F:F,ROW()))</f>
        <v/>
      </c>
      <c r="V12" s="17">
        <f>IF(COUNTA(INDEX(Listado!B:B,ROW()):INDEX(Listado!F:F,ROW()))&gt;0,1,0)</f>
        <v/>
      </c>
      <c r="W12" s="17" t="str">
        <f>IF(INDEX(Listado!L:L,ROW())="","",INDEX(Listado!L:L,ROW()))</f>
        <v/>
      </c>
      <c r="X12" s="17">
        <f>IF(N12="","",IF(INDEX(Listado!$M:$M,N12)="No","No","Sí"))</f>
        <v/>
      </c>
    </row>
    <row r="13" spans="2:24" ht="18">
      <c r="B13" s="70">
        <v>10</v>
      </c>
      <c r="C13" s="71">
        <f t="shared" si="3"/>
        <v/>
      </c>
      <c r="D13" s="69"/>
      <c r="F13" s="29"/>
      <c r="G13" s="29"/>
      <c r="N13" s="17" t="str">
        <f>IF(V13=0,"",IFERROR(LOOKUP(2,1/(INDEX(Listado!A:A,2):INDEX(Listado!A:A,ROW())&lt;&gt;""),ROW(INDEX(Listado!A:A,2):INDEX(Listado!A:A,ROW()))),""))</f>
        <v/>
      </c>
      <c r="O13" s="17" t="str">
        <f>IFERROR(IF(N13="","",IF(INDEX(Listado!M:M,N13)="No",IF(INDEX(Listado!N:N,N13)=0,"",INDEX(Listado!N:N,N13)),IF(INDEX(Listado!I:I,N13)=0,"",INDEX(Listado!I:I,N13)))),"")</f>
        <v/>
      </c>
      <c r="P13" s="17">
        <f t="shared" ca="1" si="0"/>
        <v/>
      </c>
      <c r="Q13" s="17">
        <f>IFERROR(IF(AND(N13&lt;&gt;"",ISNUMBER(O13),O13&gt;0,O13&gt;=TODAY()-90),1,0),0)</f>
        <v/>
      </c>
      <c r="R13" s="17" t="str">
        <f t="shared" si="2"/>
        <v/>
      </c>
      <c r="S13" s="17" t="str">
        <f>IF(INDEX(Listado!A:A,ROW())="","",INDEX(Listado!A:A,ROW()))</f>
        <v/>
      </c>
      <c r="T13" s="17" t="str">
        <f ca="1">IF(INDEX(Listado!G:G,ROW())="","",INDEX(Listado!G:G,ROW()))</f>
        <v/>
      </c>
      <c r="U13" s="17" t="str">
        <f>IF(INDEX(Listado!F:F,ROW())="","",INDEX(Listado!F:F,ROW()))</f>
        <v/>
      </c>
      <c r="V13" s="17">
        <f>IF(COUNTA(INDEX(Listado!B:B,ROW()):INDEX(Listado!F:F,ROW()))&gt;0,1,0)</f>
        <v/>
      </c>
      <c r="W13" s="17" t="str">
        <f>IF(INDEX(Listado!L:L,ROW())="","",INDEX(Listado!L:L,ROW()))</f>
        <v/>
      </c>
      <c r="X13" s="17">
        <f>IF(N13="","",IF(INDEX(Listado!$M:$M,N13)="No","No","Sí"))</f>
        <v/>
      </c>
    </row>
    <row r="14" spans="2:24" ht="14.25">
      <c r="B14" s="11"/>
      <c r="C14" s="11"/>
      <c r="D14" s="11"/>
      <c r="E14" s="11"/>
      <c r="F14" s="11"/>
      <c r="G14" s="11"/>
      <c r="N14" s="17" t="str">
        <f>IF(V14=0,"",IFERROR(LOOKUP(2,1/(INDEX(Listado!A:A,2):INDEX(Listado!A:A,ROW())&lt;&gt;""),ROW(INDEX(Listado!A:A,2):INDEX(Listado!A:A,ROW()))),""))</f>
        <v/>
      </c>
      <c r="O14" s="17" t="str">
        <f>IFERROR(IF(N14="","",IF(INDEX(Listado!M:M,N14)="No",IF(INDEX(Listado!N:N,N14)=0,"",INDEX(Listado!N:N,N14)),IF(INDEX(Listado!I:I,N14)=0,"",INDEX(Listado!I:I,N14)))),"")</f>
        <v/>
      </c>
      <c r="P14" s="17">
        <f t="shared" ca="1" si="0"/>
        <v/>
      </c>
      <c r="Q14" s="17">
        <f>IFERROR(IF(AND(N14&lt;&gt;"",ISNUMBER(O14),O14&gt;0,O14&gt;=TODAY()-90),1,0),0)</f>
        <v/>
      </c>
      <c r="R14" s="17" t="str">
        <f t="shared" si="2"/>
        <v/>
      </c>
      <c r="S14" s="17" t="str">
        <f>IF(INDEX(Listado!A:A,ROW())="","",INDEX(Listado!A:A,ROW()))</f>
        <v/>
      </c>
      <c r="T14" s="17" t="str">
        <f ca="1">IF(INDEX(Listado!G:G,ROW())="","",INDEX(Listado!G:G,ROW()))</f>
        <v/>
      </c>
      <c r="U14" s="17" t="str">
        <f>IF(INDEX(Listado!F:F,ROW())="","",INDEX(Listado!F:F,ROW()))</f>
        <v/>
      </c>
      <c r="V14" s="17">
        <f>IF(COUNTA(INDEX(Listado!B:B,ROW()):INDEX(Listado!F:F,ROW()))&gt;0,1,0)</f>
        <v/>
      </c>
      <c r="W14" s="17" t="str">
        <f>IF(INDEX(Listado!L:L,ROW())="","",INDEX(Listado!L:L,ROW()))</f>
        <v/>
      </c>
      <c r="X14" s="17">
        <f>IF(N14="","",IF(INDEX(Listado!$M:$M,N14)="No","No","Sí"))</f>
        <v/>
      </c>
    </row>
    <row r="15" spans="2:24" ht="14.25">
      <c r="N15" s="17" t="str">
        <f>IF(V15=0,"",IFERROR(LOOKUP(2,1/(INDEX(Listado!A:A,2):INDEX(Listado!A:A,ROW())&lt;&gt;""),ROW(INDEX(Listado!A:A,2):INDEX(Listado!A:A,ROW()))),""))</f>
        <v/>
      </c>
      <c r="O15" s="17" t="str">
        <f>IFERROR(IF(N15="","",IF(INDEX(Listado!M:M,N15)="No",IF(INDEX(Listado!N:N,N15)=0,"",INDEX(Listado!N:N,N15)),IF(INDEX(Listado!I:I,N15)=0,"",INDEX(Listado!I:I,N15)))),"")</f>
        <v/>
      </c>
      <c r="P15" s="17">
        <f t="shared" ca="1" si="0"/>
        <v/>
      </c>
      <c r="Q15" s="17">
        <f>IFERROR(IF(AND(N15&lt;&gt;"",ISNUMBER(O15),O15&gt;0,O15&gt;=TODAY()-90),1,0),0)</f>
        <v/>
      </c>
      <c r="R15" s="17" t="str">
        <f t="shared" si="2"/>
        <v/>
      </c>
      <c r="S15" s="17" t="str">
        <f>IF(INDEX(Listado!A:A,ROW())="","",INDEX(Listado!A:A,ROW()))</f>
        <v/>
      </c>
      <c r="T15" s="17" t="str">
        <f ca="1">IF(INDEX(Listado!G:G,ROW())="","",INDEX(Listado!G:G,ROW()))</f>
        <v/>
      </c>
      <c r="U15" s="17" t="str">
        <f>IF(INDEX(Listado!F:F,ROW())="","",INDEX(Listado!F:F,ROW()))</f>
        <v/>
      </c>
      <c r="V15" s="17">
        <f>IF(COUNTA(INDEX(Listado!B:B,ROW()):INDEX(Listado!F:F,ROW()))&gt;0,1,0)</f>
        <v/>
      </c>
      <c r="W15" s="17" t="str">
        <f>IF(INDEX(Listado!L:L,ROW())="","",INDEX(Listado!L:L,ROW()))</f>
        <v/>
      </c>
      <c r="X15" s="17">
        <f>IF(N15="","",IF(INDEX(Listado!$M:$M,N15)="No","No","Sí"))</f>
        <v/>
      </c>
    </row>
    <row r="16" spans="2:24" ht="18.75">
      <c r="B16" s="87" t="s">
        <v>48</v>
      </c>
      <c r="C16" s="89"/>
      <c r="D16" s="89"/>
      <c r="E16" s="89"/>
      <c r="F16" s="89"/>
      <c r="G16" s="89"/>
      <c r="N16" s="17" t="str">
        <f>IF(V16=0,"",IFERROR(LOOKUP(2,1/(INDEX(Listado!A:A,2):INDEX(Listado!A:A,ROW())&lt;&gt;""),ROW(INDEX(Listado!A:A,2):INDEX(Listado!A:A,ROW()))),""))</f>
        <v/>
      </c>
      <c r="O16" s="17" t="str">
        <f>IFERROR(IF(N16="","",IF(INDEX(Listado!M:M,N16)="No",IF(INDEX(Listado!N:N,N16)=0,"",INDEX(Listado!N:N,N16)),IF(INDEX(Listado!I:I,N16)=0,"",INDEX(Listado!I:I,N16)))),"")</f>
        <v/>
      </c>
      <c r="P16" s="17">
        <f t="shared" ca="1" si="0"/>
        <v/>
      </c>
      <c r="Q16" s="17">
        <f>IFERROR(IF(AND(N16&lt;&gt;"",ISNUMBER(O16),O16&gt;0,O16&gt;=TODAY()-90),1,0),0)</f>
        <v/>
      </c>
      <c r="R16" s="17" t="str">
        <f t="shared" si="2"/>
        <v/>
      </c>
      <c r="S16" s="17" t="str">
        <f>IF(INDEX(Listado!A:A,ROW())="","",INDEX(Listado!A:A,ROW()))</f>
        <v/>
      </c>
      <c r="T16" s="17" t="str">
        <f ca="1">IF(INDEX(Listado!G:G,ROW())="","",INDEX(Listado!G:G,ROW()))</f>
        <v/>
      </c>
      <c r="U16" s="17" t="str">
        <f>IF(INDEX(Listado!F:F,ROW())="","",INDEX(Listado!F:F,ROW()))</f>
        <v/>
      </c>
      <c r="V16" s="17">
        <f>IF(COUNTA(INDEX(Listado!B:B,ROW()):INDEX(Listado!F:F,ROW()))&gt;0,1,0)</f>
        <v/>
      </c>
      <c r="W16" s="17" t="str">
        <f>IF(INDEX(Listado!L:L,ROW())="","",INDEX(Listado!L:L,ROW()))</f>
        <v/>
      </c>
      <c r="X16" s="17">
        <f>IF(N16="","",IF(INDEX(Listado!$M:$M,N16)="No","No","Sí"))</f>
        <v/>
      </c>
    </row>
    <row r="17" spans="2:24" ht="14.25">
      <c r="N17" s="17" t="str">
        <f>IF(V17=0,"",IFERROR(LOOKUP(2,1/(INDEX(Listado!A:A,2):INDEX(Listado!A:A,ROW())&lt;&gt;""),ROW(INDEX(Listado!A:A,2):INDEX(Listado!A:A,ROW()))),""))</f>
        <v/>
      </c>
      <c r="O17" s="17" t="str">
        <f>IFERROR(IF(N17="","",IF(INDEX(Listado!M:M,N17)="No",IF(INDEX(Listado!N:N,N17)=0,"",INDEX(Listado!N:N,N17)),IF(INDEX(Listado!I:I,N17)=0,"",INDEX(Listado!I:I,N17)))),"")</f>
        <v/>
      </c>
      <c r="P17" s="17">
        <f t="shared" ca="1" si="0"/>
        <v/>
      </c>
      <c r="Q17" s="17">
        <f>IFERROR(IF(AND(N17&lt;&gt;"",ISNUMBER(O17),O17&gt;0,O17&gt;=TODAY()-90),1,0),0)</f>
        <v/>
      </c>
      <c r="R17" s="17" t="str">
        <f t="shared" si="2"/>
        <v/>
      </c>
      <c r="S17" s="17" t="str">
        <f>IF(INDEX(Listado!A:A,ROW())="","",INDEX(Listado!A:A,ROW()))</f>
        <v/>
      </c>
      <c r="T17" s="17" t="str">
        <f ca="1">IF(INDEX(Listado!G:G,ROW())="","",INDEX(Listado!G:G,ROW()))</f>
        <v/>
      </c>
      <c r="U17" s="17" t="str">
        <f>IF(INDEX(Listado!F:F,ROW())="","",INDEX(Listado!F:F,ROW()))</f>
        <v/>
      </c>
      <c r="V17" s="17">
        <f>IF(COUNTA(INDEX(Listado!B:B,ROW()):INDEX(Listado!F:F,ROW()))&gt;0,1,0)</f>
        <v/>
      </c>
      <c r="W17" s="17" t="str">
        <f>IF(INDEX(Listado!L:L,ROW())="","",INDEX(Listado!L:L,ROW()))</f>
        <v/>
      </c>
      <c r="X17" s="17">
        <f>IF(N17="","",IF(INDEX(Listado!$M:$M,N17)="No","No","Sí"))</f>
        <v/>
      </c>
    </row>
    <row r="18" spans="2:24" ht="14.25">
      <c r="N18" s="17" t="str">
        <f>IF(V18=0,"",IFERROR(LOOKUP(2,1/(INDEX(Listado!A:A,2):INDEX(Listado!A:A,ROW())&lt;&gt;""),ROW(INDEX(Listado!A:A,2):INDEX(Listado!A:A,ROW()))),""))</f>
        <v/>
      </c>
      <c r="O18" s="17" t="str">
        <f>IFERROR(IF(N18="","",IF(INDEX(Listado!M:M,N18)="No",IF(INDEX(Listado!N:N,N18)=0,"",INDEX(Listado!N:N,N18)),IF(INDEX(Listado!I:I,N18)=0,"",INDEX(Listado!I:I,N18)))),"")</f>
        <v/>
      </c>
      <c r="P18" s="17">
        <f t="shared" ca="1" si="0"/>
        <v/>
      </c>
      <c r="Q18" s="17">
        <f>IFERROR(IF(AND(N18&lt;&gt;"",ISNUMBER(O18),O18&gt;0,O18&gt;=TODAY()-90),1,0),0)</f>
        <v/>
      </c>
      <c r="R18" s="17" t="str">
        <f t="shared" si="2"/>
        <v/>
      </c>
      <c r="S18" s="17" t="str">
        <f>IF(INDEX(Listado!A:A,ROW())="","",INDEX(Listado!A:A,ROW()))</f>
        <v/>
      </c>
      <c r="T18" s="17" t="str">
        <f ca="1">IF(INDEX(Listado!G:G,ROW())="","",INDEX(Listado!G:G,ROW()))</f>
        <v/>
      </c>
      <c r="U18" s="17" t="str">
        <f>IF(INDEX(Listado!F:F,ROW())="","",INDEX(Listado!F:F,ROW()))</f>
        <v/>
      </c>
      <c r="V18" s="17">
        <f>IF(COUNTA(INDEX(Listado!B:B,ROW()):INDEX(Listado!F:F,ROW()))&gt;0,1,0)</f>
        <v/>
      </c>
      <c r="W18" s="17" t="str">
        <f>IF(INDEX(Listado!L:L,ROW())="","",INDEX(Listado!L:L,ROW()))</f>
        <v/>
      </c>
      <c r="X18" s="17">
        <f>IF(N18="","",IF(INDEX(Listado!$M:$M,N18)="No","No","Sí"))</f>
        <v/>
      </c>
    </row>
    <row r="19" spans="2:24" ht="30" customHeight="1">
      <c r="B19" s="87" t="inlineStr">
        <is>
          <t>Total de personas excluidas</t>
        </is>
      </c>
      <c r="C19" s="87"/>
      <c r="D19" s="87"/>
      <c r="E19" s="87" t="inlineStr">
        <is>
          <t>Total de personas incluidas y excluidas</t>
        </is>
      </c>
      <c r="F19" s="87"/>
      <c r="G19" s="87"/>
      <c r="N19" s="17" t="str">
        <f>IF(V19=0,"",IFERROR(LOOKUP(2,1/(INDEX(Listado!A:A,2):INDEX(Listado!A:A,ROW())&lt;&gt;""),ROW(INDEX(Listado!A:A,2):INDEX(Listado!A:A,ROW()))),""))</f>
        <v/>
      </c>
      <c r="O19" s="17" t="str">
        <f>IFERROR(IF(N19="","",IF(INDEX(Listado!M:M,N19)="No",IF(INDEX(Listado!N:N,N19)=0,"",INDEX(Listado!N:N,N19)),IF(INDEX(Listado!I:I,N19)=0,"",INDEX(Listado!I:I,N19)))),"")</f>
        <v/>
      </c>
      <c r="P19" s="17">
        <f t="shared" ca="1" si="0"/>
        <v/>
      </c>
      <c r="Q19" s="17">
        <f>IFERROR(IF(AND(N19&lt;&gt;"",ISNUMBER(O19),O19&gt;0,O19&gt;=TODAY()-90),1,0),0)</f>
        <v/>
      </c>
      <c r="R19" s="17" t="str">
        <f t="shared" si="2"/>
        <v/>
      </c>
      <c r="S19" s="17" t="str">
        <f>IF(INDEX(Listado!A:A,ROW())="","",INDEX(Listado!A:A,ROW()))</f>
        <v/>
      </c>
      <c r="T19" s="17" t="str">
        <f ca="1">IF(INDEX(Listado!G:G,ROW())="","",INDEX(Listado!G:G,ROW()))</f>
        <v/>
      </c>
      <c r="U19" s="17" t="str">
        <f>IF(INDEX(Listado!F:F,ROW())="","",INDEX(Listado!F:F,ROW()))</f>
        <v/>
      </c>
      <c r="V19" s="17">
        <f>IF(COUNTA(INDEX(Listado!B:B,ROW()):INDEX(Listado!F:F,ROW()))&gt;0,1,0)</f>
        <v/>
      </c>
      <c r="W19" s="17" t="str">
        <f>IF(INDEX(Listado!L:L,ROW())="","",INDEX(Listado!L:L,ROW()))</f>
        <v/>
      </c>
      <c r="X19" s="17">
        <f>IF(N19="","",IF(INDEX(Listado!$M:$M,N19)="No","No","Sí"))</f>
        <v/>
      </c>
    </row>
    <row r="20" spans="2:24" ht="24" customHeight="1">
      <c r="B20" s="72">
        <f>SUM($V$2:$V$2999)-SUM($Q$2:$Q$2999)</f>
        <v/>
      </c>
      <c r="C20" s="72"/>
      <c r="D20" s="72"/>
      <c r="E20" s="72">
        <f>SUM($V$2:$V$2999)</f>
        <v/>
      </c>
      <c r="F20" s="72"/>
      <c r="G20" s="72"/>
      <c r="N20" s="17" t="str">
        <f>IF(V20=0,"",IFERROR(LOOKUP(2,1/(INDEX(Listado!A:A,2):INDEX(Listado!A:A,ROW())&lt;&gt;""),ROW(INDEX(Listado!A:A,2):INDEX(Listado!A:A,ROW()))),""))</f>
        <v/>
      </c>
      <c r="O20" s="17" t="str">
        <f>IFERROR(IF(N20="","",IF(INDEX(Listado!M:M,N20)="No",IF(INDEX(Listado!N:N,N20)=0,"",INDEX(Listado!N:N,N20)),IF(INDEX(Listado!I:I,N20)=0,"",INDEX(Listado!I:I,N20)))),"")</f>
        <v/>
      </c>
      <c r="P20" s="17">
        <f t="shared" ca="1" si="0"/>
        <v/>
      </c>
      <c r="Q20" s="17">
        <f>IFERROR(IF(AND(N20&lt;&gt;"",ISNUMBER(O20),O20&gt;0,O20&gt;=TODAY()-90),1,0),0)</f>
        <v/>
      </c>
      <c r="R20" s="17" t="str">
        <f t="shared" si="2"/>
        <v/>
      </c>
      <c r="S20" s="17" t="str">
        <f>IF(INDEX(Listado!A:A,ROW())="","",INDEX(Listado!A:A,ROW()))</f>
        <v/>
      </c>
      <c r="T20" s="17" t="str">
        <f ca="1">IF(INDEX(Listado!G:G,ROW())="","",INDEX(Listado!G:G,ROW()))</f>
        <v/>
      </c>
      <c r="U20" s="17" t="str">
        <f>IF(INDEX(Listado!F:F,ROW())="","",INDEX(Listado!F:F,ROW()))</f>
        <v/>
      </c>
      <c r="V20" s="17">
        <f>IF(COUNTA(INDEX(Listado!B:B,ROW()):INDEX(Listado!F:F,ROW()))&gt;0,1,0)</f>
        <v/>
      </c>
      <c r="W20" s="17" t="str">
        <f>IF(INDEX(Listado!L:L,ROW())="","",INDEX(Listado!L:L,ROW()))</f>
        <v/>
      </c>
      <c r="X20" s="17">
        <f>IF(N20="","",IF(INDEX(Listado!$M:$M,N20)="No","No","Sí"))</f>
        <v/>
      </c>
    </row>
    <row r="21" spans="2:24" ht="14.25">
      <c r="N21" s="17" t="str">
        <f>IF(V21=0,"",IFERROR(LOOKUP(2,1/(INDEX(Listado!A:A,2):INDEX(Listado!A:A,ROW())&lt;&gt;""),ROW(INDEX(Listado!A:A,2):INDEX(Listado!A:A,ROW()))),""))</f>
        <v/>
      </c>
      <c r="O21" s="17" t="str">
        <f>IFERROR(IF(N21="","",IF(INDEX(Listado!M:M,N21)="No",IF(INDEX(Listado!N:N,N21)=0,"",INDEX(Listado!N:N,N21)),IF(INDEX(Listado!I:I,N21)=0,"",INDEX(Listado!I:I,N21)))),"")</f>
        <v/>
      </c>
      <c r="P21" s="17">
        <f t="shared" ca="1" si="0"/>
        <v/>
      </c>
      <c r="Q21" s="17">
        <f>IFERROR(IF(AND(N21&lt;&gt;"",ISNUMBER(O21),O21&gt;0,O21&gt;=TODAY()-90),1,0),0)</f>
        <v/>
      </c>
      <c r="R21" s="17" t="str">
        <f t="shared" si="2"/>
        <v/>
      </c>
      <c r="S21" s="17" t="str">
        <f>IF(INDEX(Listado!A:A,ROW())="","",INDEX(Listado!A:A,ROW()))</f>
        <v/>
      </c>
      <c r="T21" s="17" t="str">
        <f ca="1">IF(INDEX(Listado!G:G,ROW())="","",INDEX(Listado!G:G,ROW()))</f>
        <v/>
      </c>
      <c r="U21" s="17" t="str">
        <f>IF(INDEX(Listado!F:F,ROW())="","",INDEX(Listado!F:F,ROW()))</f>
        <v/>
      </c>
      <c r="V21" s="17">
        <f>IF(COUNTA(INDEX(Listado!B:B,ROW()):INDEX(Listado!F:F,ROW()))&gt;0,1,0)</f>
        <v/>
      </c>
      <c r="W21" s="17" t="str">
        <f>IF(INDEX(Listado!L:L,ROW())="","",INDEX(Listado!L:L,ROW()))</f>
        <v/>
      </c>
      <c r="X21" s="17">
        <f>IF(N21="","",IF(INDEX(Listado!$M:$M,N21)="No","No","Sí"))</f>
        <v/>
      </c>
    </row>
    <row r="22" spans="2:24" ht="14.25">
      <c r="N22" s="17" t="str">
        <f>IF(V22=0,"",IFERROR(LOOKUP(2,1/(INDEX(Listado!A:A,2):INDEX(Listado!A:A,ROW())&lt;&gt;""),ROW(INDEX(Listado!A:A,2):INDEX(Listado!A:A,ROW()))),""))</f>
        <v/>
      </c>
      <c r="O22" s="17" t="str">
        <f>IFERROR(IF(N22="","",IF(INDEX(Listado!M:M,N22)="No",IF(INDEX(Listado!N:N,N22)=0,"",INDEX(Listado!N:N,N22)),IF(INDEX(Listado!I:I,N22)=0,"",INDEX(Listado!I:I,N22)))),"")</f>
        <v/>
      </c>
      <c r="P22" s="17">
        <f t="shared" ca="1" si="0"/>
        <v/>
      </c>
      <c r="Q22" s="17">
        <f>IFERROR(IF(AND(N22&lt;&gt;"",ISNUMBER(O22),O22&gt;0,O22&gt;=TODAY()-90),1,0),0)</f>
        <v/>
      </c>
      <c r="R22" s="17" t="str">
        <f t="shared" si="2"/>
        <v/>
      </c>
      <c r="S22" s="17" t="str">
        <f>IF(INDEX(Listado!A:A,ROW())="","",INDEX(Listado!A:A,ROW()))</f>
        <v/>
      </c>
      <c r="T22" s="17" t="str">
        <f ca="1">IF(INDEX(Listado!G:G,ROW())="","",INDEX(Listado!G:G,ROW()))</f>
        <v/>
      </c>
      <c r="U22" s="17" t="str">
        <f>IF(INDEX(Listado!F:F,ROW())="","",INDEX(Listado!F:F,ROW()))</f>
        <v/>
      </c>
      <c r="V22" s="17">
        <f>IF(COUNTA(INDEX(Listado!B:B,ROW()):INDEX(Listado!F:F,ROW()))&gt;0,1,0)</f>
        <v/>
      </c>
      <c r="W22" s="17" t="str">
        <f>IF(INDEX(Listado!L:L,ROW())="","",INDEX(Listado!L:L,ROW()))</f>
        <v/>
      </c>
      <c r="X22" s="17">
        <f>IF(N22="","",IF(INDEX(Listado!$M:$M,N22)="No","No","Sí"))</f>
        <v/>
      </c>
    </row>
    <row r="23" spans="2:24" ht="24" customHeight="1">
      <c r="B23" s="86" t="inlineStr">
        <is>
          <t>PERSONAS POR ORIGEN — INCLUIDAS Y EXCLUIDAS</t>
        </is>
      </c>
      <c r="C23" s="87"/>
      <c r="D23" s="87"/>
      <c r="E23" s="87"/>
      <c r="F23" s="87"/>
      <c r="G23" s="87"/>
      <c r="N23" s="17" t="str">
        <f>IF(V23=0,"",IFERROR(LOOKUP(2,1/(INDEX(Listado!A:A,2):INDEX(Listado!A:A,ROW())&lt;&gt;""),ROW(INDEX(Listado!A:A,2):INDEX(Listado!A:A,ROW()))),""))</f>
        <v/>
      </c>
      <c r="O23" s="17" t="str">
        <f>IFERROR(IF(N23="","",IF(INDEX(Listado!M:M,N23)="No",IF(INDEX(Listado!N:N,N23)=0,"",INDEX(Listado!N:N,N23)),IF(INDEX(Listado!I:I,N23)=0,"",INDEX(Listado!I:I,N23)))),"")</f>
        <v/>
      </c>
      <c r="P23" s="17">
        <f t="shared" ca="1" si="0"/>
        <v/>
      </c>
      <c r="Q23" s="17">
        <f>IFERROR(IF(AND(N23&lt;&gt;"",ISNUMBER(O23),O23&gt;0,O23&gt;=TODAY()-90),1,0),0)</f>
        <v/>
      </c>
      <c r="R23" s="17" t="str">
        <f t="shared" si="2"/>
        <v/>
      </c>
      <c r="S23" s="17" t="str">
        <f>IF(INDEX(Listado!A:A,ROW())="","",INDEX(Listado!A:A,ROW()))</f>
        <v/>
      </c>
      <c r="T23" s="17" t="str">
        <f ca="1">IF(INDEX(Listado!G:G,ROW())="","",INDEX(Listado!G:G,ROW()))</f>
        <v/>
      </c>
      <c r="U23" s="17" t="str">
        <f>IF(INDEX(Listado!F:F,ROW())="","",INDEX(Listado!F:F,ROW()))</f>
        <v/>
      </c>
      <c r="V23" s="17">
        <f>IF(COUNTA(INDEX(Listado!B:B,ROW()):INDEX(Listado!F:F,ROW()))&gt;0,1,0)</f>
        <v/>
      </c>
      <c r="W23" s="17" t="str">
        <f>IF(INDEX(Listado!L:L,ROW())="","",INDEX(Listado!L:L,ROW()))</f>
        <v/>
      </c>
      <c r="X23" s="17">
        <f>IF(N23="","",IF(INDEX(Listado!$M:$M,N23)="No","No","Sí"))</f>
        <v/>
      </c>
    </row>
    <row r="24" spans="2:24" ht="30" customHeight="1">
      <c r="B24" s="87" t="inlineStr">
        <is>
          <t>Sí vienen de Servicios sociales</t>
        </is>
      </c>
      <c r="C24" s="87"/>
      <c r="D24" s="87"/>
      <c r="E24" s="87" t="inlineStr">
        <is>
          <t>No vienen de Servicios sociales</t>
        </is>
      </c>
      <c r="F24" s="87"/>
      <c r="G24" s="87"/>
      <c r="N24" s="17" t="str">
        <f>IF(V24=0,"",IFERROR(LOOKUP(2,1/(INDEX(Listado!A:A,2):INDEX(Listado!A:A,ROW())&lt;&gt;""),ROW(INDEX(Listado!A:A,2):INDEX(Listado!A:A,ROW()))),""))</f>
        <v/>
      </c>
      <c r="O24" s="17" t="str">
        <f>IFERROR(IF(N24="","",IF(INDEX(Listado!M:M,N24)="No",IF(INDEX(Listado!N:N,N24)=0,"",INDEX(Listado!N:N,N24)),IF(INDEX(Listado!I:I,N24)=0,"",INDEX(Listado!I:I,N24)))),"")</f>
        <v/>
      </c>
      <c r="P24" s="17">
        <f t="shared" ca="1" si="0"/>
        <v/>
      </c>
      <c r="Q24" s="17">
        <f>IFERROR(IF(AND(N24&lt;&gt;"",ISNUMBER(O24),O24&gt;0,O24&gt;=TODAY()-90),1,0),0)</f>
        <v/>
      </c>
      <c r="R24" s="17" t="str">
        <f t="shared" si="2"/>
        <v/>
      </c>
      <c r="S24" s="17" t="str">
        <f>IF(INDEX(Listado!A:A,ROW())="","",INDEX(Listado!A:A,ROW()))</f>
        <v/>
      </c>
      <c r="T24" s="17" t="str">
        <f ca="1">IF(INDEX(Listado!G:G,ROW())="","",INDEX(Listado!G:G,ROW()))</f>
        <v/>
      </c>
      <c r="U24" s="17" t="str">
        <f>IF(INDEX(Listado!F:F,ROW())="","",INDEX(Listado!F:F,ROW()))</f>
        <v/>
      </c>
      <c r="V24" s="17">
        <f>IF(COUNTA(INDEX(Listado!B:B,ROW()):INDEX(Listado!F:F,ROW()))&gt;0,1,0)</f>
        <v/>
      </c>
      <c r="W24" s="17" t="str">
        <f>IF(INDEX(Listado!L:L,ROW())="","",INDEX(Listado!L:L,ROW()))</f>
        <v/>
      </c>
      <c r="X24" s="17">
        <f>IF(N24="","",IF(INDEX(Listado!$M:$M,N24)="No","No","Sí"))</f>
        <v/>
      </c>
    </row>
    <row r="25" spans="2:24" ht="24" customHeight="1">
      <c r="B25" s="72">
        <f>SUMIF($X$2:$X$2999,"&lt;&gt;No",$V$2:$V$2999)</f>
        <v/>
      </c>
      <c r="C25" s="72"/>
      <c r="D25" s="72"/>
      <c r="E25" s="72">
        <f>SUMIF($X$2:$X$2999,"No",$V$2:$V$2999)</f>
        <v/>
      </c>
      <c r="F25" s="72"/>
      <c r="G25" s="72"/>
      <c r="N25" s="17" t="str">
        <f>IF(V25=0,"",IFERROR(LOOKUP(2,1/(INDEX(Listado!A:A,2):INDEX(Listado!A:A,ROW())&lt;&gt;""),ROW(INDEX(Listado!A:A,2):INDEX(Listado!A:A,ROW()))),""))</f>
        <v/>
      </c>
      <c r="O25" s="17" t="str">
        <f>IFERROR(IF(N25="","",IF(INDEX(Listado!M:M,N25)="No",IF(INDEX(Listado!N:N,N25)=0,"",INDEX(Listado!N:N,N25)),IF(INDEX(Listado!I:I,N25)=0,"",INDEX(Listado!I:I,N25)))),"")</f>
        <v/>
      </c>
      <c r="P25" s="17">
        <f t="shared" ca="1" si="0"/>
        <v/>
      </c>
      <c r="Q25" s="17">
        <f>IFERROR(IF(AND(N25&lt;&gt;"",ISNUMBER(O25),O25&gt;0,O25&gt;=TODAY()-90),1,0),0)</f>
        <v/>
      </c>
      <c r="R25" s="17" t="str">
        <f t="shared" si="2"/>
        <v/>
      </c>
      <c r="S25" s="17" t="str">
        <f>IF(INDEX(Listado!A:A,ROW())="","",INDEX(Listado!A:A,ROW()))</f>
        <v/>
      </c>
      <c r="T25" s="17" t="str">
        <f ca="1">IF(INDEX(Listado!G:G,ROW())="","",INDEX(Listado!G:G,ROW()))</f>
        <v/>
      </c>
      <c r="U25" s="17" t="str">
        <f>IF(INDEX(Listado!F:F,ROW())="","",INDEX(Listado!F:F,ROW()))</f>
        <v/>
      </c>
      <c r="V25" s="17">
        <f>IF(COUNTA(INDEX(Listado!B:B,ROW()):INDEX(Listado!F:F,ROW()))&gt;0,1,0)</f>
        <v/>
      </c>
      <c r="W25" s="17" t="str">
        <f>IF(INDEX(Listado!L:L,ROW())="","",INDEX(Listado!L:L,ROW()))</f>
        <v/>
      </c>
      <c r="X25" s="17">
        <f>IF(N25="","",IF(INDEX(Listado!$M:$M,N25)="No","No","Sí"))</f>
        <v/>
      </c>
    </row>
    <row r="26" spans="2:24" ht="14.25">
      <c r="N26" s="17" t="str">
        <f>IF(V26=0,"",IFERROR(LOOKUP(2,1/(INDEX(Listado!A:A,2):INDEX(Listado!A:A,ROW())&lt;&gt;""),ROW(INDEX(Listado!A:A,2):INDEX(Listado!A:A,ROW()))),""))</f>
        <v/>
      </c>
      <c r="O26" s="17" t="str">
        <f>IFERROR(IF(N26="","",IF(INDEX(Listado!M:M,N26)="No",IF(INDEX(Listado!N:N,N26)=0,"",INDEX(Listado!N:N,N26)),IF(INDEX(Listado!I:I,N26)=0,"",INDEX(Listado!I:I,N26)))),"")</f>
        <v/>
      </c>
      <c r="P26" s="17">
        <f t="shared" ca="1" si="0"/>
        <v/>
      </c>
      <c r="Q26" s="17">
        <f>IFERROR(IF(AND(N26&lt;&gt;"",ISNUMBER(O26),O26&gt;0,O26&gt;=TODAY()-90),1,0),0)</f>
        <v/>
      </c>
      <c r="R26" s="17" t="str">
        <f t="shared" si="2"/>
        <v/>
      </c>
      <c r="S26" s="17" t="str">
        <f>IF(INDEX(Listado!A:A,ROW())="","",INDEX(Listado!A:A,ROW()))</f>
        <v/>
      </c>
      <c r="T26" s="17" t="str">
        <f ca="1">IF(INDEX(Listado!G:G,ROW())="","",INDEX(Listado!G:G,ROW()))</f>
        <v/>
      </c>
      <c r="U26" s="17" t="str">
        <f>IF(INDEX(Listado!F:F,ROW())="","",INDEX(Listado!F:F,ROW()))</f>
        <v/>
      </c>
      <c r="V26" s="17">
        <f>IF(COUNTA(INDEX(Listado!B:B,ROW()):INDEX(Listado!F:F,ROW()))&gt;0,1,0)</f>
        <v/>
      </c>
      <c r="W26" s="17" t="str">
        <f>IF(INDEX(Listado!L:L,ROW())="","",INDEX(Listado!L:L,ROW()))</f>
        <v/>
      </c>
      <c r="X26" s="17">
        <f>IF(N26="","",IF(INDEX(Listado!$M:$M,N26)="No","No","Sí"))</f>
        <v/>
      </c>
    </row>
    <row r="27" spans="2:24" ht="14.25">
      <c r="N27" s="17" t="str">
        <f>IF(V27=0,"",IFERROR(LOOKUP(2,1/(INDEX(Listado!A:A,2):INDEX(Listado!A:A,ROW())&lt;&gt;""),ROW(INDEX(Listado!A:A,2):INDEX(Listado!A:A,ROW()))),""))</f>
        <v/>
      </c>
      <c r="O27" s="17" t="str">
        <f>IFERROR(IF(N27="","",IF(INDEX(Listado!M:M,N27)="No",IF(INDEX(Listado!N:N,N27)=0,"",INDEX(Listado!N:N,N27)),IF(INDEX(Listado!I:I,N27)=0,"",INDEX(Listado!I:I,N27)))),"")</f>
        <v/>
      </c>
      <c r="P27" s="17">
        <f t="shared" ca="1" si="0"/>
        <v/>
      </c>
      <c r="Q27" s="17">
        <f>IFERROR(IF(AND(N27&lt;&gt;"",ISNUMBER(O27),O27&gt;0,O27&gt;=TODAY()-90),1,0),0)</f>
        <v/>
      </c>
      <c r="R27" s="17" t="str">
        <f t="shared" si="2"/>
        <v/>
      </c>
      <c r="S27" s="17" t="str">
        <f>IF(INDEX(Listado!A:A,ROW())="","",INDEX(Listado!A:A,ROW()))</f>
        <v/>
      </c>
      <c r="T27" s="17" t="str">
        <f ca="1">IF(INDEX(Listado!G:G,ROW())="","",INDEX(Listado!G:G,ROW()))</f>
        <v/>
      </c>
      <c r="U27" s="17" t="str">
        <f>IF(INDEX(Listado!F:F,ROW())="","",INDEX(Listado!F:F,ROW()))</f>
        <v/>
      </c>
      <c r="V27" s="17">
        <f>IF(COUNTA(INDEX(Listado!B:B,ROW()):INDEX(Listado!F:F,ROW()))&gt;0,1,0)</f>
        <v/>
      </c>
      <c r="W27" s="17" t="str">
        <f>IF(INDEX(Listado!L:L,ROW())="","",INDEX(Listado!L:L,ROW()))</f>
        <v/>
      </c>
      <c r="X27" s="17">
        <f>IF(N27="","",IF(INDEX(Listado!$M:$M,N27)="No","No","Sí"))</f>
        <v/>
      </c>
    </row>
    <row r="28" spans="2:24" ht="14.25">
      <c r="N28" s="17" t="str">
        <f>IF(V28=0,"",IFERROR(LOOKUP(2,1/(INDEX(Listado!A:A,2):INDEX(Listado!A:A,ROW())&lt;&gt;""),ROW(INDEX(Listado!A:A,2):INDEX(Listado!A:A,ROW()))),""))</f>
        <v/>
      </c>
      <c r="O28" s="17" t="str">
        <f>IFERROR(IF(N28="","",IF(INDEX(Listado!M:M,N28)="No",IF(INDEX(Listado!N:N,N28)=0,"",INDEX(Listado!N:N,N28)),IF(INDEX(Listado!I:I,N28)=0,"",INDEX(Listado!I:I,N28)))),"")</f>
        <v/>
      </c>
      <c r="P28" s="17">
        <f t="shared" ca="1" si="0"/>
        <v/>
      </c>
      <c r="Q28" s="17">
        <f>IFERROR(IF(AND(N28&lt;&gt;"",ISNUMBER(O28),O28&gt;0,O28&gt;=TODAY()-90),1,0),0)</f>
        <v/>
      </c>
      <c r="R28" s="17" t="str">
        <f t="shared" si="2"/>
        <v/>
      </c>
      <c r="S28" s="17" t="str">
        <f>IF(INDEX(Listado!A:A,ROW())="","",INDEX(Listado!A:A,ROW()))</f>
        <v/>
      </c>
      <c r="T28" s="17" t="str">
        <f ca="1">IF(INDEX(Listado!G:G,ROW())="","",INDEX(Listado!G:G,ROW()))</f>
        <v/>
      </c>
      <c r="U28" s="17" t="str">
        <f>IF(INDEX(Listado!F:F,ROW())="","",INDEX(Listado!F:F,ROW()))</f>
        <v/>
      </c>
      <c r="V28" s="17">
        <f>IF(COUNTA(INDEX(Listado!B:B,ROW()):INDEX(Listado!F:F,ROW()))&gt;0,1,0)</f>
        <v/>
      </c>
      <c r="W28" s="17" t="str">
        <f>IF(INDEX(Listado!L:L,ROW())="","",INDEX(Listado!L:L,ROW()))</f>
        <v/>
      </c>
      <c r="X28" s="17">
        <f>IF(N28="","",IF(INDEX(Listado!$M:$M,N28)="No","No","Sí"))</f>
        <v/>
      </c>
    </row>
    <row r="29" spans="2:24" ht="14.25">
      <c r="N29" s="17" t="str">
        <f>IF(V29=0,"",IFERROR(LOOKUP(2,1/(INDEX(Listado!A:A,2):INDEX(Listado!A:A,ROW())&lt;&gt;""),ROW(INDEX(Listado!A:A,2):INDEX(Listado!A:A,ROW()))),""))</f>
        <v/>
      </c>
      <c r="O29" s="17" t="str">
        <f>IFERROR(IF(N29="","",IF(INDEX(Listado!M:M,N29)="No",IF(INDEX(Listado!N:N,N29)=0,"",INDEX(Listado!N:N,N29)),IF(INDEX(Listado!I:I,N29)=0,"",INDEX(Listado!I:I,N29)))),"")</f>
        <v/>
      </c>
      <c r="P29" s="17">
        <f t="shared" ca="1" si="0"/>
        <v/>
      </c>
      <c r="Q29" s="17">
        <f>IFERROR(IF(AND(N29&lt;&gt;"",ISNUMBER(O29),O29&gt;0,O29&gt;=TODAY()-90),1,0),0)</f>
        <v/>
      </c>
      <c r="R29" s="17" t="str">
        <f t="shared" si="2"/>
        <v/>
      </c>
      <c r="S29" s="17" t="str">
        <f>IF(INDEX(Listado!A:A,ROW())="","",INDEX(Listado!A:A,ROW()))</f>
        <v/>
      </c>
      <c r="T29" s="17" t="str">
        <f ca="1">IF(INDEX(Listado!G:G,ROW())="","",INDEX(Listado!G:G,ROW()))</f>
        <v/>
      </c>
      <c r="U29" s="17" t="str">
        <f>IF(INDEX(Listado!F:F,ROW())="","",INDEX(Listado!F:F,ROW()))</f>
        <v/>
      </c>
      <c r="V29" s="17">
        <f>IF(COUNTA(INDEX(Listado!B:B,ROW()):INDEX(Listado!F:F,ROW()))&gt;0,1,0)</f>
        <v/>
      </c>
      <c r="W29" s="17" t="str">
        <f>IF(INDEX(Listado!L:L,ROW())="","",INDEX(Listado!L:L,ROW()))</f>
        <v/>
      </c>
      <c r="X29" s="17">
        <f>IF(N29="","",IF(INDEX(Listado!$M:$M,N29)="No","No","Sí"))</f>
        <v/>
      </c>
    </row>
    <row r="30" spans="2:24" ht="14.25">
      <c r="N30" s="17" t="str">
        <f>IF(V30=0,"",IFERROR(LOOKUP(2,1/(INDEX(Listado!A:A,2):INDEX(Listado!A:A,ROW())&lt;&gt;""),ROW(INDEX(Listado!A:A,2):INDEX(Listado!A:A,ROW()))),""))</f>
        <v/>
      </c>
      <c r="O30" s="17" t="str">
        <f>IFERROR(IF(N30="","",IF(INDEX(Listado!M:M,N30)="No",IF(INDEX(Listado!N:N,N30)=0,"",INDEX(Listado!N:N,N30)),IF(INDEX(Listado!I:I,N30)=0,"",INDEX(Listado!I:I,N30)))),"")</f>
        <v/>
      </c>
      <c r="P30" s="17">
        <f t="shared" ca="1" si="0"/>
        <v/>
      </c>
      <c r="Q30" s="17">
        <f>IFERROR(IF(AND(N30&lt;&gt;"",ISNUMBER(O30),O30&gt;0,O30&gt;=TODAY()-90),1,0),0)</f>
        <v/>
      </c>
      <c r="R30" s="17" t="str">
        <f t="shared" si="2"/>
        <v/>
      </c>
      <c r="S30" s="17" t="str">
        <f>IF(INDEX(Listado!A:A,ROW())="","",INDEX(Listado!A:A,ROW()))</f>
        <v/>
      </c>
      <c r="T30" s="17" t="str">
        <f ca="1">IF(INDEX(Listado!G:G,ROW())="","",INDEX(Listado!G:G,ROW()))</f>
        <v/>
      </c>
      <c r="U30" s="17" t="str">
        <f>IF(INDEX(Listado!F:F,ROW())="","",INDEX(Listado!F:F,ROW()))</f>
        <v/>
      </c>
      <c r="V30" s="17">
        <f>IF(COUNTA(INDEX(Listado!B:B,ROW()):INDEX(Listado!F:F,ROW()))&gt;0,1,0)</f>
        <v/>
      </c>
      <c r="W30" s="17" t="str">
        <f>IF(INDEX(Listado!L:L,ROW())="","",INDEX(Listado!L:L,ROW()))</f>
        <v/>
      </c>
      <c r="X30" s="17">
        <f>IF(N30="","",IF(INDEX(Listado!$M:$M,N30)="No","No","Sí"))</f>
        <v/>
      </c>
    </row>
    <row r="31" spans="2:24" ht="14.25">
      <c r="N31" s="17" t="str">
        <f>IF(V31=0,"",IFERROR(LOOKUP(2,1/(INDEX(Listado!A:A,2):INDEX(Listado!A:A,ROW())&lt;&gt;""),ROW(INDEX(Listado!A:A,2):INDEX(Listado!A:A,ROW()))),""))</f>
        <v/>
      </c>
      <c r="O31" s="17" t="str">
        <f>IFERROR(IF(N31="","",IF(INDEX(Listado!M:M,N31)="No",IF(INDEX(Listado!N:N,N31)=0,"",INDEX(Listado!N:N,N31)),IF(INDEX(Listado!I:I,N31)=0,"",INDEX(Listado!I:I,N31)))),"")</f>
        <v/>
      </c>
      <c r="P31" s="17">
        <f t="shared" ca="1" si="0"/>
        <v/>
      </c>
      <c r="Q31" s="17">
        <f>IFERROR(IF(AND(N31&lt;&gt;"",ISNUMBER(O31),O31&gt;0,O31&gt;=TODAY()-90),1,0),0)</f>
        <v/>
      </c>
      <c r="R31" s="17" t="str">
        <f t="shared" si="2"/>
        <v/>
      </c>
      <c r="S31" s="17" t="str">
        <f>IF(INDEX(Listado!A:A,ROW())="","",INDEX(Listado!A:A,ROW()))</f>
        <v/>
      </c>
      <c r="T31" s="17" t="str">
        <f ca="1">IF(INDEX(Listado!G:G,ROW())="","",INDEX(Listado!G:G,ROW()))</f>
        <v/>
      </c>
      <c r="U31" s="17" t="str">
        <f>IF(INDEX(Listado!F:F,ROW())="","",INDEX(Listado!F:F,ROW()))</f>
        <v/>
      </c>
      <c r="V31" s="17">
        <f>IF(COUNTA(INDEX(Listado!B:B,ROW()):INDEX(Listado!F:F,ROW()))&gt;0,1,0)</f>
        <v/>
      </c>
      <c r="W31" s="17" t="str">
        <f>IF(INDEX(Listado!L:L,ROW())="","",INDEX(Listado!L:L,ROW()))</f>
        <v/>
      </c>
      <c r="X31" s="17">
        <f>IF(N31="","",IF(INDEX(Listado!$M:$M,N31)="No","No","Sí"))</f>
        <v/>
      </c>
    </row>
    <row r="32" spans="2:24" ht="14.25">
      <c r="N32" s="17" t="str">
        <f>IF(V32=0,"",IFERROR(LOOKUP(2,1/(INDEX(Listado!A:A,2):INDEX(Listado!A:A,ROW())&lt;&gt;""),ROW(INDEX(Listado!A:A,2):INDEX(Listado!A:A,ROW()))),""))</f>
        <v/>
      </c>
      <c r="O32" s="17" t="str">
        <f>IFERROR(IF(N32="","",IF(INDEX(Listado!M:M,N32)="No",IF(INDEX(Listado!N:N,N32)=0,"",INDEX(Listado!N:N,N32)),IF(INDEX(Listado!I:I,N32)=0,"",INDEX(Listado!I:I,N32)))),"")</f>
        <v/>
      </c>
      <c r="P32" s="17">
        <f t="shared" ca="1" si="0"/>
        <v/>
      </c>
      <c r="Q32" s="17">
        <f>IFERROR(IF(AND(N32&lt;&gt;"",ISNUMBER(O32),O32&gt;0,O32&gt;=TODAY()-90),1,0),0)</f>
        <v/>
      </c>
      <c r="R32" s="17" t="str">
        <f t="shared" si="2"/>
        <v/>
      </c>
      <c r="S32" s="17" t="str">
        <f>IF(INDEX(Listado!A:A,ROW())="","",INDEX(Listado!A:A,ROW()))</f>
        <v/>
      </c>
      <c r="T32" s="17" t="str">
        <f ca="1">IF(INDEX(Listado!G:G,ROW())="","",INDEX(Listado!G:G,ROW()))</f>
        <v/>
      </c>
      <c r="U32" s="17" t="str">
        <f>IF(INDEX(Listado!F:F,ROW())="","",INDEX(Listado!F:F,ROW()))</f>
        <v/>
      </c>
      <c r="V32" s="17">
        <f>IF(COUNTA(INDEX(Listado!B:B,ROW()):INDEX(Listado!F:F,ROW()))&gt;0,1,0)</f>
        <v/>
      </c>
      <c r="W32" s="17" t="str">
        <f>IF(INDEX(Listado!L:L,ROW())="","",INDEX(Listado!L:L,ROW()))</f>
        <v/>
      </c>
      <c r="X32" s="17">
        <f>IF(N32="","",IF(INDEX(Listado!$M:$M,N32)="No","No","Sí"))</f>
        <v/>
      </c>
    </row>
    <row r="33" spans="2:24" ht="14.25">
      <c r="N33" s="17" t="str">
        <f>IF(V33=0,"",IFERROR(LOOKUP(2,1/(INDEX(Listado!A:A,2):INDEX(Listado!A:A,ROW())&lt;&gt;""),ROW(INDEX(Listado!A:A,2):INDEX(Listado!A:A,ROW()))),""))</f>
        <v/>
      </c>
      <c r="O33" s="17" t="str">
        <f>IFERROR(IF(N33="","",IF(INDEX(Listado!M:M,N33)="No",IF(INDEX(Listado!N:N,N33)=0,"",INDEX(Listado!N:N,N33)),IF(INDEX(Listado!I:I,N33)=0,"",INDEX(Listado!I:I,N33)))),"")</f>
        <v/>
      </c>
      <c r="P33" s="17">
        <f t="shared" ca="1" si="0"/>
        <v/>
      </c>
      <c r="Q33" s="17">
        <f>IFERROR(IF(AND(N33&lt;&gt;"",ISNUMBER(O33),O33&gt;0,O33&gt;=TODAY()-90),1,0),0)</f>
        <v/>
      </c>
      <c r="R33" s="17" t="str">
        <f t="shared" si="2"/>
        <v/>
      </c>
      <c r="S33" s="17" t="str">
        <f>IF(INDEX(Listado!A:A,ROW())="","",INDEX(Listado!A:A,ROW()))</f>
        <v/>
      </c>
      <c r="T33" s="17" t="str">
        <f ca="1">IF(INDEX(Listado!G:G,ROW())="","",INDEX(Listado!G:G,ROW()))</f>
        <v/>
      </c>
      <c r="U33" s="17" t="str">
        <f>IF(INDEX(Listado!F:F,ROW())="","",INDEX(Listado!F:F,ROW()))</f>
        <v/>
      </c>
      <c r="V33" s="17">
        <f>IF(COUNTA(INDEX(Listado!B:B,ROW()):INDEX(Listado!F:F,ROW()))&gt;0,1,0)</f>
        <v/>
      </c>
      <c r="W33" s="17" t="str">
        <f>IF(INDEX(Listado!L:L,ROW())="","",INDEX(Listado!L:L,ROW()))</f>
        <v/>
      </c>
      <c r="X33" s="17">
        <f>IF(N33="","",IF(INDEX(Listado!$M:$M,N33)="No","No","Sí"))</f>
        <v/>
      </c>
    </row>
    <row r="34" spans="2:24" ht="14.25">
      <c r="N34" s="17" t="str">
        <f>IF(V34=0,"",IFERROR(LOOKUP(2,1/(INDEX(Listado!A:A,2):INDEX(Listado!A:A,ROW())&lt;&gt;""),ROW(INDEX(Listado!A:A,2):INDEX(Listado!A:A,ROW()))),""))</f>
        <v/>
      </c>
      <c r="O34" s="17" t="str">
        <f>IFERROR(IF(N34="","",IF(INDEX(Listado!M:M,N34)="No",IF(INDEX(Listado!N:N,N34)=0,"",INDEX(Listado!N:N,N34)),IF(INDEX(Listado!I:I,N34)=0,"",INDEX(Listado!I:I,N34)))),"")</f>
        <v/>
      </c>
      <c r="P34" s="17">
        <f t="shared" ca="1" si="0"/>
        <v/>
      </c>
      <c r="Q34" s="17">
        <f>IFERROR(IF(AND(N34&lt;&gt;"",ISNUMBER(O34),O34&gt;0,O34&gt;=TODAY()-90),1,0),0)</f>
        <v/>
      </c>
      <c r="R34" s="17" t="str">
        <f t="shared" si="2"/>
        <v/>
      </c>
      <c r="S34" s="17" t="str">
        <f>IF(INDEX(Listado!A:A,ROW())="","",INDEX(Listado!A:A,ROW()))</f>
        <v/>
      </c>
      <c r="T34" s="17" t="str">
        <f ca="1">IF(INDEX(Listado!G:G,ROW())="","",INDEX(Listado!G:G,ROW()))</f>
        <v/>
      </c>
      <c r="U34" s="17" t="str">
        <f>IF(INDEX(Listado!F:F,ROW())="","",INDEX(Listado!F:F,ROW()))</f>
        <v/>
      </c>
      <c r="V34" s="17">
        <f>IF(COUNTA(INDEX(Listado!B:B,ROW()):INDEX(Listado!F:F,ROW()))&gt;0,1,0)</f>
        <v/>
      </c>
      <c r="W34" s="17" t="str">
        <f>IF(INDEX(Listado!L:L,ROW())="","",INDEX(Listado!L:L,ROW()))</f>
        <v/>
      </c>
      <c r="X34" s="17">
        <f>IF(N34="","",IF(INDEX(Listado!$M:$M,N34)="No","No","Sí"))</f>
        <v/>
      </c>
    </row>
    <row r="35" spans="2:24" ht="14.25">
      <c r="N35" s="17" t="str">
        <f>IF(V35=0,"",IFERROR(LOOKUP(2,1/(INDEX(Listado!A:A,2):INDEX(Listado!A:A,ROW())&lt;&gt;""),ROW(INDEX(Listado!A:A,2):INDEX(Listado!A:A,ROW()))),""))</f>
        <v/>
      </c>
      <c r="O35" s="17" t="str">
        <f>IFERROR(IF(N35="","",IF(INDEX(Listado!M:M,N35)="No",IF(INDEX(Listado!N:N,N35)=0,"",INDEX(Listado!N:N,N35)),IF(INDEX(Listado!I:I,N35)=0,"",INDEX(Listado!I:I,N35)))),"")</f>
        <v/>
      </c>
      <c r="P35" s="17">
        <f t="shared" ca="1" si="0"/>
        <v/>
      </c>
      <c r="Q35" s="17">
        <f>IFERROR(IF(AND(N35&lt;&gt;"",ISNUMBER(O35),O35&gt;0,O35&gt;=TODAY()-90),1,0),0)</f>
        <v/>
      </c>
      <c r="R35" s="17" t="str">
        <f t="shared" si="2"/>
        <v/>
      </c>
      <c r="S35" s="17" t="str">
        <f>IF(INDEX(Listado!A:A,ROW())="","",INDEX(Listado!A:A,ROW()))</f>
        <v/>
      </c>
      <c r="T35" s="17" t="str">
        <f ca="1">IF(INDEX(Listado!G:G,ROW())="","",INDEX(Listado!G:G,ROW()))</f>
        <v/>
      </c>
      <c r="U35" s="17" t="str">
        <f>IF(INDEX(Listado!F:F,ROW())="","",INDEX(Listado!F:F,ROW()))</f>
        <v/>
      </c>
      <c r="V35" s="17">
        <f>IF(COUNTA(INDEX(Listado!B:B,ROW()):INDEX(Listado!F:F,ROW()))&gt;0,1,0)</f>
        <v/>
      </c>
      <c r="W35" s="17" t="str">
        <f>IF(INDEX(Listado!L:L,ROW())="","",INDEX(Listado!L:L,ROW()))</f>
        <v/>
      </c>
      <c r="X35" s="17">
        <f>IF(N35="","",IF(INDEX(Listado!$M:$M,N35)="No","No","Sí"))</f>
        <v/>
      </c>
    </row>
    <row r="36" spans="2:24" ht="14.25">
      <c r="N36" s="17" t="str">
        <f>IF(V36=0,"",IFERROR(LOOKUP(2,1/(INDEX(Listado!A:A,2):INDEX(Listado!A:A,ROW())&lt;&gt;""),ROW(INDEX(Listado!A:A,2):INDEX(Listado!A:A,ROW()))),""))</f>
        <v/>
      </c>
      <c r="O36" s="17" t="str">
        <f>IFERROR(IF(N36="","",IF(INDEX(Listado!M:M,N36)="No",IF(INDEX(Listado!N:N,N36)=0,"",INDEX(Listado!N:N,N36)),IF(INDEX(Listado!I:I,N36)=0,"",INDEX(Listado!I:I,N36)))),"")</f>
        <v/>
      </c>
      <c r="P36" s="17">
        <f t="shared" ca="1" si="0"/>
        <v/>
      </c>
      <c r="Q36" s="17">
        <f>IFERROR(IF(AND(N36&lt;&gt;"",ISNUMBER(O36),O36&gt;0,O36&gt;=TODAY()-90),1,0),0)</f>
        <v/>
      </c>
      <c r="R36" s="17" t="str">
        <f t="shared" si="2"/>
        <v/>
      </c>
      <c r="S36" s="17" t="str">
        <f>IF(INDEX(Listado!A:A,ROW())="","",INDEX(Listado!A:A,ROW()))</f>
        <v/>
      </c>
      <c r="T36" s="17" t="str">
        <f ca="1">IF(INDEX(Listado!G:G,ROW())="","",INDEX(Listado!G:G,ROW()))</f>
        <v/>
      </c>
      <c r="U36" s="17" t="str">
        <f>IF(INDEX(Listado!F:F,ROW())="","",INDEX(Listado!F:F,ROW()))</f>
        <v/>
      </c>
      <c r="V36" s="17">
        <f>IF(COUNTA(INDEX(Listado!B:B,ROW()):INDEX(Listado!F:F,ROW()))&gt;0,1,0)</f>
        <v/>
      </c>
      <c r="W36" s="17" t="str">
        <f>IF(INDEX(Listado!L:L,ROW())="","",INDEX(Listado!L:L,ROW()))</f>
        <v/>
      </c>
      <c r="X36" s="17">
        <f>IF(N36="","",IF(INDEX(Listado!$M:$M,N36)="No","No","Sí"))</f>
        <v/>
      </c>
    </row>
    <row r="37" spans="2:24" ht="14.25">
      <c r="N37" s="17" t="str">
        <f>IF(V37=0,"",IFERROR(LOOKUP(2,1/(INDEX(Listado!A:A,2):INDEX(Listado!A:A,ROW())&lt;&gt;""),ROW(INDEX(Listado!A:A,2):INDEX(Listado!A:A,ROW()))),""))</f>
        <v/>
      </c>
      <c r="O37" s="17" t="str">
        <f>IFERROR(IF(N37="","",IF(INDEX(Listado!M:M,N37)="No",IF(INDEX(Listado!N:N,N37)=0,"",INDEX(Listado!N:N,N37)),IF(INDEX(Listado!I:I,N37)=0,"",INDEX(Listado!I:I,N37)))),"")</f>
        <v/>
      </c>
      <c r="P37" s="17">
        <f t="shared" ca="1" si="0"/>
        <v/>
      </c>
      <c r="Q37" s="17">
        <f>IFERROR(IF(AND(N37&lt;&gt;"",ISNUMBER(O37),O37&gt;0,O37&gt;=TODAY()-90),1,0),0)</f>
        <v/>
      </c>
      <c r="R37" s="17" t="str">
        <f t="shared" si="2"/>
        <v/>
      </c>
      <c r="S37" s="17" t="str">
        <f>IF(INDEX(Listado!A:A,ROW())="","",INDEX(Listado!A:A,ROW()))</f>
        <v/>
      </c>
      <c r="T37" s="17" t="str">
        <f ca="1">IF(INDEX(Listado!G:G,ROW())="","",INDEX(Listado!G:G,ROW()))</f>
        <v/>
      </c>
      <c r="U37" s="17" t="str">
        <f>IF(INDEX(Listado!F:F,ROW())="","",INDEX(Listado!F:F,ROW()))</f>
        <v/>
      </c>
      <c r="V37" s="17">
        <f>IF(COUNTA(INDEX(Listado!B:B,ROW()):INDEX(Listado!F:F,ROW()))&gt;0,1,0)</f>
        <v/>
      </c>
      <c r="W37" s="17" t="str">
        <f>IF(INDEX(Listado!L:L,ROW())="","",INDEX(Listado!L:L,ROW()))</f>
        <v/>
      </c>
      <c r="X37" s="17">
        <f>IF(N37="","",IF(INDEX(Listado!$M:$M,N37)="No","No","Sí"))</f>
        <v/>
      </c>
    </row>
    <row r="38" spans="2:24" ht="14.25">
      <c r="N38" s="17" t="str">
        <f>IF(V38=0,"",IFERROR(LOOKUP(2,1/(INDEX(Listado!A:A,2):INDEX(Listado!A:A,ROW())&lt;&gt;""),ROW(INDEX(Listado!A:A,2):INDEX(Listado!A:A,ROW()))),""))</f>
        <v/>
      </c>
      <c r="O38" s="17" t="str">
        <f>IFERROR(IF(N38="","",IF(INDEX(Listado!M:M,N38)="No",IF(INDEX(Listado!N:N,N38)=0,"",INDEX(Listado!N:N,N38)),IF(INDEX(Listado!I:I,N38)=0,"",INDEX(Listado!I:I,N38)))),"")</f>
        <v/>
      </c>
      <c r="P38" s="17">
        <f t="shared" ca="1" si="0"/>
        <v/>
      </c>
      <c r="Q38" s="17">
        <f>IFERROR(IF(AND(N38&lt;&gt;"",ISNUMBER(O38),O38&gt;0,O38&gt;=TODAY()-90),1,0),0)</f>
        <v/>
      </c>
      <c r="R38" s="17" t="str">
        <f t="shared" si="2"/>
        <v/>
      </c>
      <c r="S38" s="17" t="str">
        <f>IF(INDEX(Listado!A:A,ROW())="","",INDEX(Listado!A:A,ROW()))</f>
        <v/>
      </c>
      <c r="T38" s="17" t="str">
        <f ca="1">IF(INDEX(Listado!G:G,ROW())="","",INDEX(Listado!G:G,ROW()))</f>
        <v/>
      </c>
      <c r="U38" s="17" t="str">
        <f>IF(INDEX(Listado!F:F,ROW())="","",INDEX(Listado!F:F,ROW()))</f>
        <v/>
      </c>
      <c r="V38" s="17">
        <f>IF(COUNTA(INDEX(Listado!B:B,ROW()):INDEX(Listado!F:F,ROW()))&gt;0,1,0)</f>
        <v/>
      </c>
      <c r="W38" s="17" t="str">
        <f>IF(INDEX(Listado!L:L,ROW())="","",INDEX(Listado!L:L,ROW()))</f>
        <v/>
      </c>
      <c r="X38" s="17">
        <f>IF(N38="","",IF(INDEX(Listado!$M:$M,N38)="No","No","Sí"))</f>
        <v/>
      </c>
    </row>
    <row r="39" spans="2:24" ht="14.25">
      <c r="N39" s="17" t="str">
        <f>IF(V39=0,"",IFERROR(LOOKUP(2,1/(INDEX(Listado!A:A,2):INDEX(Listado!A:A,ROW())&lt;&gt;""),ROW(INDEX(Listado!A:A,2):INDEX(Listado!A:A,ROW()))),""))</f>
        <v/>
      </c>
      <c r="O39" s="17" t="str">
        <f>IFERROR(IF(N39="","",IF(INDEX(Listado!M:M,N39)="No",IF(INDEX(Listado!N:N,N39)=0,"",INDEX(Listado!N:N,N39)),IF(INDEX(Listado!I:I,N39)=0,"",INDEX(Listado!I:I,N39)))),"")</f>
        <v/>
      </c>
      <c r="P39" s="17">
        <f t="shared" ca="1" si="0"/>
        <v/>
      </c>
      <c r="Q39" s="17">
        <f>IFERROR(IF(AND(N39&lt;&gt;"",ISNUMBER(O39),O39&gt;0,O39&gt;=TODAY()-90),1,0),0)</f>
        <v/>
      </c>
      <c r="R39" s="17" t="str">
        <f t="shared" si="2"/>
        <v/>
      </c>
      <c r="S39" s="17" t="str">
        <f>IF(INDEX(Listado!A:A,ROW())="","",INDEX(Listado!A:A,ROW()))</f>
        <v/>
      </c>
      <c r="T39" s="17" t="str">
        <f ca="1">IF(INDEX(Listado!G:G,ROW())="","",INDEX(Listado!G:G,ROW()))</f>
        <v/>
      </c>
      <c r="U39" s="17" t="str">
        <f>IF(INDEX(Listado!F:F,ROW())="","",INDEX(Listado!F:F,ROW()))</f>
        <v/>
      </c>
      <c r="V39" s="17">
        <f>IF(COUNTA(INDEX(Listado!B:B,ROW()):INDEX(Listado!F:F,ROW()))&gt;0,1,0)</f>
        <v/>
      </c>
      <c r="W39" s="17" t="str">
        <f>IF(INDEX(Listado!L:L,ROW())="","",INDEX(Listado!L:L,ROW()))</f>
        <v/>
      </c>
      <c r="X39" s="17">
        <f>IF(N39="","",IF(INDEX(Listado!$M:$M,N39)="No","No","Sí"))</f>
        <v/>
      </c>
    </row>
    <row r="40" spans="2:24" ht="14.25">
      <c r="N40" s="17" t="str">
        <f>IF(V40=0,"",IFERROR(LOOKUP(2,1/(INDEX(Listado!A:A,2):INDEX(Listado!A:A,ROW())&lt;&gt;""),ROW(INDEX(Listado!A:A,2):INDEX(Listado!A:A,ROW()))),""))</f>
        <v/>
      </c>
      <c r="O40" s="17" t="str">
        <f>IFERROR(IF(N40="","",IF(INDEX(Listado!M:M,N40)="No",IF(INDEX(Listado!N:N,N40)=0,"",INDEX(Listado!N:N,N40)),IF(INDEX(Listado!I:I,N40)=0,"",INDEX(Listado!I:I,N40)))),"")</f>
        <v/>
      </c>
      <c r="P40" s="17">
        <f t="shared" ca="1" si="0"/>
        <v/>
      </c>
      <c r="Q40" s="17">
        <f>IFERROR(IF(AND(N40&lt;&gt;"",ISNUMBER(O40),O40&gt;0,O40&gt;=TODAY()-90),1,0),0)</f>
        <v/>
      </c>
      <c r="R40" s="17" t="str">
        <f t="shared" si="2"/>
        <v/>
      </c>
      <c r="S40" s="17" t="str">
        <f>IF(INDEX(Listado!A:A,ROW())="","",INDEX(Listado!A:A,ROW()))</f>
        <v/>
      </c>
      <c r="T40" s="17" t="str">
        <f ca="1">IF(INDEX(Listado!G:G,ROW())="","",INDEX(Listado!G:G,ROW()))</f>
        <v/>
      </c>
      <c r="U40" s="17" t="str">
        <f>IF(INDEX(Listado!F:F,ROW())="","",INDEX(Listado!F:F,ROW()))</f>
        <v/>
      </c>
      <c r="V40" s="17">
        <f>IF(COUNTA(INDEX(Listado!B:B,ROW()):INDEX(Listado!F:F,ROW()))&gt;0,1,0)</f>
        <v/>
      </c>
      <c r="W40" s="17" t="str">
        <f>IF(INDEX(Listado!L:L,ROW())="","",INDEX(Listado!L:L,ROW()))</f>
        <v/>
      </c>
      <c r="X40" s="17">
        <f>IF(N40="","",IF(INDEX(Listado!$M:$M,N40)="No","No","Sí"))</f>
        <v/>
      </c>
    </row>
    <row r="41" spans="2:24" ht="14.25">
      <c r="N41" s="17" t="str">
        <f>IF(V41=0,"",IFERROR(LOOKUP(2,1/(INDEX(Listado!A:A,2):INDEX(Listado!A:A,ROW())&lt;&gt;""),ROW(INDEX(Listado!A:A,2):INDEX(Listado!A:A,ROW()))),""))</f>
        <v/>
      </c>
      <c r="O41" s="17" t="str">
        <f>IFERROR(IF(N41="","",IF(INDEX(Listado!M:M,N41)="No",IF(INDEX(Listado!N:N,N41)=0,"",INDEX(Listado!N:N,N41)),IF(INDEX(Listado!I:I,N41)=0,"",INDEX(Listado!I:I,N41)))),"")</f>
        <v/>
      </c>
      <c r="P41" s="17">
        <f t="shared" ca="1" si="0"/>
        <v/>
      </c>
      <c r="Q41" s="17">
        <f>IFERROR(IF(AND(N41&lt;&gt;"",ISNUMBER(O41),O41&gt;0,O41&gt;=TODAY()-90),1,0),0)</f>
        <v/>
      </c>
      <c r="R41" s="17" t="str">
        <f t="shared" si="2"/>
        <v/>
      </c>
      <c r="S41" s="17" t="str">
        <f>IF(INDEX(Listado!A:A,ROW())="","",INDEX(Listado!A:A,ROW()))</f>
        <v/>
      </c>
      <c r="T41" s="17" t="str">
        <f ca="1">IF(INDEX(Listado!G:G,ROW())="","",INDEX(Listado!G:G,ROW()))</f>
        <v/>
      </c>
      <c r="U41" s="17" t="str">
        <f>IF(INDEX(Listado!F:F,ROW())="","",INDEX(Listado!F:F,ROW()))</f>
        <v/>
      </c>
      <c r="V41" s="17">
        <f>IF(COUNTA(INDEX(Listado!B:B,ROW()):INDEX(Listado!F:F,ROW()))&gt;0,1,0)</f>
        <v/>
      </c>
      <c r="W41" s="17" t="str">
        <f>IF(INDEX(Listado!L:L,ROW())="","",INDEX(Listado!L:L,ROW()))</f>
        <v/>
      </c>
      <c r="X41" s="17">
        <f>IF(N41="","",IF(INDEX(Listado!$M:$M,N41)="No","No","Sí"))</f>
        <v/>
      </c>
    </row>
    <row r="42" spans="2:24" ht="14.25">
      <c r="N42" s="17" t="str">
        <f>IF(V42=0,"",IFERROR(LOOKUP(2,1/(INDEX(Listado!A:A,2):INDEX(Listado!A:A,ROW())&lt;&gt;""),ROW(INDEX(Listado!A:A,2):INDEX(Listado!A:A,ROW()))),""))</f>
        <v/>
      </c>
      <c r="O42" s="17" t="str">
        <f>IFERROR(IF(N42="","",IF(INDEX(Listado!M:M,N42)="No",IF(INDEX(Listado!N:N,N42)=0,"",INDEX(Listado!N:N,N42)),IF(INDEX(Listado!I:I,N42)=0,"",INDEX(Listado!I:I,N42)))),"")</f>
        <v/>
      </c>
      <c r="P42" s="17">
        <f t="shared" ca="1" si="0"/>
        <v/>
      </c>
      <c r="Q42" s="17">
        <f>IFERROR(IF(AND(N42&lt;&gt;"",ISNUMBER(O42),O42&gt;0,O42&gt;=TODAY()-90),1,0),0)</f>
        <v/>
      </c>
      <c r="R42" s="17" t="str">
        <f t="shared" si="2"/>
        <v/>
      </c>
      <c r="S42" s="17" t="str">
        <f>IF(INDEX(Listado!A:A,ROW())="","",INDEX(Listado!A:A,ROW()))</f>
        <v/>
      </c>
      <c r="T42" s="17" t="str">
        <f ca="1">IF(INDEX(Listado!G:G,ROW())="","",INDEX(Listado!G:G,ROW()))</f>
        <v/>
      </c>
      <c r="U42" s="17" t="str">
        <f>IF(INDEX(Listado!F:F,ROW())="","",INDEX(Listado!F:F,ROW()))</f>
        <v/>
      </c>
      <c r="V42" s="17">
        <f>IF(COUNTA(INDEX(Listado!B:B,ROW()):INDEX(Listado!F:F,ROW()))&gt;0,1,0)</f>
        <v/>
      </c>
      <c r="W42" s="17" t="str">
        <f>IF(INDEX(Listado!L:L,ROW())="","",INDEX(Listado!L:L,ROW()))</f>
        <v/>
      </c>
      <c r="X42" s="17">
        <f>IF(N42="","",IF(INDEX(Listado!$M:$M,N42)="No","No","Sí"))</f>
        <v/>
      </c>
    </row>
    <row r="43" spans="2:24" ht="14.25">
      <c r="N43" s="17" t="str">
        <f>IF(V43=0,"",IFERROR(LOOKUP(2,1/(INDEX(Listado!A:A,2):INDEX(Listado!A:A,ROW())&lt;&gt;""),ROW(INDEX(Listado!A:A,2):INDEX(Listado!A:A,ROW()))),""))</f>
        <v/>
      </c>
      <c r="O43" s="17" t="str">
        <f>IFERROR(IF(N43="","",IF(INDEX(Listado!M:M,N43)="No",IF(INDEX(Listado!N:N,N43)=0,"",INDEX(Listado!N:N,N43)),IF(INDEX(Listado!I:I,N43)=0,"",INDEX(Listado!I:I,N43)))),"")</f>
        <v/>
      </c>
      <c r="P43" s="17">
        <f t="shared" ca="1" si="0"/>
        <v/>
      </c>
      <c r="Q43" s="17">
        <f>IFERROR(IF(AND(N43&lt;&gt;"",ISNUMBER(O43),O43&gt;0,O43&gt;=TODAY()-90),1,0),0)</f>
        <v/>
      </c>
      <c r="R43" s="17" t="str">
        <f t="shared" si="2"/>
        <v/>
      </c>
      <c r="S43" s="17" t="str">
        <f>IF(INDEX(Listado!A:A,ROW())="","",INDEX(Listado!A:A,ROW()))</f>
        <v/>
      </c>
      <c r="T43" s="17" t="str">
        <f ca="1">IF(INDEX(Listado!G:G,ROW())="","",INDEX(Listado!G:G,ROW()))</f>
        <v/>
      </c>
      <c r="U43" s="17" t="str">
        <f>IF(INDEX(Listado!F:F,ROW())="","",INDEX(Listado!F:F,ROW()))</f>
        <v/>
      </c>
      <c r="V43" s="17">
        <f>IF(COUNTA(INDEX(Listado!B:B,ROW()):INDEX(Listado!F:F,ROW()))&gt;0,1,0)</f>
        <v/>
      </c>
      <c r="W43" s="17" t="str">
        <f>IF(INDEX(Listado!L:L,ROW())="","",INDEX(Listado!L:L,ROW()))</f>
        <v/>
      </c>
      <c r="X43" s="17">
        <f>IF(N43="","",IF(INDEX(Listado!$M:$M,N43)="No","No","Sí"))</f>
        <v/>
      </c>
    </row>
    <row r="44" spans="2:24" ht="14.25">
      <c r="N44" s="17" t="str">
        <f>IF(V44=0,"",IFERROR(LOOKUP(2,1/(INDEX(Listado!A:A,2):INDEX(Listado!A:A,ROW())&lt;&gt;""),ROW(INDEX(Listado!A:A,2):INDEX(Listado!A:A,ROW()))),""))</f>
        <v/>
      </c>
      <c r="O44" s="17" t="str">
        <f>IFERROR(IF(N44="","",IF(INDEX(Listado!M:M,N44)="No",IF(INDEX(Listado!N:N,N44)=0,"",INDEX(Listado!N:N,N44)),IF(INDEX(Listado!I:I,N44)=0,"",INDEX(Listado!I:I,N44)))),"")</f>
        <v/>
      </c>
      <c r="P44" s="17">
        <f t="shared" ca="1" si="0"/>
        <v/>
      </c>
      <c r="Q44" s="17">
        <f>IFERROR(IF(AND(N44&lt;&gt;"",ISNUMBER(O44),O44&gt;0,O44&gt;=TODAY()-90),1,0),0)</f>
        <v/>
      </c>
      <c r="R44" s="17" t="str">
        <f t="shared" si="2"/>
        <v/>
      </c>
      <c r="S44" s="17" t="str">
        <f>IF(INDEX(Listado!A:A,ROW())="","",INDEX(Listado!A:A,ROW()))</f>
        <v/>
      </c>
      <c r="T44" s="17" t="str">
        <f ca="1">IF(INDEX(Listado!G:G,ROW())="","",INDEX(Listado!G:G,ROW()))</f>
        <v/>
      </c>
      <c r="U44" s="17" t="str">
        <f>IF(INDEX(Listado!F:F,ROW())="","",INDEX(Listado!F:F,ROW()))</f>
        <v/>
      </c>
      <c r="V44" s="17">
        <f>IF(COUNTA(INDEX(Listado!B:B,ROW()):INDEX(Listado!F:F,ROW()))&gt;0,1,0)</f>
        <v/>
      </c>
      <c r="W44" s="17" t="str">
        <f>IF(INDEX(Listado!L:L,ROW())="","",INDEX(Listado!L:L,ROW()))</f>
        <v/>
      </c>
      <c r="X44" s="17">
        <f>IF(N44="","",IF(INDEX(Listado!$M:$M,N44)="No","No","Sí"))</f>
        <v/>
      </c>
    </row>
    <row r="45" spans="2:24" ht="14.25">
      <c r="N45" s="17" t="str">
        <f>IF(V45=0,"",IFERROR(LOOKUP(2,1/(INDEX(Listado!A:A,2):INDEX(Listado!A:A,ROW())&lt;&gt;""),ROW(INDEX(Listado!A:A,2):INDEX(Listado!A:A,ROW()))),""))</f>
        <v/>
      </c>
      <c r="O45" s="17" t="str">
        <f>IFERROR(IF(N45="","",IF(INDEX(Listado!M:M,N45)="No",IF(INDEX(Listado!N:N,N45)=0,"",INDEX(Listado!N:N,N45)),IF(INDEX(Listado!I:I,N45)=0,"",INDEX(Listado!I:I,N45)))),"")</f>
        <v/>
      </c>
      <c r="P45" s="17">
        <f t="shared" ca="1" si="0"/>
        <v/>
      </c>
      <c r="Q45" s="17">
        <f>IFERROR(IF(AND(N45&lt;&gt;"",ISNUMBER(O45),O45&gt;0,O45&gt;=TODAY()-90),1,0),0)</f>
        <v/>
      </c>
      <c r="R45" s="17" t="str">
        <f t="shared" si="2"/>
        <v/>
      </c>
      <c r="S45" s="17" t="str">
        <f>IF(INDEX(Listado!A:A,ROW())="","",INDEX(Listado!A:A,ROW()))</f>
        <v/>
      </c>
      <c r="T45" s="17" t="str">
        <f ca="1">IF(INDEX(Listado!G:G,ROW())="","",INDEX(Listado!G:G,ROW()))</f>
        <v/>
      </c>
      <c r="U45" s="17" t="str">
        <f>IF(INDEX(Listado!F:F,ROW())="","",INDEX(Listado!F:F,ROW()))</f>
        <v/>
      </c>
      <c r="V45" s="17">
        <f>IF(COUNTA(INDEX(Listado!B:B,ROW()):INDEX(Listado!F:F,ROW()))&gt;0,1,0)</f>
        <v/>
      </c>
      <c r="W45" s="17" t="str">
        <f>IF(INDEX(Listado!L:L,ROW())="","",INDEX(Listado!L:L,ROW()))</f>
        <v/>
      </c>
      <c r="X45" s="17">
        <f>IF(N45="","",IF(INDEX(Listado!$M:$M,N45)="No","No","Sí"))</f>
        <v/>
      </c>
    </row>
    <row r="46" spans="2:24" ht="14.25">
      <c r="N46" s="17" t="str">
        <f>IF(V46=0,"",IFERROR(LOOKUP(2,1/(INDEX(Listado!A:A,2):INDEX(Listado!A:A,ROW())&lt;&gt;""),ROW(INDEX(Listado!A:A,2):INDEX(Listado!A:A,ROW()))),""))</f>
        <v/>
      </c>
      <c r="O46" s="17" t="str">
        <f>IFERROR(IF(N46="","",IF(INDEX(Listado!M:M,N46)="No",IF(INDEX(Listado!N:N,N46)=0,"",INDEX(Listado!N:N,N46)),IF(INDEX(Listado!I:I,N46)=0,"",INDEX(Listado!I:I,N46)))),"")</f>
        <v/>
      </c>
      <c r="P46" s="17">
        <f t="shared" ca="1" si="0"/>
        <v/>
      </c>
      <c r="Q46" s="17">
        <f>IFERROR(IF(AND(N46&lt;&gt;"",ISNUMBER(O46),O46&gt;0,O46&gt;=TODAY()-90),1,0),0)</f>
        <v/>
      </c>
      <c r="R46" s="17" t="str">
        <f t="shared" si="2"/>
        <v/>
      </c>
      <c r="S46" s="17" t="str">
        <f>IF(INDEX(Listado!A:A,ROW())="","",INDEX(Listado!A:A,ROW()))</f>
        <v/>
      </c>
      <c r="T46" s="17" t="str">
        <f ca="1">IF(INDEX(Listado!G:G,ROW())="","",INDEX(Listado!G:G,ROW()))</f>
        <v/>
      </c>
      <c r="U46" s="17" t="str">
        <f>IF(INDEX(Listado!F:F,ROW())="","",INDEX(Listado!F:F,ROW()))</f>
        <v/>
      </c>
      <c r="V46" s="17">
        <f>IF(COUNTA(INDEX(Listado!B:B,ROW()):INDEX(Listado!F:F,ROW()))&gt;0,1,0)</f>
        <v/>
      </c>
      <c r="W46" s="17" t="str">
        <f>IF(INDEX(Listado!L:L,ROW())="","",INDEX(Listado!L:L,ROW()))</f>
        <v/>
      </c>
      <c r="X46" s="17">
        <f>IF(N46="","",IF(INDEX(Listado!$M:$M,N46)="No","No","Sí"))</f>
        <v/>
      </c>
    </row>
    <row r="47" spans="2:24" ht="14.25">
      <c r="N47" s="17" t="str">
        <f>IF(V47=0,"",IFERROR(LOOKUP(2,1/(INDEX(Listado!A:A,2):INDEX(Listado!A:A,ROW())&lt;&gt;""),ROW(INDEX(Listado!A:A,2):INDEX(Listado!A:A,ROW()))),""))</f>
        <v/>
      </c>
      <c r="O47" s="17" t="str">
        <f>IFERROR(IF(N47="","",IF(INDEX(Listado!M:M,N47)="No",IF(INDEX(Listado!N:N,N47)=0,"",INDEX(Listado!N:N,N47)),IF(INDEX(Listado!I:I,N47)=0,"",INDEX(Listado!I:I,N47)))),"")</f>
        <v/>
      </c>
      <c r="P47" s="17">
        <f t="shared" ca="1" si="0"/>
        <v/>
      </c>
      <c r="Q47" s="17">
        <f>IFERROR(IF(AND(N47&lt;&gt;"",ISNUMBER(O47),O47&gt;0,O47&gt;=TODAY()-90),1,0),0)</f>
        <v/>
      </c>
      <c r="R47" s="17" t="str">
        <f t="shared" si="2"/>
        <v/>
      </c>
      <c r="S47" s="17" t="str">
        <f>IF(INDEX(Listado!A:A,ROW())="","",INDEX(Listado!A:A,ROW()))</f>
        <v/>
      </c>
      <c r="T47" s="17" t="str">
        <f ca="1">IF(INDEX(Listado!G:G,ROW())="","",INDEX(Listado!G:G,ROW()))</f>
        <v/>
      </c>
      <c r="U47" s="17" t="str">
        <f>IF(INDEX(Listado!F:F,ROW())="","",INDEX(Listado!F:F,ROW()))</f>
        <v/>
      </c>
      <c r="V47" s="17">
        <f>IF(COUNTA(INDEX(Listado!B:B,ROW()):INDEX(Listado!F:F,ROW()))&gt;0,1,0)</f>
        <v/>
      </c>
      <c r="W47" s="17" t="str">
        <f>IF(INDEX(Listado!L:L,ROW())="","",INDEX(Listado!L:L,ROW()))</f>
        <v/>
      </c>
      <c r="X47" s="17">
        <f>IF(N47="","",IF(INDEX(Listado!$M:$M,N47)="No","No","Sí"))</f>
        <v/>
      </c>
    </row>
    <row r="48" spans="2:24" ht="14.25">
      <c r="N48" s="17" t="str">
        <f>IF(V48=0,"",IFERROR(LOOKUP(2,1/(INDEX(Listado!A:A,2):INDEX(Listado!A:A,ROW())&lt;&gt;""),ROW(INDEX(Listado!A:A,2):INDEX(Listado!A:A,ROW()))),""))</f>
        <v/>
      </c>
      <c r="O48" s="17" t="str">
        <f>IFERROR(IF(N48="","",IF(INDEX(Listado!M:M,N48)="No",IF(INDEX(Listado!N:N,N48)=0,"",INDEX(Listado!N:N,N48)),IF(INDEX(Listado!I:I,N48)=0,"",INDEX(Listado!I:I,N48)))),"")</f>
        <v/>
      </c>
      <c r="P48" s="17">
        <f t="shared" ca="1" si="0"/>
        <v/>
      </c>
      <c r="Q48" s="17">
        <f>IFERROR(IF(AND(N48&lt;&gt;"",ISNUMBER(O48),O48&gt;0,O48&gt;=TODAY()-90),1,0),0)</f>
        <v/>
      </c>
      <c r="R48" s="17" t="str">
        <f t="shared" si="2"/>
        <v/>
      </c>
      <c r="S48" s="17" t="str">
        <f>IF(INDEX(Listado!A:A,ROW())="","",INDEX(Listado!A:A,ROW()))</f>
        <v/>
      </c>
      <c r="T48" s="17" t="str">
        <f ca="1">IF(INDEX(Listado!G:G,ROW())="","",INDEX(Listado!G:G,ROW()))</f>
        <v/>
      </c>
      <c r="U48" s="17" t="str">
        <f>IF(INDEX(Listado!F:F,ROW())="","",INDEX(Listado!F:F,ROW()))</f>
        <v/>
      </c>
      <c r="V48" s="17">
        <f>IF(COUNTA(INDEX(Listado!B:B,ROW()):INDEX(Listado!F:F,ROW()))&gt;0,1,0)</f>
        <v/>
      </c>
      <c r="W48" s="17" t="str">
        <f>IF(INDEX(Listado!L:L,ROW())="","",INDEX(Listado!L:L,ROW()))</f>
        <v/>
      </c>
      <c r="X48" s="17">
        <f>IF(N48="","",IF(INDEX(Listado!$M:$M,N48)="No","No","Sí"))</f>
        <v/>
      </c>
    </row>
    <row r="49" spans="2:24" ht="14.25">
      <c r="N49" s="17" t="str">
        <f>IF(V49=0,"",IFERROR(LOOKUP(2,1/(INDEX(Listado!A:A,2):INDEX(Listado!A:A,ROW())&lt;&gt;""),ROW(INDEX(Listado!A:A,2):INDEX(Listado!A:A,ROW()))),""))</f>
        <v/>
      </c>
      <c r="O49" s="17" t="str">
        <f>IFERROR(IF(N49="","",IF(INDEX(Listado!M:M,N49)="No",IF(INDEX(Listado!N:N,N49)=0,"",INDEX(Listado!N:N,N49)),IF(INDEX(Listado!I:I,N49)=0,"",INDEX(Listado!I:I,N49)))),"")</f>
        <v/>
      </c>
      <c r="P49" s="17">
        <f t="shared" ca="1" si="0"/>
        <v/>
      </c>
      <c r="Q49" s="17">
        <f>IFERROR(IF(AND(N49&lt;&gt;"",ISNUMBER(O49),O49&gt;0,O49&gt;=TODAY()-90),1,0),0)</f>
        <v/>
      </c>
      <c r="R49" s="17" t="str">
        <f t="shared" si="2"/>
        <v/>
      </c>
      <c r="S49" s="17" t="str">
        <f>IF(INDEX(Listado!A:A,ROW())="","",INDEX(Listado!A:A,ROW()))</f>
        <v/>
      </c>
      <c r="T49" s="17" t="str">
        <f ca="1">IF(INDEX(Listado!G:G,ROW())="","",INDEX(Listado!G:G,ROW()))</f>
        <v/>
      </c>
      <c r="U49" s="17" t="str">
        <f>IF(INDEX(Listado!F:F,ROW())="","",INDEX(Listado!F:F,ROW()))</f>
        <v/>
      </c>
      <c r="V49" s="17">
        <f>IF(COUNTA(INDEX(Listado!B:B,ROW()):INDEX(Listado!F:F,ROW()))&gt;0,1,0)</f>
        <v/>
      </c>
      <c r="W49" s="17" t="str">
        <f>IF(INDEX(Listado!L:L,ROW())="","",INDEX(Listado!L:L,ROW()))</f>
        <v/>
      </c>
      <c r="X49" s="17">
        <f>IF(N49="","",IF(INDEX(Listado!$M:$M,N49)="No","No","Sí"))</f>
        <v/>
      </c>
    </row>
    <row r="50" spans="2:24" ht="14.25">
      <c r="N50" s="17" t="str">
        <f>IF(V50=0,"",IFERROR(LOOKUP(2,1/(INDEX(Listado!A:A,2):INDEX(Listado!A:A,ROW())&lt;&gt;""),ROW(INDEX(Listado!A:A,2):INDEX(Listado!A:A,ROW()))),""))</f>
        <v/>
      </c>
      <c r="O50" s="17" t="str">
        <f>IFERROR(IF(N50="","",IF(INDEX(Listado!M:M,N50)="No",IF(INDEX(Listado!N:N,N50)=0,"",INDEX(Listado!N:N,N50)),IF(INDEX(Listado!I:I,N50)=0,"",INDEX(Listado!I:I,N50)))),"")</f>
        <v/>
      </c>
      <c r="P50" s="17">
        <f t="shared" ca="1" si="0"/>
        <v/>
      </c>
      <c r="Q50" s="17">
        <f>IFERROR(IF(AND(N50&lt;&gt;"",ISNUMBER(O50),O50&gt;0,O50&gt;=TODAY()-90),1,0),0)</f>
        <v/>
      </c>
      <c r="R50" s="17" t="str">
        <f t="shared" si="2"/>
        <v/>
      </c>
      <c r="S50" s="17" t="str">
        <f>IF(INDEX(Listado!A:A,ROW())="","",INDEX(Listado!A:A,ROW()))</f>
        <v/>
      </c>
      <c r="T50" s="17" t="str">
        <f ca="1">IF(INDEX(Listado!G:G,ROW())="","",INDEX(Listado!G:G,ROW()))</f>
        <v/>
      </c>
      <c r="U50" s="17" t="str">
        <f>IF(INDEX(Listado!F:F,ROW())="","",INDEX(Listado!F:F,ROW()))</f>
        <v/>
      </c>
      <c r="V50" s="17">
        <f>IF(COUNTA(INDEX(Listado!B:B,ROW()):INDEX(Listado!F:F,ROW()))&gt;0,1,0)</f>
        <v/>
      </c>
      <c r="W50" s="17" t="str">
        <f>IF(INDEX(Listado!L:L,ROW())="","",INDEX(Listado!L:L,ROW()))</f>
        <v/>
      </c>
      <c r="X50" s="17">
        <f>IF(N50="","",IF(INDEX(Listado!$M:$M,N50)="No","No","Sí"))</f>
        <v/>
      </c>
    </row>
    <row r="51" spans="2:24" ht="14.25">
      <c r="N51" s="17" t="str">
        <f>IF(V51=0,"",IFERROR(LOOKUP(2,1/(INDEX(Listado!A:A,2):INDEX(Listado!A:A,ROW())&lt;&gt;""),ROW(INDEX(Listado!A:A,2):INDEX(Listado!A:A,ROW()))),""))</f>
        <v/>
      </c>
      <c r="O51" s="17" t="str">
        <f>IFERROR(IF(N51="","",IF(INDEX(Listado!M:M,N51)="No",IF(INDEX(Listado!N:N,N51)=0,"",INDEX(Listado!N:N,N51)),IF(INDEX(Listado!I:I,N51)=0,"",INDEX(Listado!I:I,N51)))),"")</f>
        <v/>
      </c>
      <c r="P51" s="17">
        <f t="shared" ca="1" si="0"/>
        <v/>
      </c>
      <c r="Q51" s="17">
        <f>IFERROR(IF(AND(N51&lt;&gt;"",ISNUMBER(O51),O51&gt;0,O51&gt;=TODAY()-90),1,0),0)</f>
        <v/>
      </c>
      <c r="R51" s="17" t="str">
        <f t="shared" si="2"/>
        <v/>
      </c>
      <c r="S51" s="17" t="str">
        <f>IF(INDEX(Listado!A:A,ROW())="","",INDEX(Listado!A:A,ROW()))</f>
        <v/>
      </c>
      <c r="T51" s="17" t="str">
        <f ca="1">IF(INDEX(Listado!G:G,ROW())="","",INDEX(Listado!G:G,ROW()))</f>
        <v/>
      </c>
      <c r="U51" s="17" t="str">
        <f>IF(INDEX(Listado!F:F,ROW())="","",INDEX(Listado!F:F,ROW()))</f>
        <v/>
      </c>
      <c r="V51" s="17">
        <f>IF(COUNTA(INDEX(Listado!B:B,ROW()):INDEX(Listado!F:F,ROW()))&gt;0,1,0)</f>
        <v/>
      </c>
      <c r="W51" s="17" t="str">
        <f>IF(INDEX(Listado!L:L,ROW())="","",INDEX(Listado!L:L,ROW()))</f>
        <v/>
      </c>
      <c r="X51" s="17">
        <f>IF(N51="","",IF(INDEX(Listado!$M:$M,N51)="No","No","Sí"))</f>
        <v/>
      </c>
    </row>
    <row r="52" spans="2:24" ht="14.25">
      <c r="N52" s="17" t="str">
        <f>IF(V52=0,"",IFERROR(LOOKUP(2,1/(INDEX(Listado!A:A,2):INDEX(Listado!A:A,ROW())&lt;&gt;""),ROW(INDEX(Listado!A:A,2):INDEX(Listado!A:A,ROW()))),""))</f>
        <v/>
      </c>
      <c r="O52" s="17" t="str">
        <f>IFERROR(IF(N52="","",IF(INDEX(Listado!M:M,N52)="No",IF(INDEX(Listado!N:N,N52)=0,"",INDEX(Listado!N:N,N52)),IF(INDEX(Listado!I:I,N52)=0,"",INDEX(Listado!I:I,N52)))),"")</f>
        <v/>
      </c>
      <c r="P52" s="17">
        <f t="shared" ca="1" si="0"/>
        <v/>
      </c>
      <c r="Q52" s="17">
        <f>IFERROR(IF(AND(N52&lt;&gt;"",ISNUMBER(O52),O52&gt;0,O52&gt;=TODAY()-90),1,0),0)</f>
        <v/>
      </c>
      <c r="R52" s="17" t="str">
        <f t="shared" si="2"/>
        <v/>
      </c>
      <c r="S52" s="17" t="str">
        <f>IF(INDEX(Listado!A:A,ROW())="","",INDEX(Listado!A:A,ROW()))</f>
        <v/>
      </c>
      <c r="T52" s="17" t="str">
        <f ca="1">IF(INDEX(Listado!G:G,ROW())="","",INDEX(Listado!G:G,ROW()))</f>
        <v/>
      </c>
      <c r="U52" s="17" t="str">
        <f>IF(INDEX(Listado!F:F,ROW())="","",INDEX(Listado!F:F,ROW()))</f>
        <v/>
      </c>
      <c r="V52" s="17">
        <f>IF(COUNTA(INDEX(Listado!B:B,ROW()):INDEX(Listado!F:F,ROW()))&gt;0,1,0)</f>
        <v/>
      </c>
      <c r="W52" s="17" t="str">
        <f>IF(INDEX(Listado!L:L,ROW())="","",INDEX(Listado!L:L,ROW()))</f>
        <v/>
      </c>
      <c r="X52" s="17">
        <f>IF(N52="","",IF(INDEX(Listado!$M:$M,N52)="No","No","Sí"))</f>
        <v/>
      </c>
    </row>
    <row r="53" spans="2:24" ht="14.25">
      <c r="N53" s="17" t="str">
        <f>IF(V53=0,"",IFERROR(LOOKUP(2,1/(INDEX(Listado!A:A,2):INDEX(Listado!A:A,ROW())&lt;&gt;""),ROW(INDEX(Listado!A:A,2):INDEX(Listado!A:A,ROW()))),""))</f>
        <v/>
      </c>
      <c r="O53" s="17" t="str">
        <f>IFERROR(IF(N53="","",IF(INDEX(Listado!M:M,N53)="No",IF(INDEX(Listado!N:N,N53)=0,"",INDEX(Listado!N:N,N53)),IF(INDEX(Listado!I:I,N53)=0,"",INDEX(Listado!I:I,N53)))),"")</f>
        <v/>
      </c>
      <c r="P53" s="17">
        <f t="shared" ca="1" si="0"/>
        <v/>
      </c>
      <c r="Q53" s="17">
        <f>IFERROR(IF(AND(N53&lt;&gt;"",ISNUMBER(O53),O53&gt;0,O53&gt;=TODAY()-90),1,0),0)</f>
        <v/>
      </c>
      <c r="R53" s="17" t="str">
        <f t="shared" si="2"/>
        <v/>
      </c>
      <c r="S53" s="17" t="str">
        <f>IF(INDEX(Listado!A:A,ROW())="","",INDEX(Listado!A:A,ROW()))</f>
        <v/>
      </c>
      <c r="T53" s="17" t="str">
        <f ca="1">IF(INDEX(Listado!G:G,ROW())="","",INDEX(Listado!G:G,ROW()))</f>
        <v/>
      </c>
      <c r="U53" s="17" t="str">
        <f>IF(INDEX(Listado!F:F,ROW())="","",INDEX(Listado!F:F,ROW()))</f>
        <v/>
      </c>
      <c r="V53" s="17">
        <f>IF(COUNTA(INDEX(Listado!B:B,ROW()):INDEX(Listado!F:F,ROW()))&gt;0,1,0)</f>
        <v/>
      </c>
      <c r="W53" s="17" t="str">
        <f>IF(INDEX(Listado!L:L,ROW())="","",INDEX(Listado!L:L,ROW()))</f>
        <v/>
      </c>
      <c r="X53" s="17">
        <f>IF(N53="","",IF(INDEX(Listado!$M:$M,N53)="No","No","Sí"))</f>
        <v/>
      </c>
    </row>
    <row r="54" spans="2:24" ht="14.25">
      <c r="N54" s="17" t="str">
        <f>IF(V54=0,"",IFERROR(LOOKUP(2,1/(INDEX(Listado!A:A,2):INDEX(Listado!A:A,ROW())&lt;&gt;""),ROW(INDEX(Listado!A:A,2):INDEX(Listado!A:A,ROW()))),""))</f>
        <v/>
      </c>
      <c r="O54" s="17" t="str">
        <f>IFERROR(IF(N54="","",IF(INDEX(Listado!M:M,N54)="No",IF(INDEX(Listado!N:N,N54)=0,"",INDEX(Listado!N:N,N54)),IF(INDEX(Listado!I:I,N54)=0,"",INDEX(Listado!I:I,N54)))),"")</f>
        <v/>
      </c>
      <c r="P54" s="17">
        <f t="shared" ca="1" si="0"/>
        <v/>
      </c>
      <c r="Q54" s="17">
        <f>IFERROR(IF(AND(N54&lt;&gt;"",ISNUMBER(O54),O54&gt;0,O54&gt;=TODAY()-90),1,0),0)</f>
        <v/>
      </c>
      <c r="R54" s="17" t="str">
        <f t="shared" si="2"/>
        <v/>
      </c>
      <c r="S54" s="17" t="str">
        <f>IF(INDEX(Listado!A:A,ROW())="","",INDEX(Listado!A:A,ROW()))</f>
        <v/>
      </c>
      <c r="T54" s="17" t="str">
        <f ca="1">IF(INDEX(Listado!G:G,ROW())="","",INDEX(Listado!G:G,ROW()))</f>
        <v/>
      </c>
      <c r="U54" s="17" t="str">
        <f>IF(INDEX(Listado!F:F,ROW())="","",INDEX(Listado!F:F,ROW()))</f>
        <v/>
      </c>
      <c r="V54" s="17">
        <f>IF(COUNTA(INDEX(Listado!B:B,ROW()):INDEX(Listado!F:F,ROW()))&gt;0,1,0)</f>
        <v/>
      </c>
      <c r="W54" s="17" t="str">
        <f>IF(INDEX(Listado!L:L,ROW())="","",INDEX(Listado!L:L,ROW()))</f>
        <v/>
      </c>
      <c r="X54" s="17">
        <f>IF(N54="","",IF(INDEX(Listado!$M:$M,N54)="No","No","Sí"))</f>
        <v/>
      </c>
    </row>
    <row r="55" spans="2:24" ht="14.25">
      <c r="N55" s="17" t="str">
        <f>IF(V55=0,"",IFERROR(LOOKUP(2,1/(INDEX(Listado!A:A,2):INDEX(Listado!A:A,ROW())&lt;&gt;""),ROW(INDEX(Listado!A:A,2):INDEX(Listado!A:A,ROW()))),""))</f>
        <v/>
      </c>
      <c r="O55" s="17" t="str">
        <f>IFERROR(IF(N55="","",IF(INDEX(Listado!M:M,N55)="No",IF(INDEX(Listado!N:N,N55)=0,"",INDEX(Listado!N:N,N55)),IF(INDEX(Listado!I:I,N55)=0,"",INDEX(Listado!I:I,N55)))),"")</f>
        <v/>
      </c>
      <c r="P55" s="17">
        <f t="shared" ca="1" si="0"/>
        <v/>
      </c>
      <c r="Q55" s="17">
        <f>IFERROR(IF(AND(N55&lt;&gt;"",ISNUMBER(O55),O55&gt;0,O55&gt;=TODAY()-90),1,0),0)</f>
        <v/>
      </c>
      <c r="R55" s="17" t="str">
        <f t="shared" si="2"/>
        <v/>
      </c>
      <c r="S55" s="17" t="str">
        <f>IF(INDEX(Listado!A:A,ROW())="","",INDEX(Listado!A:A,ROW()))</f>
        <v/>
      </c>
      <c r="T55" s="17" t="str">
        <f ca="1">IF(INDEX(Listado!G:G,ROW())="","",INDEX(Listado!G:G,ROW()))</f>
        <v/>
      </c>
      <c r="U55" s="17" t="str">
        <f>IF(INDEX(Listado!F:F,ROW())="","",INDEX(Listado!F:F,ROW()))</f>
        <v/>
      </c>
      <c r="V55" s="17">
        <f>IF(COUNTA(INDEX(Listado!B:B,ROW()):INDEX(Listado!F:F,ROW()))&gt;0,1,0)</f>
        <v/>
      </c>
      <c r="W55" s="17" t="str">
        <f>IF(INDEX(Listado!L:L,ROW())="","",INDEX(Listado!L:L,ROW()))</f>
        <v/>
      </c>
      <c r="X55" s="17">
        <f>IF(N55="","",IF(INDEX(Listado!$M:$M,N55)="No","No","Sí"))</f>
        <v/>
      </c>
    </row>
    <row r="56" spans="2:24" ht="14.25">
      <c r="N56" s="17" t="str">
        <f>IF(V56=0,"",IFERROR(LOOKUP(2,1/(INDEX(Listado!A:A,2):INDEX(Listado!A:A,ROW())&lt;&gt;""),ROW(INDEX(Listado!A:A,2):INDEX(Listado!A:A,ROW()))),""))</f>
        <v/>
      </c>
      <c r="O56" s="17" t="str">
        <f>IFERROR(IF(N56="","",IF(INDEX(Listado!M:M,N56)="No",IF(INDEX(Listado!N:N,N56)=0,"",INDEX(Listado!N:N,N56)),IF(INDEX(Listado!I:I,N56)=0,"",INDEX(Listado!I:I,N56)))),"")</f>
        <v/>
      </c>
      <c r="P56" s="17">
        <f t="shared" ca="1" si="0"/>
        <v/>
      </c>
      <c r="Q56" s="17">
        <f>IFERROR(IF(AND(N56&lt;&gt;"",ISNUMBER(O56),O56&gt;0,O56&gt;=TODAY()-90),1,0),0)</f>
        <v/>
      </c>
      <c r="R56" s="17" t="str">
        <f t="shared" si="2"/>
        <v/>
      </c>
      <c r="S56" s="17" t="str">
        <f>IF(INDEX(Listado!A:A,ROW())="","",INDEX(Listado!A:A,ROW()))</f>
        <v/>
      </c>
      <c r="T56" s="17" t="str">
        <f ca="1">IF(INDEX(Listado!G:G,ROW())="","",INDEX(Listado!G:G,ROW()))</f>
        <v/>
      </c>
      <c r="U56" s="17" t="str">
        <f>IF(INDEX(Listado!F:F,ROW())="","",INDEX(Listado!F:F,ROW()))</f>
        <v/>
      </c>
      <c r="V56" s="17">
        <f>IF(COUNTA(INDEX(Listado!B:B,ROW()):INDEX(Listado!F:F,ROW()))&gt;0,1,0)</f>
        <v/>
      </c>
      <c r="W56" s="17" t="str">
        <f>IF(INDEX(Listado!L:L,ROW())="","",INDEX(Listado!L:L,ROW()))</f>
        <v/>
      </c>
      <c r="X56" s="17">
        <f>IF(N56="","",IF(INDEX(Listado!$M:$M,N56)="No","No","Sí"))</f>
        <v/>
      </c>
    </row>
    <row r="57" spans="2:24" ht="14.25">
      <c r="N57" s="17" t="str">
        <f>IF(V57=0,"",IFERROR(LOOKUP(2,1/(INDEX(Listado!A:A,2):INDEX(Listado!A:A,ROW())&lt;&gt;""),ROW(INDEX(Listado!A:A,2):INDEX(Listado!A:A,ROW()))),""))</f>
        <v/>
      </c>
      <c r="O57" s="17" t="str">
        <f>IFERROR(IF(N57="","",IF(INDEX(Listado!M:M,N57)="No",IF(INDEX(Listado!N:N,N57)=0,"",INDEX(Listado!N:N,N57)),IF(INDEX(Listado!I:I,N57)=0,"",INDEX(Listado!I:I,N57)))),"")</f>
        <v/>
      </c>
      <c r="P57" s="17">
        <f t="shared" ca="1" si="0"/>
        <v/>
      </c>
      <c r="Q57" s="17">
        <f>IFERROR(IF(AND(N57&lt;&gt;"",ISNUMBER(O57),O57&gt;0,O57&gt;=TODAY()-90),1,0),0)</f>
        <v/>
      </c>
      <c r="R57" s="17" t="str">
        <f t="shared" si="2"/>
        <v/>
      </c>
      <c r="S57" s="17" t="str">
        <f>IF(INDEX(Listado!A:A,ROW())="","",INDEX(Listado!A:A,ROW()))</f>
        <v/>
      </c>
      <c r="T57" s="17" t="str">
        <f ca="1">IF(INDEX(Listado!G:G,ROW())="","",INDEX(Listado!G:G,ROW()))</f>
        <v/>
      </c>
      <c r="U57" s="17" t="str">
        <f>IF(INDEX(Listado!F:F,ROW())="","",INDEX(Listado!F:F,ROW()))</f>
        <v/>
      </c>
      <c r="V57" s="17">
        <f>IF(COUNTA(INDEX(Listado!B:B,ROW()):INDEX(Listado!F:F,ROW()))&gt;0,1,0)</f>
        <v/>
      </c>
      <c r="W57" s="17" t="str">
        <f>IF(INDEX(Listado!L:L,ROW())="","",INDEX(Listado!L:L,ROW()))</f>
        <v/>
      </c>
      <c r="X57" s="17">
        <f>IF(N57="","",IF(INDEX(Listado!$M:$M,N57)="No","No","Sí"))</f>
        <v/>
      </c>
    </row>
    <row r="58" spans="2:24" ht="14.25">
      <c r="N58" s="17" t="str">
        <f>IF(V58=0,"",IFERROR(LOOKUP(2,1/(INDEX(Listado!A:A,2):INDEX(Listado!A:A,ROW())&lt;&gt;""),ROW(INDEX(Listado!A:A,2):INDEX(Listado!A:A,ROW()))),""))</f>
        <v/>
      </c>
      <c r="O58" s="17" t="str">
        <f>IFERROR(IF(N58="","",IF(INDEX(Listado!M:M,N58)="No",IF(INDEX(Listado!N:N,N58)=0,"",INDEX(Listado!N:N,N58)),IF(INDEX(Listado!I:I,N58)=0,"",INDEX(Listado!I:I,N58)))),"")</f>
        <v/>
      </c>
      <c r="P58" s="17">
        <f t="shared" ca="1" si="0"/>
        <v/>
      </c>
      <c r="Q58" s="17">
        <f>IFERROR(IF(AND(N58&lt;&gt;"",ISNUMBER(O58),O58&gt;0,O58&gt;=TODAY()-90),1,0),0)</f>
        <v/>
      </c>
      <c r="R58" s="17" t="str">
        <f t="shared" si="2"/>
        <v/>
      </c>
      <c r="S58" s="17" t="str">
        <f>IF(INDEX(Listado!A:A,ROW())="","",INDEX(Listado!A:A,ROW()))</f>
        <v/>
      </c>
      <c r="T58" s="17" t="str">
        <f ca="1">IF(INDEX(Listado!G:G,ROW())="","",INDEX(Listado!G:G,ROW()))</f>
        <v/>
      </c>
      <c r="U58" s="17" t="str">
        <f>IF(INDEX(Listado!F:F,ROW())="","",INDEX(Listado!F:F,ROW()))</f>
        <v/>
      </c>
      <c r="V58" s="17">
        <f>IF(COUNTA(INDEX(Listado!B:B,ROW()):INDEX(Listado!F:F,ROW()))&gt;0,1,0)</f>
        <v/>
      </c>
      <c r="W58" s="17" t="str">
        <f>IF(INDEX(Listado!L:L,ROW())="","",INDEX(Listado!L:L,ROW()))</f>
        <v/>
      </c>
      <c r="X58" s="17">
        <f>IF(N58="","",IF(INDEX(Listado!$M:$M,N58)="No","No","Sí"))</f>
        <v/>
      </c>
    </row>
    <row r="59" spans="2:24" ht="14.25">
      <c r="N59" s="17" t="str">
        <f>IF(V59=0,"",IFERROR(LOOKUP(2,1/(INDEX(Listado!A:A,2):INDEX(Listado!A:A,ROW())&lt;&gt;""),ROW(INDEX(Listado!A:A,2):INDEX(Listado!A:A,ROW()))),""))</f>
        <v/>
      </c>
      <c r="O59" s="17" t="str">
        <f>IFERROR(IF(N59="","",IF(INDEX(Listado!M:M,N59)="No",IF(INDEX(Listado!N:N,N59)=0,"",INDEX(Listado!N:N,N59)),IF(INDEX(Listado!I:I,N59)=0,"",INDEX(Listado!I:I,N59)))),"")</f>
        <v/>
      </c>
      <c r="P59" s="17">
        <f t="shared" ca="1" si="0"/>
        <v/>
      </c>
      <c r="Q59" s="17">
        <f>IFERROR(IF(AND(N59&lt;&gt;"",ISNUMBER(O59),O59&gt;0,O59&gt;=TODAY()-90),1,0),0)</f>
        <v/>
      </c>
      <c r="R59" s="17" t="str">
        <f t="shared" si="2"/>
        <v/>
      </c>
      <c r="S59" s="17" t="str">
        <f>IF(INDEX(Listado!A:A,ROW())="","",INDEX(Listado!A:A,ROW()))</f>
        <v/>
      </c>
      <c r="T59" s="17" t="str">
        <f ca="1">IF(INDEX(Listado!G:G,ROW())="","",INDEX(Listado!G:G,ROW()))</f>
        <v/>
      </c>
      <c r="U59" s="17" t="str">
        <f>IF(INDEX(Listado!F:F,ROW())="","",INDEX(Listado!F:F,ROW()))</f>
        <v/>
      </c>
      <c r="V59" s="17">
        <f>IF(COUNTA(INDEX(Listado!B:B,ROW()):INDEX(Listado!F:F,ROW()))&gt;0,1,0)</f>
        <v/>
      </c>
      <c r="W59" s="17" t="str">
        <f>IF(INDEX(Listado!L:L,ROW())="","",INDEX(Listado!L:L,ROW()))</f>
        <v/>
      </c>
      <c r="X59" s="17">
        <f>IF(N59="","",IF(INDEX(Listado!$M:$M,N59)="No","No","Sí"))</f>
        <v/>
      </c>
    </row>
    <row r="60" spans="2:24" ht="14.25">
      <c r="N60" s="17" t="str">
        <f>IF(V60=0,"",IFERROR(LOOKUP(2,1/(INDEX(Listado!A:A,2):INDEX(Listado!A:A,ROW())&lt;&gt;""),ROW(INDEX(Listado!A:A,2):INDEX(Listado!A:A,ROW()))),""))</f>
        <v/>
      </c>
      <c r="O60" s="17" t="str">
        <f>IFERROR(IF(N60="","",IF(INDEX(Listado!M:M,N60)="No",IF(INDEX(Listado!N:N,N60)=0,"",INDEX(Listado!N:N,N60)),IF(INDEX(Listado!I:I,N60)=0,"",INDEX(Listado!I:I,N60)))),"")</f>
        <v/>
      </c>
      <c r="P60" s="17">
        <f t="shared" ca="1" si="0"/>
        <v/>
      </c>
      <c r="Q60" s="17">
        <f>IFERROR(IF(AND(N60&lt;&gt;"",ISNUMBER(O60),O60&gt;0,O60&gt;=TODAY()-90),1,0),0)</f>
        <v/>
      </c>
      <c r="R60" s="17" t="str">
        <f t="shared" si="2"/>
        <v/>
      </c>
      <c r="S60" s="17" t="str">
        <f>IF(INDEX(Listado!A:A,ROW())="","",INDEX(Listado!A:A,ROW()))</f>
        <v/>
      </c>
      <c r="T60" s="17" t="str">
        <f ca="1">IF(INDEX(Listado!G:G,ROW())="","",INDEX(Listado!G:G,ROW()))</f>
        <v/>
      </c>
      <c r="U60" s="17" t="str">
        <f>IF(INDEX(Listado!F:F,ROW())="","",INDEX(Listado!F:F,ROW()))</f>
        <v/>
      </c>
      <c r="V60" s="17">
        <f>IF(COUNTA(INDEX(Listado!B:B,ROW()):INDEX(Listado!F:F,ROW()))&gt;0,1,0)</f>
        <v/>
      </c>
      <c r="W60" s="17" t="str">
        <f>IF(INDEX(Listado!L:L,ROW())="","",INDEX(Listado!L:L,ROW()))</f>
        <v/>
      </c>
      <c r="X60" s="17">
        <f>IF(N60="","",IF(INDEX(Listado!$M:$M,N60)="No","No","Sí"))</f>
        <v/>
      </c>
    </row>
    <row r="61" spans="2:24" ht="14.25">
      <c r="N61" s="17" t="str">
        <f>IF(V61=0,"",IFERROR(LOOKUP(2,1/(INDEX(Listado!A:A,2):INDEX(Listado!A:A,ROW())&lt;&gt;""),ROW(INDEX(Listado!A:A,2):INDEX(Listado!A:A,ROW()))),""))</f>
        <v/>
      </c>
      <c r="O61" s="17" t="str">
        <f>IFERROR(IF(N61="","",IF(INDEX(Listado!M:M,N61)="No",IF(INDEX(Listado!N:N,N61)=0,"",INDEX(Listado!N:N,N61)),IF(INDEX(Listado!I:I,N61)=0,"",INDEX(Listado!I:I,N61)))),"")</f>
        <v/>
      </c>
      <c r="P61" s="17">
        <f t="shared" ca="1" si="0"/>
        <v/>
      </c>
      <c r="Q61" s="17">
        <f>IFERROR(IF(AND(N61&lt;&gt;"",ISNUMBER(O61),O61&gt;0,O61&gt;=TODAY()-90),1,0),0)</f>
        <v/>
      </c>
      <c r="R61" s="17" t="str">
        <f t="shared" si="2"/>
        <v/>
      </c>
      <c r="S61" s="17" t="str">
        <f>IF(INDEX(Listado!A:A,ROW())="","",INDEX(Listado!A:A,ROW()))</f>
        <v/>
      </c>
      <c r="T61" s="17" t="str">
        <f ca="1">IF(INDEX(Listado!G:G,ROW())="","",INDEX(Listado!G:G,ROW()))</f>
        <v/>
      </c>
      <c r="U61" s="17" t="str">
        <f>IF(INDEX(Listado!F:F,ROW())="","",INDEX(Listado!F:F,ROW()))</f>
        <v/>
      </c>
      <c r="V61" s="17">
        <f>IF(COUNTA(INDEX(Listado!B:B,ROW()):INDEX(Listado!F:F,ROW()))&gt;0,1,0)</f>
        <v/>
      </c>
      <c r="W61" s="17" t="str">
        <f>IF(INDEX(Listado!L:L,ROW())="","",INDEX(Listado!L:L,ROW()))</f>
        <v/>
      </c>
      <c r="X61" s="17">
        <f>IF(N61="","",IF(INDEX(Listado!$M:$M,N61)="No","No","Sí"))</f>
        <v/>
      </c>
    </row>
    <row r="62" spans="2:24" ht="14.25">
      <c r="N62" s="17" t="str">
        <f>IF(V62=0,"",IFERROR(LOOKUP(2,1/(INDEX(Listado!A:A,2):INDEX(Listado!A:A,ROW())&lt;&gt;""),ROW(INDEX(Listado!A:A,2):INDEX(Listado!A:A,ROW()))),""))</f>
        <v/>
      </c>
      <c r="O62" s="17" t="str">
        <f>IFERROR(IF(N62="","",IF(INDEX(Listado!M:M,N62)="No",IF(INDEX(Listado!N:N,N62)=0,"",INDEX(Listado!N:N,N62)),IF(INDEX(Listado!I:I,N62)=0,"",INDEX(Listado!I:I,N62)))),"")</f>
        <v/>
      </c>
      <c r="P62" s="17">
        <f t="shared" ca="1" si="0"/>
        <v/>
      </c>
      <c r="Q62" s="17">
        <f>IFERROR(IF(AND(N62&lt;&gt;"",ISNUMBER(O62),O62&gt;0,O62&gt;=TODAY()-90),1,0),0)</f>
        <v/>
      </c>
      <c r="R62" s="17" t="str">
        <f t="shared" si="2"/>
        <v/>
      </c>
      <c r="S62" s="17" t="str">
        <f>IF(INDEX(Listado!A:A,ROW())="","",INDEX(Listado!A:A,ROW()))</f>
        <v/>
      </c>
      <c r="T62" s="17" t="str">
        <f ca="1">IF(INDEX(Listado!G:G,ROW())="","",INDEX(Listado!G:G,ROW()))</f>
        <v/>
      </c>
      <c r="U62" s="17" t="str">
        <f>IF(INDEX(Listado!F:F,ROW())="","",INDEX(Listado!F:F,ROW()))</f>
        <v/>
      </c>
      <c r="V62" s="17">
        <f>IF(COUNTA(INDEX(Listado!B:B,ROW()):INDEX(Listado!F:F,ROW()))&gt;0,1,0)</f>
        <v/>
      </c>
      <c r="W62" s="17" t="str">
        <f>IF(INDEX(Listado!L:L,ROW())="","",INDEX(Listado!L:L,ROW()))</f>
        <v/>
      </c>
      <c r="X62" s="17">
        <f>IF(N62="","",IF(INDEX(Listado!$M:$M,N62)="No","No","Sí"))</f>
        <v/>
      </c>
    </row>
    <row r="63" spans="2:24" ht="14.25">
      <c r="N63" s="17" t="str">
        <f>IF(V63=0,"",IFERROR(LOOKUP(2,1/(INDEX(Listado!A:A,2):INDEX(Listado!A:A,ROW())&lt;&gt;""),ROW(INDEX(Listado!A:A,2):INDEX(Listado!A:A,ROW()))),""))</f>
        <v/>
      </c>
      <c r="O63" s="17" t="str">
        <f>IFERROR(IF(N63="","",IF(INDEX(Listado!M:M,N63)="No",IF(INDEX(Listado!N:N,N63)=0,"",INDEX(Listado!N:N,N63)),IF(INDEX(Listado!I:I,N63)=0,"",INDEX(Listado!I:I,N63)))),"")</f>
        <v/>
      </c>
      <c r="P63" s="17">
        <f t="shared" ca="1" si="0"/>
        <v/>
      </c>
      <c r="Q63" s="17">
        <f>IFERROR(IF(AND(N63&lt;&gt;"",ISNUMBER(O63),O63&gt;0,O63&gt;=TODAY()-90),1,0),0)</f>
        <v/>
      </c>
      <c r="R63" s="17" t="str">
        <f t="shared" si="2"/>
        <v/>
      </c>
      <c r="S63" s="17" t="str">
        <f>IF(INDEX(Listado!A:A,ROW())="","",INDEX(Listado!A:A,ROW()))</f>
        <v/>
      </c>
      <c r="T63" s="17" t="str">
        <f ca="1">IF(INDEX(Listado!G:G,ROW())="","",INDEX(Listado!G:G,ROW()))</f>
        <v/>
      </c>
      <c r="U63" s="17" t="str">
        <f>IF(INDEX(Listado!F:F,ROW())="","",INDEX(Listado!F:F,ROW()))</f>
        <v/>
      </c>
      <c r="V63" s="17">
        <f>IF(COUNTA(INDEX(Listado!B:B,ROW()):INDEX(Listado!F:F,ROW()))&gt;0,1,0)</f>
        <v/>
      </c>
      <c r="W63" s="17" t="str">
        <f>IF(INDEX(Listado!L:L,ROW())="","",INDEX(Listado!L:L,ROW()))</f>
        <v/>
      </c>
      <c r="X63" s="17">
        <f>IF(N63="","",IF(INDEX(Listado!$M:$M,N63)="No","No","Sí"))</f>
        <v/>
      </c>
    </row>
    <row r="64" spans="2:24" ht="14.25">
      <c r="N64" s="17" t="str">
        <f>IF(V64=0,"",IFERROR(LOOKUP(2,1/(INDEX(Listado!A:A,2):INDEX(Listado!A:A,ROW())&lt;&gt;""),ROW(INDEX(Listado!A:A,2):INDEX(Listado!A:A,ROW()))),""))</f>
        <v/>
      </c>
      <c r="O64" s="17" t="str">
        <f>IFERROR(IF(N64="","",IF(INDEX(Listado!M:M,N64)="No",IF(INDEX(Listado!N:N,N64)=0,"",INDEX(Listado!N:N,N64)),IF(INDEX(Listado!I:I,N64)=0,"",INDEX(Listado!I:I,N64)))),"")</f>
        <v/>
      </c>
      <c r="P64" s="17">
        <f t="shared" ca="1" si="0"/>
        <v/>
      </c>
      <c r="Q64" s="17">
        <f>IFERROR(IF(AND(N64&lt;&gt;"",ISNUMBER(O64),O64&gt;0,O64&gt;=TODAY()-90),1,0),0)</f>
        <v/>
      </c>
      <c r="R64" s="17" t="str">
        <f t="shared" si="2"/>
        <v/>
      </c>
      <c r="S64" s="17" t="str">
        <f>IF(INDEX(Listado!A:A,ROW())="","",INDEX(Listado!A:A,ROW()))</f>
        <v/>
      </c>
      <c r="T64" s="17" t="str">
        <f ca="1">IF(INDEX(Listado!G:G,ROW())="","",INDEX(Listado!G:G,ROW()))</f>
        <v/>
      </c>
      <c r="U64" s="17" t="str">
        <f>IF(INDEX(Listado!F:F,ROW())="","",INDEX(Listado!F:F,ROW()))</f>
        <v/>
      </c>
      <c r="V64" s="17">
        <f>IF(COUNTA(INDEX(Listado!B:B,ROW()):INDEX(Listado!F:F,ROW()))&gt;0,1,0)</f>
        <v/>
      </c>
      <c r="W64" s="17" t="str">
        <f>IF(INDEX(Listado!L:L,ROW())="","",INDEX(Listado!L:L,ROW()))</f>
        <v/>
      </c>
      <c r="X64" s="17">
        <f>IF(N64="","",IF(INDEX(Listado!$M:$M,N64)="No","No","Sí"))</f>
        <v/>
      </c>
    </row>
    <row r="65" spans="2:24" ht="14.25">
      <c r="N65" s="17" t="str">
        <f>IF(V65=0,"",IFERROR(LOOKUP(2,1/(INDEX(Listado!A:A,2):INDEX(Listado!A:A,ROW())&lt;&gt;""),ROW(INDEX(Listado!A:A,2):INDEX(Listado!A:A,ROW()))),""))</f>
        <v/>
      </c>
      <c r="O65" s="17" t="str">
        <f>IFERROR(IF(N65="","",IF(INDEX(Listado!M:M,N65)="No",IF(INDEX(Listado!N:N,N65)=0,"",INDEX(Listado!N:N,N65)),IF(INDEX(Listado!I:I,N65)=0,"",INDEX(Listado!I:I,N65)))),"")</f>
        <v/>
      </c>
      <c r="P65" s="17">
        <f t="shared" ca="1" si="0"/>
        <v/>
      </c>
      <c r="Q65" s="17">
        <f>IFERROR(IF(AND(N65&lt;&gt;"",ISNUMBER(O65),O65&gt;0,O65&gt;=TODAY()-90),1,0),0)</f>
        <v/>
      </c>
      <c r="R65" s="17" t="str">
        <f t="shared" si="2"/>
        <v/>
      </c>
      <c r="S65" s="17" t="str">
        <f>IF(INDEX(Listado!A:A,ROW())="","",INDEX(Listado!A:A,ROW()))</f>
        <v/>
      </c>
      <c r="T65" s="17" t="str">
        <f ca="1">IF(INDEX(Listado!G:G,ROW())="","",INDEX(Listado!G:G,ROW()))</f>
        <v/>
      </c>
      <c r="U65" s="17" t="str">
        <f>IF(INDEX(Listado!F:F,ROW())="","",INDEX(Listado!F:F,ROW()))</f>
        <v/>
      </c>
      <c r="V65" s="17">
        <f>IF(COUNTA(INDEX(Listado!B:B,ROW()):INDEX(Listado!F:F,ROW()))&gt;0,1,0)</f>
        <v/>
      </c>
      <c r="W65" s="17" t="str">
        <f>IF(INDEX(Listado!L:L,ROW())="","",INDEX(Listado!L:L,ROW()))</f>
        <v/>
      </c>
      <c r="X65" s="17">
        <f>IF(N65="","",IF(INDEX(Listado!$M:$M,N65)="No","No","Sí"))</f>
        <v/>
      </c>
    </row>
    <row r="66" spans="2:24" ht="14.25">
      <c r="N66" s="17" t="str">
        <f>IF(V66=0,"",IFERROR(LOOKUP(2,1/(INDEX(Listado!A:A,2):INDEX(Listado!A:A,ROW())&lt;&gt;""),ROW(INDEX(Listado!A:A,2):INDEX(Listado!A:A,ROW()))),""))</f>
        <v/>
      </c>
      <c r="O66" s="17" t="str">
        <f>IFERROR(IF(N66="","",IF(INDEX(Listado!M:M,N66)="No",IF(INDEX(Listado!N:N,N66)=0,"",INDEX(Listado!N:N,N66)),IF(INDEX(Listado!I:I,N66)=0,"",INDEX(Listado!I:I,N66)))),"")</f>
        <v/>
      </c>
      <c r="P66" s="17">
        <f t="shared" ref="P66:P129" ca="1" si="4">IF(W66="",0,IFERROR(IF(AND(ISNUMBER(W66),W66=INT(W66),ISNUMBER(O66),O66&gt;0,W66&gt;=TODAY(),W66&lt;=O66+90),0,1),1))</f>
        <v/>
      </c>
      <c r="Q66" s="17">
        <f>IFERROR(IF(AND(N66&lt;&gt;"",ISNUMBER(O66),O66&gt;0,O66&gt;=TODAY()-90),1,0),0)</f>
        <v/>
      </c>
      <c r="R66" s="17" t="str">
        <f t="shared" ref="R66:R129" si="6">IF(S66="","",COUNTIFS($N$2:$N$2999,ROW(),$Q$2:$Q$2999,1))</f>
        <v/>
      </c>
      <c r="S66" s="17" t="str">
        <f>IF(INDEX(Listado!A:A,ROW())="","",INDEX(Listado!A:A,ROW()))</f>
        <v/>
      </c>
      <c r="T66" s="17" t="str">
        <f ca="1">IF(INDEX(Listado!G:G,ROW())="","",INDEX(Listado!G:G,ROW()))</f>
        <v/>
      </c>
      <c r="U66" s="17" t="str">
        <f>IF(INDEX(Listado!F:F,ROW())="","",INDEX(Listado!F:F,ROW()))</f>
        <v/>
      </c>
      <c r="V66" s="17">
        <f>IF(COUNTA(INDEX(Listado!B:B,ROW()):INDEX(Listado!F:F,ROW()))&gt;0,1,0)</f>
        <v/>
      </c>
      <c r="W66" s="17" t="str">
        <f>IF(INDEX(Listado!L:L,ROW())="","",INDEX(Listado!L:L,ROW()))</f>
        <v/>
      </c>
      <c r="X66" s="17">
        <f>IF(N66="","",IF(INDEX(Listado!$M:$M,N66)="No","No","Sí"))</f>
        <v/>
      </c>
    </row>
    <row r="67" spans="2:24" ht="14.25">
      <c r="N67" s="17" t="str">
        <f>IF(V67=0,"",IFERROR(LOOKUP(2,1/(INDEX(Listado!A:A,2):INDEX(Listado!A:A,ROW())&lt;&gt;""),ROW(INDEX(Listado!A:A,2):INDEX(Listado!A:A,ROW()))),""))</f>
        <v/>
      </c>
      <c r="O67" s="17" t="str">
        <f>IFERROR(IF(N67="","",IF(INDEX(Listado!M:M,N67)="No",IF(INDEX(Listado!N:N,N67)=0,"",INDEX(Listado!N:N,N67)),IF(INDEX(Listado!I:I,N67)=0,"",INDEX(Listado!I:I,N67)))),"")</f>
        <v/>
      </c>
      <c r="P67" s="17">
        <f t="shared" ca="1" si="4"/>
        <v/>
      </c>
      <c r="Q67" s="17">
        <f>IFERROR(IF(AND(N67&lt;&gt;"",ISNUMBER(O67),O67&gt;0,O67&gt;=TODAY()-90),1,0),0)</f>
        <v/>
      </c>
      <c r="R67" s="17" t="str">
        <f t="shared" si="6"/>
        <v/>
      </c>
      <c r="S67" s="17" t="str">
        <f>IF(INDEX(Listado!A:A,ROW())="","",INDEX(Listado!A:A,ROW()))</f>
        <v/>
      </c>
      <c r="T67" s="17" t="str">
        <f ca="1">IF(INDEX(Listado!G:G,ROW())="","",INDEX(Listado!G:G,ROW()))</f>
        <v/>
      </c>
      <c r="U67" s="17" t="str">
        <f>IF(INDEX(Listado!F:F,ROW())="","",INDEX(Listado!F:F,ROW()))</f>
        <v/>
      </c>
      <c r="V67" s="17">
        <f>IF(COUNTA(INDEX(Listado!B:B,ROW()):INDEX(Listado!F:F,ROW()))&gt;0,1,0)</f>
        <v/>
      </c>
      <c r="W67" s="17" t="str">
        <f>IF(INDEX(Listado!L:L,ROW())="","",INDEX(Listado!L:L,ROW()))</f>
        <v/>
      </c>
      <c r="X67" s="17">
        <f>IF(N67="","",IF(INDEX(Listado!$M:$M,N67)="No","No","Sí"))</f>
        <v/>
      </c>
    </row>
    <row r="68" spans="2:24" ht="14.25">
      <c r="N68" s="17" t="str">
        <f>IF(V68=0,"",IFERROR(LOOKUP(2,1/(INDEX(Listado!A:A,2):INDEX(Listado!A:A,ROW())&lt;&gt;""),ROW(INDEX(Listado!A:A,2):INDEX(Listado!A:A,ROW()))),""))</f>
        <v/>
      </c>
      <c r="O68" s="17" t="str">
        <f>IFERROR(IF(N68="","",IF(INDEX(Listado!M:M,N68)="No",IF(INDEX(Listado!N:N,N68)=0,"",INDEX(Listado!N:N,N68)),IF(INDEX(Listado!I:I,N68)=0,"",INDEX(Listado!I:I,N68)))),"")</f>
        <v/>
      </c>
      <c r="P68" s="17">
        <f t="shared" ca="1" si="4"/>
        <v/>
      </c>
      <c r="Q68" s="17">
        <f>IFERROR(IF(AND(N68&lt;&gt;"",ISNUMBER(O68),O68&gt;0,O68&gt;=TODAY()-90),1,0),0)</f>
        <v/>
      </c>
      <c r="R68" s="17" t="str">
        <f t="shared" si="6"/>
        <v/>
      </c>
      <c r="S68" s="17" t="str">
        <f>IF(INDEX(Listado!A:A,ROW())="","",INDEX(Listado!A:A,ROW()))</f>
        <v/>
      </c>
      <c r="T68" s="17" t="str">
        <f ca="1">IF(INDEX(Listado!G:G,ROW())="","",INDEX(Listado!G:G,ROW()))</f>
        <v/>
      </c>
      <c r="U68" s="17" t="str">
        <f>IF(INDEX(Listado!F:F,ROW())="","",INDEX(Listado!F:F,ROW()))</f>
        <v/>
      </c>
      <c r="V68" s="17">
        <f>IF(COUNTA(INDEX(Listado!B:B,ROW()):INDEX(Listado!F:F,ROW()))&gt;0,1,0)</f>
        <v/>
      </c>
      <c r="W68" s="17" t="str">
        <f>IF(INDEX(Listado!L:L,ROW())="","",INDEX(Listado!L:L,ROW()))</f>
        <v/>
      </c>
      <c r="X68" s="17">
        <f>IF(N68="","",IF(INDEX(Listado!$M:$M,N68)="No","No","Sí"))</f>
        <v/>
      </c>
    </row>
    <row r="69" spans="2:24" ht="14.25">
      <c r="N69" s="17" t="str">
        <f>IF(V69=0,"",IFERROR(LOOKUP(2,1/(INDEX(Listado!A:A,2):INDEX(Listado!A:A,ROW())&lt;&gt;""),ROW(INDEX(Listado!A:A,2):INDEX(Listado!A:A,ROW()))),""))</f>
        <v/>
      </c>
      <c r="O69" s="17" t="str">
        <f>IFERROR(IF(N69="","",IF(INDEX(Listado!M:M,N69)="No",IF(INDEX(Listado!N:N,N69)=0,"",INDEX(Listado!N:N,N69)),IF(INDEX(Listado!I:I,N69)=0,"",INDEX(Listado!I:I,N69)))),"")</f>
        <v/>
      </c>
      <c r="P69" s="17">
        <f t="shared" ca="1" si="4"/>
        <v/>
      </c>
      <c r="Q69" s="17">
        <f>IFERROR(IF(AND(N69&lt;&gt;"",ISNUMBER(O69),O69&gt;0,O69&gt;=TODAY()-90),1,0),0)</f>
        <v/>
      </c>
      <c r="R69" s="17" t="str">
        <f t="shared" si="6"/>
        <v/>
      </c>
      <c r="S69" s="17" t="str">
        <f>IF(INDEX(Listado!A:A,ROW())="","",INDEX(Listado!A:A,ROW()))</f>
        <v/>
      </c>
      <c r="T69" s="17" t="str">
        <f ca="1">IF(INDEX(Listado!G:G,ROW())="","",INDEX(Listado!G:G,ROW()))</f>
        <v/>
      </c>
      <c r="U69" s="17" t="str">
        <f>IF(INDEX(Listado!F:F,ROW())="","",INDEX(Listado!F:F,ROW()))</f>
        <v/>
      </c>
      <c r="V69" s="17">
        <f>IF(COUNTA(INDEX(Listado!B:B,ROW()):INDEX(Listado!F:F,ROW()))&gt;0,1,0)</f>
        <v/>
      </c>
      <c r="W69" s="17" t="str">
        <f>IF(INDEX(Listado!L:L,ROW())="","",INDEX(Listado!L:L,ROW()))</f>
        <v/>
      </c>
      <c r="X69" s="17">
        <f>IF(N69="","",IF(INDEX(Listado!$M:$M,N69)="No","No","Sí"))</f>
        <v/>
      </c>
    </row>
    <row r="70" spans="2:24" ht="14.25">
      <c r="N70" s="17" t="str">
        <f>IF(V70=0,"",IFERROR(LOOKUP(2,1/(INDEX(Listado!A:A,2):INDEX(Listado!A:A,ROW())&lt;&gt;""),ROW(INDEX(Listado!A:A,2):INDEX(Listado!A:A,ROW()))),""))</f>
        <v/>
      </c>
      <c r="O70" s="17" t="str">
        <f>IFERROR(IF(N70="","",IF(INDEX(Listado!M:M,N70)="No",IF(INDEX(Listado!N:N,N70)=0,"",INDEX(Listado!N:N,N70)),IF(INDEX(Listado!I:I,N70)=0,"",INDEX(Listado!I:I,N70)))),"")</f>
        <v/>
      </c>
      <c r="P70" s="17">
        <f t="shared" ca="1" si="4"/>
        <v/>
      </c>
      <c r="Q70" s="17">
        <f>IFERROR(IF(AND(N70&lt;&gt;"",ISNUMBER(O70),O70&gt;0,O70&gt;=TODAY()-90),1,0),0)</f>
        <v/>
      </c>
      <c r="R70" s="17" t="str">
        <f t="shared" si="6"/>
        <v/>
      </c>
      <c r="S70" s="17" t="str">
        <f>IF(INDEX(Listado!A:A,ROW())="","",INDEX(Listado!A:A,ROW()))</f>
        <v/>
      </c>
      <c r="T70" s="17" t="str">
        <f ca="1">IF(INDEX(Listado!G:G,ROW())="","",INDEX(Listado!G:G,ROW()))</f>
        <v/>
      </c>
      <c r="U70" s="17" t="str">
        <f>IF(INDEX(Listado!F:F,ROW())="","",INDEX(Listado!F:F,ROW()))</f>
        <v/>
      </c>
      <c r="V70" s="17">
        <f>IF(COUNTA(INDEX(Listado!B:B,ROW()):INDEX(Listado!F:F,ROW()))&gt;0,1,0)</f>
        <v/>
      </c>
      <c r="W70" s="17" t="str">
        <f>IF(INDEX(Listado!L:L,ROW())="","",INDEX(Listado!L:L,ROW()))</f>
        <v/>
      </c>
      <c r="X70" s="17">
        <f>IF(N70="","",IF(INDEX(Listado!$M:$M,N70)="No","No","Sí"))</f>
        <v/>
      </c>
    </row>
    <row r="71" spans="2:24" ht="14.25">
      <c r="N71" s="17" t="str">
        <f>IF(V71=0,"",IFERROR(LOOKUP(2,1/(INDEX(Listado!A:A,2):INDEX(Listado!A:A,ROW())&lt;&gt;""),ROW(INDEX(Listado!A:A,2):INDEX(Listado!A:A,ROW()))),""))</f>
        <v/>
      </c>
      <c r="O71" s="17" t="str">
        <f>IFERROR(IF(N71="","",IF(INDEX(Listado!M:M,N71)="No",IF(INDEX(Listado!N:N,N71)=0,"",INDEX(Listado!N:N,N71)),IF(INDEX(Listado!I:I,N71)=0,"",INDEX(Listado!I:I,N71)))),"")</f>
        <v/>
      </c>
      <c r="P71" s="17">
        <f t="shared" ca="1" si="4"/>
        <v/>
      </c>
      <c r="Q71" s="17">
        <f>IFERROR(IF(AND(N71&lt;&gt;"",ISNUMBER(O71),O71&gt;0,O71&gt;=TODAY()-90),1,0),0)</f>
        <v/>
      </c>
      <c r="R71" s="17" t="str">
        <f t="shared" si="6"/>
        <v/>
      </c>
      <c r="S71" s="17" t="str">
        <f>IF(INDEX(Listado!A:A,ROW())="","",INDEX(Listado!A:A,ROW()))</f>
        <v/>
      </c>
      <c r="T71" s="17" t="str">
        <f ca="1">IF(INDEX(Listado!G:G,ROW())="","",INDEX(Listado!G:G,ROW()))</f>
        <v/>
      </c>
      <c r="U71" s="17" t="str">
        <f>IF(INDEX(Listado!F:F,ROW())="","",INDEX(Listado!F:F,ROW()))</f>
        <v/>
      </c>
      <c r="V71" s="17">
        <f>IF(COUNTA(INDEX(Listado!B:B,ROW()):INDEX(Listado!F:F,ROW()))&gt;0,1,0)</f>
        <v/>
      </c>
      <c r="W71" s="17" t="str">
        <f>IF(INDEX(Listado!L:L,ROW())="","",INDEX(Listado!L:L,ROW()))</f>
        <v/>
      </c>
      <c r="X71" s="17">
        <f>IF(N71="","",IF(INDEX(Listado!$M:$M,N71)="No","No","Sí"))</f>
        <v/>
      </c>
    </row>
    <row r="72" spans="2:24" ht="14.25">
      <c r="N72" s="17" t="str">
        <f>IF(V72=0,"",IFERROR(LOOKUP(2,1/(INDEX(Listado!A:A,2):INDEX(Listado!A:A,ROW())&lt;&gt;""),ROW(INDEX(Listado!A:A,2):INDEX(Listado!A:A,ROW()))),""))</f>
        <v/>
      </c>
      <c r="O72" s="17" t="str">
        <f>IFERROR(IF(N72="","",IF(INDEX(Listado!M:M,N72)="No",IF(INDEX(Listado!N:N,N72)=0,"",INDEX(Listado!N:N,N72)),IF(INDEX(Listado!I:I,N72)=0,"",INDEX(Listado!I:I,N72)))),"")</f>
        <v/>
      </c>
      <c r="P72" s="17">
        <f t="shared" ca="1" si="4"/>
        <v/>
      </c>
      <c r="Q72" s="17">
        <f>IFERROR(IF(AND(N72&lt;&gt;"",ISNUMBER(O72),O72&gt;0,O72&gt;=TODAY()-90),1,0),0)</f>
        <v/>
      </c>
      <c r="R72" s="17" t="str">
        <f t="shared" si="6"/>
        <v/>
      </c>
      <c r="S72" s="17" t="str">
        <f>IF(INDEX(Listado!A:A,ROW())="","",INDEX(Listado!A:A,ROW()))</f>
        <v/>
      </c>
      <c r="T72" s="17" t="str">
        <f ca="1">IF(INDEX(Listado!G:G,ROW())="","",INDEX(Listado!G:G,ROW()))</f>
        <v/>
      </c>
      <c r="U72" s="17" t="str">
        <f>IF(INDEX(Listado!F:F,ROW())="","",INDEX(Listado!F:F,ROW()))</f>
        <v/>
      </c>
      <c r="V72" s="17">
        <f>IF(COUNTA(INDEX(Listado!B:B,ROW()):INDEX(Listado!F:F,ROW()))&gt;0,1,0)</f>
        <v/>
      </c>
      <c r="W72" s="17" t="str">
        <f>IF(INDEX(Listado!L:L,ROW())="","",INDEX(Listado!L:L,ROW()))</f>
        <v/>
      </c>
      <c r="X72" s="17">
        <f>IF(N72="","",IF(INDEX(Listado!$M:$M,N72)="No","No","Sí"))</f>
        <v/>
      </c>
    </row>
    <row r="73" spans="2:24" ht="14.25">
      <c r="N73" s="17" t="str">
        <f>IF(V73=0,"",IFERROR(LOOKUP(2,1/(INDEX(Listado!A:A,2):INDEX(Listado!A:A,ROW())&lt;&gt;""),ROW(INDEX(Listado!A:A,2):INDEX(Listado!A:A,ROW()))),""))</f>
        <v/>
      </c>
      <c r="O73" s="17" t="str">
        <f>IFERROR(IF(N73="","",IF(INDEX(Listado!M:M,N73)="No",IF(INDEX(Listado!N:N,N73)=0,"",INDEX(Listado!N:N,N73)),IF(INDEX(Listado!I:I,N73)=0,"",INDEX(Listado!I:I,N73)))),"")</f>
        <v/>
      </c>
      <c r="P73" s="17">
        <f t="shared" ca="1" si="4"/>
        <v/>
      </c>
      <c r="Q73" s="17">
        <f>IFERROR(IF(AND(N73&lt;&gt;"",ISNUMBER(O73),O73&gt;0,O73&gt;=TODAY()-90),1,0),0)</f>
        <v/>
      </c>
      <c r="R73" s="17" t="str">
        <f t="shared" si="6"/>
        <v/>
      </c>
      <c r="S73" s="17" t="str">
        <f>IF(INDEX(Listado!A:A,ROW())="","",INDEX(Listado!A:A,ROW()))</f>
        <v/>
      </c>
      <c r="T73" s="17" t="str">
        <f ca="1">IF(INDEX(Listado!G:G,ROW())="","",INDEX(Listado!G:G,ROW()))</f>
        <v/>
      </c>
      <c r="U73" s="17" t="str">
        <f>IF(INDEX(Listado!F:F,ROW())="","",INDEX(Listado!F:F,ROW()))</f>
        <v/>
      </c>
      <c r="V73" s="17">
        <f>IF(COUNTA(INDEX(Listado!B:B,ROW()):INDEX(Listado!F:F,ROW()))&gt;0,1,0)</f>
        <v/>
      </c>
      <c r="W73" s="17" t="str">
        <f>IF(INDEX(Listado!L:L,ROW())="","",INDEX(Listado!L:L,ROW()))</f>
        <v/>
      </c>
      <c r="X73" s="17">
        <f>IF(N73="","",IF(INDEX(Listado!$M:$M,N73)="No","No","Sí"))</f>
        <v/>
      </c>
    </row>
    <row r="74" spans="2:24" ht="14.25">
      <c r="N74" s="17" t="str">
        <f>IF(V74=0,"",IFERROR(LOOKUP(2,1/(INDEX(Listado!A:A,2):INDEX(Listado!A:A,ROW())&lt;&gt;""),ROW(INDEX(Listado!A:A,2):INDEX(Listado!A:A,ROW()))),""))</f>
        <v/>
      </c>
      <c r="O74" s="17" t="str">
        <f>IFERROR(IF(N74="","",IF(INDEX(Listado!M:M,N74)="No",IF(INDEX(Listado!N:N,N74)=0,"",INDEX(Listado!N:N,N74)),IF(INDEX(Listado!I:I,N74)=0,"",INDEX(Listado!I:I,N74)))),"")</f>
        <v/>
      </c>
      <c r="P74" s="17">
        <f t="shared" ca="1" si="4"/>
        <v/>
      </c>
      <c r="Q74" s="17">
        <f>IFERROR(IF(AND(N74&lt;&gt;"",ISNUMBER(O74),O74&gt;0,O74&gt;=TODAY()-90),1,0),0)</f>
        <v/>
      </c>
      <c r="R74" s="17" t="str">
        <f t="shared" si="6"/>
        <v/>
      </c>
      <c r="S74" s="17" t="str">
        <f>IF(INDEX(Listado!A:A,ROW())="","",INDEX(Listado!A:A,ROW()))</f>
        <v/>
      </c>
      <c r="T74" s="17" t="str">
        <f ca="1">IF(INDEX(Listado!G:G,ROW())="","",INDEX(Listado!G:G,ROW()))</f>
        <v/>
      </c>
      <c r="U74" s="17" t="str">
        <f>IF(INDEX(Listado!F:F,ROW())="","",INDEX(Listado!F:F,ROW()))</f>
        <v/>
      </c>
      <c r="V74" s="17">
        <f>IF(COUNTA(INDEX(Listado!B:B,ROW()):INDEX(Listado!F:F,ROW()))&gt;0,1,0)</f>
        <v/>
      </c>
      <c r="W74" s="17" t="str">
        <f>IF(INDEX(Listado!L:L,ROW())="","",INDEX(Listado!L:L,ROW()))</f>
        <v/>
      </c>
      <c r="X74" s="17">
        <f>IF(N74="","",IF(INDEX(Listado!$M:$M,N74)="No","No","Sí"))</f>
        <v/>
      </c>
    </row>
    <row r="75" spans="2:24" ht="14.25">
      <c r="N75" s="17" t="str">
        <f>IF(V75=0,"",IFERROR(LOOKUP(2,1/(INDEX(Listado!A:A,2):INDEX(Listado!A:A,ROW())&lt;&gt;""),ROW(INDEX(Listado!A:A,2):INDEX(Listado!A:A,ROW()))),""))</f>
        <v/>
      </c>
      <c r="O75" s="17" t="str">
        <f>IFERROR(IF(N75="","",IF(INDEX(Listado!M:M,N75)="No",IF(INDEX(Listado!N:N,N75)=0,"",INDEX(Listado!N:N,N75)),IF(INDEX(Listado!I:I,N75)=0,"",INDEX(Listado!I:I,N75)))),"")</f>
        <v/>
      </c>
      <c r="P75" s="17">
        <f t="shared" ca="1" si="4"/>
        <v/>
      </c>
      <c r="Q75" s="17">
        <f>IFERROR(IF(AND(N75&lt;&gt;"",ISNUMBER(O75),O75&gt;0,O75&gt;=TODAY()-90),1,0),0)</f>
        <v/>
      </c>
      <c r="R75" s="17" t="str">
        <f t="shared" si="6"/>
        <v/>
      </c>
      <c r="S75" s="17" t="str">
        <f>IF(INDEX(Listado!A:A,ROW())="","",INDEX(Listado!A:A,ROW()))</f>
        <v/>
      </c>
      <c r="T75" s="17" t="str">
        <f ca="1">IF(INDEX(Listado!G:G,ROW())="","",INDEX(Listado!G:G,ROW()))</f>
        <v/>
      </c>
      <c r="U75" s="17" t="str">
        <f>IF(INDEX(Listado!F:F,ROW())="","",INDEX(Listado!F:F,ROW()))</f>
        <v/>
      </c>
      <c r="V75" s="17">
        <f>IF(COUNTA(INDEX(Listado!B:B,ROW()):INDEX(Listado!F:F,ROW()))&gt;0,1,0)</f>
        <v/>
      </c>
      <c r="W75" s="17" t="str">
        <f>IF(INDEX(Listado!L:L,ROW())="","",INDEX(Listado!L:L,ROW()))</f>
        <v/>
      </c>
      <c r="X75" s="17">
        <f>IF(N75="","",IF(INDEX(Listado!$M:$M,N75)="No","No","Sí"))</f>
        <v/>
      </c>
    </row>
    <row r="76" spans="2:24" ht="14.25">
      <c r="N76" s="17" t="str">
        <f>IF(V76=0,"",IFERROR(LOOKUP(2,1/(INDEX(Listado!A:A,2):INDEX(Listado!A:A,ROW())&lt;&gt;""),ROW(INDEX(Listado!A:A,2):INDEX(Listado!A:A,ROW()))),""))</f>
        <v/>
      </c>
      <c r="O76" s="17" t="str">
        <f>IFERROR(IF(N76="","",IF(INDEX(Listado!M:M,N76)="No",IF(INDEX(Listado!N:N,N76)=0,"",INDEX(Listado!N:N,N76)),IF(INDEX(Listado!I:I,N76)=0,"",INDEX(Listado!I:I,N76)))),"")</f>
        <v/>
      </c>
      <c r="P76" s="17">
        <f t="shared" ca="1" si="4"/>
        <v/>
      </c>
      <c r="Q76" s="17">
        <f>IFERROR(IF(AND(N76&lt;&gt;"",ISNUMBER(O76),O76&gt;0,O76&gt;=TODAY()-90),1,0),0)</f>
        <v/>
      </c>
      <c r="R76" s="17" t="str">
        <f t="shared" si="6"/>
        <v/>
      </c>
      <c r="S76" s="17" t="str">
        <f>IF(INDEX(Listado!A:A,ROW())="","",INDEX(Listado!A:A,ROW()))</f>
        <v/>
      </c>
      <c r="T76" s="17" t="str">
        <f ca="1">IF(INDEX(Listado!G:G,ROW())="","",INDEX(Listado!G:G,ROW()))</f>
        <v/>
      </c>
      <c r="U76" s="17" t="str">
        <f>IF(INDEX(Listado!F:F,ROW())="","",INDEX(Listado!F:F,ROW()))</f>
        <v/>
      </c>
      <c r="V76" s="17">
        <f>IF(COUNTA(INDEX(Listado!B:B,ROW()):INDEX(Listado!F:F,ROW()))&gt;0,1,0)</f>
        <v/>
      </c>
      <c r="W76" s="17" t="str">
        <f>IF(INDEX(Listado!L:L,ROW())="","",INDEX(Listado!L:L,ROW()))</f>
        <v/>
      </c>
      <c r="X76" s="17">
        <f>IF(N76="","",IF(INDEX(Listado!$M:$M,N76)="No","No","Sí"))</f>
        <v/>
      </c>
    </row>
    <row r="77" spans="2:24" ht="14.25">
      <c r="N77" s="17" t="str">
        <f>IF(V77=0,"",IFERROR(LOOKUP(2,1/(INDEX(Listado!A:A,2):INDEX(Listado!A:A,ROW())&lt;&gt;""),ROW(INDEX(Listado!A:A,2):INDEX(Listado!A:A,ROW()))),""))</f>
        <v/>
      </c>
      <c r="O77" s="17" t="str">
        <f>IFERROR(IF(N77="","",IF(INDEX(Listado!M:M,N77)="No",IF(INDEX(Listado!N:N,N77)=0,"",INDEX(Listado!N:N,N77)),IF(INDEX(Listado!I:I,N77)=0,"",INDEX(Listado!I:I,N77)))),"")</f>
        <v/>
      </c>
      <c r="P77" s="17">
        <f t="shared" ca="1" si="4"/>
        <v/>
      </c>
      <c r="Q77" s="17">
        <f>IFERROR(IF(AND(N77&lt;&gt;"",ISNUMBER(O77),O77&gt;0,O77&gt;=TODAY()-90),1,0),0)</f>
        <v/>
      </c>
      <c r="R77" s="17" t="str">
        <f t="shared" si="6"/>
        <v/>
      </c>
      <c r="S77" s="17" t="str">
        <f>IF(INDEX(Listado!A:A,ROW())="","",INDEX(Listado!A:A,ROW()))</f>
        <v/>
      </c>
      <c r="T77" s="17" t="str">
        <f ca="1">IF(INDEX(Listado!G:G,ROW())="","",INDEX(Listado!G:G,ROW()))</f>
        <v/>
      </c>
      <c r="U77" s="17" t="str">
        <f>IF(INDEX(Listado!F:F,ROW())="","",INDEX(Listado!F:F,ROW()))</f>
        <v/>
      </c>
      <c r="V77" s="17">
        <f>IF(COUNTA(INDEX(Listado!B:B,ROW()):INDEX(Listado!F:F,ROW()))&gt;0,1,0)</f>
        <v/>
      </c>
      <c r="W77" s="17" t="str">
        <f>IF(INDEX(Listado!L:L,ROW())="","",INDEX(Listado!L:L,ROW()))</f>
        <v/>
      </c>
      <c r="X77" s="17">
        <f>IF(N77="","",IF(INDEX(Listado!$M:$M,N77)="No","No","Sí"))</f>
        <v/>
      </c>
    </row>
    <row r="78" spans="2:24" ht="14.25">
      <c r="N78" s="17" t="str">
        <f>IF(V78=0,"",IFERROR(LOOKUP(2,1/(INDEX(Listado!A:A,2):INDEX(Listado!A:A,ROW())&lt;&gt;""),ROW(INDEX(Listado!A:A,2):INDEX(Listado!A:A,ROW()))),""))</f>
        <v/>
      </c>
      <c r="O78" s="17" t="str">
        <f>IFERROR(IF(N78="","",IF(INDEX(Listado!M:M,N78)="No",IF(INDEX(Listado!N:N,N78)=0,"",INDEX(Listado!N:N,N78)),IF(INDEX(Listado!I:I,N78)=0,"",INDEX(Listado!I:I,N78)))),"")</f>
        <v/>
      </c>
      <c r="P78" s="17">
        <f t="shared" ca="1" si="4"/>
        <v/>
      </c>
      <c r="Q78" s="17">
        <f>IFERROR(IF(AND(N78&lt;&gt;"",ISNUMBER(O78),O78&gt;0,O78&gt;=TODAY()-90),1,0),0)</f>
        <v/>
      </c>
      <c r="R78" s="17" t="str">
        <f t="shared" si="6"/>
        <v/>
      </c>
      <c r="S78" s="17" t="str">
        <f>IF(INDEX(Listado!A:A,ROW())="","",INDEX(Listado!A:A,ROW()))</f>
        <v/>
      </c>
      <c r="T78" s="17" t="str">
        <f ca="1">IF(INDEX(Listado!G:G,ROW())="","",INDEX(Listado!G:G,ROW()))</f>
        <v/>
      </c>
      <c r="U78" s="17" t="str">
        <f>IF(INDEX(Listado!F:F,ROW())="","",INDEX(Listado!F:F,ROW()))</f>
        <v/>
      </c>
      <c r="V78" s="17">
        <f>IF(COUNTA(INDEX(Listado!B:B,ROW()):INDEX(Listado!F:F,ROW()))&gt;0,1,0)</f>
        <v/>
      </c>
      <c r="W78" s="17" t="str">
        <f>IF(INDEX(Listado!L:L,ROW())="","",INDEX(Listado!L:L,ROW()))</f>
        <v/>
      </c>
      <c r="X78" s="17">
        <f>IF(N78="","",IF(INDEX(Listado!$M:$M,N78)="No","No","Sí"))</f>
        <v/>
      </c>
    </row>
    <row r="79" spans="2:24" ht="14.25">
      <c r="N79" s="17" t="str">
        <f>IF(V79=0,"",IFERROR(LOOKUP(2,1/(INDEX(Listado!A:A,2):INDEX(Listado!A:A,ROW())&lt;&gt;""),ROW(INDEX(Listado!A:A,2):INDEX(Listado!A:A,ROW()))),""))</f>
        <v/>
      </c>
      <c r="O79" s="17" t="str">
        <f>IFERROR(IF(N79="","",IF(INDEX(Listado!M:M,N79)="No",IF(INDEX(Listado!N:N,N79)=0,"",INDEX(Listado!N:N,N79)),IF(INDEX(Listado!I:I,N79)=0,"",INDEX(Listado!I:I,N79)))),"")</f>
        <v/>
      </c>
      <c r="P79" s="17">
        <f t="shared" ca="1" si="4"/>
        <v/>
      </c>
      <c r="Q79" s="17">
        <f>IFERROR(IF(AND(N79&lt;&gt;"",ISNUMBER(O79),O79&gt;0,O79&gt;=TODAY()-90),1,0),0)</f>
        <v/>
      </c>
      <c r="R79" s="17" t="str">
        <f t="shared" si="6"/>
        <v/>
      </c>
      <c r="S79" s="17" t="str">
        <f>IF(INDEX(Listado!A:A,ROW())="","",INDEX(Listado!A:A,ROW()))</f>
        <v/>
      </c>
      <c r="T79" s="17" t="str">
        <f ca="1">IF(INDEX(Listado!G:G,ROW())="","",INDEX(Listado!G:G,ROW()))</f>
        <v/>
      </c>
      <c r="U79" s="17" t="str">
        <f>IF(INDEX(Listado!F:F,ROW())="","",INDEX(Listado!F:F,ROW()))</f>
        <v/>
      </c>
      <c r="V79" s="17">
        <f>IF(COUNTA(INDEX(Listado!B:B,ROW()):INDEX(Listado!F:F,ROW()))&gt;0,1,0)</f>
        <v/>
      </c>
      <c r="W79" s="17" t="str">
        <f>IF(INDEX(Listado!L:L,ROW())="","",INDEX(Listado!L:L,ROW()))</f>
        <v/>
      </c>
      <c r="X79" s="17">
        <f>IF(N79="","",IF(INDEX(Listado!$M:$M,N79)="No","No","Sí"))</f>
        <v/>
      </c>
    </row>
    <row r="80" spans="2:24" ht="14.25">
      <c r="N80" s="17" t="str">
        <f>IF(V80=0,"",IFERROR(LOOKUP(2,1/(INDEX(Listado!A:A,2):INDEX(Listado!A:A,ROW())&lt;&gt;""),ROW(INDEX(Listado!A:A,2):INDEX(Listado!A:A,ROW()))),""))</f>
        <v/>
      </c>
      <c r="O80" s="17" t="str">
        <f>IFERROR(IF(N80="","",IF(INDEX(Listado!M:M,N80)="No",IF(INDEX(Listado!N:N,N80)=0,"",INDEX(Listado!N:N,N80)),IF(INDEX(Listado!I:I,N80)=0,"",INDEX(Listado!I:I,N80)))),"")</f>
        <v/>
      </c>
      <c r="P80" s="17">
        <f t="shared" ca="1" si="4"/>
        <v/>
      </c>
      <c r="Q80" s="17">
        <f>IFERROR(IF(AND(N80&lt;&gt;"",ISNUMBER(O80),O80&gt;0,O80&gt;=TODAY()-90),1,0),0)</f>
        <v/>
      </c>
      <c r="R80" s="17" t="str">
        <f t="shared" si="6"/>
        <v/>
      </c>
      <c r="S80" s="17" t="str">
        <f>IF(INDEX(Listado!A:A,ROW())="","",INDEX(Listado!A:A,ROW()))</f>
        <v/>
      </c>
      <c r="T80" s="17" t="str">
        <f ca="1">IF(INDEX(Listado!G:G,ROW())="","",INDEX(Listado!G:G,ROW()))</f>
        <v/>
      </c>
      <c r="U80" s="17" t="str">
        <f>IF(INDEX(Listado!F:F,ROW())="","",INDEX(Listado!F:F,ROW()))</f>
        <v/>
      </c>
      <c r="V80" s="17">
        <f>IF(COUNTA(INDEX(Listado!B:B,ROW()):INDEX(Listado!F:F,ROW()))&gt;0,1,0)</f>
        <v/>
      </c>
      <c r="W80" s="17" t="str">
        <f>IF(INDEX(Listado!L:L,ROW())="","",INDEX(Listado!L:L,ROW()))</f>
        <v/>
      </c>
      <c r="X80" s="17">
        <f>IF(N80="","",IF(INDEX(Listado!$M:$M,N80)="No","No","Sí"))</f>
        <v/>
      </c>
    </row>
    <row r="81" spans="2:24" ht="14.25">
      <c r="N81" s="17" t="str">
        <f>IF(V81=0,"",IFERROR(LOOKUP(2,1/(INDEX(Listado!A:A,2):INDEX(Listado!A:A,ROW())&lt;&gt;""),ROW(INDEX(Listado!A:A,2):INDEX(Listado!A:A,ROW()))),""))</f>
        <v/>
      </c>
      <c r="O81" s="17" t="str">
        <f>IFERROR(IF(N81="","",IF(INDEX(Listado!M:M,N81)="No",IF(INDEX(Listado!N:N,N81)=0,"",INDEX(Listado!N:N,N81)),IF(INDEX(Listado!I:I,N81)=0,"",INDEX(Listado!I:I,N81)))),"")</f>
        <v/>
      </c>
      <c r="P81" s="17">
        <f t="shared" ca="1" si="4"/>
        <v/>
      </c>
      <c r="Q81" s="17">
        <f>IFERROR(IF(AND(N81&lt;&gt;"",ISNUMBER(O81),O81&gt;0,O81&gt;=TODAY()-90),1,0),0)</f>
        <v/>
      </c>
      <c r="R81" s="17" t="str">
        <f t="shared" si="6"/>
        <v/>
      </c>
      <c r="S81" s="17" t="str">
        <f>IF(INDEX(Listado!A:A,ROW())="","",INDEX(Listado!A:A,ROW()))</f>
        <v/>
      </c>
      <c r="T81" s="17" t="str">
        <f ca="1">IF(INDEX(Listado!G:G,ROW())="","",INDEX(Listado!G:G,ROW()))</f>
        <v/>
      </c>
      <c r="U81" s="17" t="str">
        <f>IF(INDEX(Listado!F:F,ROW())="","",INDEX(Listado!F:F,ROW()))</f>
        <v/>
      </c>
      <c r="V81" s="17">
        <f>IF(COUNTA(INDEX(Listado!B:B,ROW()):INDEX(Listado!F:F,ROW()))&gt;0,1,0)</f>
        <v/>
      </c>
      <c r="W81" s="17" t="str">
        <f>IF(INDEX(Listado!L:L,ROW())="","",INDEX(Listado!L:L,ROW()))</f>
        <v/>
      </c>
      <c r="X81" s="17">
        <f>IF(N81="","",IF(INDEX(Listado!$M:$M,N81)="No","No","Sí"))</f>
        <v/>
      </c>
    </row>
    <row r="82" spans="2:24" ht="14.25">
      <c r="N82" s="17" t="str">
        <f>IF(V82=0,"",IFERROR(LOOKUP(2,1/(INDEX(Listado!A:A,2):INDEX(Listado!A:A,ROW())&lt;&gt;""),ROW(INDEX(Listado!A:A,2):INDEX(Listado!A:A,ROW()))),""))</f>
        <v/>
      </c>
      <c r="O82" s="17" t="str">
        <f>IFERROR(IF(N82="","",IF(INDEX(Listado!M:M,N82)="No",IF(INDEX(Listado!N:N,N82)=0,"",INDEX(Listado!N:N,N82)),IF(INDEX(Listado!I:I,N82)=0,"",INDEX(Listado!I:I,N82)))),"")</f>
        <v/>
      </c>
      <c r="P82" s="17">
        <f t="shared" ca="1" si="4"/>
        <v/>
      </c>
      <c r="Q82" s="17">
        <f>IFERROR(IF(AND(N82&lt;&gt;"",ISNUMBER(O82),O82&gt;0,O82&gt;=TODAY()-90),1,0),0)</f>
        <v/>
      </c>
      <c r="R82" s="17" t="str">
        <f t="shared" si="6"/>
        <v/>
      </c>
      <c r="S82" s="17" t="str">
        <f>IF(INDEX(Listado!A:A,ROW())="","",INDEX(Listado!A:A,ROW()))</f>
        <v/>
      </c>
      <c r="T82" s="17" t="str">
        <f ca="1">IF(INDEX(Listado!G:G,ROW())="","",INDEX(Listado!G:G,ROW()))</f>
        <v/>
      </c>
      <c r="U82" s="17" t="str">
        <f>IF(INDEX(Listado!F:F,ROW())="","",INDEX(Listado!F:F,ROW()))</f>
        <v/>
      </c>
      <c r="V82" s="17">
        <f>IF(COUNTA(INDEX(Listado!B:B,ROW()):INDEX(Listado!F:F,ROW()))&gt;0,1,0)</f>
        <v/>
      </c>
      <c r="W82" s="17" t="str">
        <f>IF(INDEX(Listado!L:L,ROW())="","",INDEX(Listado!L:L,ROW()))</f>
        <v/>
      </c>
      <c r="X82" s="17">
        <f>IF(N82="","",IF(INDEX(Listado!$M:$M,N82)="No","No","Sí"))</f>
        <v/>
      </c>
    </row>
    <row r="83" spans="2:24" ht="14.25">
      <c r="N83" s="17" t="str">
        <f>IF(V83=0,"",IFERROR(LOOKUP(2,1/(INDEX(Listado!A:A,2):INDEX(Listado!A:A,ROW())&lt;&gt;""),ROW(INDEX(Listado!A:A,2):INDEX(Listado!A:A,ROW()))),""))</f>
        <v/>
      </c>
      <c r="O83" s="17" t="str">
        <f>IFERROR(IF(N83="","",IF(INDEX(Listado!M:M,N83)="No",IF(INDEX(Listado!N:N,N83)=0,"",INDEX(Listado!N:N,N83)),IF(INDEX(Listado!I:I,N83)=0,"",INDEX(Listado!I:I,N83)))),"")</f>
        <v/>
      </c>
      <c r="P83" s="17">
        <f t="shared" ca="1" si="4"/>
        <v/>
      </c>
      <c r="Q83" s="17">
        <f>IFERROR(IF(AND(N83&lt;&gt;"",ISNUMBER(O83),O83&gt;0,O83&gt;=TODAY()-90),1,0),0)</f>
        <v/>
      </c>
      <c r="R83" s="17" t="str">
        <f t="shared" si="6"/>
        <v/>
      </c>
      <c r="S83" s="17" t="str">
        <f>IF(INDEX(Listado!A:A,ROW())="","",INDEX(Listado!A:A,ROW()))</f>
        <v/>
      </c>
      <c r="T83" s="17" t="str">
        <f ca="1">IF(INDEX(Listado!G:G,ROW())="","",INDEX(Listado!G:G,ROW()))</f>
        <v/>
      </c>
      <c r="U83" s="17" t="str">
        <f>IF(INDEX(Listado!F:F,ROW())="","",INDEX(Listado!F:F,ROW()))</f>
        <v/>
      </c>
      <c r="V83" s="17">
        <f>IF(COUNTA(INDEX(Listado!B:B,ROW()):INDEX(Listado!F:F,ROW()))&gt;0,1,0)</f>
        <v/>
      </c>
      <c r="W83" s="17" t="str">
        <f>IF(INDEX(Listado!L:L,ROW())="","",INDEX(Listado!L:L,ROW()))</f>
        <v/>
      </c>
      <c r="X83" s="17">
        <f>IF(N83="","",IF(INDEX(Listado!$M:$M,N83)="No","No","Sí"))</f>
        <v/>
      </c>
    </row>
    <row r="84" spans="2:24" ht="14.25">
      <c r="N84" s="17" t="str">
        <f>IF(V84=0,"",IFERROR(LOOKUP(2,1/(INDEX(Listado!A:A,2):INDEX(Listado!A:A,ROW())&lt;&gt;""),ROW(INDEX(Listado!A:A,2):INDEX(Listado!A:A,ROW()))),""))</f>
        <v/>
      </c>
      <c r="O84" s="17" t="str">
        <f>IFERROR(IF(N84="","",IF(INDEX(Listado!M:M,N84)="No",IF(INDEX(Listado!N:N,N84)=0,"",INDEX(Listado!N:N,N84)),IF(INDEX(Listado!I:I,N84)=0,"",INDEX(Listado!I:I,N84)))),"")</f>
        <v/>
      </c>
      <c r="P84" s="17">
        <f t="shared" ca="1" si="4"/>
        <v/>
      </c>
      <c r="Q84" s="17">
        <f>IFERROR(IF(AND(N84&lt;&gt;"",ISNUMBER(O84),O84&gt;0,O84&gt;=TODAY()-90),1,0),0)</f>
        <v/>
      </c>
      <c r="R84" s="17" t="str">
        <f t="shared" si="6"/>
        <v/>
      </c>
      <c r="S84" s="17" t="str">
        <f>IF(INDEX(Listado!A:A,ROW())="","",INDEX(Listado!A:A,ROW()))</f>
        <v/>
      </c>
      <c r="T84" s="17" t="str">
        <f ca="1">IF(INDEX(Listado!G:G,ROW())="","",INDEX(Listado!G:G,ROW()))</f>
        <v/>
      </c>
      <c r="U84" s="17" t="str">
        <f>IF(INDEX(Listado!F:F,ROW())="","",INDEX(Listado!F:F,ROW()))</f>
        <v/>
      </c>
      <c r="V84" s="17">
        <f>IF(COUNTA(INDEX(Listado!B:B,ROW()):INDEX(Listado!F:F,ROW()))&gt;0,1,0)</f>
        <v/>
      </c>
      <c r="W84" s="17" t="str">
        <f>IF(INDEX(Listado!L:L,ROW())="","",INDEX(Listado!L:L,ROW()))</f>
        <v/>
      </c>
      <c r="X84" s="17">
        <f>IF(N84="","",IF(INDEX(Listado!$M:$M,N84)="No","No","Sí"))</f>
        <v/>
      </c>
    </row>
    <row r="85" spans="2:24" ht="14.25">
      <c r="N85" s="17" t="str">
        <f>IF(V85=0,"",IFERROR(LOOKUP(2,1/(INDEX(Listado!A:A,2):INDEX(Listado!A:A,ROW())&lt;&gt;""),ROW(INDEX(Listado!A:A,2):INDEX(Listado!A:A,ROW()))),""))</f>
        <v/>
      </c>
      <c r="O85" s="17" t="str">
        <f>IFERROR(IF(N85="","",IF(INDEX(Listado!M:M,N85)="No",IF(INDEX(Listado!N:N,N85)=0,"",INDEX(Listado!N:N,N85)),IF(INDEX(Listado!I:I,N85)=0,"",INDEX(Listado!I:I,N85)))),"")</f>
        <v/>
      </c>
      <c r="P85" s="17">
        <f t="shared" ca="1" si="4"/>
        <v/>
      </c>
      <c r="Q85" s="17">
        <f>IFERROR(IF(AND(N85&lt;&gt;"",ISNUMBER(O85),O85&gt;0,O85&gt;=TODAY()-90),1,0),0)</f>
        <v/>
      </c>
      <c r="R85" s="17" t="str">
        <f t="shared" si="6"/>
        <v/>
      </c>
      <c r="S85" s="17" t="str">
        <f>IF(INDEX(Listado!A:A,ROW())="","",INDEX(Listado!A:A,ROW()))</f>
        <v/>
      </c>
      <c r="T85" s="17" t="str">
        <f ca="1">IF(INDEX(Listado!G:G,ROW())="","",INDEX(Listado!G:G,ROW()))</f>
        <v/>
      </c>
      <c r="U85" s="17" t="str">
        <f>IF(INDEX(Listado!F:F,ROW())="","",INDEX(Listado!F:F,ROW()))</f>
        <v/>
      </c>
      <c r="V85" s="17">
        <f>IF(COUNTA(INDEX(Listado!B:B,ROW()):INDEX(Listado!F:F,ROW()))&gt;0,1,0)</f>
        <v/>
      </c>
      <c r="W85" s="17" t="str">
        <f>IF(INDEX(Listado!L:L,ROW())="","",INDEX(Listado!L:L,ROW()))</f>
        <v/>
      </c>
      <c r="X85" s="17">
        <f>IF(N85="","",IF(INDEX(Listado!$M:$M,N85)="No","No","Sí"))</f>
        <v/>
      </c>
    </row>
    <row r="86" spans="2:24" ht="14.25">
      <c r="N86" s="17" t="str">
        <f>IF(V86=0,"",IFERROR(LOOKUP(2,1/(INDEX(Listado!A:A,2):INDEX(Listado!A:A,ROW())&lt;&gt;""),ROW(INDEX(Listado!A:A,2):INDEX(Listado!A:A,ROW()))),""))</f>
        <v/>
      </c>
      <c r="O86" s="17" t="str">
        <f>IFERROR(IF(N86="","",IF(INDEX(Listado!M:M,N86)="No",IF(INDEX(Listado!N:N,N86)=0,"",INDEX(Listado!N:N,N86)),IF(INDEX(Listado!I:I,N86)=0,"",INDEX(Listado!I:I,N86)))),"")</f>
        <v/>
      </c>
      <c r="P86" s="17">
        <f t="shared" ca="1" si="4"/>
        <v/>
      </c>
      <c r="Q86" s="17">
        <f>IFERROR(IF(AND(N86&lt;&gt;"",ISNUMBER(O86),O86&gt;0,O86&gt;=TODAY()-90),1,0),0)</f>
        <v/>
      </c>
      <c r="R86" s="17" t="str">
        <f t="shared" si="6"/>
        <v/>
      </c>
      <c r="S86" s="17" t="str">
        <f>IF(INDEX(Listado!A:A,ROW())="","",INDEX(Listado!A:A,ROW()))</f>
        <v/>
      </c>
      <c r="T86" s="17" t="str">
        <f ca="1">IF(INDEX(Listado!G:G,ROW())="","",INDEX(Listado!G:G,ROW()))</f>
        <v/>
      </c>
      <c r="U86" s="17" t="str">
        <f>IF(INDEX(Listado!F:F,ROW())="","",INDEX(Listado!F:F,ROW()))</f>
        <v/>
      </c>
      <c r="V86" s="17">
        <f>IF(COUNTA(INDEX(Listado!B:B,ROW()):INDEX(Listado!F:F,ROW()))&gt;0,1,0)</f>
        <v/>
      </c>
      <c r="W86" s="17" t="str">
        <f>IF(INDEX(Listado!L:L,ROW())="","",INDEX(Listado!L:L,ROW()))</f>
        <v/>
      </c>
      <c r="X86" s="17">
        <f>IF(N86="","",IF(INDEX(Listado!$M:$M,N86)="No","No","Sí"))</f>
        <v/>
      </c>
    </row>
    <row r="87" spans="2:24" ht="14.25">
      <c r="N87" s="17" t="str">
        <f>IF(V87=0,"",IFERROR(LOOKUP(2,1/(INDEX(Listado!A:A,2):INDEX(Listado!A:A,ROW())&lt;&gt;""),ROW(INDEX(Listado!A:A,2):INDEX(Listado!A:A,ROW()))),""))</f>
        <v/>
      </c>
      <c r="O87" s="17" t="str">
        <f>IFERROR(IF(N87="","",IF(INDEX(Listado!M:M,N87)="No",IF(INDEX(Listado!N:N,N87)=0,"",INDEX(Listado!N:N,N87)),IF(INDEX(Listado!I:I,N87)=0,"",INDEX(Listado!I:I,N87)))),"")</f>
        <v/>
      </c>
      <c r="P87" s="17">
        <f t="shared" ca="1" si="4"/>
        <v/>
      </c>
      <c r="Q87" s="17">
        <f>IFERROR(IF(AND(N87&lt;&gt;"",ISNUMBER(O87),O87&gt;0,O87&gt;=TODAY()-90),1,0),0)</f>
        <v/>
      </c>
      <c r="R87" s="17" t="str">
        <f t="shared" si="6"/>
        <v/>
      </c>
      <c r="S87" s="17" t="str">
        <f>IF(INDEX(Listado!A:A,ROW())="","",INDEX(Listado!A:A,ROW()))</f>
        <v/>
      </c>
      <c r="T87" s="17" t="str">
        <f ca="1">IF(INDEX(Listado!G:G,ROW())="","",INDEX(Listado!G:G,ROW()))</f>
        <v/>
      </c>
      <c r="U87" s="17" t="str">
        <f>IF(INDEX(Listado!F:F,ROW())="","",INDEX(Listado!F:F,ROW()))</f>
        <v/>
      </c>
      <c r="V87" s="17">
        <f>IF(COUNTA(INDEX(Listado!B:B,ROW()):INDEX(Listado!F:F,ROW()))&gt;0,1,0)</f>
        <v/>
      </c>
      <c r="W87" s="17" t="str">
        <f>IF(INDEX(Listado!L:L,ROW())="","",INDEX(Listado!L:L,ROW()))</f>
        <v/>
      </c>
      <c r="X87" s="17">
        <f>IF(N87="","",IF(INDEX(Listado!$M:$M,N87)="No","No","Sí"))</f>
        <v/>
      </c>
    </row>
    <row r="88" spans="2:24" ht="14.25">
      <c r="N88" s="17" t="str">
        <f>IF(V88=0,"",IFERROR(LOOKUP(2,1/(INDEX(Listado!A:A,2):INDEX(Listado!A:A,ROW())&lt;&gt;""),ROW(INDEX(Listado!A:A,2):INDEX(Listado!A:A,ROW()))),""))</f>
        <v/>
      </c>
      <c r="O88" s="17" t="str">
        <f>IFERROR(IF(N88="","",IF(INDEX(Listado!M:M,N88)="No",IF(INDEX(Listado!N:N,N88)=0,"",INDEX(Listado!N:N,N88)),IF(INDEX(Listado!I:I,N88)=0,"",INDEX(Listado!I:I,N88)))),"")</f>
        <v/>
      </c>
      <c r="P88" s="17">
        <f t="shared" ca="1" si="4"/>
        <v/>
      </c>
      <c r="Q88" s="17">
        <f>IFERROR(IF(AND(N88&lt;&gt;"",ISNUMBER(O88),O88&gt;0,O88&gt;=TODAY()-90),1,0),0)</f>
        <v/>
      </c>
      <c r="R88" s="17" t="str">
        <f t="shared" si="6"/>
        <v/>
      </c>
      <c r="S88" s="17" t="str">
        <f>IF(INDEX(Listado!A:A,ROW())="","",INDEX(Listado!A:A,ROW()))</f>
        <v/>
      </c>
      <c r="T88" s="17" t="str">
        <f ca="1">IF(INDEX(Listado!G:G,ROW())="","",INDEX(Listado!G:G,ROW()))</f>
        <v/>
      </c>
      <c r="U88" s="17" t="str">
        <f>IF(INDEX(Listado!F:F,ROW())="","",INDEX(Listado!F:F,ROW()))</f>
        <v/>
      </c>
      <c r="V88" s="17">
        <f>IF(COUNTA(INDEX(Listado!B:B,ROW()):INDEX(Listado!F:F,ROW()))&gt;0,1,0)</f>
        <v/>
      </c>
      <c r="W88" s="17" t="str">
        <f>IF(INDEX(Listado!L:L,ROW())="","",INDEX(Listado!L:L,ROW()))</f>
        <v/>
      </c>
      <c r="X88" s="17">
        <f>IF(N88="","",IF(INDEX(Listado!$M:$M,N88)="No","No","Sí"))</f>
        <v/>
      </c>
    </row>
    <row r="89" spans="2:24" ht="14.25">
      <c r="N89" s="17" t="str">
        <f>IF(V89=0,"",IFERROR(LOOKUP(2,1/(INDEX(Listado!A:A,2):INDEX(Listado!A:A,ROW())&lt;&gt;""),ROW(INDEX(Listado!A:A,2):INDEX(Listado!A:A,ROW()))),""))</f>
        <v/>
      </c>
      <c r="O89" s="17" t="str">
        <f>IFERROR(IF(N89="","",IF(INDEX(Listado!M:M,N89)="No",IF(INDEX(Listado!N:N,N89)=0,"",INDEX(Listado!N:N,N89)),IF(INDEX(Listado!I:I,N89)=0,"",INDEX(Listado!I:I,N89)))),"")</f>
        <v/>
      </c>
      <c r="P89" s="17">
        <f t="shared" ca="1" si="4"/>
        <v/>
      </c>
      <c r="Q89" s="17">
        <f>IFERROR(IF(AND(N89&lt;&gt;"",ISNUMBER(O89),O89&gt;0,O89&gt;=TODAY()-90),1,0),0)</f>
        <v/>
      </c>
      <c r="R89" s="17" t="str">
        <f t="shared" si="6"/>
        <v/>
      </c>
      <c r="S89" s="17" t="str">
        <f>IF(INDEX(Listado!A:A,ROW())="","",INDEX(Listado!A:A,ROW()))</f>
        <v/>
      </c>
      <c r="T89" s="17" t="str">
        <f ca="1">IF(INDEX(Listado!G:G,ROW())="","",INDEX(Listado!G:G,ROW()))</f>
        <v/>
      </c>
      <c r="U89" s="17" t="str">
        <f>IF(INDEX(Listado!F:F,ROW())="","",INDEX(Listado!F:F,ROW()))</f>
        <v/>
      </c>
      <c r="V89" s="17">
        <f>IF(COUNTA(INDEX(Listado!B:B,ROW()):INDEX(Listado!F:F,ROW()))&gt;0,1,0)</f>
        <v/>
      </c>
      <c r="W89" s="17" t="str">
        <f>IF(INDEX(Listado!L:L,ROW())="","",INDEX(Listado!L:L,ROW()))</f>
        <v/>
      </c>
      <c r="X89" s="17">
        <f>IF(N89="","",IF(INDEX(Listado!$M:$M,N89)="No","No","Sí"))</f>
        <v/>
      </c>
    </row>
    <row r="90" spans="2:24" ht="14.25">
      <c r="N90" s="17" t="str">
        <f>IF(V90=0,"",IFERROR(LOOKUP(2,1/(INDEX(Listado!A:A,2):INDEX(Listado!A:A,ROW())&lt;&gt;""),ROW(INDEX(Listado!A:A,2):INDEX(Listado!A:A,ROW()))),""))</f>
        <v/>
      </c>
      <c r="O90" s="17" t="str">
        <f>IFERROR(IF(N90="","",IF(INDEX(Listado!M:M,N90)="No",IF(INDEX(Listado!N:N,N90)=0,"",INDEX(Listado!N:N,N90)),IF(INDEX(Listado!I:I,N90)=0,"",INDEX(Listado!I:I,N90)))),"")</f>
        <v/>
      </c>
      <c r="P90" s="17">
        <f t="shared" ca="1" si="4"/>
        <v/>
      </c>
      <c r="Q90" s="17">
        <f>IFERROR(IF(AND(N90&lt;&gt;"",ISNUMBER(O90),O90&gt;0,O90&gt;=TODAY()-90),1,0),0)</f>
        <v/>
      </c>
      <c r="R90" s="17" t="str">
        <f t="shared" si="6"/>
        <v/>
      </c>
      <c r="S90" s="17" t="str">
        <f>IF(INDEX(Listado!A:A,ROW())="","",INDEX(Listado!A:A,ROW()))</f>
        <v/>
      </c>
      <c r="T90" s="17" t="str">
        <f ca="1">IF(INDEX(Listado!G:G,ROW())="","",INDEX(Listado!G:G,ROW()))</f>
        <v/>
      </c>
      <c r="U90" s="17" t="str">
        <f>IF(INDEX(Listado!F:F,ROW())="","",INDEX(Listado!F:F,ROW()))</f>
        <v/>
      </c>
      <c r="V90" s="17">
        <f>IF(COUNTA(INDEX(Listado!B:B,ROW()):INDEX(Listado!F:F,ROW()))&gt;0,1,0)</f>
        <v/>
      </c>
      <c r="W90" s="17" t="str">
        <f>IF(INDEX(Listado!L:L,ROW())="","",INDEX(Listado!L:L,ROW()))</f>
        <v/>
      </c>
      <c r="X90" s="17">
        <f>IF(N90="","",IF(INDEX(Listado!$M:$M,N90)="No","No","Sí"))</f>
        <v/>
      </c>
    </row>
    <row r="91" spans="2:24" ht="14.25">
      <c r="N91" s="17" t="str">
        <f>IF(V91=0,"",IFERROR(LOOKUP(2,1/(INDEX(Listado!A:A,2):INDEX(Listado!A:A,ROW())&lt;&gt;""),ROW(INDEX(Listado!A:A,2):INDEX(Listado!A:A,ROW()))),""))</f>
        <v/>
      </c>
      <c r="O91" s="17" t="str">
        <f>IFERROR(IF(N91="","",IF(INDEX(Listado!M:M,N91)="No",IF(INDEX(Listado!N:N,N91)=0,"",INDEX(Listado!N:N,N91)),IF(INDEX(Listado!I:I,N91)=0,"",INDEX(Listado!I:I,N91)))),"")</f>
        <v/>
      </c>
      <c r="P91" s="17">
        <f t="shared" ca="1" si="4"/>
        <v/>
      </c>
      <c r="Q91" s="17">
        <f>IFERROR(IF(AND(N91&lt;&gt;"",ISNUMBER(O91),O91&gt;0,O91&gt;=TODAY()-90),1,0),0)</f>
        <v/>
      </c>
      <c r="R91" s="17" t="str">
        <f t="shared" si="6"/>
        <v/>
      </c>
      <c r="S91" s="17" t="str">
        <f>IF(INDEX(Listado!A:A,ROW())="","",INDEX(Listado!A:A,ROW()))</f>
        <v/>
      </c>
      <c r="T91" s="17" t="str">
        <f ca="1">IF(INDEX(Listado!G:G,ROW())="","",INDEX(Listado!G:G,ROW()))</f>
        <v/>
      </c>
      <c r="U91" s="17" t="str">
        <f>IF(INDEX(Listado!F:F,ROW())="","",INDEX(Listado!F:F,ROW()))</f>
        <v/>
      </c>
      <c r="V91" s="17">
        <f>IF(COUNTA(INDEX(Listado!B:B,ROW()):INDEX(Listado!F:F,ROW()))&gt;0,1,0)</f>
        <v/>
      </c>
      <c r="W91" s="17" t="str">
        <f>IF(INDEX(Listado!L:L,ROW())="","",INDEX(Listado!L:L,ROW()))</f>
        <v/>
      </c>
      <c r="X91" s="17">
        <f>IF(N91="","",IF(INDEX(Listado!$M:$M,N91)="No","No","Sí"))</f>
        <v/>
      </c>
    </row>
    <row r="92" spans="2:24" ht="14.25">
      <c r="N92" s="17" t="str">
        <f>IF(V92=0,"",IFERROR(LOOKUP(2,1/(INDEX(Listado!A:A,2):INDEX(Listado!A:A,ROW())&lt;&gt;""),ROW(INDEX(Listado!A:A,2):INDEX(Listado!A:A,ROW()))),""))</f>
        <v/>
      </c>
      <c r="O92" s="17" t="str">
        <f>IFERROR(IF(N92="","",IF(INDEX(Listado!M:M,N92)="No",IF(INDEX(Listado!N:N,N92)=0,"",INDEX(Listado!N:N,N92)),IF(INDEX(Listado!I:I,N92)=0,"",INDEX(Listado!I:I,N92)))),"")</f>
        <v/>
      </c>
      <c r="P92" s="17">
        <f t="shared" ca="1" si="4"/>
        <v/>
      </c>
      <c r="Q92" s="17">
        <f>IFERROR(IF(AND(N92&lt;&gt;"",ISNUMBER(O92),O92&gt;0,O92&gt;=TODAY()-90),1,0),0)</f>
        <v/>
      </c>
      <c r="R92" s="17" t="str">
        <f t="shared" si="6"/>
        <v/>
      </c>
      <c r="S92" s="17" t="str">
        <f>IF(INDEX(Listado!A:A,ROW())="","",INDEX(Listado!A:A,ROW()))</f>
        <v/>
      </c>
      <c r="T92" s="17" t="str">
        <f ca="1">IF(INDEX(Listado!G:G,ROW())="","",INDEX(Listado!G:G,ROW()))</f>
        <v/>
      </c>
      <c r="U92" s="17" t="str">
        <f>IF(INDEX(Listado!F:F,ROW())="","",INDEX(Listado!F:F,ROW()))</f>
        <v/>
      </c>
      <c r="V92" s="17">
        <f>IF(COUNTA(INDEX(Listado!B:B,ROW()):INDEX(Listado!F:F,ROW()))&gt;0,1,0)</f>
        <v/>
      </c>
      <c r="W92" s="17" t="str">
        <f>IF(INDEX(Listado!L:L,ROW())="","",INDEX(Listado!L:L,ROW()))</f>
        <v/>
      </c>
      <c r="X92" s="17">
        <f>IF(N92="","",IF(INDEX(Listado!$M:$M,N92)="No","No","Sí"))</f>
        <v/>
      </c>
    </row>
    <row r="93" spans="2:24" ht="14.25">
      <c r="N93" s="17" t="str">
        <f>IF(V93=0,"",IFERROR(LOOKUP(2,1/(INDEX(Listado!A:A,2):INDEX(Listado!A:A,ROW())&lt;&gt;""),ROW(INDEX(Listado!A:A,2):INDEX(Listado!A:A,ROW()))),""))</f>
        <v/>
      </c>
      <c r="O93" s="17" t="str">
        <f>IFERROR(IF(N93="","",IF(INDEX(Listado!M:M,N93)="No",IF(INDEX(Listado!N:N,N93)=0,"",INDEX(Listado!N:N,N93)),IF(INDEX(Listado!I:I,N93)=0,"",INDEX(Listado!I:I,N93)))),"")</f>
        <v/>
      </c>
      <c r="P93" s="17">
        <f t="shared" ca="1" si="4"/>
        <v/>
      </c>
      <c r="Q93" s="17">
        <f>IFERROR(IF(AND(N93&lt;&gt;"",ISNUMBER(O93),O93&gt;0,O93&gt;=TODAY()-90),1,0),0)</f>
        <v/>
      </c>
      <c r="R93" s="17" t="str">
        <f t="shared" si="6"/>
        <v/>
      </c>
      <c r="S93" s="17" t="str">
        <f>IF(INDEX(Listado!A:A,ROW())="","",INDEX(Listado!A:A,ROW()))</f>
        <v/>
      </c>
      <c r="T93" s="17" t="str">
        <f ca="1">IF(INDEX(Listado!G:G,ROW())="","",INDEX(Listado!G:G,ROW()))</f>
        <v/>
      </c>
      <c r="U93" s="17" t="str">
        <f>IF(INDEX(Listado!F:F,ROW())="","",INDEX(Listado!F:F,ROW()))</f>
        <v/>
      </c>
      <c r="V93" s="17">
        <f>IF(COUNTA(INDEX(Listado!B:B,ROW()):INDEX(Listado!F:F,ROW()))&gt;0,1,0)</f>
        <v/>
      </c>
      <c r="W93" s="17" t="str">
        <f>IF(INDEX(Listado!L:L,ROW())="","",INDEX(Listado!L:L,ROW()))</f>
        <v/>
      </c>
      <c r="X93" s="17">
        <f>IF(N93="","",IF(INDEX(Listado!$M:$M,N93)="No","No","Sí"))</f>
        <v/>
      </c>
    </row>
    <row r="94" spans="2:24" ht="14.25">
      <c r="N94" s="17" t="str">
        <f>IF(V94=0,"",IFERROR(LOOKUP(2,1/(INDEX(Listado!A:A,2):INDEX(Listado!A:A,ROW())&lt;&gt;""),ROW(INDEX(Listado!A:A,2):INDEX(Listado!A:A,ROW()))),""))</f>
        <v/>
      </c>
      <c r="O94" s="17" t="str">
        <f>IFERROR(IF(N94="","",IF(INDEX(Listado!M:M,N94)="No",IF(INDEX(Listado!N:N,N94)=0,"",INDEX(Listado!N:N,N94)),IF(INDEX(Listado!I:I,N94)=0,"",INDEX(Listado!I:I,N94)))),"")</f>
        <v/>
      </c>
      <c r="P94" s="17">
        <f t="shared" ca="1" si="4"/>
        <v/>
      </c>
      <c r="Q94" s="17">
        <f>IFERROR(IF(AND(N94&lt;&gt;"",ISNUMBER(O94),O94&gt;0,O94&gt;=TODAY()-90),1,0),0)</f>
        <v/>
      </c>
      <c r="R94" s="17" t="str">
        <f t="shared" si="6"/>
        <v/>
      </c>
      <c r="S94" s="17" t="str">
        <f>IF(INDEX(Listado!A:A,ROW())="","",INDEX(Listado!A:A,ROW()))</f>
        <v/>
      </c>
      <c r="T94" s="17" t="str">
        <f ca="1">IF(INDEX(Listado!G:G,ROW())="","",INDEX(Listado!G:G,ROW()))</f>
        <v/>
      </c>
      <c r="U94" s="17" t="str">
        <f>IF(INDEX(Listado!F:F,ROW())="","",INDEX(Listado!F:F,ROW()))</f>
        <v/>
      </c>
      <c r="V94" s="17">
        <f>IF(COUNTA(INDEX(Listado!B:B,ROW()):INDEX(Listado!F:F,ROW()))&gt;0,1,0)</f>
        <v/>
      </c>
      <c r="W94" s="17" t="str">
        <f>IF(INDEX(Listado!L:L,ROW())="","",INDEX(Listado!L:L,ROW()))</f>
        <v/>
      </c>
      <c r="X94" s="17">
        <f>IF(N94="","",IF(INDEX(Listado!$M:$M,N94)="No","No","Sí"))</f>
        <v/>
      </c>
    </row>
    <row r="95" spans="2:24" ht="14.25">
      <c r="N95" s="17" t="str">
        <f>IF(V95=0,"",IFERROR(LOOKUP(2,1/(INDEX(Listado!A:A,2):INDEX(Listado!A:A,ROW())&lt;&gt;""),ROW(INDEX(Listado!A:A,2):INDEX(Listado!A:A,ROW()))),""))</f>
        <v/>
      </c>
      <c r="O95" s="17" t="str">
        <f>IFERROR(IF(N95="","",IF(INDEX(Listado!M:M,N95)="No",IF(INDEX(Listado!N:N,N95)=0,"",INDEX(Listado!N:N,N95)),IF(INDEX(Listado!I:I,N95)=0,"",INDEX(Listado!I:I,N95)))),"")</f>
        <v/>
      </c>
      <c r="P95" s="17">
        <f t="shared" ca="1" si="4"/>
        <v/>
      </c>
      <c r="Q95" s="17">
        <f>IFERROR(IF(AND(N95&lt;&gt;"",ISNUMBER(O95),O95&gt;0,O95&gt;=TODAY()-90),1,0),0)</f>
        <v/>
      </c>
      <c r="R95" s="17" t="str">
        <f t="shared" si="6"/>
        <v/>
      </c>
      <c r="S95" s="17" t="str">
        <f>IF(INDEX(Listado!A:A,ROW())="","",INDEX(Listado!A:A,ROW()))</f>
        <v/>
      </c>
      <c r="T95" s="17" t="str">
        <f ca="1">IF(INDEX(Listado!G:G,ROW())="","",INDEX(Listado!G:G,ROW()))</f>
        <v/>
      </c>
      <c r="U95" s="17" t="str">
        <f>IF(INDEX(Listado!F:F,ROW())="","",INDEX(Listado!F:F,ROW()))</f>
        <v/>
      </c>
      <c r="V95" s="17">
        <f>IF(COUNTA(INDEX(Listado!B:B,ROW()):INDEX(Listado!F:F,ROW()))&gt;0,1,0)</f>
        <v/>
      </c>
      <c r="W95" s="17" t="str">
        <f>IF(INDEX(Listado!L:L,ROW())="","",INDEX(Listado!L:L,ROW()))</f>
        <v/>
      </c>
      <c r="X95" s="17">
        <f>IF(N95="","",IF(INDEX(Listado!$M:$M,N95)="No","No","Sí"))</f>
        <v/>
      </c>
    </row>
    <row r="96" spans="2:24" ht="14.25">
      <c r="N96" s="17" t="str">
        <f>IF(V96=0,"",IFERROR(LOOKUP(2,1/(INDEX(Listado!A:A,2):INDEX(Listado!A:A,ROW())&lt;&gt;""),ROW(INDEX(Listado!A:A,2):INDEX(Listado!A:A,ROW()))),""))</f>
        <v/>
      </c>
      <c r="O96" s="17" t="str">
        <f>IFERROR(IF(N96="","",IF(INDEX(Listado!M:M,N96)="No",IF(INDEX(Listado!N:N,N96)=0,"",INDEX(Listado!N:N,N96)),IF(INDEX(Listado!I:I,N96)=0,"",INDEX(Listado!I:I,N96)))),"")</f>
        <v/>
      </c>
      <c r="P96" s="17">
        <f t="shared" ca="1" si="4"/>
        <v/>
      </c>
      <c r="Q96" s="17">
        <f>IFERROR(IF(AND(N96&lt;&gt;"",ISNUMBER(O96),O96&gt;0,O96&gt;=TODAY()-90),1,0),0)</f>
        <v/>
      </c>
      <c r="R96" s="17" t="str">
        <f t="shared" si="6"/>
        <v/>
      </c>
      <c r="S96" s="17" t="str">
        <f>IF(INDEX(Listado!A:A,ROW())="","",INDEX(Listado!A:A,ROW()))</f>
        <v/>
      </c>
      <c r="T96" s="17" t="str">
        <f ca="1">IF(INDEX(Listado!G:G,ROW())="","",INDEX(Listado!G:G,ROW()))</f>
        <v/>
      </c>
      <c r="U96" s="17" t="str">
        <f>IF(INDEX(Listado!F:F,ROW())="","",INDEX(Listado!F:F,ROW()))</f>
        <v/>
      </c>
      <c r="V96" s="17">
        <f>IF(COUNTA(INDEX(Listado!B:B,ROW()):INDEX(Listado!F:F,ROW()))&gt;0,1,0)</f>
        <v/>
      </c>
      <c r="W96" s="17" t="str">
        <f>IF(INDEX(Listado!L:L,ROW())="","",INDEX(Listado!L:L,ROW()))</f>
        <v/>
      </c>
      <c r="X96" s="17">
        <f>IF(N96="","",IF(INDEX(Listado!$M:$M,N96)="No","No","Sí"))</f>
        <v/>
      </c>
    </row>
    <row r="97" spans="2:24" ht="14.25">
      <c r="N97" s="17" t="str">
        <f>IF(V97=0,"",IFERROR(LOOKUP(2,1/(INDEX(Listado!A:A,2):INDEX(Listado!A:A,ROW())&lt;&gt;""),ROW(INDEX(Listado!A:A,2):INDEX(Listado!A:A,ROW()))),""))</f>
        <v/>
      </c>
      <c r="O97" s="17" t="str">
        <f>IFERROR(IF(N97="","",IF(INDEX(Listado!M:M,N97)="No",IF(INDEX(Listado!N:N,N97)=0,"",INDEX(Listado!N:N,N97)),IF(INDEX(Listado!I:I,N97)=0,"",INDEX(Listado!I:I,N97)))),"")</f>
        <v/>
      </c>
      <c r="P97" s="17">
        <f t="shared" ca="1" si="4"/>
        <v/>
      </c>
      <c r="Q97" s="17">
        <f>IFERROR(IF(AND(N97&lt;&gt;"",ISNUMBER(O97),O97&gt;0,O97&gt;=TODAY()-90),1,0),0)</f>
        <v/>
      </c>
      <c r="R97" s="17" t="str">
        <f t="shared" si="6"/>
        <v/>
      </c>
      <c r="S97" s="17" t="str">
        <f>IF(INDEX(Listado!A:A,ROW())="","",INDEX(Listado!A:A,ROW()))</f>
        <v/>
      </c>
      <c r="T97" s="17" t="str">
        <f ca="1">IF(INDEX(Listado!G:G,ROW())="","",INDEX(Listado!G:G,ROW()))</f>
        <v/>
      </c>
      <c r="U97" s="17" t="str">
        <f>IF(INDEX(Listado!F:F,ROW())="","",INDEX(Listado!F:F,ROW()))</f>
        <v/>
      </c>
      <c r="V97" s="17">
        <f>IF(COUNTA(INDEX(Listado!B:B,ROW()):INDEX(Listado!F:F,ROW()))&gt;0,1,0)</f>
        <v/>
      </c>
      <c r="W97" s="17" t="str">
        <f>IF(INDEX(Listado!L:L,ROW())="","",INDEX(Listado!L:L,ROW()))</f>
        <v/>
      </c>
      <c r="X97" s="17">
        <f>IF(N97="","",IF(INDEX(Listado!$M:$M,N97)="No","No","Sí"))</f>
        <v/>
      </c>
    </row>
    <row r="98" spans="2:24" ht="14.25">
      <c r="N98" s="17" t="str">
        <f>IF(V98=0,"",IFERROR(LOOKUP(2,1/(INDEX(Listado!A:A,2):INDEX(Listado!A:A,ROW())&lt;&gt;""),ROW(INDEX(Listado!A:A,2):INDEX(Listado!A:A,ROW()))),""))</f>
        <v/>
      </c>
      <c r="O98" s="17" t="str">
        <f>IFERROR(IF(N98="","",IF(INDEX(Listado!M:M,N98)="No",IF(INDEX(Listado!N:N,N98)=0,"",INDEX(Listado!N:N,N98)),IF(INDEX(Listado!I:I,N98)=0,"",INDEX(Listado!I:I,N98)))),"")</f>
        <v/>
      </c>
      <c r="P98" s="17">
        <f t="shared" ca="1" si="4"/>
        <v/>
      </c>
      <c r="Q98" s="17">
        <f>IFERROR(IF(AND(N98&lt;&gt;"",ISNUMBER(O98),O98&gt;0,O98&gt;=TODAY()-90),1,0),0)</f>
        <v/>
      </c>
      <c r="R98" s="17" t="str">
        <f t="shared" si="6"/>
        <v/>
      </c>
      <c r="S98" s="17" t="str">
        <f>IF(INDEX(Listado!A:A,ROW())="","",INDEX(Listado!A:A,ROW()))</f>
        <v/>
      </c>
      <c r="T98" s="17" t="str">
        <f ca="1">IF(INDEX(Listado!G:G,ROW())="","",INDEX(Listado!G:G,ROW()))</f>
        <v/>
      </c>
      <c r="U98" s="17" t="str">
        <f>IF(INDEX(Listado!F:F,ROW())="","",INDEX(Listado!F:F,ROW()))</f>
        <v/>
      </c>
      <c r="V98" s="17">
        <f>IF(COUNTA(INDEX(Listado!B:B,ROW()):INDEX(Listado!F:F,ROW()))&gt;0,1,0)</f>
        <v/>
      </c>
      <c r="W98" s="17" t="str">
        <f>IF(INDEX(Listado!L:L,ROW())="","",INDEX(Listado!L:L,ROW()))</f>
        <v/>
      </c>
      <c r="X98" s="17">
        <f>IF(N98="","",IF(INDEX(Listado!$M:$M,N98)="No","No","Sí"))</f>
        <v/>
      </c>
    </row>
    <row r="99" spans="2:24" ht="14.25">
      <c r="N99" s="17" t="str">
        <f>IF(V99=0,"",IFERROR(LOOKUP(2,1/(INDEX(Listado!A:A,2):INDEX(Listado!A:A,ROW())&lt;&gt;""),ROW(INDEX(Listado!A:A,2):INDEX(Listado!A:A,ROW()))),""))</f>
        <v/>
      </c>
      <c r="O99" s="17" t="str">
        <f>IFERROR(IF(N99="","",IF(INDEX(Listado!M:M,N99)="No",IF(INDEX(Listado!N:N,N99)=0,"",INDEX(Listado!N:N,N99)),IF(INDEX(Listado!I:I,N99)=0,"",INDEX(Listado!I:I,N99)))),"")</f>
        <v/>
      </c>
      <c r="P99" s="17">
        <f t="shared" ca="1" si="4"/>
        <v/>
      </c>
      <c r="Q99" s="17">
        <f>IFERROR(IF(AND(N99&lt;&gt;"",ISNUMBER(O99),O99&gt;0,O99&gt;=TODAY()-90),1,0),0)</f>
        <v/>
      </c>
      <c r="R99" s="17" t="str">
        <f t="shared" si="6"/>
        <v/>
      </c>
      <c r="S99" s="17" t="str">
        <f>IF(INDEX(Listado!A:A,ROW())="","",INDEX(Listado!A:A,ROW()))</f>
        <v/>
      </c>
      <c r="T99" s="17" t="str">
        <f ca="1">IF(INDEX(Listado!G:G,ROW())="","",INDEX(Listado!G:G,ROW()))</f>
        <v/>
      </c>
      <c r="U99" s="17" t="str">
        <f>IF(INDEX(Listado!F:F,ROW())="","",INDEX(Listado!F:F,ROW()))</f>
        <v/>
      </c>
      <c r="V99" s="17">
        <f>IF(COUNTA(INDEX(Listado!B:B,ROW()):INDEX(Listado!F:F,ROW()))&gt;0,1,0)</f>
        <v/>
      </c>
      <c r="W99" s="17" t="str">
        <f>IF(INDEX(Listado!L:L,ROW())="","",INDEX(Listado!L:L,ROW()))</f>
        <v/>
      </c>
      <c r="X99" s="17">
        <f>IF(N99="","",IF(INDEX(Listado!$M:$M,N99)="No","No","Sí"))</f>
        <v/>
      </c>
    </row>
    <row r="100" spans="2:24" ht="14.25">
      <c r="N100" s="17" t="str">
        <f>IF(V100=0,"",IFERROR(LOOKUP(2,1/(INDEX(Listado!A:A,2):INDEX(Listado!A:A,ROW())&lt;&gt;""),ROW(INDEX(Listado!A:A,2):INDEX(Listado!A:A,ROW()))),""))</f>
        <v/>
      </c>
      <c r="O100" s="17" t="str">
        <f>IFERROR(IF(N100="","",IF(INDEX(Listado!M:M,N100)="No",IF(INDEX(Listado!N:N,N100)=0,"",INDEX(Listado!N:N,N100)),IF(INDEX(Listado!I:I,N100)=0,"",INDEX(Listado!I:I,N100)))),"")</f>
        <v/>
      </c>
      <c r="P100" s="17">
        <f t="shared" ca="1" si="4"/>
        <v/>
      </c>
      <c r="Q100" s="17">
        <f>IFERROR(IF(AND(N100&lt;&gt;"",ISNUMBER(O100),O100&gt;0,O100&gt;=TODAY()-90),1,0),0)</f>
        <v/>
      </c>
      <c r="R100" s="17" t="str">
        <f t="shared" si="6"/>
        <v/>
      </c>
      <c r="S100" s="17" t="str">
        <f>IF(INDEX(Listado!A:A,ROW())="","",INDEX(Listado!A:A,ROW()))</f>
        <v/>
      </c>
      <c r="T100" s="17" t="str">
        <f ca="1">IF(INDEX(Listado!G:G,ROW())="","",INDEX(Listado!G:G,ROW()))</f>
        <v/>
      </c>
      <c r="U100" s="17" t="str">
        <f>IF(INDEX(Listado!F:F,ROW())="","",INDEX(Listado!F:F,ROW()))</f>
        <v/>
      </c>
      <c r="V100" s="17">
        <f>IF(COUNTA(INDEX(Listado!B:B,ROW()):INDEX(Listado!F:F,ROW()))&gt;0,1,0)</f>
        <v/>
      </c>
      <c r="W100" s="17" t="str">
        <f>IF(INDEX(Listado!L:L,ROW())="","",INDEX(Listado!L:L,ROW()))</f>
        <v/>
      </c>
      <c r="X100" s="17">
        <f>IF(N100="","",IF(INDEX(Listado!$M:$M,N100)="No","No","Sí"))</f>
        <v/>
      </c>
    </row>
    <row r="101" spans="2:24" ht="14.25">
      <c r="N101" s="17" t="str">
        <f>IF(V101=0,"",IFERROR(LOOKUP(2,1/(INDEX(Listado!A:A,2):INDEX(Listado!A:A,ROW())&lt;&gt;""),ROW(INDEX(Listado!A:A,2):INDEX(Listado!A:A,ROW()))),""))</f>
        <v/>
      </c>
      <c r="O101" s="17" t="str">
        <f>IFERROR(IF(N101="","",IF(INDEX(Listado!M:M,N101)="No",IF(INDEX(Listado!N:N,N101)=0,"",INDEX(Listado!N:N,N101)),IF(INDEX(Listado!I:I,N101)=0,"",INDEX(Listado!I:I,N101)))),"")</f>
        <v/>
      </c>
      <c r="P101" s="17">
        <f t="shared" ca="1" si="4"/>
        <v/>
      </c>
      <c r="Q101" s="17">
        <f>IFERROR(IF(AND(N101&lt;&gt;"",ISNUMBER(O101),O101&gt;0,O101&gt;=TODAY()-90),1,0),0)</f>
        <v/>
      </c>
      <c r="R101" s="17" t="str">
        <f t="shared" si="6"/>
        <v/>
      </c>
      <c r="S101" s="17" t="str">
        <f>IF(INDEX(Listado!A:A,ROW())="","",INDEX(Listado!A:A,ROW()))</f>
        <v/>
      </c>
      <c r="T101" s="17" t="str">
        <f ca="1">IF(INDEX(Listado!G:G,ROW())="","",INDEX(Listado!G:G,ROW()))</f>
        <v/>
      </c>
      <c r="U101" s="17" t="str">
        <f>IF(INDEX(Listado!F:F,ROW())="","",INDEX(Listado!F:F,ROW()))</f>
        <v/>
      </c>
      <c r="V101" s="17">
        <f>IF(COUNTA(INDEX(Listado!B:B,ROW()):INDEX(Listado!F:F,ROW()))&gt;0,1,0)</f>
        <v/>
      </c>
      <c r="W101" s="17" t="str">
        <f>IF(INDEX(Listado!L:L,ROW())="","",INDEX(Listado!L:L,ROW()))</f>
        <v/>
      </c>
      <c r="X101" s="17">
        <f>IF(N101="","",IF(INDEX(Listado!$M:$M,N101)="No","No","Sí"))</f>
        <v/>
      </c>
    </row>
    <row r="102" spans="2:24" ht="14.25">
      <c r="N102" s="17" t="str">
        <f>IF(V102=0,"",IFERROR(LOOKUP(2,1/(INDEX(Listado!A:A,2):INDEX(Listado!A:A,ROW())&lt;&gt;""),ROW(INDEX(Listado!A:A,2):INDEX(Listado!A:A,ROW()))),""))</f>
        <v/>
      </c>
      <c r="O102" s="17" t="str">
        <f>IFERROR(IF(N102="","",IF(INDEX(Listado!M:M,N102)="No",IF(INDEX(Listado!N:N,N102)=0,"",INDEX(Listado!N:N,N102)),IF(INDEX(Listado!I:I,N102)=0,"",INDEX(Listado!I:I,N102)))),"")</f>
        <v/>
      </c>
      <c r="P102" s="17">
        <f t="shared" ca="1" si="4"/>
        <v/>
      </c>
      <c r="Q102" s="17">
        <f>IFERROR(IF(AND(N102&lt;&gt;"",ISNUMBER(O102),O102&gt;0,O102&gt;=TODAY()-90),1,0),0)</f>
        <v/>
      </c>
      <c r="R102" s="17" t="str">
        <f t="shared" si="6"/>
        <v/>
      </c>
      <c r="S102" s="17" t="str">
        <f>IF(INDEX(Listado!A:A,ROW())="","",INDEX(Listado!A:A,ROW()))</f>
        <v/>
      </c>
      <c r="T102" s="17" t="str">
        <f ca="1">IF(INDEX(Listado!G:G,ROW())="","",INDEX(Listado!G:G,ROW()))</f>
        <v/>
      </c>
      <c r="U102" s="17" t="str">
        <f>IF(INDEX(Listado!F:F,ROW())="","",INDEX(Listado!F:F,ROW()))</f>
        <v/>
      </c>
      <c r="V102" s="17">
        <f>IF(COUNTA(INDEX(Listado!B:B,ROW()):INDEX(Listado!F:F,ROW()))&gt;0,1,0)</f>
        <v/>
      </c>
      <c r="W102" s="17" t="str">
        <f>IF(INDEX(Listado!L:L,ROW())="","",INDEX(Listado!L:L,ROW()))</f>
        <v/>
      </c>
      <c r="X102" s="17">
        <f>IF(N102="","",IF(INDEX(Listado!$M:$M,N102)="No","No","Sí"))</f>
        <v/>
      </c>
    </row>
    <row r="103" spans="2:24" ht="14.25">
      <c r="N103" s="17" t="str">
        <f>IF(V103=0,"",IFERROR(LOOKUP(2,1/(INDEX(Listado!A:A,2):INDEX(Listado!A:A,ROW())&lt;&gt;""),ROW(INDEX(Listado!A:A,2):INDEX(Listado!A:A,ROW()))),""))</f>
        <v/>
      </c>
      <c r="O103" s="17" t="str">
        <f>IFERROR(IF(N103="","",IF(INDEX(Listado!M:M,N103)="No",IF(INDEX(Listado!N:N,N103)=0,"",INDEX(Listado!N:N,N103)),IF(INDEX(Listado!I:I,N103)=0,"",INDEX(Listado!I:I,N103)))),"")</f>
        <v/>
      </c>
      <c r="P103" s="17">
        <f t="shared" ca="1" si="4"/>
        <v/>
      </c>
      <c r="Q103" s="17">
        <f>IFERROR(IF(AND(N103&lt;&gt;"",ISNUMBER(O103),O103&gt;0,O103&gt;=TODAY()-90),1,0),0)</f>
        <v/>
      </c>
      <c r="R103" s="17" t="str">
        <f t="shared" si="6"/>
        <v/>
      </c>
      <c r="S103" s="17" t="str">
        <f>IF(INDEX(Listado!A:A,ROW())="","",INDEX(Listado!A:A,ROW()))</f>
        <v/>
      </c>
      <c r="T103" s="17" t="str">
        <f ca="1">IF(INDEX(Listado!G:G,ROW())="","",INDEX(Listado!G:G,ROW()))</f>
        <v/>
      </c>
      <c r="U103" s="17" t="str">
        <f>IF(INDEX(Listado!F:F,ROW())="","",INDEX(Listado!F:F,ROW()))</f>
        <v/>
      </c>
      <c r="V103" s="17">
        <f>IF(COUNTA(INDEX(Listado!B:B,ROW()):INDEX(Listado!F:F,ROW()))&gt;0,1,0)</f>
        <v/>
      </c>
      <c r="W103" s="17" t="str">
        <f>IF(INDEX(Listado!L:L,ROW())="","",INDEX(Listado!L:L,ROW()))</f>
        <v/>
      </c>
      <c r="X103" s="17">
        <f>IF(N103="","",IF(INDEX(Listado!$M:$M,N103)="No","No","Sí"))</f>
        <v/>
      </c>
    </row>
    <row r="104" spans="2:24" ht="14.25">
      <c r="N104" s="17" t="str">
        <f>IF(V104=0,"",IFERROR(LOOKUP(2,1/(INDEX(Listado!A:A,2):INDEX(Listado!A:A,ROW())&lt;&gt;""),ROW(INDEX(Listado!A:A,2):INDEX(Listado!A:A,ROW()))),""))</f>
        <v/>
      </c>
      <c r="O104" s="17" t="str">
        <f>IFERROR(IF(N104="","",IF(INDEX(Listado!M:M,N104)="No",IF(INDEX(Listado!N:N,N104)=0,"",INDEX(Listado!N:N,N104)),IF(INDEX(Listado!I:I,N104)=0,"",INDEX(Listado!I:I,N104)))),"")</f>
        <v/>
      </c>
      <c r="P104" s="17">
        <f t="shared" ca="1" si="4"/>
        <v/>
      </c>
      <c r="Q104" s="17">
        <f>IFERROR(IF(AND(N104&lt;&gt;"",ISNUMBER(O104),O104&gt;0,O104&gt;=TODAY()-90),1,0),0)</f>
        <v/>
      </c>
      <c r="R104" s="17" t="str">
        <f t="shared" si="6"/>
        <v/>
      </c>
      <c r="S104" s="17" t="str">
        <f>IF(INDEX(Listado!A:A,ROW())="","",INDEX(Listado!A:A,ROW()))</f>
        <v/>
      </c>
      <c r="T104" s="17" t="str">
        <f ca="1">IF(INDEX(Listado!G:G,ROW())="","",INDEX(Listado!G:G,ROW()))</f>
        <v/>
      </c>
      <c r="U104" s="17" t="str">
        <f>IF(INDEX(Listado!F:F,ROW())="","",INDEX(Listado!F:F,ROW()))</f>
        <v/>
      </c>
      <c r="V104" s="17">
        <f>IF(COUNTA(INDEX(Listado!B:B,ROW()):INDEX(Listado!F:F,ROW()))&gt;0,1,0)</f>
        <v/>
      </c>
      <c r="W104" s="17" t="str">
        <f>IF(INDEX(Listado!L:L,ROW())="","",INDEX(Listado!L:L,ROW()))</f>
        <v/>
      </c>
      <c r="X104" s="17">
        <f>IF(N104="","",IF(INDEX(Listado!$M:$M,N104)="No","No","Sí"))</f>
        <v/>
      </c>
    </row>
    <row r="105" spans="2:24" ht="14.25">
      <c r="N105" s="17" t="str">
        <f>IF(V105=0,"",IFERROR(LOOKUP(2,1/(INDEX(Listado!A:A,2):INDEX(Listado!A:A,ROW())&lt;&gt;""),ROW(INDEX(Listado!A:A,2):INDEX(Listado!A:A,ROW()))),""))</f>
        <v/>
      </c>
      <c r="O105" s="17" t="str">
        <f>IFERROR(IF(N105="","",IF(INDEX(Listado!M:M,N105)="No",IF(INDEX(Listado!N:N,N105)=0,"",INDEX(Listado!N:N,N105)),IF(INDEX(Listado!I:I,N105)=0,"",INDEX(Listado!I:I,N105)))),"")</f>
        <v/>
      </c>
      <c r="P105" s="17">
        <f t="shared" ca="1" si="4"/>
        <v/>
      </c>
      <c r="Q105" s="17">
        <f>IFERROR(IF(AND(N105&lt;&gt;"",ISNUMBER(O105),O105&gt;0,O105&gt;=TODAY()-90),1,0),0)</f>
        <v/>
      </c>
      <c r="R105" s="17" t="str">
        <f t="shared" si="6"/>
        <v/>
      </c>
      <c r="S105" s="17" t="str">
        <f>IF(INDEX(Listado!A:A,ROW())="","",INDEX(Listado!A:A,ROW()))</f>
        <v/>
      </c>
      <c r="T105" s="17" t="str">
        <f ca="1">IF(INDEX(Listado!G:G,ROW())="","",INDEX(Listado!G:G,ROW()))</f>
        <v/>
      </c>
      <c r="U105" s="17" t="str">
        <f>IF(INDEX(Listado!F:F,ROW())="","",INDEX(Listado!F:F,ROW()))</f>
        <v/>
      </c>
      <c r="V105" s="17">
        <f>IF(COUNTA(INDEX(Listado!B:B,ROW()):INDEX(Listado!F:F,ROW()))&gt;0,1,0)</f>
        <v/>
      </c>
      <c r="W105" s="17" t="str">
        <f>IF(INDEX(Listado!L:L,ROW())="","",INDEX(Listado!L:L,ROW()))</f>
        <v/>
      </c>
      <c r="X105" s="17">
        <f>IF(N105="","",IF(INDEX(Listado!$M:$M,N105)="No","No","Sí"))</f>
        <v/>
      </c>
    </row>
    <row r="106" spans="2:24" ht="14.25">
      <c r="N106" s="17" t="str">
        <f>IF(V106=0,"",IFERROR(LOOKUP(2,1/(INDEX(Listado!A:A,2):INDEX(Listado!A:A,ROW())&lt;&gt;""),ROW(INDEX(Listado!A:A,2):INDEX(Listado!A:A,ROW()))),""))</f>
        <v/>
      </c>
      <c r="O106" s="17" t="str">
        <f>IFERROR(IF(N106="","",IF(INDEX(Listado!M:M,N106)="No",IF(INDEX(Listado!N:N,N106)=0,"",INDEX(Listado!N:N,N106)),IF(INDEX(Listado!I:I,N106)=0,"",INDEX(Listado!I:I,N106)))),"")</f>
        <v/>
      </c>
      <c r="P106" s="17">
        <f t="shared" ca="1" si="4"/>
        <v/>
      </c>
      <c r="Q106" s="17">
        <f>IFERROR(IF(AND(N106&lt;&gt;"",ISNUMBER(O106),O106&gt;0,O106&gt;=TODAY()-90),1,0),0)</f>
        <v/>
      </c>
      <c r="R106" s="17" t="str">
        <f t="shared" si="6"/>
        <v/>
      </c>
      <c r="S106" s="17" t="str">
        <f>IF(INDEX(Listado!A:A,ROW())="","",INDEX(Listado!A:A,ROW()))</f>
        <v/>
      </c>
      <c r="T106" s="17" t="str">
        <f ca="1">IF(INDEX(Listado!G:G,ROW())="","",INDEX(Listado!G:G,ROW()))</f>
        <v/>
      </c>
      <c r="U106" s="17" t="str">
        <f>IF(INDEX(Listado!F:F,ROW())="","",INDEX(Listado!F:F,ROW()))</f>
        <v/>
      </c>
      <c r="V106" s="17">
        <f>IF(COUNTA(INDEX(Listado!B:B,ROW()):INDEX(Listado!F:F,ROW()))&gt;0,1,0)</f>
        <v/>
      </c>
      <c r="W106" s="17" t="str">
        <f>IF(INDEX(Listado!L:L,ROW())="","",INDEX(Listado!L:L,ROW()))</f>
        <v/>
      </c>
      <c r="X106" s="17">
        <f>IF(N106="","",IF(INDEX(Listado!$M:$M,N106)="No","No","Sí"))</f>
        <v/>
      </c>
    </row>
    <row r="107" spans="2:24" ht="14.25">
      <c r="N107" s="17" t="str">
        <f>IF(V107=0,"",IFERROR(LOOKUP(2,1/(INDEX(Listado!A:A,2):INDEX(Listado!A:A,ROW())&lt;&gt;""),ROW(INDEX(Listado!A:A,2):INDEX(Listado!A:A,ROW()))),""))</f>
        <v/>
      </c>
      <c r="O107" s="17" t="str">
        <f>IFERROR(IF(N107="","",IF(INDEX(Listado!M:M,N107)="No",IF(INDEX(Listado!N:N,N107)=0,"",INDEX(Listado!N:N,N107)),IF(INDEX(Listado!I:I,N107)=0,"",INDEX(Listado!I:I,N107)))),"")</f>
        <v/>
      </c>
      <c r="P107" s="17">
        <f t="shared" ca="1" si="4"/>
        <v/>
      </c>
      <c r="Q107" s="17">
        <f>IFERROR(IF(AND(N107&lt;&gt;"",ISNUMBER(O107),O107&gt;0,O107&gt;=TODAY()-90),1,0),0)</f>
        <v/>
      </c>
      <c r="R107" s="17" t="str">
        <f t="shared" si="6"/>
        <v/>
      </c>
      <c r="S107" s="17" t="str">
        <f>IF(INDEX(Listado!A:A,ROW())="","",INDEX(Listado!A:A,ROW()))</f>
        <v/>
      </c>
      <c r="T107" s="17" t="str">
        <f ca="1">IF(INDEX(Listado!G:G,ROW())="","",INDEX(Listado!G:G,ROW()))</f>
        <v/>
      </c>
      <c r="U107" s="17" t="str">
        <f>IF(INDEX(Listado!F:F,ROW())="","",INDEX(Listado!F:F,ROW()))</f>
        <v/>
      </c>
      <c r="V107" s="17">
        <f>IF(COUNTA(INDEX(Listado!B:B,ROW()):INDEX(Listado!F:F,ROW()))&gt;0,1,0)</f>
        <v/>
      </c>
      <c r="W107" s="17" t="str">
        <f>IF(INDEX(Listado!L:L,ROW())="","",INDEX(Listado!L:L,ROW()))</f>
        <v/>
      </c>
      <c r="X107" s="17">
        <f>IF(N107="","",IF(INDEX(Listado!$M:$M,N107)="No","No","Sí"))</f>
        <v/>
      </c>
    </row>
    <row r="108" spans="2:24" ht="14.25">
      <c r="N108" s="17" t="str">
        <f>IF(V108=0,"",IFERROR(LOOKUP(2,1/(INDEX(Listado!A:A,2):INDEX(Listado!A:A,ROW())&lt;&gt;""),ROW(INDEX(Listado!A:A,2):INDEX(Listado!A:A,ROW()))),""))</f>
        <v/>
      </c>
      <c r="O108" s="17" t="str">
        <f>IFERROR(IF(N108="","",IF(INDEX(Listado!M:M,N108)="No",IF(INDEX(Listado!N:N,N108)=0,"",INDEX(Listado!N:N,N108)),IF(INDEX(Listado!I:I,N108)=0,"",INDEX(Listado!I:I,N108)))),"")</f>
        <v/>
      </c>
      <c r="P108" s="17">
        <f t="shared" ca="1" si="4"/>
        <v/>
      </c>
      <c r="Q108" s="17">
        <f>IFERROR(IF(AND(N108&lt;&gt;"",ISNUMBER(O108),O108&gt;0,O108&gt;=TODAY()-90),1,0),0)</f>
        <v/>
      </c>
      <c r="R108" s="17" t="str">
        <f t="shared" si="6"/>
        <v/>
      </c>
      <c r="S108" s="17" t="str">
        <f>IF(INDEX(Listado!A:A,ROW())="","",INDEX(Listado!A:A,ROW()))</f>
        <v/>
      </c>
      <c r="T108" s="17" t="str">
        <f ca="1">IF(INDEX(Listado!G:G,ROW())="","",INDEX(Listado!G:G,ROW()))</f>
        <v/>
      </c>
      <c r="U108" s="17" t="str">
        <f>IF(INDEX(Listado!F:F,ROW())="","",INDEX(Listado!F:F,ROW()))</f>
        <v/>
      </c>
      <c r="V108" s="17">
        <f>IF(COUNTA(INDEX(Listado!B:B,ROW()):INDEX(Listado!F:F,ROW()))&gt;0,1,0)</f>
        <v/>
      </c>
      <c r="W108" s="17" t="str">
        <f>IF(INDEX(Listado!L:L,ROW())="","",INDEX(Listado!L:L,ROW()))</f>
        <v/>
      </c>
      <c r="X108" s="17">
        <f>IF(N108="","",IF(INDEX(Listado!$M:$M,N108)="No","No","Sí"))</f>
        <v/>
      </c>
    </row>
    <row r="109" spans="2:24" ht="14.25">
      <c r="N109" s="17" t="str">
        <f>IF(V109=0,"",IFERROR(LOOKUP(2,1/(INDEX(Listado!A:A,2):INDEX(Listado!A:A,ROW())&lt;&gt;""),ROW(INDEX(Listado!A:A,2):INDEX(Listado!A:A,ROW()))),""))</f>
        <v/>
      </c>
      <c r="O109" s="17" t="str">
        <f>IFERROR(IF(N109="","",IF(INDEX(Listado!M:M,N109)="No",IF(INDEX(Listado!N:N,N109)=0,"",INDEX(Listado!N:N,N109)),IF(INDEX(Listado!I:I,N109)=0,"",INDEX(Listado!I:I,N109)))),"")</f>
        <v/>
      </c>
      <c r="P109" s="17">
        <f t="shared" ca="1" si="4"/>
        <v/>
      </c>
      <c r="Q109" s="17">
        <f>IFERROR(IF(AND(N109&lt;&gt;"",ISNUMBER(O109),O109&gt;0,O109&gt;=TODAY()-90),1,0),0)</f>
        <v/>
      </c>
      <c r="R109" s="17" t="str">
        <f t="shared" si="6"/>
        <v/>
      </c>
      <c r="S109" s="17" t="str">
        <f>IF(INDEX(Listado!A:A,ROW())="","",INDEX(Listado!A:A,ROW()))</f>
        <v/>
      </c>
      <c r="T109" s="17" t="str">
        <f ca="1">IF(INDEX(Listado!G:G,ROW())="","",INDEX(Listado!G:G,ROW()))</f>
        <v/>
      </c>
      <c r="U109" s="17" t="str">
        <f>IF(INDEX(Listado!F:F,ROW())="","",INDEX(Listado!F:F,ROW()))</f>
        <v/>
      </c>
      <c r="V109" s="17">
        <f>IF(COUNTA(INDEX(Listado!B:B,ROW()):INDEX(Listado!F:F,ROW()))&gt;0,1,0)</f>
        <v/>
      </c>
      <c r="W109" s="17" t="str">
        <f>IF(INDEX(Listado!L:L,ROW())="","",INDEX(Listado!L:L,ROW()))</f>
        <v/>
      </c>
      <c r="X109" s="17">
        <f>IF(N109="","",IF(INDEX(Listado!$M:$M,N109)="No","No","Sí"))</f>
        <v/>
      </c>
    </row>
    <row r="110" spans="2:24" ht="14.25">
      <c r="N110" s="17" t="str">
        <f>IF(V110=0,"",IFERROR(LOOKUP(2,1/(INDEX(Listado!A:A,2):INDEX(Listado!A:A,ROW())&lt;&gt;""),ROW(INDEX(Listado!A:A,2):INDEX(Listado!A:A,ROW()))),""))</f>
        <v/>
      </c>
      <c r="O110" s="17" t="str">
        <f>IFERROR(IF(N110="","",IF(INDEX(Listado!M:M,N110)="No",IF(INDEX(Listado!N:N,N110)=0,"",INDEX(Listado!N:N,N110)),IF(INDEX(Listado!I:I,N110)=0,"",INDEX(Listado!I:I,N110)))),"")</f>
        <v/>
      </c>
      <c r="P110" s="17">
        <f t="shared" ca="1" si="4"/>
        <v/>
      </c>
      <c r="Q110" s="17">
        <f>IFERROR(IF(AND(N110&lt;&gt;"",ISNUMBER(O110),O110&gt;0,O110&gt;=TODAY()-90),1,0),0)</f>
        <v/>
      </c>
      <c r="R110" s="17" t="str">
        <f t="shared" si="6"/>
        <v/>
      </c>
      <c r="S110" s="17" t="str">
        <f>IF(INDEX(Listado!A:A,ROW())="","",INDEX(Listado!A:A,ROW()))</f>
        <v/>
      </c>
      <c r="T110" s="17" t="str">
        <f ca="1">IF(INDEX(Listado!G:G,ROW())="","",INDEX(Listado!G:G,ROW()))</f>
        <v/>
      </c>
      <c r="U110" s="17" t="str">
        <f>IF(INDEX(Listado!F:F,ROW())="","",INDEX(Listado!F:F,ROW()))</f>
        <v/>
      </c>
      <c r="V110" s="17">
        <f>IF(COUNTA(INDEX(Listado!B:B,ROW()):INDEX(Listado!F:F,ROW()))&gt;0,1,0)</f>
        <v/>
      </c>
      <c r="W110" s="17" t="str">
        <f>IF(INDEX(Listado!L:L,ROW())="","",INDEX(Listado!L:L,ROW()))</f>
        <v/>
      </c>
      <c r="X110" s="17">
        <f>IF(N110="","",IF(INDEX(Listado!$M:$M,N110)="No","No","Sí"))</f>
        <v/>
      </c>
    </row>
    <row r="111" spans="2:24" ht="14.25">
      <c r="N111" s="17" t="str">
        <f>IF(V111=0,"",IFERROR(LOOKUP(2,1/(INDEX(Listado!A:A,2):INDEX(Listado!A:A,ROW())&lt;&gt;""),ROW(INDEX(Listado!A:A,2):INDEX(Listado!A:A,ROW()))),""))</f>
        <v/>
      </c>
      <c r="O111" s="17" t="str">
        <f>IFERROR(IF(N111="","",IF(INDEX(Listado!M:M,N111)="No",IF(INDEX(Listado!N:N,N111)=0,"",INDEX(Listado!N:N,N111)),IF(INDEX(Listado!I:I,N111)=0,"",INDEX(Listado!I:I,N111)))),"")</f>
        <v/>
      </c>
      <c r="P111" s="17">
        <f t="shared" ca="1" si="4"/>
        <v/>
      </c>
      <c r="Q111" s="17">
        <f>IFERROR(IF(AND(N111&lt;&gt;"",ISNUMBER(O111),O111&gt;0,O111&gt;=TODAY()-90),1,0),0)</f>
        <v/>
      </c>
      <c r="R111" s="17" t="str">
        <f t="shared" si="6"/>
        <v/>
      </c>
      <c r="S111" s="17" t="str">
        <f>IF(INDEX(Listado!A:A,ROW())="","",INDEX(Listado!A:A,ROW()))</f>
        <v/>
      </c>
      <c r="T111" s="17" t="str">
        <f ca="1">IF(INDEX(Listado!G:G,ROW())="","",INDEX(Listado!G:G,ROW()))</f>
        <v/>
      </c>
      <c r="U111" s="17" t="str">
        <f>IF(INDEX(Listado!F:F,ROW())="","",INDEX(Listado!F:F,ROW()))</f>
        <v/>
      </c>
      <c r="V111" s="17">
        <f>IF(COUNTA(INDEX(Listado!B:B,ROW()):INDEX(Listado!F:F,ROW()))&gt;0,1,0)</f>
        <v/>
      </c>
      <c r="W111" s="17" t="str">
        <f>IF(INDEX(Listado!L:L,ROW())="","",INDEX(Listado!L:L,ROW()))</f>
        <v/>
      </c>
      <c r="X111" s="17">
        <f>IF(N111="","",IF(INDEX(Listado!$M:$M,N111)="No","No","Sí"))</f>
        <v/>
      </c>
    </row>
    <row r="112" spans="2:24" ht="14.25">
      <c r="N112" s="17" t="str">
        <f>IF(V112=0,"",IFERROR(LOOKUP(2,1/(INDEX(Listado!A:A,2):INDEX(Listado!A:A,ROW())&lt;&gt;""),ROW(INDEX(Listado!A:A,2):INDEX(Listado!A:A,ROW()))),""))</f>
        <v/>
      </c>
      <c r="O112" s="17" t="str">
        <f>IFERROR(IF(N112="","",IF(INDEX(Listado!M:M,N112)="No",IF(INDEX(Listado!N:N,N112)=0,"",INDEX(Listado!N:N,N112)),IF(INDEX(Listado!I:I,N112)=0,"",INDEX(Listado!I:I,N112)))),"")</f>
        <v/>
      </c>
      <c r="P112" s="17">
        <f t="shared" ca="1" si="4"/>
        <v/>
      </c>
      <c r="Q112" s="17">
        <f>IFERROR(IF(AND(N112&lt;&gt;"",ISNUMBER(O112),O112&gt;0,O112&gt;=TODAY()-90),1,0),0)</f>
        <v/>
      </c>
      <c r="R112" s="17" t="str">
        <f t="shared" si="6"/>
        <v/>
      </c>
      <c r="S112" s="17" t="str">
        <f>IF(INDEX(Listado!A:A,ROW())="","",INDEX(Listado!A:A,ROW()))</f>
        <v/>
      </c>
      <c r="T112" s="17" t="str">
        <f ca="1">IF(INDEX(Listado!G:G,ROW())="","",INDEX(Listado!G:G,ROW()))</f>
        <v/>
      </c>
      <c r="U112" s="17" t="str">
        <f>IF(INDEX(Listado!F:F,ROW())="","",INDEX(Listado!F:F,ROW()))</f>
        <v/>
      </c>
      <c r="V112" s="17">
        <f>IF(COUNTA(INDEX(Listado!B:B,ROW()):INDEX(Listado!F:F,ROW()))&gt;0,1,0)</f>
        <v/>
      </c>
      <c r="W112" s="17" t="str">
        <f>IF(INDEX(Listado!L:L,ROW())="","",INDEX(Listado!L:L,ROW()))</f>
        <v/>
      </c>
      <c r="X112" s="17">
        <f>IF(N112="","",IF(INDEX(Listado!$M:$M,N112)="No","No","Sí"))</f>
        <v/>
      </c>
    </row>
    <row r="113" spans="2:24" ht="14.25">
      <c r="N113" s="17" t="str">
        <f>IF(V113=0,"",IFERROR(LOOKUP(2,1/(INDEX(Listado!A:A,2):INDEX(Listado!A:A,ROW())&lt;&gt;""),ROW(INDEX(Listado!A:A,2):INDEX(Listado!A:A,ROW()))),""))</f>
        <v/>
      </c>
      <c r="O113" s="17" t="str">
        <f>IFERROR(IF(N113="","",IF(INDEX(Listado!M:M,N113)="No",IF(INDEX(Listado!N:N,N113)=0,"",INDEX(Listado!N:N,N113)),IF(INDEX(Listado!I:I,N113)=0,"",INDEX(Listado!I:I,N113)))),"")</f>
        <v/>
      </c>
      <c r="P113" s="17">
        <f t="shared" ca="1" si="4"/>
        <v/>
      </c>
      <c r="Q113" s="17">
        <f>IFERROR(IF(AND(N113&lt;&gt;"",ISNUMBER(O113),O113&gt;0,O113&gt;=TODAY()-90),1,0),0)</f>
        <v/>
      </c>
      <c r="R113" s="17" t="str">
        <f t="shared" si="6"/>
        <v/>
      </c>
      <c r="S113" s="17" t="str">
        <f>IF(INDEX(Listado!A:A,ROW())="","",INDEX(Listado!A:A,ROW()))</f>
        <v/>
      </c>
      <c r="T113" s="17" t="str">
        <f ca="1">IF(INDEX(Listado!G:G,ROW())="","",INDEX(Listado!G:G,ROW()))</f>
        <v/>
      </c>
      <c r="U113" s="17" t="str">
        <f>IF(INDEX(Listado!F:F,ROW())="","",INDEX(Listado!F:F,ROW()))</f>
        <v/>
      </c>
      <c r="V113" s="17">
        <f>IF(COUNTA(INDEX(Listado!B:B,ROW()):INDEX(Listado!F:F,ROW()))&gt;0,1,0)</f>
        <v/>
      </c>
      <c r="W113" s="17" t="str">
        <f>IF(INDEX(Listado!L:L,ROW())="","",INDEX(Listado!L:L,ROW()))</f>
        <v/>
      </c>
      <c r="X113" s="17">
        <f>IF(N113="","",IF(INDEX(Listado!$M:$M,N113)="No","No","Sí"))</f>
        <v/>
      </c>
    </row>
    <row r="114" spans="2:24" ht="14.25">
      <c r="N114" s="17" t="str">
        <f>IF(V114=0,"",IFERROR(LOOKUP(2,1/(INDEX(Listado!A:A,2):INDEX(Listado!A:A,ROW())&lt;&gt;""),ROW(INDEX(Listado!A:A,2):INDEX(Listado!A:A,ROW()))),""))</f>
        <v/>
      </c>
      <c r="O114" s="17" t="str">
        <f>IFERROR(IF(N114="","",IF(INDEX(Listado!M:M,N114)="No",IF(INDEX(Listado!N:N,N114)=0,"",INDEX(Listado!N:N,N114)),IF(INDEX(Listado!I:I,N114)=0,"",INDEX(Listado!I:I,N114)))),"")</f>
        <v/>
      </c>
      <c r="P114" s="17">
        <f t="shared" ca="1" si="4"/>
        <v/>
      </c>
      <c r="Q114" s="17">
        <f>IFERROR(IF(AND(N114&lt;&gt;"",ISNUMBER(O114),O114&gt;0,O114&gt;=TODAY()-90),1,0),0)</f>
        <v/>
      </c>
      <c r="R114" s="17" t="str">
        <f t="shared" si="6"/>
        <v/>
      </c>
      <c r="S114" s="17" t="str">
        <f>IF(INDEX(Listado!A:A,ROW())="","",INDEX(Listado!A:A,ROW()))</f>
        <v/>
      </c>
      <c r="T114" s="17" t="str">
        <f ca="1">IF(INDEX(Listado!G:G,ROW())="","",INDEX(Listado!G:G,ROW()))</f>
        <v/>
      </c>
      <c r="U114" s="17" t="str">
        <f>IF(INDEX(Listado!F:F,ROW())="","",INDEX(Listado!F:F,ROW()))</f>
        <v/>
      </c>
      <c r="V114" s="17">
        <f>IF(COUNTA(INDEX(Listado!B:B,ROW()):INDEX(Listado!F:F,ROW()))&gt;0,1,0)</f>
        <v/>
      </c>
      <c r="W114" s="17" t="str">
        <f>IF(INDEX(Listado!L:L,ROW())="","",INDEX(Listado!L:L,ROW()))</f>
        <v/>
      </c>
      <c r="X114" s="17">
        <f>IF(N114="","",IF(INDEX(Listado!$M:$M,N114)="No","No","Sí"))</f>
        <v/>
      </c>
    </row>
    <row r="115" spans="2:24" ht="14.25">
      <c r="N115" s="17" t="str">
        <f>IF(V115=0,"",IFERROR(LOOKUP(2,1/(INDEX(Listado!A:A,2):INDEX(Listado!A:A,ROW())&lt;&gt;""),ROW(INDEX(Listado!A:A,2):INDEX(Listado!A:A,ROW()))),""))</f>
        <v/>
      </c>
      <c r="O115" s="17" t="str">
        <f>IFERROR(IF(N115="","",IF(INDEX(Listado!M:M,N115)="No",IF(INDEX(Listado!N:N,N115)=0,"",INDEX(Listado!N:N,N115)),IF(INDEX(Listado!I:I,N115)=0,"",INDEX(Listado!I:I,N115)))),"")</f>
        <v/>
      </c>
      <c r="P115" s="17">
        <f t="shared" ca="1" si="4"/>
        <v/>
      </c>
      <c r="Q115" s="17">
        <f>IFERROR(IF(AND(N115&lt;&gt;"",ISNUMBER(O115),O115&gt;0,O115&gt;=TODAY()-90),1,0),0)</f>
        <v/>
      </c>
      <c r="R115" s="17" t="str">
        <f t="shared" si="6"/>
        <v/>
      </c>
      <c r="S115" s="17" t="str">
        <f>IF(INDEX(Listado!A:A,ROW())="","",INDEX(Listado!A:A,ROW()))</f>
        <v/>
      </c>
      <c r="T115" s="17" t="str">
        <f ca="1">IF(INDEX(Listado!G:G,ROW())="","",INDEX(Listado!G:G,ROW()))</f>
        <v/>
      </c>
      <c r="U115" s="17" t="str">
        <f>IF(INDEX(Listado!F:F,ROW())="","",INDEX(Listado!F:F,ROW()))</f>
        <v/>
      </c>
      <c r="V115" s="17">
        <f>IF(COUNTA(INDEX(Listado!B:B,ROW()):INDEX(Listado!F:F,ROW()))&gt;0,1,0)</f>
        <v/>
      </c>
      <c r="W115" s="17" t="str">
        <f>IF(INDEX(Listado!L:L,ROW())="","",INDEX(Listado!L:L,ROW()))</f>
        <v/>
      </c>
      <c r="X115" s="17">
        <f>IF(N115="","",IF(INDEX(Listado!$M:$M,N115)="No","No","Sí"))</f>
        <v/>
      </c>
    </row>
    <row r="116" spans="2:24" ht="14.25">
      <c r="N116" s="17" t="str">
        <f>IF(V116=0,"",IFERROR(LOOKUP(2,1/(INDEX(Listado!A:A,2):INDEX(Listado!A:A,ROW())&lt;&gt;""),ROW(INDEX(Listado!A:A,2):INDEX(Listado!A:A,ROW()))),""))</f>
        <v/>
      </c>
      <c r="O116" s="17" t="str">
        <f>IFERROR(IF(N116="","",IF(INDEX(Listado!M:M,N116)="No",IF(INDEX(Listado!N:N,N116)=0,"",INDEX(Listado!N:N,N116)),IF(INDEX(Listado!I:I,N116)=0,"",INDEX(Listado!I:I,N116)))),"")</f>
        <v/>
      </c>
      <c r="P116" s="17">
        <f t="shared" ca="1" si="4"/>
        <v/>
      </c>
      <c r="Q116" s="17">
        <f>IFERROR(IF(AND(N116&lt;&gt;"",ISNUMBER(O116),O116&gt;0,O116&gt;=TODAY()-90),1,0),0)</f>
        <v/>
      </c>
      <c r="R116" s="17" t="str">
        <f t="shared" si="6"/>
        <v/>
      </c>
      <c r="S116" s="17" t="str">
        <f>IF(INDEX(Listado!A:A,ROW())="","",INDEX(Listado!A:A,ROW()))</f>
        <v/>
      </c>
      <c r="T116" s="17" t="str">
        <f ca="1">IF(INDEX(Listado!G:G,ROW())="","",INDEX(Listado!G:G,ROW()))</f>
        <v/>
      </c>
      <c r="U116" s="17" t="str">
        <f>IF(INDEX(Listado!F:F,ROW())="","",INDEX(Listado!F:F,ROW()))</f>
        <v/>
      </c>
      <c r="V116" s="17">
        <f>IF(COUNTA(INDEX(Listado!B:B,ROW()):INDEX(Listado!F:F,ROW()))&gt;0,1,0)</f>
        <v/>
      </c>
      <c r="W116" s="17" t="str">
        <f>IF(INDEX(Listado!L:L,ROW())="","",INDEX(Listado!L:L,ROW()))</f>
        <v/>
      </c>
      <c r="X116" s="17">
        <f>IF(N116="","",IF(INDEX(Listado!$M:$M,N116)="No","No","Sí"))</f>
        <v/>
      </c>
    </row>
    <row r="117" spans="2:24" ht="14.25">
      <c r="N117" s="17" t="str">
        <f>IF(V117=0,"",IFERROR(LOOKUP(2,1/(INDEX(Listado!A:A,2):INDEX(Listado!A:A,ROW())&lt;&gt;""),ROW(INDEX(Listado!A:A,2):INDEX(Listado!A:A,ROW()))),""))</f>
        <v/>
      </c>
      <c r="O117" s="17" t="str">
        <f>IFERROR(IF(N117="","",IF(INDEX(Listado!M:M,N117)="No",IF(INDEX(Listado!N:N,N117)=0,"",INDEX(Listado!N:N,N117)),IF(INDEX(Listado!I:I,N117)=0,"",INDEX(Listado!I:I,N117)))),"")</f>
        <v/>
      </c>
      <c r="P117" s="17">
        <f t="shared" ca="1" si="4"/>
        <v/>
      </c>
      <c r="Q117" s="17">
        <f>IFERROR(IF(AND(N117&lt;&gt;"",ISNUMBER(O117),O117&gt;0,O117&gt;=TODAY()-90),1,0),0)</f>
        <v/>
      </c>
      <c r="R117" s="17" t="str">
        <f t="shared" si="6"/>
        <v/>
      </c>
      <c r="S117" s="17" t="str">
        <f>IF(INDEX(Listado!A:A,ROW())="","",INDEX(Listado!A:A,ROW()))</f>
        <v/>
      </c>
      <c r="T117" s="17" t="str">
        <f ca="1">IF(INDEX(Listado!G:G,ROW())="","",INDEX(Listado!G:G,ROW()))</f>
        <v/>
      </c>
      <c r="U117" s="17" t="str">
        <f>IF(INDEX(Listado!F:F,ROW())="","",INDEX(Listado!F:F,ROW()))</f>
        <v/>
      </c>
      <c r="V117" s="17">
        <f>IF(COUNTA(INDEX(Listado!B:B,ROW()):INDEX(Listado!F:F,ROW()))&gt;0,1,0)</f>
        <v/>
      </c>
      <c r="W117" s="17" t="str">
        <f>IF(INDEX(Listado!L:L,ROW())="","",INDEX(Listado!L:L,ROW()))</f>
        <v/>
      </c>
      <c r="X117" s="17">
        <f>IF(N117="","",IF(INDEX(Listado!$M:$M,N117)="No","No","Sí"))</f>
        <v/>
      </c>
    </row>
    <row r="118" spans="2:24" ht="14.25">
      <c r="N118" s="17" t="str">
        <f>IF(V118=0,"",IFERROR(LOOKUP(2,1/(INDEX(Listado!A:A,2):INDEX(Listado!A:A,ROW())&lt;&gt;""),ROW(INDEX(Listado!A:A,2):INDEX(Listado!A:A,ROW()))),""))</f>
        <v/>
      </c>
      <c r="O118" s="17" t="str">
        <f>IFERROR(IF(N118="","",IF(INDEX(Listado!M:M,N118)="No",IF(INDEX(Listado!N:N,N118)=0,"",INDEX(Listado!N:N,N118)),IF(INDEX(Listado!I:I,N118)=0,"",INDEX(Listado!I:I,N118)))),"")</f>
        <v/>
      </c>
      <c r="P118" s="17">
        <f t="shared" ca="1" si="4"/>
        <v/>
      </c>
      <c r="Q118" s="17">
        <f>IFERROR(IF(AND(N118&lt;&gt;"",ISNUMBER(O118),O118&gt;0,O118&gt;=TODAY()-90),1,0),0)</f>
        <v/>
      </c>
      <c r="R118" s="17" t="str">
        <f t="shared" si="6"/>
        <v/>
      </c>
      <c r="S118" s="17" t="str">
        <f>IF(INDEX(Listado!A:A,ROW())="","",INDEX(Listado!A:A,ROW()))</f>
        <v/>
      </c>
      <c r="T118" s="17" t="str">
        <f ca="1">IF(INDEX(Listado!G:G,ROW())="","",INDEX(Listado!G:G,ROW()))</f>
        <v/>
      </c>
      <c r="U118" s="17" t="str">
        <f>IF(INDEX(Listado!F:F,ROW())="","",INDEX(Listado!F:F,ROW()))</f>
        <v/>
      </c>
      <c r="V118" s="17">
        <f>IF(COUNTA(INDEX(Listado!B:B,ROW()):INDEX(Listado!F:F,ROW()))&gt;0,1,0)</f>
        <v/>
      </c>
      <c r="W118" s="17" t="str">
        <f>IF(INDEX(Listado!L:L,ROW())="","",INDEX(Listado!L:L,ROW()))</f>
        <v/>
      </c>
      <c r="X118" s="17">
        <f>IF(N118="","",IF(INDEX(Listado!$M:$M,N118)="No","No","Sí"))</f>
        <v/>
      </c>
    </row>
    <row r="119" spans="2:24" ht="14.25">
      <c r="N119" s="17" t="str">
        <f>IF(V119=0,"",IFERROR(LOOKUP(2,1/(INDEX(Listado!A:A,2):INDEX(Listado!A:A,ROW())&lt;&gt;""),ROW(INDEX(Listado!A:A,2):INDEX(Listado!A:A,ROW()))),""))</f>
        <v/>
      </c>
      <c r="O119" s="17" t="str">
        <f>IFERROR(IF(N119="","",IF(INDEX(Listado!M:M,N119)="No",IF(INDEX(Listado!N:N,N119)=0,"",INDEX(Listado!N:N,N119)),IF(INDEX(Listado!I:I,N119)=0,"",INDEX(Listado!I:I,N119)))),"")</f>
        <v/>
      </c>
      <c r="P119" s="17">
        <f t="shared" ca="1" si="4"/>
        <v/>
      </c>
      <c r="Q119" s="17">
        <f>IFERROR(IF(AND(N119&lt;&gt;"",ISNUMBER(O119),O119&gt;0,O119&gt;=TODAY()-90),1,0),0)</f>
        <v/>
      </c>
      <c r="R119" s="17" t="str">
        <f t="shared" si="6"/>
        <v/>
      </c>
      <c r="S119" s="17" t="str">
        <f>IF(INDEX(Listado!A:A,ROW())="","",INDEX(Listado!A:A,ROW()))</f>
        <v/>
      </c>
      <c r="T119" s="17" t="str">
        <f ca="1">IF(INDEX(Listado!G:G,ROW())="","",INDEX(Listado!G:G,ROW()))</f>
        <v/>
      </c>
      <c r="U119" s="17" t="str">
        <f>IF(INDEX(Listado!F:F,ROW())="","",INDEX(Listado!F:F,ROW()))</f>
        <v/>
      </c>
      <c r="V119" s="17">
        <f>IF(COUNTA(INDEX(Listado!B:B,ROW()):INDEX(Listado!F:F,ROW()))&gt;0,1,0)</f>
        <v/>
      </c>
      <c r="W119" s="17" t="str">
        <f>IF(INDEX(Listado!L:L,ROW())="","",INDEX(Listado!L:L,ROW()))</f>
        <v/>
      </c>
      <c r="X119" s="17">
        <f>IF(N119="","",IF(INDEX(Listado!$M:$M,N119)="No","No","Sí"))</f>
        <v/>
      </c>
    </row>
    <row r="120" spans="2:24" ht="14.25">
      <c r="N120" s="17" t="str">
        <f>IF(V120=0,"",IFERROR(LOOKUP(2,1/(INDEX(Listado!A:A,2):INDEX(Listado!A:A,ROW())&lt;&gt;""),ROW(INDEX(Listado!A:A,2):INDEX(Listado!A:A,ROW()))),""))</f>
        <v/>
      </c>
      <c r="O120" s="17" t="str">
        <f>IFERROR(IF(N120="","",IF(INDEX(Listado!M:M,N120)="No",IF(INDEX(Listado!N:N,N120)=0,"",INDEX(Listado!N:N,N120)),IF(INDEX(Listado!I:I,N120)=0,"",INDEX(Listado!I:I,N120)))),"")</f>
        <v/>
      </c>
      <c r="P120" s="17">
        <f t="shared" ca="1" si="4"/>
        <v/>
      </c>
      <c r="Q120" s="17">
        <f>IFERROR(IF(AND(N120&lt;&gt;"",ISNUMBER(O120),O120&gt;0,O120&gt;=TODAY()-90),1,0),0)</f>
        <v/>
      </c>
      <c r="R120" s="17" t="str">
        <f t="shared" si="6"/>
        <v/>
      </c>
      <c r="S120" s="17" t="str">
        <f>IF(INDEX(Listado!A:A,ROW())="","",INDEX(Listado!A:A,ROW()))</f>
        <v/>
      </c>
      <c r="T120" s="17" t="str">
        <f ca="1">IF(INDEX(Listado!G:G,ROW())="","",INDEX(Listado!G:G,ROW()))</f>
        <v/>
      </c>
      <c r="U120" s="17" t="str">
        <f>IF(INDEX(Listado!F:F,ROW())="","",INDEX(Listado!F:F,ROW()))</f>
        <v/>
      </c>
      <c r="V120" s="17">
        <f>IF(COUNTA(INDEX(Listado!B:B,ROW()):INDEX(Listado!F:F,ROW()))&gt;0,1,0)</f>
        <v/>
      </c>
      <c r="W120" s="17" t="str">
        <f>IF(INDEX(Listado!L:L,ROW())="","",INDEX(Listado!L:L,ROW()))</f>
        <v/>
      </c>
      <c r="X120" s="17">
        <f>IF(N120="","",IF(INDEX(Listado!$M:$M,N120)="No","No","Sí"))</f>
        <v/>
      </c>
    </row>
    <row r="121" spans="2:24" ht="14.25">
      <c r="N121" s="17" t="str">
        <f>IF(V121=0,"",IFERROR(LOOKUP(2,1/(INDEX(Listado!A:A,2):INDEX(Listado!A:A,ROW())&lt;&gt;""),ROW(INDEX(Listado!A:A,2):INDEX(Listado!A:A,ROW()))),""))</f>
        <v/>
      </c>
      <c r="O121" s="17" t="str">
        <f>IFERROR(IF(N121="","",IF(INDEX(Listado!M:M,N121)="No",IF(INDEX(Listado!N:N,N121)=0,"",INDEX(Listado!N:N,N121)),IF(INDEX(Listado!I:I,N121)=0,"",INDEX(Listado!I:I,N121)))),"")</f>
        <v/>
      </c>
      <c r="P121" s="17">
        <f t="shared" ca="1" si="4"/>
        <v/>
      </c>
      <c r="Q121" s="17">
        <f>IFERROR(IF(AND(N121&lt;&gt;"",ISNUMBER(O121),O121&gt;0,O121&gt;=TODAY()-90),1,0),0)</f>
        <v/>
      </c>
      <c r="R121" s="17" t="str">
        <f t="shared" si="6"/>
        <v/>
      </c>
      <c r="S121" s="17" t="str">
        <f>IF(INDEX(Listado!A:A,ROW())="","",INDEX(Listado!A:A,ROW()))</f>
        <v/>
      </c>
      <c r="T121" s="17" t="str">
        <f ca="1">IF(INDEX(Listado!G:G,ROW())="","",INDEX(Listado!G:G,ROW()))</f>
        <v/>
      </c>
      <c r="U121" s="17" t="str">
        <f>IF(INDEX(Listado!F:F,ROW())="","",INDEX(Listado!F:F,ROW()))</f>
        <v/>
      </c>
      <c r="V121" s="17">
        <f>IF(COUNTA(INDEX(Listado!B:B,ROW()):INDEX(Listado!F:F,ROW()))&gt;0,1,0)</f>
        <v/>
      </c>
      <c r="W121" s="17" t="str">
        <f>IF(INDEX(Listado!L:L,ROW())="","",INDEX(Listado!L:L,ROW()))</f>
        <v/>
      </c>
      <c r="X121" s="17">
        <f>IF(N121="","",IF(INDEX(Listado!$M:$M,N121)="No","No","Sí"))</f>
        <v/>
      </c>
    </row>
    <row r="122" spans="2:24" ht="14.25">
      <c r="N122" s="17" t="str">
        <f>IF(V122=0,"",IFERROR(LOOKUP(2,1/(INDEX(Listado!A:A,2):INDEX(Listado!A:A,ROW())&lt;&gt;""),ROW(INDEX(Listado!A:A,2):INDEX(Listado!A:A,ROW()))),""))</f>
        <v/>
      </c>
      <c r="O122" s="17" t="str">
        <f>IFERROR(IF(N122="","",IF(INDEX(Listado!M:M,N122)="No",IF(INDEX(Listado!N:N,N122)=0,"",INDEX(Listado!N:N,N122)),IF(INDEX(Listado!I:I,N122)=0,"",INDEX(Listado!I:I,N122)))),"")</f>
        <v/>
      </c>
      <c r="P122" s="17">
        <f t="shared" ca="1" si="4"/>
        <v/>
      </c>
      <c r="Q122" s="17">
        <f>IFERROR(IF(AND(N122&lt;&gt;"",ISNUMBER(O122),O122&gt;0,O122&gt;=TODAY()-90),1,0),0)</f>
        <v/>
      </c>
      <c r="R122" s="17" t="str">
        <f t="shared" si="6"/>
        <v/>
      </c>
      <c r="S122" s="17" t="str">
        <f>IF(INDEX(Listado!A:A,ROW())="","",INDEX(Listado!A:A,ROW()))</f>
        <v/>
      </c>
      <c r="T122" s="17" t="str">
        <f ca="1">IF(INDEX(Listado!G:G,ROW())="","",INDEX(Listado!G:G,ROW()))</f>
        <v/>
      </c>
      <c r="U122" s="17" t="str">
        <f>IF(INDEX(Listado!F:F,ROW())="","",INDEX(Listado!F:F,ROW()))</f>
        <v/>
      </c>
      <c r="V122" s="17">
        <f>IF(COUNTA(INDEX(Listado!B:B,ROW()):INDEX(Listado!F:F,ROW()))&gt;0,1,0)</f>
        <v/>
      </c>
      <c r="W122" s="17" t="str">
        <f>IF(INDEX(Listado!L:L,ROW())="","",INDEX(Listado!L:L,ROW()))</f>
        <v/>
      </c>
      <c r="X122" s="17">
        <f>IF(N122="","",IF(INDEX(Listado!$M:$M,N122)="No","No","Sí"))</f>
        <v/>
      </c>
    </row>
    <row r="123" spans="2:24" ht="14.25">
      <c r="N123" s="17" t="str">
        <f>IF(V123=0,"",IFERROR(LOOKUP(2,1/(INDEX(Listado!A:A,2):INDEX(Listado!A:A,ROW())&lt;&gt;""),ROW(INDEX(Listado!A:A,2):INDEX(Listado!A:A,ROW()))),""))</f>
        <v/>
      </c>
      <c r="O123" s="17" t="str">
        <f>IFERROR(IF(N123="","",IF(INDEX(Listado!M:M,N123)="No",IF(INDEX(Listado!N:N,N123)=0,"",INDEX(Listado!N:N,N123)),IF(INDEX(Listado!I:I,N123)=0,"",INDEX(Listado!I:I,N123)))),"")</f>
        <v/>
      </c>
      <c r="P123" s="17">
        <f t="shared" ca="1" si="4"/>
        <v/>
      </c>
      <c r="Q123" s="17">
        <f>IFERROR(IF(AND(N123&lt;&gt;"",ISNUMBER(O123),O123&gt;0,O123&gt;=TODAY()-90),1,0),0)</f>
        <v/>
      </c>
      <c r="R123" s="17" t="str">
        <f t="shared" si="6"/>
        <v/>
      </c>
      <c r="S123" s="17" t="str">
        <f>IF(INDEX(Listado!A:A,ROW())="","",INDEX(Listado!A:A,ROW()))</f>
        <v/>
      </c>
      <c r="T123" s="17" t="str">
        <f ca="1">IF(INDEX(Listado!G:G,ROW())="","",INDEX(Listado!G:G,ROW()))</f>
        <v/>
      </c>
      <c r="U123" s="17" t="str">
        <f>IF(INDEX(Listado!F:F,ROW())="","",INDEX(Listado!F:F,ROW()))</f>
        <v/>
      </c>
      <c r="V123" s="17">
        <f>IF(COUNTA(INDEX(Listado!B:B,ROW()):INDEX(Listado!F:F,ROW()))&gt;0,1,0)</f>
        <v/>
      </c>
      <c r="W123" s="17" t="str">
        <f>IF(INDEX(Listado!L:L,ROW())="","",INDEX(Listado!L:L,ROW()))</f>
        <v/>
      </c>
      <c r="X123" s="17">
        <f>IF(N123="","",IF(INDEX(Listado!$M:$M,N123)="No","No","Sí"))</f>
        <v/>
      </c>
    </row>
    <row r="124" spans="2:24" ht="14.25">
      <c r="N124" s="17" t="str">
        <f>IF(V124=0,"",IFERROR(LOOKUP(2,1/(INDEX(Listado!A:A,2):INDEX(Listado!A:A,ROW())&lt;&gt;""),ROW(INDEX(Listado!A:A,2):INDEX(Listado!A:A,ROW()))),""))</f>
        <v/>
      </c>
      <c r="O124" s="17" t="str">
        <f>IFERROR(IF(N124="","",IF(INDEX(Listado!M:M,N124)="No",IF(INDEX(Listado!N:N,N124)=0,"",INDEX(Listado!N:N,N124)),IF(INDEX(Listado!I:I,N124)=0,"",INDEX(Listado!I:I,N124)))),"")</f>
        <v/>
      </c>
      <c r="P124" s="17">
        <f t="shared" ca="1" si="4"/>
        <v/>
      </c>
      <c r="Q124" s="17">
        <f>IFERROR(IF(AND(N124&lt;&gt;"",ISNUMBER(O124),O124&gt;0,O124&gt;=TODAY()-90),1,0),0)</f>
        <v/>
      </c>
      <c r="R124" s="17" t="str">
        <f t="shared" si="6"/>
        <v/>
      </c>
      <c r="S124" s="17" t="str">
        <f>IF(INDEX(Listado!A:A,ROW())="","",INDEX(Listado!A:A,ROW()))</f>
        <v/>
      </c>
      <c r="T124" s="17" t="str">
        <f ca="1">IF(INDEX(Listado!G:G,ROW())="","",INDEX(Listado!G:G,ROW()))</f>
        <v/>
      </c>
      <c r="U124" s="17" t="str">
        <f>IF(INDEX(Listado!F:F,ROW())="","",INDEX(Listado!F:F,ROW()))</f>
        <v/>
      </c>
      <c r="V124" s="17">
        <f>IF(COUNTA(INDEX(Listado!B:B,ROW()):INDEX(Listado!F:F,ROW()))&gt;0,1,0)</f>
        <v/>
      </c>
      <c r="W124" s="17" t="str">
        <f>IF(INDEX(Listado!L:L,ROW())="","",INDEX(Listado!L:L,ROW()))</f>
        <v/>
      </c>
      <c r="X124" s="17">
        <f>IF(N124="","",IF(INDEX(Listado!$M:$M,N124)="No","No","Sí"))</f>
        <v/>
      </c>
    </row>
    <row r="125" spans="2:24" ht="14.25">
      <c r="N125" s="17" t="str">
        <f>IF(V125=0,"",IFERROR(LOOKUP(2,1/(INDEX(Listado!A:A,2):INDEX(Listado!A:A,ROW())&lt;&gt;""),ROW(INDEX(Listado!A:A,2):INDEX(Listado!A:A,ROW()))),""))</f>
        <v/>
      </c>
      <c r="O125" s="17" t="str">
        <f>IFERROR(IF(N125="","",IF(INDEX(Listado!M:M,N125)="No",IF(INDEX(Listado!N:N,N125)=0,"",INDEX(Listado!N:N,N125)),IF(INDEX(Listado!I:I,N125)=0,"",INDEX(Listado!I:I,N125)))),"")</f>
        <v/>
      </c>
      <c r="P125" s="17">
        <f t="shared" ca="1" si="4"/>
        <v/>
      </c>
      <c r="Q125" s="17">
        <f>IFERROR(IF(AND(N125&lt;&gt;"",ISNUMBER(O125),O125&gt;0,O125&gt;=TODAY()-90),1,0),0)</f>
        <v/>
      </c>
      <c r="R125" s="17" t="str">
        <f t="shared" si="6"/>
        <v/>
      </c>
      <c r="S125" s="17" t="str">
        <f>IF(INDEX(Listado!A:A,ROW())="","",INDEX(Listado!A:A,ROW()))</f>
        <v/>
      </c>
      <c r="T125" s="17" t="str">
        <f ca="1">IF(INDEX(Listado!G:G,ROW())="","",INDEX(Listado!G:G,ROW()))</f>
        <v/>
      </c>
      <c r="U125" s="17" t="str">
        <f>IF(INDEX(Listado!F:F,ROW())="","",INDEX(Listado!F:F,ROW()))</f>
        <v/>
      </c>
      <c r="V125" s="17">
        <f>IF(COUNTA(INDEX(Listado!B:B,ROW()):INDEX(Listado!F:F,ROW()))&gt;0,1,0)</f>
        <v/>
      </c>
      <c r="W125" s="17" t="str">
        <f>IF(INDEX(Listado!L:L,ROW())="","",INDEX(Listado!L:L,ROW()))</f>
        <v/>
      </c>
      <c r="X125" s="17">
        <f>IF(N125="","",IF(INDEX(Listado!$M:$M,N125)="No","No","Sí"))</f>
        <v/>
      </c>
    </row>
    <row r="126" spans="2:24" ht="14.25">
      <c r="N126" s="17" t="str">
        <f>IF(V126=0,"",IFERROR(LOOKUP(2,1/(INDEX(Listado!A:A,2):INDEX(Listado!A:A,ROW())&lt;&gt;""),ROW(INDEX(Listado!A:A,2):INDEX(Listado!A:A,ROW()))),""))</f>
        <v/>
      </c>
      <c r="O126" s="17" t="str">
        <f>IFERROR(IF(N126="","",IF(INDEX(Listado!M:M,N126)="No",IF(INDEX(Listado!N:N,N126)=0,"",INDEX(Listado!N:N,N126)),IF(INDEX(Listado!I:I,N126)=0,"",INDEX(Listado!I:I,N126)))),"")</f>
        <v/>
      </c>
      <c r="P126" s="17">
        <f t="shared" ca="1" si="4"/>
        <v/>
      </c>
      <c r="Q126" s="17">
        <f>IFERROR(IF(AND(N126&lt;&gt;"",ISNUMBER(O126),O126&gt;0,O126&gt;=TODAY()-90),1,0),0)</f>
        <v/>
      </c>
      <c r="R126" s="17" t="str">
        <f t="shared" si="6"/>
        <v/>
      </c>
      <c r="S126" s="17" t="str">
        <f>IF(INDEX(Listado!A:A,ROW())="","",INDEX(Listado!A:A,ROW()))</f>
        <v/>
      </c>
      <c r="T126" s="17" t="str">
        <f ca="1">IF(INDEX(Listado!G:G,ROW())="","",INDEX(Listado!G:G,ROW()))</f>
        <v/>
      </c>
      <c r="U126" s="17" t="str">
        <f>IF(INDEX(Listado!F:F,ROW())="","",INDEX(Listado!F:F,ROW()))</f>
        <v/>
      </c>
      <c r="V126" s="17">
        <f>IF(COUNTA(INDEX(Listado!B:B,ROW()):INDEX(Listado!F:F,ROW()))&gt;0,1,0)</f>
        <v/>
      </c>
      <c r="W126" s="17" t="str">
        <f>IF(INDEX(Listado!L:L,ROW())="","",INDEX(Listado!L:L,ROW()))</f>
        <v/>
      </c>
      <c r="X126" s="17">
        <f>IF(N126="","",IF(INDEX(Listado!$M:$M,N126)="No","No","Sí"))</f>
        <v/>
      </c>
    </row>
    <row r="127" spans="2:24" ht="14.25">
      <c r="N127" s="17" t="str">
        <f>IF(V127=0,"",IFERROR(LOOKUP(2,1/(INDEX(Listado!A:A,2):INDEX(Listado!A:A,ROW())&lt;&gt;""),ROW(INDEX(Listado!A:A,2):INDEX(Listado!A:A,ROW()))),""))</f>
        <v/>
      </c>
      <c r="O127" s="17" t="str">
        <f>IFERROR(IF(N127="","",IF(INDEX(Listado!M:M,N127)="No",IF(INDEX(Listado!N:N,N127)=0,"",INDEX(Listado!N:N,N127)),IF(INDEX(Listado!I:I,N127)=0,"",INDEX(Listado!I:I,N127)))),"")</f>
        <v/>
      </c>
      <c r="P127" s="17">
        <f t="shared" ca="1" si="4"/>
        <v/>
      </c>
      <c r="Q127" s="17">
        <f>IFERROR(IF(AND(N127&lt;&gt;"",ISNUMBER(O127),O127&gt;0,O127&gt;=TODAY()-90),1,0),0)</f>
        <v/>
      </c>
      <c r="R127" s="17" t="str">
        <f t="shared" si="6"/>
        <v/>
      </c>
      <c r="S127" s="17" t="str">
        <f>IF(INDEX(Listado!A:A,ROW())="","",INDEX(Listado!A:A,ROW()))</f>
        <v/>
      </c>
      <c r="T127" s="17" t="str">
        <f ca="1">IF(INDEX(Listado!G:G,ROW())="","",INDEX(Listado!G:G,ROW()))</f>
        <v/>
      </c>
      <c r="U127" s="17" t="str">
        <f>IF(INDEX(Listado!F:F,ROW())="","",INDEX(Listado!F:F,ROW()))</f>
        <v/>
      </c>
      <c r="V127" s="17">
        <f>IF(COUNTA(INDEX(Listado!B:B,ROW()):INDEX(Listado!F:F,ROW()))&gt;0,1,0)</f>
        <v/>
      </c>
      <c r="W127" s="17" t="str">
        <f>IF(INDEX(Listado!L:L,ROW())="","",INDEX(Listado!L:L,ROW()))</f>
        <v/>
      </c>
      <c r="X127" s="17">
        <f>IF(N127="","",IF(INDEX(Listado!$M:$M,N127)="No","No","Sí"))</f>
        <v/>
      </c>
    </row>
    <row r="128" spans="2:24" ht="14.25">
      <c r="N128" s="17" t="str">
        <f>IF(V128=0,"",IFERROR(LOOKUP(2,1/(INDEX(Listado!A:A,2):INDEX(Listado!A:A,ROW())&lt;&gt;""),ROW(INDEX(Listado!A:A,2):INDEX(Listado!A:A,ROW()))),""))</f>
        <v/>
      </c>
      <c r="O128" s="17" t="str">
        <f>IFERROR(IF(N128="","",IF(INDEX(Listado!M:M,N128)="No",IF(INDEX(Listado!N:N,N128)=0,"",INDEX(Listado!N:N,N128)),IF(INDEX(Listado!I:I,N128)=0,"",INDEX(Listado!I:I,N128)))),"")</f>
        <v/>
      </c>
      <c r="P128" s="17">
        <f t="shared" ca="1" si="4"/>
        <v/>
      </c>
      <c r="Q128" s="17">
        <f>IFERROR(IF(AND(N128&lt;&gt;"",ISNUMBER(O128),O128&gt;0,O128&gt;=TODAY()-90),1,0),0)</f>
        <v/>
      </c>
      <c r="R128" s="17" t="str">
        <f t="shared" si="6"/>
        <v/>
      </c>
      <c r="S128" s="17" t="str">
        <f>IF(INDEX(Listado!A:A,ROW())="","",INDEX(Listado!A:A,ROW()))</f>
        <v/>
      </c>
      <c r="T128" s="17" t="str">
        <f ca="1">IF(INDEX(Listado!G:G,ROW())="","",INDEX(Listado!G:G,ROW()))</f>
        <v/>
      </c>
      <c r="U128" s="17" t="str">
        <f>IF(INDEX(Listado!F:F,ROW())="","",INDEX(Listado!F:F,ROW()))</f>
        <v/>
      </c>
      <c r="V128" s="17">
        <f>IF(COUNTA(INDEX(Listado!B:B,ROW()):INDEX(Listado!F:F,ROW()))&gt;0,1,0)</f>
        <v/>
      </c>
      <c r="W128" s="17" t="str">
        <f>IF(INDEX(Listado!L:L,ROW())="","",INDEX(Listado!L:L,ROW()))</f>
        <v/>
      </c>
      <c r="X128" s="17">
        <f>IF(N128="","",IF(INDEX(Listado!$M:$M,N128)="No","No","Sí"))</f>
        <v/>
      </c>
    </row>
    <row r="129" spans="2:24" ht="14.25">
      <c r="N129" s="17" t="str">
        <f>IF(V129=0,"",IFERROR(LOOKUP(2,1/(INDEX(Listado!A:A,2):INDEX(Listado!A:A,ROW())&lt;&gt;""),ROW(INDEX(Listado!A:A,2):INDEX(Listado!A:A,ROW()))),""))</f>
        <v/>
      </c>
      <c r="O129" s="17" t="str">
        <f>IFERROR(IF(N129="","",IF(INDEX(Listado!M:M,N129)="No",IF(INDEX(Listado!N:N,N129)=0,"",INDEX(Listado!N:N,N129)),IF(INDEX(Listado!I:I,N129)=0,"",INDEX(Listado!I:I,N129)))),"")</f>
        <v/>
      </c>
      <c r="P129" s="17">
        <f t="shared" ca="1" si="4"/>
        <v/>
      </c>
      <c r="Q129" s="17">
        <f>IFERROR(IF(AND(N129&lt;&gt;"",ISNUMBER(O129),O129&gt;0,O129&gt;=TODAY()-90),1,0),0)</f>
        <v/>
      </c>
      <c r="R129" s="17" t="str">
        <f t="shared" si="6"/>
        <v/>
      </c>
      <c r="S129" s="17" t="str">
        <f>IF(INDEX(Listado!A:A,ROW())="","",INDEX(Listado!A:A,ROW()))</f>
        <v/>
      </c>
      <c r="T129" s="17" t="str">
        <f ca="1">IF(INDEX(Listado!G:G,ROW())="","",INDEX(Listado!G:G,ROW()))</f>
        <v/>
      </c>
      <c r="U129" s="17" t="str">
        <f>IF(INDEX(Listado!F:F,ROW())="","",INDEX(Listado!F:F,ROW()))</f>
        <v/>
      </c>
      <c r="V129" s="17">
        <f>IF(COUNTA(INDEX(Listado!B:B,ROW()):INDEX(Listado!F:F,ROW()))&gt;0,1,0)</f>
        <v/>
      </c>
      <c r="W129" s="17" t="str">
        <f>IF(INDEX(Listado!L:L,ROW())="","",INDEX(Listado!L:L,ROW()))</f>
        <v/>
      </c>
      <c r="X129" s="17">
        <f>IF(N129="","",IF(INDEX(Listado!$M:$M,N129)="No","No","Sí"))</f>
        <v/>
      </c>
    </row>
    <row r="130" spans="2:24" ht="14.25">
      <c r="N130" s="17" t="str">
        <f>IF(V130=0,"",IFERROR(LOOKUP(2,1/(INDEX(Listado!A:A,2):INDEX(Listado!A:A,ROW())&lt;&gt;""),ROW(INDEX(Listado!A:A,2):INDEX(Listado!A:A,ROW()))),""))</f>
        <v/>
      </c>
      <c r="O130" s="17" t="str">
        <f>IFERROR(IF(N130="","",IF(INDEX(Listado!M:M,N130)="No",IF(INDEX(Listado!N:N,N130)=0,"",INDEX(Listado!N:N,N130)),IF(INDEX(Listado!I:I,N130)=0,"",INDEX(Listado!I:I,N130)))),"")</f>
        <v/>
      </c>
      <c r="P130" s="17">
        <f t="shared" ref="P130:P193" ca="1" si="7">IF(W130="",0,IFERROR(IF(AND(ISNUMBER(W130),W130=INT(W130),ISNUMBER(O130),O130&gt;0,W130&gt;=TODAY(),W130&lt;=O130+90),0,1),1))</f>
        <v/>
      </c>
      <c r="Q130" s="17">
        <f>IFERROR(IF(AND(N130&lt;&gt;"",ISNUMBER(O130),O130&gt;0,O130&gt;=TODAY()-90),1,0),0)</f>
        <v/>
      </c>
      <c r="R130" s="17" t="str">
        <f t="shared" ref="R130:R193" si="9">IF(S130="","",COUNTIFS($N$2:$N$2999,ROW(),$Q$2:$Q$2999,1))</f>
        <v/>
      </c>
      <c r="S130" s="17" t="str">
        <f>IF(INDEX(Listado!A:A,ROW())="","",INDEX(Listado!A:A,ROW()))</f>
        <v/>
      </c>
      <c r="T130" s="17" t="str">
        <f ca="1">IF(INDEX(Listado!G:G,ROW())="","",INDEX(Listado!G:G,ROW()))</f>
        <v/>
      </c>
      <c r="U130" s="17" t="str">
        <f>IF(INDEX(Listado!F:F,ROW())="","",INDEX(Listado!F:F,ROW()))</f>
        <v/>
      </c>
      <c r="V130" s="17">
        <f>IF(COUNTA(INDEX(Listado!B:B,ROW()):INDEX(Listado!F:F,ROW()))&gt;0,1,0)</f>
        <v/>
      </c>
      <c r="W130" s="17" t="str">
        <f>IF(INDEX(Listado!L:L,ROW())="","",INDEX(Listado!L:L,ROW()))</f>
        <v/>
      </c>
      <c r="X130" s="17">
        <f>IF(N130="","",IF(INDEX(Listado!$M:$M,N130)="No","No","Sí"))</f>
        <v/>
      </c>
    </row>
    <row r="131" spans="2:24" ht="14.25">
      <c r="N131" s="17" t="str">
        <f>IF(V131=0,"",IFERROR(LOOKUP(2,1/(INDEX(Listado!A:A,2):INDEX(Listado!A:A,ROW())&lt;&gt;""),ROW(INDEX(Listado!A:A,2):INDEX(Listado!A:A,ROW()))),""))</f>
        <v/>
      </c>
      <c r="O131" s="17" t="str">
        <f>IFERROR(IF(N131="","",IF(INDEX(Listado!M:M,N131)="No",IF(INDEX(Listado!N:N,N131)=0,"",INDEX(Listado!N:N,N131)),IF(INDEX(Listado!I:I,N131)=0,"",INDEX(Listado!I:I,N131)))),"")</f>
        <v/>
      </c>
      <c r="P131" s="17">
        <f t="shared" ca="1" si="7"/>
        <v/>
      </c>
      <c r="Q131" s="17">
        <f>IFERROR(IF(AND(N131&lt;&gt;"",ISNUMBER(O131),O131&gt;0,O131&gt;=TODAY()-90),1,0),0)</f>
        <v/>
      </c>
      <c r="R131" s="17" t="str">
        <f t="shared" si="9"/>
        <v/>
      </c>
      <c r="S131" s="17" t="str">
        <f>IF(INDEX(Listado!A:A,ROW())="","",INDEX(Listado!A:A,ROW()))</f>
        <v/>
      </c>
      <c r="T131" s="17" t="str">
        <f ca="1">IF(INDEX(Listado!G:G,ROW())="","",INDEX(Listado!G:G,ROW()))</f>
        <v/>
      </c>
      <c r="U131" s="17" t="str">
        <f>IF(INDEX(Listado!F:F,ROW())="","",INDEX(Listado!F:F,ROW()))</f>
        <v/>
      </c>
      <c r="V131" s="17">
        <f>IF(COUNTA(INDEX(Listado!B:B,ROW()):INDEX(Listado!F:F,ROW()))&gt;0,1,0)</f>
        <v/>
      </c>
      <c r="W131" s="17" t="str">
        <f>IF(INDEX(Listado!L:L,ROW())="","",INDEX(Listado!L:L,ROW()))</f>
        <v/>
      </c>
      <c r="X131" s="17">
        <f>IF(N131="","",IF(INDEX(Listado!$M:$M,N131)="No","No","Sí"))</f>
        <v/>
      </c>
    </row>
    <row r="132" spans="2:24" ht="14.25">
      <c r="N132" s="17" t="str">
        <f>IF(V132=0,"",IFERROR(LOOKUP(2,1/(INDEX(Listado!A:A,2):INDEX(Listado!A:A,ROW())&lt;&gt;""),ROW(INDEX(Listado!A:A,2):INDEX(Listado!A:A,ROW()))),""))</f>
        <v/>
      </c>
      <c r="O132" s="17" t="str">
        <f>IFERROR(IF(N132="","",IF(INDEX(Listado!M:M,N132)="No",IF(INDEX(Listado!N:N,N132)=0,"",INDEX(Listado!N:N,N132)),IF(INDEX(Listado!I:I,N132)=0,"",INDEX(Listado!I:I,N132)))),"")</f>
        <v/>
      </c>
      <c r="P132" s="17">
        <f t="shared" ca="1" si="7"/>
        <v/>
      </c>
      <c r="Q132" s="17">
        <f>IFERROR(IF(AND(N132&lt;&gt;"",ISNUMBER(O132),O132&gt;0,O132&gt;=TODAY()-90),1,0),0)</f>
        <v/>
      </c>
      <c r="R132" s="17" t="str">
        <f t="shared" si="9"/>
        <v/>
      </c>
      <c r="S132" s="17" t="str">
        <f>IF(INDEX(Listado!A:A,ROW())="","",INDEX(Listado!A:A,ROW()))</f>
        <v/>
      </c>
      <c r="T132" s="17" t="str">
        <f ca="1">IF(INDEX(Listado!G:G,ROW())="","",INDEX(Listado!G:G,ROW()))</f>
        <v/>
      </c>
      <c r="U132" s="17" t="str">
        <f>IF(INDEX(Listado!F:F,ROW())="","",INDEX(Listado!F:F,ROW()))</f>
        <v/>
      </c>
      <c r="V132" s="17">
        <f>IF(COUNTA(INDEX(Listado!B:B,ROW()):INDEX(Listado!F:F,ROW()))&gt;0,1,0)</f>
        <v/>
      </c>
      <c r="W132" s="17" t="str">
        <f>IF(INDEX(Listado!L:L,ROW())="","",INDEX(Listado!L:L,ROW()))</f>
        <v/>
      </c>
      <c r="X132" s="17">
        <f>IF(N132="","",IF(INDEX(Listado!$M:$M,N132)="No","No","Sí"))</f>
        <v/>
      </c>
    </row>
    <row r="133" spans="2:24" ht="14.25">
      <c r="N133" s="17" t="str">
        <f>IF(V133=0,"",IFERROR(LOOKUP(2,1/(INDEX(Listado!A:A,2):INDEX(Listado!A:A,ROW())&lt;&gt;""),ROW(INDEX(Listado!A:A,2):INDEX(Listado!A:A,ROW()))),""))</f>
        <v/>
      </c>
      <c r="O133" s="17" t="str">
        <f>IFERROR(IF(N133="","",IF(INDEX(Listado!M:M,N133)="No",IF(INDEX(Listado!N:N,N133)=0,"",INDEX(Listado!N:N,N133)),IF(INDEX(Listado!I:I,N133)=0,"",INDEX(Listado!I:I,N133)))),"")</f>
        <v/>
      </c>
      <c r="P133" s="17">
        <f t="shared" ca="1" si="7"/>
        <v/>
      </c>
      <c r="Q133" s="17">
        <f>IFERROR(IF(AND(N133&lt;&gt;"",ISNUMBER(O133),O133&gt;0,O133&gt;=TODAY()-90),1,0),0)</f>
        <v/>
      </c>
      <c r="R133" s="17" t="str">
        <f t="shared" si="9"/>
        <v/>
      </c>
      <c r="S133" s="17" t="str">
        <f>IF(INDEX(Listado!A:A,ROW())="","",INDEX(Listado!A:A,ROW()))</f>
        <v/>
      </c>
      <c r="T133" s="17" t="str">
        <f ca="1">IF(INDEX(Listado!G:G,ROW())="","",INDEX(Listado!G:G,ROW()))</f>
        <v/>
      </c>
      <c r="U133" s="17" t="str">
        <f>IF(INDEX(Listado!F:F,ROW())="","",INDEX(Listado!F:F,ROW()))</f>
        <v/>
      </c>
      <c r="V133" s="17">
        <f>IF(COUNTA(INDEX(Listado!B:B,ROW()):INDEX(Listado!F:F,ROW()))&gt;0,1,0)</f>
        <v/>
      </c>
      <c r="W133" s="17" t="str">
        <f>IF(INDEX(Listado!L:L,ROW())="","",INDEX(Listado!L:L,ROW()))</f>
        <v/>
      </c>
      <c r="X133" s="17">
        <f>IF(N133="","",IF(INDEX(Listado!$M:$M,N133)="No","No","Sí"))</f>
        <v/>
      </c>
    </row>
    <row r="134" spans="2:24" ht="14.25">
      <c r="N134" s="17" t="str">
        <f>IF(V134=0,"",IFERROR(LOOKUP(2,1/(INDEX(Listado!A:A,2):INDEX(Listado!A:A,ROW())&lt;&gt;""),ROW(INDEX(Listado!A:A,2):INDEX(Listado!A:A,ROW()))),""))</f>
        <v/>
      </c>
      <c r="O134" s="17" t="str">
        <f>IFERROR(IF(N134="","",IF(INDEX(Listado!M:M,N134)="No",IF(INDEX(Listado!N:N,N134)=0,"",INDEX(Listado!N:N,N134)),IF(INDEX(Listado!I:I,N134)=0,"",INDEX(Listado!I:I,N134)))),"")</f>
        <v/>
      </c>
      <c r="P134" s="17">
        <f t="shared" ca="1" si="7"/>
        <v/>
      </c>
      <c r="Q134" s="17">
        <f>IFERROR(IF(AND(N134&lt;&gt;"",ISNUMBER(O134),O134&gt;0,O134&gt;=TODAY()-90),1,0),0)</f>
        <v/>
      </c>
      <c r="R134" s="17" t="str">
        <f t="shared" si="9"/>
        <v/>
      </c>
      <c r="S134" s="17" t="str">
        <f>IF(INDEX(Listado!A:A,ROW())="","",INDEX(Listado!A:A,ROW()))</f>
        <v/>
      </c>
      <c r="T134" s="17" t="str">
        <f ca="1">IF(INDEX(Listado!G:G,ROW())="","",INDEX(Listado!G:G,ROW()))</f>
        <v/>
      </c>
      <c r="U134" s="17" t="str">
        <f>IF(INDEX(Listado!F:F,ROW())="","",INDEX(Listado!F:F,ROW()))</f>
        <v/>
      </c>
      <c r="V134" s="17">
        <f>IF(COUNTA(INDEX(Listado!B:B,ROW()):INDEX(Listado!F:F,ROW()))&gt;0,1,0)</f>
        <v/>
      </c>
      <c r="W134" s="17" t="str">
        <f>IF(INDEX(Listado!L:L,ROW())="","",INDEX(Listado!L:L,ROW()))</f>
        <v/>
      </c>
      <c r="X134" s="17">
        <f>IF(N134="","",IF(INDEX(Listado!$M:$M,N134)="No","No","Sí"))</f>
        <v/>
      </c>
    </row>
    <row r="135" spans="2:24" ht="14.25">
      <c r="N135" s="17" t="str">
        <f>IF(V135=0,"",IFERROR(LOOKUP(2,1/(INDEX(Listado!A:A,2):INDEX(Listado!A:A,ROW())&lt;&gt;""),ROW(INDEX(Listado!A:A,2):INDEX(Listado!A:A,ROW()))),""))</f>
        <v/>
      </c>
      <c r="O135" s="17" t="str">
        <f>IFERROR(IF(N135="","",IF(INDEX(Listado!M:M,N135)="No",IF(INDEX(Listado!N:N,N135)=0,"",INDEX(Listado!N:N,N135)),IF(INDEX(Listado!I:I,N135)=0,"",INDEX(Listado!I:I,N135)))),"")</f>
        <v/>
      </c>
      <c r="P135" s="17">
        <f t="shared" ca="1" si="7"/>
        <v/>
      </c>
      <c r="Q135" s="17">
        <f>IFERROR(IF(AND(N135&lt;&gt;"",ISNUMBER(O135),O135&gt;0,O135&gt;=TODAY()-90),1,0),0)</f>
        <v/>
      </c>
      <c r="R135" s="17" t="str">
        <f t="shared" si="9"/>
        <v/>
      </c>
      <c r="S135" s="17" t="str">
        <f>IF(INDEX(Listado!A:A,ROW())="","",INDEX(Listado!A:A,ROW()))</f>
        <v/>
      </c>
      <c r="T135" s="17" t="str">
        <f ca="1">IF(INDEX(Listado!G:G,ROW())="","",INDEX(Listado!G:G,ROW()))</f>
        <v/>
      </c>
      <c r="U135" s="17" t="str">
        <f>IF(INDEX(Listado!F:F,ROW())="","",INDEX(Listado!F:F,ROW()))</f>
        <v/>
      </c>
      <c r="V135" s="17">
        <f>IF(COUNTA(INDEX(Listado!B:B,ROW()):INDEX(Listado!F:F,ROW()))&gt;0,1,0)</f>
        <v/>
      </c>
      <c r="W135" s="17" t="str">
        <f>IF(INDEX(Listado!L:L,ROW())="","",INDEX(Listado!L:L,ROW()))</f>
        <v/>
      </c>
      <c r="X135" s="17">
        <f>IF(N135="","",IF(INDEX(Listado!$M:$M,N135)="No","No","Sí"))</f>
        <v/>
      </c>
    </row>
    <row r="136" spans="2:24" ht="14.25">
      <c r="N136" s="17" t="str">
        <f>IF(V136=0,"",IFERROR(LOOKUP(2,1/(INDEX(Listado!A:A,2):INDEX(Listado!A:A,ROW())&lt;&gt;""),ROW(INDEX(Listado!A:A,2):INDEX(Listado!A:A,ROW()))),""))</f>
        <v/>
      </c>
      <c r="O136" s="17" t="str">
        <f>IFERROR(IF(N136="","",IF(INDEX(Listado!M:M,N136)="No",IF(INDEX(Listado!N:N,N136)=0,"",INDEX(Listado!N:N,N136)),IF(INDEX(Listado!I:I,N136)=0,"",INDEX(Listado!I:I,N136)))),"")</f>
        <v/>
      </c>
      <c r="P136" s="17">
        <f t="shared" ca="1" si="7"/>
        <v/>
      </c>
      <c r="Q136" s="17">
        <f>IFERROR(IF(AND(N136&lt;&gt;"",ISNUMBER(O136),O136&gt;0,O136&gt;=TODAY()-90),1,0),0)</f>
        <v/>
      </c>
      <c r="R136" s="17" t="str">
        <f t="shared" si="9"/>
        <v/>
      </c>
      <c r="S136" s="17" t="str">
        <f>IF(INDEX(Listado!A:A,ROW())="","",INDEX(Listado!A:A,ROW()))</f>
        <v/>
      </c>
      <c r="T136" s="17" t="str">
        <f ca="1">IF(INDEX(Listado!G:G,ROW())="","",INDEX(Listado!G:G,ROW()))</f>
        <v/>
      </c>
      <c r="U136" s="17" t="str">
        <f>IF(INDEX(Listado!F:F,ROW())="","",INDEX(Listado!F:F,ROW()))</f>
        <v/>
      </c>
      <c r="V136" s="17">
        <f>IF(COUNTA(INDEX(Listado!B:B,ROW()):INDEX(Listado!F:F,ROW()))&gt;0,1,0)</f>
        <v/>
      </c>
      <c r="W136" s="17" t="str">
        <f>IF(INDEX(Listado!L:L,ROW())="","",INDEX(Listado!L:L,ROW()))</f>
        <v/>
      </c>
      <c r="X136" s="17">
        <f>IF(N136="","",IF(INDEX(Listado!$M:$M,N136)="No","No","Sí"))</f>
        <v/>
      </c>
    </row>
    <row r="137" spans="2:24" ht="14.25">
      <c r="N137" s="17" t="str">
        <f>IF(V137=0,"",IFERROR(LOOKUP(2,1/(INDEX(Listado!A:A,2):INDEX(Listado!A:A,ROW())&lt;&gt;""),ROW(INDEX(Listado!A:A,2):INDEX(Listado!A:A,ROW()))),""))</f>
        <v/>
      </c>
      <c r="O137" s="17" t="str">
        <f>IFERROR(IF(N137="","",IF(INDEX(Listado!M:M,N137)="No",IF(INDEX(Listado!N:N,N137)=0,"",INDEX(Listado!N:N,N137)),IF(INDEX(Listado!I:I,N137)=0,"",INDEX(Listado!I:I,N137)))),"")</f>
        <v/>
      </c>
      <c r="P137" s="17">
        <f t="shared" ca="1" si="7"/>
        <v/>
      </c>
      <c r="Q137" s="17">
        <f>IFERROR(IF(AND(N137&lt;&gt;"",ISNUMBER(O137),O137&gt;0,O137&gt;=TODAY()-90),1,0),0)</f>
        <v/>
      </c>
      <c r="R137" s="17" t="str">
        <f t="shared" si="9"/>
        <v/>
      </c>
      <c r="S137" s="17" t="str">
        <f>IF(INDEX(Listado!A:A,ROW())="","",INDEX(Listado!A:A,ROW()))</f>
        <v/>
      </c>
      <c r="T137" s="17" t="str">
        <f ca="1">IF(INDEX(Listado!G:G,ROW())="","",INDEX(Listado!G:G,ROW()))</f>
        <v/>
      </c>
      <c r="U137" s="17" t="str">
        <f>IF(INDEX(Listado!F:F,ROW())="","",INDEX(Listado!F:F,ROW()))</f>
        <v/>
      </c>
      <c r="V137" s="17">
        <f>IF(COUNTA(INDEX(Listado!B:B,ROW()):INDEX(Listado!F:F,ROW()))&gt;0,1,0)</f>
        <v/>
      </c>
      <c r="W137" s="17" t="str">
        <f>IF(INDEX(Listado!L:L,ROW())="","",INDEX(Listado!L:L,ROW()))</f>
        <v/>
      </c>
      <c r="X137" s="17">
        <f>IF(N137="","",IF(INDEX(Listado!$M:$M,N137)="No","No","Sí"))</f>
        <v/>
      </c>
    </row>
    <row r="138" spans="2:24" ht="14.25">
      <c r="N138" s="17" t="str">
        <f>IF(V138=0,"",IFERROR(LOOKUP(2,1/(INDEX(Listado!A:A,2):INDEX(Listado!A:A,ROW())&lt;&gt;""),ROW(INDEX(Listado!A:A,2):INDEX(Listado!A:A,ROW()))),""))</f>
        <v/>
      </c>
      <c r="O138" s="17" t="str">
        <f>IFERROR(IF(N138="","",IF(INDEX(Listado!M:M,N138)="No",IF(INDEX(Listado!N:N,N138)=0,"",INDEX(Listado!N:N,N138)),IF(INDEX(Listado!I:I,N138)=0,"",INDEX(Listado!I:I,N138)))),"")</f>
        <v/>
      </c>
      <c r="P138" s="17">
        <f t="shared" ca="1" si="7"/>
        <v/>
      </c>
      <c r="Q138" s="17">
        <f>IFERROR(IF(AND(N138&lt;&gt;"",ISNUMBER(O138),O138&gt;0,O138&gt;=TODAY()-90),1,0),0)</f>
        <v/>
      </c>
      <c r="R138" s="17" t="str">
        <f t="shared" si="9"/>
        <v/>
      </c>
      <c r="S138" s="17" t="str">
        <f>IF(INDEX(Listado!A:A,ROW())="","",INDEX(Listado!A:A,ROW()))</f>
        <v/>
      </c>
      <c r="T138" s="17" t="str">
        <f ca="1">IF(INDEX(Listado!G:G,ROW())="","",INDEX(Listado!G:G,ROW()))</f>
        <v/>
      </c>
      <c r="U138" s="17" t="str">
        <f>IF(INDEX(Listado!F:F,ROW())="","",INDEX(Listado!F:F,ROW()))</f>
        <v/>
      </c>
      <c r="V138" s="17">
        <f>IF(COUNTA(INDEX(Listado!B:B,ROW()):INDEX(Listado!F:F,ROW()))&gt;0,1,0)</f>
        <v/>
      </c>
      <c r="W138" s="17" t="str">
        <f>IF(INDEX(Listado!L:L,ROW())="","",INDEX(Listado!L:L,ROW()))</f>
        <v/>
      </c>
      <c r="X138" s="17">
        <f>IF(N138="","",IF(INDEX(Listado!$M:$M,N138)="No","No","Sí"))</f>
        <v/>
      </c>
    </row>
    <row r="139" spans="2:24" ht="14.25">
      <c r="N139" s="17" t="str">
        <f>IF(V139=0,"",IFERROR(LOOKUP(2,1/(INDEX(Listado!A:A,2):INDEX(Listado!A:A,ROW())&lt;&gt;""),ROW(INDEX(Listado!A:A,2):INDEX(Listado!A:A,ROW()))),""))</f>
        <v/>
      </c>
      <c r="O139" s="17" t="str">
        <f>IFERROR(IF(N139="","",IF(INDEX(Listado!M:M,N139)="No",IF(INDEX(Listado!N:N,N139)=0,"",INDEX(Listado!N:N,N139)),IF(INDEX(Listado!I:I,N139)=0,"",INDEX(Listado!I:I,N139)))),"")</f>
        <v/>
      </c>
      <c r="P139" s="17">
        <f t="shared" ca="1" si="7"/>
        <v/>
      </c>
      <c r="Q139" s="17">
        <f>IFERROR(IF(AND(N139&lt;&gt;"",ISNUMBER(O139),O139&gt;0,O139&gt;=TODAY()-90),1,0),0)</f>
        <v/>
      </c>
      <c r="R139" s="17" t="str">
        <f t="shared" si="9"/>
        <v/>
      </c>
      <c r="S139" s="17" t="str">
        <f>IF(INDEX(Listado!A:A,ROW())="","",INDEX(Listado!A:A,ROW()))</f>
        <v/>
      </c>
      <c r="T139" s="17" t="str">
        <f ca="1">IF(INDEX(Listado!G:G,ROW())="","",INDEX(Listado!G:G,ROW()))</f>
        <v/>
      </c>
      <c r="U139" s="17" t="str">
        <f>IF(INDEX(Listado!F:F,ROW())="","",INDEX(Listado!F:F,ROW()))</f>
        <v/>
      </c>
      <c r="V139" s="17">
        <f>IF(COUNTA(INDEX(Listado!B:B,ROW()):INDEX(Listado!F:F,ROW()))&gt;0,1,0)</f>
        <v/>
      </c>
      <c r="W139" s="17" t="str">
        <f>IF(INDEX(Listado!L:L,ROW())="","",INDEX(Listado!L:L,ROW()))</f>
        <v/>
      </c>
      <c r="X139" s="17">
        <f>IF(N139="","",IF(INDEX(Listado!$M:$M,N139)="No","No","Sí"))</f>
        <v/>
      </c>
    </row>
    <row r="140" spans="2:24" ht="14.25">
      <c r="N140" s="17" t="str">
        <f>IF(V140=0,"",IFERROR(LOOKUP(2,1/(INDEX(Listado!A:A,2):INDEX(Listado!A:A,ROW())&lt;&gt;""),ROW(INDEX(Listado!A:A,2):INDEX(Listado!A:A,ROW()))),""))</f>
        <v/>
      </c>
      <c r="O140" s="17" t="str">
        <f>IFERROR(IF(N140="","",IF(INDEX(Listado!M:M,N140)="No",IF(INDEX(Listado!N:N,N140)=0,"",INDEX(Listado!N:N,N140)),IF(INDEX(Listado!I:I,N140)=0,"",INDEX(Listado!I:I,N140)))),"")</f>
        <v/>
      </c>
      <c r="P140" s="17">
        <f t="shared" ca="1" si="7"/>
        <v/>
      </c>
      <c r="Q140" s="17">
        <f>IFERROR(IF(AND(N140&lt;&gt;"",ISNUMBER(O140),O140&gt;0,O140&gt;=TODAY()-90),1,0),0)</f>
        <v/>
      </c>
      <c r="R140" s="17" t="str">
        <f t="shared" si="9"/>
        <v/>
      </c>
      <c r="S140" s="17" t="str">
        <f>IF(INDEX(Listado!A:A,ROW())="","",INDEX(Listado!A:A,ROW()))</f>
        <v/>
      </c>
      <c r="T140" s="17" t="str">
        <f ca="1">IF(INDEX(Listado!G:G,ROW())="","",INDEX(Listado!G:G,ROW()))</f>
        <v/>
      </c>
      <c r="U140" s="17" t="str">
        <f>IF(INDEX(Listado!F:F,ROW())="","",INDEX(Listado!F:F,ROW()))</f>
        <v/>
      </c>
      <c r="V140" s="17">
        <f>IF(COUNTA(INDEX(Listado!B:B,ROW()):INDEX(Listado!F:F,ROW()))&gt;0,1,0)</f>
        <v/>
      </c>
      <c r="W140" s="17" t="str">
        <f>IF(INDEX(Listado!L:L,ROW())="","",INDEX(Listado!L:L,ROW()))</f>
        <v/>
      </c>
      <c r="X140" s="17">
        <f>IF(N140="","",IF(INDEX(Listado!$M:$M,N140)="No","No","Sí"))</f>
        <v/>
      </c>
    </row>
    <row r="141" spans="2:24" ht="14.25">
      <c r="N141" s="17" t="str">
        <f>IF(V141=0,"",IFERROR(LOOKUP(2,1/(INDEX(Listado!A:A,2):INDEX(Listado!A:A,ROW())&lt;&gt;""),ROW(INDEX(Listado!A:A,2):INDEX(Listado!A:A,ROW()))),""))</f>
        <v/>
      </c>
      <c r="O141" s="17" t="str">
        <f>IFERROR(IF(N141="","",IF(INDEX(Listado!M:M,N141)="No",IF(INDEX(Listado!N:N,N141)=0,"",INDEX(Listado!N:N,N141)),IF(INDEX(Listado!I:I,N141)=0,"",INDEX(Listado!I:I,N141)))),"")</f>
        <v/>
      </c>
      <c r="P141" s="17">
        <f t="shared" ca="1" si="7"/>
        <v/>
      </c>
      <c r="Q141" s="17">
        <f>IFERROR(IF(AND(N141&lt;&gt;"",ISNUMBER(O141),O141&gt;0,O141&gt;=TODAY()-90),1,0),0)</f>
        <v/>
      </c>
      <c r="R141" s="17" t="str">
        <f t="shared" si="9"/>
        <v/>
      </c>
      <c r="S141" s="17" t="str">
        <f>IF(INDEX(Listado!A:A,ROW())="","",INDEX(Listado!A:A,ROW()))</f>
        <v/>
      </c>
      <c r="T141" s="17" t="str">
        <f ca="1">IF(INDEX(Listado!G:G,ROW())="","",INDEX(Listado!G:G,ROW()))</f>
        <v/>
      </c>
      <c r="U141" s="17" t="str">
        <f>IF(INDEX(Listado!F:F,ROW())="","",INDEX(Listado!F:F,ROW()))</f>
        <v/>
      </c>
      <c r="V141" s="17">
        <f>IF(COUNTA(INDEX(Listado!B:B,ROW()):INDEX(Listado!F:F,ROW()))&gt;0,1,0)</f>
        <v/>
      </c>
      <c r="W141" s="17" t="str">
        <f>IF(INDEX(Listado!L:L,ROW())="","",INDEX(Listado!L:L,ROW()))</f>
        <v/>
      </c>
      <c r="X141" s="17">
        <f>IF(N141="","",IF(INDEX(Listado!$M:$M,N141)="No","No","Sí"))</f>
        <v/>
      </c>
    </row>
    <row r="142" spans="2:24" ht="14.25">
      <c r="N142" s="17" t="str">
        <f>IF(V142=0,"",IFERROR(LOOKUP(2,1/(INDEX(Listado!A:A,2):INDEX(Listado!A:A,ROW())&lt;&gt;""),ROW(INDEX(Listado!A:A,2):INDEX(Listado!A:A,ROW()))),""))</f>
        <v/>
      </c>
      <c r="O142" s="17" t="str">
        <f>IFERROR(IF(N142="","",IF(INDEX(Listado!M:M,N142)="No",IF(INDEX(Listado!N:N,N142)=0,"",INDEX(Listado!N:N,N142)),IF(INDEX(Listado!I:I,N142)=0,"",INDEX(Listado!I:I,N142)))),"")</f>
        <v/>
      </c>
      <c r="P142" s="17">
        <f t="shared" ca="1" si="7"/>
        <v/>
      </c>
      <c r="Q142" s="17">
        <f>IFERROR(IF(AND(N142&lt;&gt;"",ISNUMBER(O142),O142&gt;0,O142&gt;=TODAY()-90),1,0),0)</f>
        <v/>
      </c>
      <c r="R142" s="17" t="str">
        <f t="shared" si="9"/>
        <v/>
      </c>
      <c r="S142" s="17" t="str">
        <f>IF(INDEX(Listado!A:A,ROW())="","",INDEX(Listado!A:A,ROW()))</f>
        <v/>
      </c>
      <c r="T142" s="17" t="str">
        <f ca="1">IF(INDEX(Listado!G:G,ROW())="","",INDEX(Listado!G:G,ROW()))</f>
        <v/>
      </c>
      <c r="U142" s="17" t="str">
        <f>IF(INDEX(Listado!F:F,ROW())="","",INDEX(Listado!F:F,ROW()))</f>
        <v/>
      </c>
      <c r="V142" s="17">
        <f>IF(COUNTA(INDEX(Listado!B:B,ROW()):INDEX(Listado!F:F,ROW()))&gt;0,1,0)</f>
        <v/>
      </c>
      <c r="W142" s="17" t="str">
        <f>IF(INDEX(Listado!L:L,ROW())="","",INDEX(Listado!L:L,ROW()))</f>
        <v/>
      </c>
      <c r="X142" s="17">
        <f>IF(N142="","",IF(INDEX(Listado!$M:$M,N142)="No","No","Sí"))</f>
        <v/>
      </c>
    </row>
    <row r="143" spans="2:24" ht="14.25">
      <c r="N143" s="17" t="str">
        <f>IF(V143=0,"",IFERROR(LOOKUP(2,1/(INDEX(Listado!A:A,2):INDEX(Listado!A:A,ROW())&lt;&gt;""),ROW(INDEX(Listado!A:A,2):INDEX(Listado!A:A,ROW()))),""))</f>
        <v/>
      </c>
      <c r="O143" s="17" t="str">
        <f>IFERROR(IF(N143="","",IF(INDEX(Listado!M:M,N143)="No",IF(INDEX(Listado!N:N,N143)=0,"",INDEX(Listado!N:N,N143)),IF(INDEX(Listado!I:I,N143)=0,"",INDEX(Listado!I:I,N143)))),"")</f>
        <v/>
      </c>
      <c r="P143" s="17">
        <f t="shared" ca="1" si="7"/>
        <v/>
      </c>
      <c r="Q143" s="17">
        <f>IFERROR(IF(AND(N143&lt;&gt;"",ISNUMBER(O143),O143&gt;0,O143&gt;=TODAY()-90),1,0),0)</f>
        <v/>
      </c>
      <c r="R143" s="17" t="str">
        <f t="shared" si="9"/>
        <v/>
      </c>
      <c r="S143" s="17" t="str">
        <f>IF(INDEX(Listado!A:A,ROW())="","",INDEX(Listado!A:A,ROW()))</f>
        <v/>
      </c>
      <c r="T143" s="17" t="str">
        <f ca="1">IF(INDEX(Listado!G:G,ROW())="","",INDEX(Listado!G:G,ROW()))</f>
        <v/>
      </c>
      <c r="U143" s="17" t="str">
        <f>IF(INDEX(Listado!F:F,ROW())="","",INDEX(Listado!F:F,ROW()))</f>
        <v/>
      </c>
      <c r="V143" s="17">
        <f>IF(COUNTA(INDEX(Listado!B:B,ROW()):INDEX(Listado!F:F,ROW()))&gt;0,1,0)</f>
        <v/>
      </c>
      <c r="W143" s="17" t="str">
        <f>IF(INDEX(Listado!L:L,ROW())="","",INDEX(Listado!L:L,ROW()))</f>
        <v/>
      </c>
      <c r="X143" s="17">
        <f>IF(N143="","",IF(INDEX(Listado!$M:$M,N143)="No","No","Sí"))</f>
        <v/>
      </c>
    </row>
    <row r="144" spans="2:24" ht="14.25">
      <c r="N144" s="17" t="str">
        <f>IF(V144=0,"",IFERROR(LOOKUP(2,1/(INDEX(Listado!A:A,2):INDEX(Listado!A:A,ROW())&lt;&gt;""),ROW(INDEX(Listado!A:A,2):INDEX(Listado!A:A,ROW()))),""))</f>
        <v/>
      </c>
      <c r="O144" s="17" t="str">
        <f>IFERROR(IF(N144="","",IF(INDEX(Listado!M:M,N144)="No",IF(INDEX(Listado!N:N,N144)=0,"",INDEX(Listado!N:N,N144)),IF(INDEX(Listado!I:I,N144)=0,"",INDEX(Listado!I:I,N144)))),"")</f>
        <v/>
      </c>
      <c r="P144" s="17">
        <f t="shared" ca="1" si="7"/>
        <v/>
      </c>
      <c r="Q144" s="17">
        <f>IFERROR(IF(AND(N144&lt;&gt;"",ISNUMBER(O144),O144&gt;0,O144&gt;=TODAY()-90),1,0),0)</f>
        <v/>
      </c>
      <c r="R144" s="17" t="str">
        <f t="shared" si="9"/>
        <v/>
      </c>
      <c r="S144" s="17" t="str">
        <f>IF(INDEX(Listado!A:A,ROW())="","",INDEX(Listado!A:A,ROW()))</f>
        <v/>
      </c>
      <c r="T144" s="17" t="str">
        <f ca="1">IF(INDEX(Listado!G:G,ROW())="","",INDEX(Listado!G:G,ROW()))</f>
        <v/>
      </c>
      <c r="U144" s="17" t="str">
        <f>IF(INDEX(Listado!F:F,ROW())="","",INDEX(Listado!F:F,ROW()))</f>
        <v/>
      </c>
      <c r="V144" s="17">
        <f>IF(COUNTA(INDEX(Listado!B:B,ROW()):INDEX(Listado!F:F,ROW()))&gt;0,1,0)</f>
        <v/>
      </c>
      <c r="W144" s="17" t="str">
        <f>IF(INDEX(Listado!L:L,ROW())="","",INDEX(Listado!L:L,ROW()))</f>
        <v/>
      </c>
      <c r="X144" s="17">
        <f>IF(N144="","",IF(INDEX(Listado!$M:$M,N144)="No","No","Sí"))</f>
        <v/>
      </c>
    </row>
    <row r="145" spans="2:24" ht="14.25">
      <c r="N145" s="17" t="str">
        <f>IF(V145=0,"",IFERROR(LOOKUP(2,1/(INDEX(Listado!A:A,2):INDEX(Listado!A:A,ROW())&lt;&gt;""),ROW(INDEX(Listado!A:A,2):INDEX(Listado!A:A,ROW()))),""))</f>
        <v/>
      </c>
      <c r="O145" s="17" t="str">
        <f>IFERROR(IF(N145="","",IF(INDEX(Listado!M:M,N145)="No",IF(INDEX(Listado!N:N,N145)=0,"",INDEX(Listado!N:N,N145)),IF(INDEX(Listado!I:I,N145)=0,"",INDEX(Listado!I:I,N145)))),"")</f>
        <v/>
      </c>
      <c r="P145" s="17">
        <f t="shared" ca="1" si="7"/>
        <v/>
      </c>
      <c r="Q145" s="17">
        <f>IFERROR(IF(AND(N145&lt;&gt;"",ISNUMBER(O145),O145&gt;0,O145&gt;=TODAY()-90),1,0),0)</f>
        <v/>
      </c>
      <c r="R145" s="17" t="str">
        <f t="shared" si="9"/>
        <v/>
      </c>
      <c r="S145" s="17" t="str">
        <f>IF(INDEX(Listado!A:A,ROW())="","",INDEX(Listado!A:A,ROW()))</f>
        <v/>
      </c>
      <c r="T145" s="17" t="str">
        <f ca="1">IF(INDEX(Listado!G:G,ROW())="","",INDEX(Listado!G:G,ROW()))</f>
        <v/>
      </c>
      <c r="U145" s="17" t="str">
        <f>IF(INDEX(Listado!F:F,ROW())="","",INDEX(Listado!F:F,ROW()))</f>
        <v/>
      </c>
      <c r="V145" s="17">
        <f>IF(COUNTA(INDEX(Listado!B:B,ROW()):INDEX(Listado!F:F,ROW()))&gt;0,1,0)</f>
        <v/>
      </c>
      <c r="W145" s="17" t="str">
        <f>IF(INDEX(Listado!L:L,ROW())="","",INDEX(Listado!L:L,ROW()))</f>
        <v/>
      </c>
      <c r="X145" s="17">
        <f>IF(N145="","",IF(INDEX(Listado!$M:$M,N145)="No","No","Sí"))</f>
        <v/>
      </c>
    </row>
    <row r="146" spans="2:24" ht="14.25">
      <c r="N146" s="17" t="str">
        <f>IF(V146=0,"",IFERROR(LOOKUP(2,1/(INDEX(Listado!A:A,2):INDEX(Listado!A:A,ROW())&lt;&gt;""),ROW(INDEX(Listado!A:A,2):INDEX(Listado!A:A,ROW()))),""))</f>
        <v/>
      </c>
      <c r="O146" s="17" t="str">
        <f>IFERROR(IF(N146="","",IF(INDEX(Listado!M:M,N146)="No",IF(INDEX(Listado!N:N,N146)=0,"",INDEX(Listado!N:N,N146)),IF(INDEX(Listado!I:I,N146)=0,"",INDEX(Listado!I:I,N146)))),"")</f>
        <v/>
      </c>
      <c r="P146" s="17">
        <f t="shared" ca="1" si="7"/>
        <v/>
      </c>
      <c r="Q146" s="17">
        <f>IFERROR(IF(AND(N146&lt;&gt;"",ISNUMBER(O146),O146&gt;0,O146&gt;=TODAY()-90),1,0),0)</f>
        <v/>
      </c>
      <c r="R146" s="17" t="str">
        <f t="shared" si="9"/>
        <v/>
      </c>
      <c r="S146" s="17" t="str">
        <f>IF(INDEX(Listado!A:A,ROW())="","",INDEX(Listado!A:A,ROW()))</f>
        <v/>
      </c>
      <c r="T146" s="17" t="str">
        <f ca="1">IF(INDEX(Listado!G:G,ROW())="","",INDEX(Listado!G:G,ROW()))</f>
        <v/>
      </c>
      <c r="U146" s="17" t="str">
        <f>IF(INDEX(Listado!F:F,ROW())="","",INDEX(Listado!F:F,ROW()))</f>
        <v/>
      </c>
      <c r="V146" s="17">
        <f>IF(COUNTA(INDEX(Listado!B:B,ROW()):INDEX(Listado!F:F,ROW()))&gt;0,1,0)</f>
        <v/>
      </c>
      <c r="W146" s="17" t="str">
        <f>IF(INDEX(Listado!L:L,ROW())="","",INDEX(Listado!L:L,ROW()))</f>
        <v/>
      </c>
      <c r="X146" s="17">
        <f>IF(N146="","",IF(INDEX(Listado!$M:$M,N146)="No","No","Sí"))</f>
        <v/>
      </c>
    </row>
    <row r="147" spans="2:24" ht="14.25">
      <c r="N147" s="17" t="str">
        <f>IF(V147=0,"",IFERROR(LOOKUP(2,1/(INDEX(Listado!A:A,2):INDEX(Listado!A:A,ROW())&lt;&gt;""),ROW(INDEX(Listado!A:A,2):INDEX(Listado!A:A,ROW()))),""))</f>
        <v/>
      </c>
      <c r="O147" s="17" t="str">
        <f>IFERROR(IF(N147="","",IF(INDEX(Listado!M:M,N147)="No",IF(INDEX(Listado!N:N,N147)=0,"",INDEX(Listado!N:N,N147)),IF(INDEX(Listado!I:I,N147)=0,"",INDEX(Listado!I:I,N147)))),"")</f>
        <v/>
      </c>
      <c r="P147" s="17">
        <f t="shared" ca="1" si="7"/>
        <v/>
      </c>
      <c r="Q147" s="17">
        <f>IFERROR(IF(AND(N147&lt;&gt;"",ISNUMBER(O147),O147&gt;0,O147&gt;=TODAY()-90),1,0),0)</f>
        <v/>
      </c>
      <c r="R147" s="17" t="str">
        <f t="shared" si="9"/>
        <v/>
      </c>
      <c r="S147" s="17" t="str">
        <f>IF(INDEX(Listado!A:A,ROW())="","",INDEX(Listado!A:A,ROW()))</f>
        <v/>
      </c>
      <c r="T147" s="17" t="str">
        <f ca="1">IF(INDEX(Listado!G:G,ROW())="","",INDEX(Listado!G:G,ROW()))</f>
        <v/>
      </c>
      <c r="U147" s="17" t="str">
        <f>IF(INDEX(Listado!F:F,ROW())="","",INDEX(Listado!F:F,ROW()))</f>
        <v/>
      </c>
      <c r="V147" s="17">
        <f>IF(COUNTA(INDEX(Listado!B:B,ROW()):INDEX(Listado!F:F,ROW()))&gt;0,1,0)</f>
        <v/>
      </c>
      <c r="W147" s="17" t="str">
        <f>IF(INDEX(Listado!L:L,ROW())="","",INDEX(Listado!L:L,ROW()))</f>
        <v/>
      </c>
      <c r="X147" s="17">
        <f>IF(N147="","",IF(INDEX(Listado!$M:$M,N147)="No","No","Sí"))</f>
        <v/>
      </c>
    </row>
    <row r="148" spans="2:24" ht="14.25">
      <c r="N148" s="17" t="str">
        <f>IF(V148=0,"",IFERROR(LOOKUP(2,1/(INDEX(Listado!A:A,2):INDEX(Listado!A:A,ROW())&lt;&gt;""),ROW(INDEX(Listado!A:A,2):INDEX(Listado!A:A,ROW()))),""))</f>
        <v/>
      </c>
      <c r="O148" s="17" t="str">
        <f>IFERROR(IF(N148="","",IF(INDEX(Listado!M:M,N148)="No",IF(INDEX(Listado!N:N,N148)=0,"",INDEX(Listado!N:N,N148)),IF(INDEX(Listado!I:I,N148)=0,"",INDEX(Listado!I:I,N148)))),"")</f>
        <v/>
      </c>
      <c r="P148" s="17">
        <f t="shared" ca="1" si="7"/>
        <v/>
      </c>
      <c r="Q148" s="17">
        <f>IFERROR(IF(AND(N148&lt;&gt;"",ISNUMBER(O148),O148&gt;0,O148&gt;=TODAY()-90),1,0),0)</f>
        <v/>
      </c>
      <c r="R148" s="17" t="str">
        <f t="shared" si="9"/>
        <v/>
      </c>
      <c r="S148" s="17" t="str">
        <f>IF(INDEX(Listado!A:A,ROW())="","",INDEX(Listado!A:A,ROW()))</f>
        <v/>
      </c>
      <c r="T148" s="17" t="str">
        <f ca="1">IF(INDEX(Listado!G:G,ROW())="","",INDEX(Listado!G:G,ROW()))</f>
        <v/>
      </c>
      <c r="U148" s="17" t="str">
        <f>IF(INDEX(Listado!F:F,ROW())="","",INDEX(Listado!F:F,ROW()))</f>
        <v/>
      </c>
      <c r="V148" s="17">
        <f>IF(COUNTA(INDEX(Listado!B:B,ROW()):INDEX(Listado!F:F,ROW()))&gt;0,1,0)</f>
        <v/>
      </c>
      <c r="W148" s="17" t="str">
        <f>IF(INDEX(Listado!L:L,ROW())="","",INDEX(Listado!L:L,ROW()))</f>
        <v/>
      </c>
      <c r="X148" s="17">
        <f>IF(N148="","",IF(INDEX(Listado!$M:$M,N148)="No","No","Sí"))</f>
        <v/>
      </c>
    </row>
    <row r="149" spans="2:24" ht="14.25">
      <c r="N149" s="17" t="str">
        <f>IF(V149=0,"",IFERROR(LOOKUP(2,1/(INDEX(Listado!A:A,2):INDEX(Listado!A:A,ROW())&lt;&gt;""),ROW(INDEX(Listado!A:A,2):INDEX(Listado!A:A,ROW()))),""))</f>
        <v/>
      </c>
      <c r="O149" s="17" t="str">
        <f>IFERROR(IF(N149="","",IF(INDEX(Listado!M:M,N149)="No",IF(INDEX(Listado!N:N,N149)=0,"",INDEX(Listado!N:N,N149)),IF(INDEX(Listado!I:I,N149)=0,"",INDEX(Listado!I:I,N149)))),"")</f>
        <v/>
      </c>
      <c r="P149" s="17">
        <f t="shared" ca="1" si="7"/>
        <v/>
      </c>
      <c r="Q149" s="17">
        <f>IFERROR(IF(AND(N149&lt;&gt;"",ISNUMBER(O149),O149&gt;0,O149&gt;=TODAY()-90),1,0),0)</f>
        <v/>
      </c>
      <c r="R149" s="17" t="str">
        <f t="shared" si="9"/>
        <v/>
      </c>
      <c r="S149" s="17" t="str">
        <f>IF(INDEX(Listado!A:A,ROW())="","",INDEX(Listado!A:A,ROW()))</f>
        <v/>
      </c>
      <c r="T149" s="17" t="str">
        <f ca="1">IF(INDEX(Listado!G:G,ROW())="","",INDEX(Listado!G:G,ROW()))</f>
        <v/>
      </c>
      <c r="U149" s="17" t="str">
        <f>IF(INDEX(Listado!F:F,ROW())="","",INDEX(Listado!F:F,ROW()))</f>
        <v/>
      </c>
      <c r="V149" s="17">
        <f>IF(COUNTA(INDEX(Listado!B:B,ROW()):INDEX(Listado!F:F,ROW()))&gt;0,1,0)</f>
        <v/>
      </c>
      <c r="W149" s="17" t="str">
        <f>IF(INDEX(Listado!L:L,ROW())="","",INDEX(Listado!L:L,ROW()))</f>
        <v/>
      </c>
      <c r="X149" s="17">
        <f>IF(N149="","",IF(INDEX(Listado!$M:$M,N149)="No","No","Sí"))</f>
        <v/>
      </c>
    </row>
    <row r="150" spans="2:24" ht="14.25">
      <c r="N150" s="17" t="str">
        <f>IF(V150=0,"",IFERROR(LOOKUP(2,1/(INDEX(Listado!A:A,2):INDEX(Listado!A:A,ROW())&lt;&gt;""),ROW(INDEX(Listado!A:A,2):INDEX(Listado!A:A,ROW()))),""))</f>
        <v/>
      </c>
      <c r="O150" s="17" t="str">
        <f>IFERROR(IF(N150="","",IF(INDEX(Listado!M:M,N150)="No",IF(INDEX(Listado!N:N,N150)=0,"",INDEX(Listado!N:N,N150)),IF(INDEX(Listado!I:I,N150)=0,"",INDEX(Listado!I:I,N150)))),"")</f>
        <v/>
      </c>
      <c r="P150" s="17">
        <f t="shared" ca="1" si="7"/>
        <v/>
      </c>
      <c r="Q150" s="17">
        <f>IFERROR(IF(AND(N150&lt;&gt;"",ISNUMBER(O150),O150&gt;0,O150&gt;=TODAY()-90),1,0),0)</f>
        <v/>
      </c>
      <c r="R150" s="17" t="str">
        <f t="shared" si="9"/>
        <v/>
      </c>
      <c r="S150" s="17" t="str">
        <f>IF(INDEX(Listado!A:A,ROW())="","",INDEX(Listado!A:A,ROW()))</f>
        <v/>
      </c>
      <c r="T150" s="17" t="str">
        <f ca="1">IF(INDEX(Listado!G:G,ROW())="","",INDEX(Listado!G:G,ROW()))</f>
        <v/>
      </c>
      <c r="U150" s="17" t="str">
        <f>IF(INDEX(Listado!F:F,ROW())="","",INDEX(Listado!F:F,ROW()))</f>
        <v/>
      </c>
      <c r="V150" s="17">
        <f>IF(COUNTA(INDEX(Listado!B:B,ROW()):INDEX(Listado!F:F,ROW()))&gt;0,1,0)</f>
        <v/>
      </c>
      <c r="W150" s="17" t="str">
        <f>IF(INDEX(Listado!L:L,ROW())="","",INDEX(Listado!L:L,ROW()))</f>
        <v/>
      </c>
      <c r="X150" s="17">
        <f>IF(N150="","",IF(INDEX(Listado!$M:$M,N150)="No","No","Sí"))</f>
        <v/>
      </c>
    </row>
    <row r="151" spans="2:24" ht="14.25">
      <c r="N151" s="17" t="str">
        <f>IF(V151=0,"",IFERROR(LOOKUP(2,1/(INDEX(Listado!A:A,2):INDEX(Listado!A:A,ROW())&lt;&gt;""),ROW(INDEX(Listado!A:A,2):INDEX(Listado!A:A,ROW()))),""))</f>
        <v/>
      </c>
      <c r="O151" s="17" t="str">
        <f>IFERROR(IF(N151="","",IF(INDEX(Listado!M:M,N151)="No",IF(INDEX(Listado!N:N,N151)=0,"",INDEX(Listado!N:N,N151)),IF(INDEX(Listado!I:I,N151)=0,"",INDEX(Listado!I:I,N151)))),"")</f>
        <v/>
      </c>
      <c r="P151" s="17">
        <f t="shared" ca="1" si="7"/>
        <v/>
      </c>
      <c r="Q151" s="17">
        <f>IFERROR(IF(AND(N151&lt;&gt;"",ISNUMBER(O151),O151&gt;0,O151&gt;=TODAY()-90),1,0),0)</f>
        <v/>
      </c>
      <c r="R151" s="17" t="str">
        <f t="shared" si="9"/>
        <v/>
      </c>
      <c r="S151" s="17" t="str">
        <f>IF(INDEX(Listado!A:A,ROW())="","",INDEX(Listado!A:A,ROW()))</f>
        <v/>
      </c>
      <c r="T151" s="17" t="str">
        <f ca="1">IF(INDEX(Listado!G:G,ROW())="","",INDEX(Listado!G:G,ROW()))</f>
        <v/>
      </c>
      <c r="U151" s="17" t="str">
        <f>IF(INDEX(Listado!F:F,ROW())="","",INDEX(Listado!F:F,ROW()))</f>
        <v/>
      </c>
      <c r="V151" s="17">
        <f>IF(COUNTA(INDEX(Listado!B:B,ROW()):INDEX(Listado!F:F,ROW()))&gt;0,1,0)</f>
        <v/>
      </c>
      <c r="W151" s="17" t="str">
        <f>IF(INDEX(Listado!L:L,ROW())="","",INDEX(Listado!L:L,ROW()))</f>
        <v/>
      </c>
      <c r="X151" s="17">
        <f>IF(N151="","",IF(INDEX(Listado!$M:$M,N151)="No","No","Sí"))</f>
        <v/>
      </c>
    </row>
    <row r="152" spans="2:24" ht="14.25">
      <c r="N152" s="17" t="str">
        <f>IF(V152=0,"",IFERROR(LOOKUP(2,1/(INDEX(Listado!A:A,2):INDEX(Listado!A:A,ROW())&lt;&gt;""),ROW(INDEX(Listado!A:A,2):INDEX(Listado!A:A,ROW()))),""))</f>
        <v/>
      </c>
      <c r="O152" s="17" t="str">
        <f>IFERROR(IF(N152="","",IF(INDEX(Listado!M:M,N152)="No",IF(INDEX(Listado!N:N,N152)=0,"",INDEX(Listado!N:N,N152)),IF(INDEX(Listado!I:I,N152)=0,"",INDEX(Listado!I:I,N152)))),"")</f>
        <v/>
      </c>
      <c r="P152" s="17">
        <f t="shared" ca="1" si="7"/>
        <v/>
      </c>
      <c r="Q152" s="17">
        <f>IFERROR(IF(AND(N152&lt;&gt;"",ISNUMBER(O152),O152&gt;0,O152&gt;=TODAY()-90),1,0),0)</f>
        <v/>
      </c>
      <c r="R152" s="17" t="str">
        <f t="shared" si="9"/>
        <v/>
      </c>
      <c r="S152" s="17" t="str">
        <f>IF(INDEX(Listado!A:A,ROW())="","",INDEX(Listado!A:A,ROW()))</f>
        <v/>
      </c>
      <c r="T152" s="17" t="str">
        <f ca="1">IF(INDEX(Listado!G:G,ROW())="","",INDEX(Listado!G:G,ROW()))</f>
        <v/>
      </c>
      <c r="U152" s="17" t="str">
        <f>IF(INDEX(Listado!F:F,ROW())="","",INDEX(Listado!F:F,ROW()))</f>
        <v/>
      </c>
      <c r="V152" s="17">
        <f>IF(COUNTA(INDEX(Listado!B:B,ROW()):INDEX(Listado!F:F,ROW()))&gt;0,1,0)</f>
        <v/>
      </c>
      <c r="W152" s="17" t="str">
        <f>IF(INDEX(Listado!L:L,ROW())="","",INDEX(Listado!L:L,ROW()))</f>
        <v/>
      </c>
      <c r="X152" s="17">
        <f>IF(N152="","",IF(INDEX(Listado!$M:$M,N152)="No","No","Sí"))</f>
        <v/>
      </c>
    </row>
    <row r="153" spans="2:24" ht="14.25">
      <c r="N153" s="17" t="str">
        <f>IF(V153=0,"",IFERROR(LOOKUP(2,1/(INDEX(Listado!A:A,2):INDEX(Listado!A:A,ROW())&lt;&gt;""),ROW(INDEX(Listado!A:A,2):INDEX(Listado!A:A,ROW()))),""))</f>
        <v/>
      </c>
      <c r="O153" s="17" t="str">
        <f>IFERROR(IF(N153="","",IF(INDEX(Listado!M:M,N153)="No",IF(INDEX(Listado!N:N,N153)=0,"",INDEX(Listado!N:N,N153)),IF(INDEX(Listado!I:I,N153)=0,"",INDEX(Listado!I:I,N153)))),"")</f>
        <v/>
      </c>
      <c r="P153" s="17">
        <f t="shared" ca="1" si="7"/>
        <v/>
      </c>
      <c r="Q153" s="17">
        <f>IFERROR(IF(AND(N153&lt;&gt;"",ISNUMBER(O153),O153&gt;0,O153&gt;=TODAY()-90),1,0),0)</f>
        <v/>
      </c>
      <c r="R153" s="17" t="str">
        <f t="shared" si="9"/>
        <v/>
      </c>
      <c r="S153" s="17" t="str">
        <f>IF(INDEX(Listado!A:A,ROW())="","",INDEX(Listado!A:A,ROW()))</f>
        <v/>
      </c>
      <c r="T153" s="17" t="str">
        <f ca="1">IF(INDEX(Listado!G:G,ROW())="","",INDEX(Listado!G:G,ROW()))</f>
        <v/>
      </c>
      <c r="U153" s="17" t="str">
        <f>IF(INDEX(Listado!F:F,ROW())="","",INDEX(Listado!F:F,ROW()))</f>
        <v/>
      </c>
      <c r="V153" s="17">
        <f>IF(COUNTA(INDEX(Listado!B:B,ROW()):INDEX(Listado!F:F,ROW()))&gt;0,1,0)</f>
        <v/>
      </c>
      <c r="W153" s="17" t="str">
        <f>IF(INDEX(Listado!L:L,ROW())="","",INDEX(Listado!L:L,ROW()))</f>
        <v/>
      </c>
      <c r="X153" s="17">
        <f>IF(N153="","",IF(INDEX(Listado!$M:$M,N153)="No","No","Sí"))</f>
        <v/>
      </c>
    </row>
    <row r="154" spans="2:24" ht="14.25">
      <c r="N154" s="17" t="str">
        <f>IF(V154=0,"",IFERROR(LOOKUP(2,1/(INDEX(Listado!A:A,2):INDEX(Listado!A:A,ROW())&lt;&gt;""),ROW(INDEX(Listado!A:A,2):INDEX(Listado!A:A,ROW()))),""))</f>
        <v/>
      </c>
      <c r="O154" s="17" t="str">
        <f>IFERROR(IF(N154="","",IF(INDEX(Listado!M:M,N154)="No",IF(INDEX(Listado!N:N,N154)=0,"",INDEX(Listado!N:N,N154)),IF(INDEX(Listado!I:I,N154)=0,"",INDEX(Listado!I:I,N154)))),"")</f>
        <v/>
      </c>
      <c r="P154" s="17">
        <f t="shared" ca="1" si="7"/>
        <v/>
      </c>
      <c r="Q154" s="17">
        <f>IFERROR(IF(AND(N154&lt;&gt;"",ISNUMBER(O154),O154&gt;0,O154&gt;=TODAY()-90),1,0),0)</f>
        <v/>
      </c>
      <c r="R154" s="17" t="str">
        <f t="shared" si="9"/>
        <v/>
      </c>
      <c r="S154" s="17" t="str">
        <f>IF(INDEX(Listado!A:A,ROW())="","",INDEX(Listado!A:A,ROW()))</f>
        <v/>
      </c>
      <c r="T154" s="17" t="str">
        <f ca="1">IF(INDEX(Listado!G:G,ROW())="","",INDEX(Listado!G:G,ROW()))</f>
        <v/>
      </c>
      <c r="U154" s="17" t="str">
        <f>IF(INDEX(Listado!F:F,ROW())="","",INDEX(Listado!F:F,ROW()))</f>
        <v/>
      </c>
      <c r="V154" s="17">
        <f>IF(COUNTA(INDEX(Listado!B:B,ROW()):INDEX(Listado!F:F,ROW()))&gt;0,1,0)</f>
        <v/>
      </c>
      <c r="W154" s="17" t="str">
        <f>IF(INDEX(Listado!L:L,ROW())="","",INDEX(Listado!L:L,ROW()))</f>
        <v/>
      </c>
      <c r="X154" s="17">
        <f>IF(N154="","",IF(INDEX(Listado!$M:$M,N154)="No","No","Sí"))</f>
        <v/>
      </c>
    </row>
    <row r="155" spans="2:24" ht="14.25">
      <c r="N155" s="17" t="str">
        <f>IF(V155=0,"",IFERROR(LOOKUP(2,1/(INDEX(Listado!A:A,2):INDEX(Listado!A:A,ROW())&lt;&gt;""),ROW(INDEX(Listado!A:A,2):INDEX(Listado!A:A,ROW()))),""))</f>
        <v/>
      </c>
      <c r="O155" s="17" t="str">
        <f>IFERROR(IF(N155="","",IF(INDEX(Listado!M:M,N155)="No",IF(INDEX(Listado!N:N,N155)=0,"",INDEX(Listado!N:N,N155)),IF(INDEX(Listado!I:I,N155)=0,"",INDEX(Listado!I:I,N155)))),"")</f>
        <v/>
      </c>
      <c r="P155" s="17">
        <f t="shared" ca="1" si="7"/>
        <v/>
      </c>
      <c r="Q155" s="17">
        <f>IFERROR(IF(AND(N155&lt;&gt;"",ISNUMBER(O155),O155&gt;0,O155&gt;=TODAY()-90),1,0),0)</f>
        <v/>
      </c>
      <c r="R155" s="17" t="str">
        <f t="shared" si="9"/>
        <v/>
      </c>
      <c r="S155" s="17" t="str">
        <f>IF(INDEX(Listado!A:A,ROW())="","",INDEX(Listado!A:A,ROW()))</f>
        <v/>
      </c>
      <c r="T155" s="17" t="str">
        <f ca="1">IF(INDEX(Listado!G:G,ROW())="","",INDEX(Listado!G:G,ROW()))</f>
        <v/>
      </c>
      <c r="U155" s="17" t="str">
        <f>IF(INDEX(Listado!F:F,ROW())="","",INDEX(Listado!F:F,ROW()))</f>
        <v/>
      </c>
      <c r="V155" s="17">
        <f>IF(COUNTA(INDEX(Listado!B:B,ROW()):INDEX(Listado!F:F,ROW()))&gt;0,1,0)</f>
        <v/>
      </c>
      <c r="W155" s="17" t="str">
        <f>IF(INDEX(Listado!L:L,ROW())="","",INDEX(Listado!L:L,ROW()))</f>
        <v/>
      </c>
      <c r="X155" s="17">
        <f>IF(N155="","",IF(INDEX(Listado!$M:$M,N155)="No","No","Sí"))</f>
        <v/>
      </c>
    </row>
    <row r="156" spans="2:24" ht="14.25">
      <c r="N156" s="17" t="str">
        <f>IF(V156=0,"",IFERROR(LOOKUP(2,1/(INDEX(Listado!A:A,2):INDEX(Listado!A:A,ROW())&lt;&gt;""),ROW(INDEX(Listado!A:A,2):INDEX(Listado!A:A,ROW()))),""))</f>
        <v/>
      </c>
      <c r="O156" s="17" t="str">
        <f>IFERROR(IF(N156="","",IF(INDEX(Listado!M:M,N156)="No",IF(INDEX(Listado!N:N,N156)=0,"",INDEX(Listado!N:N,N156)),IF(INDEX(Listado!I:I,N156)=0,"",INDEX(Listado!I:I,N156)))),"")</f>
        <v/>
      </c>
      <c r="P156" s="17">
        <f t="shared" ca="1" si="7"/>
        <v/>
      </c>
      <c r="Q156" s="17">
        <f>IFERROR(IF(AND(N156&lt;&gt;"",ISNUMBER(O156),O156&gt;0,O156&gt;=TODAY()-90),1,0),0)</f>
        <v/>
      </c>
      <c r="R156" s="17" t="str">
        <f t="shared" si="9"/>
        <v/>
      </c>
      <c r="S156" s="17" t="str">
        <f>IF(INDEX(Listado!A:A,ROW())="","",INDEX(Listado!A:A,ROW()))</f>
        <v/>
      </c>
      <c r="T156" s="17" t="str">
        <f ca="1">IF(INDEX(Listado!G:G,ROW())="","",INDEX(Listado!G:G,ROW()))</f>
        <v/>
      </c>
      <c r="U156" s="17" t="str">
        <f>IF(INDEX(Listado!F:F,ROW())="","",INDEX(Listado!F:F,ROW()))</f>
        <v/>
      </c>
      <c r="V156" s="17">
        <f>IF(COUNTA(INDEX(Listado!B:B,ROW()):INDEX(Listado!F:F,ROW()))&gt;0,1,0)</f>
        <v/>
      </c>
      <c r="W156" s="17" t="str">
        <f>IF(INDEX(Listado!L:L,ROW())="","",INDEX(Listado!L:L,ROW()))</f>
        <v/>
      </c>
      <c r="X156" s="17">
        <f>IF(N156="","",IF(INDEX(Listado!$M:$M,N156)="No","No","Sí"))</f>
        <v/>
      </c>
    </row>
    <row r="157" spans="2:24" ht="14.25">
      <c r="N157" s="17" t="str">
        <f>IF(V157=0,"",IFERROR(LOOKUP(2,1/(INDEX(Listado!A:A,2):INDEX(Listado!A:A,ROW())&lt;&gt;""),ROW(INDEX(Listado!A:A,2):INDEX(Listado!A:A,ROW()))),""))</f>
        <v/>
      </c>
      <c r="O157" s="17" t="str">
        <f>IFERROR(IF(N157="","",IF(INDEX(Listado!M:M,N157)="No",IF(INDEX(Listado!N:N,N157)=0,"",INDEX(Listado!N:N,N157)),IF(INDEX(Listado!I:I,N157)=0,"",INDEX(Listado!I:I,N157)))),"")</f>
        <v/>
      </c>
      <c r="P157" s="17">
        <f t="shared" ca="1" si="7"/>
        <v/>
      </c>
      <c r="Q157" s="17">
        <f>IFERROR(IF(AND(N157&lt;&gt;"",ISNUMBER(O157),O157&gt;0,O157&gt;=TODAY()-90),1,0),0)</f>
        <v/>
      </c>
      <c r="R157" s="17" t="str">
        <f t="shared" si="9"/>
        <v/>
      </c>
      <c r="S157" s="17" t="str">
        <f>IF(INDEX(Listado!A:A,ROW())="","",INDEX(Listado!A:A,ROW()))</f>
        <v/>
      </c>
      <c r="T157" s="17" t="str">
        <f ca="1">IF(INDEX(Listado!G:G,ROW())="","",INDEX(Listado!G:G,ROW()))</f>
        <v/>
      </c>
      <c r="U157" s="17" t="str">
        <f>IF(INDEX(Listado!F:F,ROW())="","",INDEX(Listado!F:F,ROW()))</f>
        <v/>
      </c>
      <c r="V157" s="17">
        <f>IF(COUNTA(INDEX(Listado!B:B,ROW()):INDEX(Listado!F:F,ROW()))&gt;0,1,0)</f>
        <v/>
      </c>
      <c r="W157" s="17" t="str">
        <f>IF(INDEX(Listado!L:L,ROW())="","",INDEX(Listado!L:L,ROW()))</f>
        <v/>
      </c>
      <c r="X157" s="17">
        <f>IF(N157="","",IF(INDEX(Listado!$M:$M,N157)="No","No","Sí"))</f>
        <v/>
      </c>
    </row>
    <row r="158" spans="2:24" ht="14.25">
      <c r="N158" s="17" t="str">
        <f>IF(V158=0,"",IFERROR(LOOKUP(2,1/(INDEX(Listado!A:A,2):INDEX(Listado!A:A,ROW())&lt;&gt;""),ROW(INDEX(Listado!A:A,2):INDEX(Listado!A:A,ROW()))),""))</f>
        <v/>
      </c>
      <c r="O158" s="17" t="str">
        <f>IFERROR(IF(N158="","",IF(INDEX(Listado!M:M,N158)="No",IF(INDEX(Listado!N:N,N158)=0,"",INDEX(Listado!N:N,N158)),IF(INDEX(Listado!I:I,N158)=0,"",INDEX(Listado!I:I,N158)))),"")</f>
        <v/>
      </c>
      <c r="P158" s="17">
        <f t="shared" ca="1" si="7"/>
        <v/>
      </c>
      <c r="Q158" s="17">
        <f>IFERROR(IF(AND(N158&lt;&gt;"",ISNUMBER(O158),O158&gt;0,O158&gt;=TODAY()-90),1,0),0)</f>
        <v/>
      </c>
      <c r="R158" s="17" t="str">
        <f t="shared" si="9"/>
        <v/>
      </c>
      <c r="S158" s="17" t="str">
        <f>IF(INDEX(Listado!A:A,ROW())="","",INDEX(Listado!A:A,ROW()))</f>
        <v/>
      </c>
      <c r="T158" s="17" t="str">
        <f ca="1">IF(INDEX(Listado!G:G,ROW())="","",INDEX(Listado!G:G,ROW()))</f>
        <v/>
      </c>
      <c r="U158" s="17" t="str">
        <f>IF(INDEX(Listado!F:F,ROW())="","",INDEX(Listado!F:F,ROW()))</f>
        <v/>
      </c>
      <c r="V158" s="17">
        <f>IF(COUNTA(INDEX(Listado!B:B,ROW()):INDEX(Listado!F:F,ROW()))&gt;0,1,0)</f>
        <v/>
      </c>
      <c r="W158" s="17" t="str">
        <f>IF(INDEX(Listado!L:L,ROW())="","",INDEX(Listado!L:L,ROW()))</f>
        <v/>
      </c>
      <c r="X158" s="17">
        <f>IF(N158="","",IF(INDEX(Listado!$M:$M,N158)="No","No","Sí"))</f>
        <v/>
      </c>
    </row>
    <row r="159" spans="2:24" ht="14.25">
      <c r="N159" s="17" t="str">
        <f>IF(V159=0,"",IFERROR(LOOKUP(2,1/(INDEX(Listado!A:A,2):INDEX(Listado!A:A,ROW())&lt;&gt;""),ROW(INDEX(Listado!A:A,2):INDEX(Listado!A:A,ROW()))),""))</f>
        <v/>
      </c>
      <c r="O159" s="17" t="str">
        <f>IFERROR(IF(N159="","",IF(INDEX(Listado!M:M,N159)="No",IF(INDEX(Listado!N:N,N159)=0,"",INDEX(Listado!N:N,N159)),IF(INDEX(Listado!I:I,N159)=0,"",INDEX(Listado!I:I,N159)))),"")</f>
        <v/>
      </c>
      <c r="P159" s="17">
        <f t="shared" ca="1" si="7"/>
        <v/>
      </c>
      <c r="Q159" s="17">
        <f>IFERROR(IF(AND(N159&lt;&gt;"",ISNUMBER(O159),O159&gt;0,O159&gt;=TODAY()-90),1,0),0)</f>
        <v/>
      </c>
      <c r="R159" s="17" t="str">
        <f t="shared" si="9"/>
        <v/>
      </c>
      <c r="S159" s="17" t="str">
        <f>IF(INDEX(Listado!A:A,ROW())="","",INDEX(Listado!A:A,ROW()))</f>
        <v/>
      </c>
      <c r="T159" s="17" t="str">
        <f ca="1">IF(INDEX(Listado!G:G,ROW())="","",INDEX(Listado!G:G,ROW()))</f>
        <v/>
      </c>
      <c r="U159" s="17" t="str">
        <f>IF(INDEX(Listado!F:F,ROW())="","",INDEX(Listado!F:F,ROW()))</f>
        <v/>
      </c>
      <c r="V159" s="17">
        <f>IF(COUNTA(INDEX(Listado!B:B,ROW()):INDEX(Listado!F:F,ROW()))&gt;0,1,0)</f>
        <v/>
      </c>
      <c r="W159" s="17" t="str">
        <f>IF(INDEX(Listado!L:L,ROW())="","",INDEX(Listado!L:L,ROW()))</f>
        <v/>
      </c>
      <c r="X159" s="17">
        <f>IF(N159="","",IF(INDEX(Listado!$M:$M,N159)="No","No","Sí"))</f>
        <v/>
      </c>
    </row>
    <row r="160" spans="2:24" ht="14.25">
      <c r="N160" s="17" t="str">
        <f>IF(V160=0,"",IFERROR(LOOKUP(2,1/(INDEX(Listado!A:A,2):INDEX(Listado!A:A,ROW())&lt;&gt;""),ROW(INDEX(Listado!A:A,2):INDEX(Listado!A:A,ROW()))),""))</f>
        <v/>
      </c>
      <c r="O160" s="17" t="str">
        <f>IFERROR(IF(N160="","",IF(INDEX(Listado!M:M,N160)="No",IF(INDEX(Listado!N:N,N160)=0,"",INDEX(Listado!N:N,N160)),IF(INDEX(Listado!I:I,N160)=0,"",INDEX(Listado!I:I,N160)))),"")</f>
        <v/>
      </c>
      <c r="P160" s="17">
        <f t="shared" ca="1" si="7"/>
        <v/>
      </c>
      <c r="Q160" s="17">
        <f>IFERROR(IF(AND(N160&lt;&gt;"",ISNUMBER(O160),O160&gt;0,O160&gt;=TODAY()-90),1,0),0)</f>
        <v/>
      </c>
      <c r="R160" s="17" t="str">
        <f t="shared" si="9"/>
        <v/>
      </c>
      <c r="S160" s="17" t="str">
        <f>IF(INDEX(Listado!A:A,ROW())="","",INDEX(Listado!A:A,ROW()))</f>
        <v/>
      </c>
      <c r="T160" s="17" t="str">
        <f ca="1">IF(INDEX(Listado!G:G,ROW())="","",INDEX(Listado!G:G,ROW()))</f>
        <v/>
      </c>
      <c r="U160" s="17" t="str">
        <f>IF(INDEX(Listado!F:F,ROW())="","",INDEX(Listado!F:F,ROW()))</f>
        <v/>
      </c>
      <c r="V160" s="17">
        <f>IF(COUNTA(INDEX(Listado!B:B,ROW()):INDEX(Listado!F:F,ROW()))&gt;0,1,0)</f>
        <v/>
      </c>
      <c r="W160" s="17" t="str">
        <f>IF(INDEX(Listado!L:L,ROW())="","",INDEX(Listado!L:L,ROW()))</f>
        <v/>
      </c>
      <c r="X160" s="17">
        <f>IF(N160="","",IF(INDEX(Listado!$M:$M,N160)="No","No","Sí"))</f>
        <v/>
      </c>
    </row>
    <row r="161" spans="2:24" ht="14.25">
      <c r="N161" s="17" t="str">
        <f>IF(V161=0,"",IFERROR(LOOKUP(2,1/(INDEX(Listado!A:A,2):INDEX(Listado!A:A,ROW())&lt;&gt;""),ROW(INDEX(Listado!A:A,2):INDEX(Listado!A:A,ROW()))),""))</f>
        <v/>
      </c>
      <c r="O161" s="17" t="str">
        <f>IFERROR(IF(N161="","",IF(INDEX(Listado!M:M,N161)="No",IF(INDEX(Listado!N:N,N161)=0,"",INDEX(Listado!N:N,N161)),IF(INDEX(Listado!I:I,N161)=0,"",INDEX(Listado!I:I,N161)))),"")</f>
        <v/>
      </c>
      <c r="P161" s="17">
        <f t="shared" ca="1" si="7"/>
        <v/>
      </c>
      <c r="Q161" s="17">
        <f>IFERROR(IF(AND(N161&lt;&gt;"",ISNUMBER(O161),O161&gt;0,O161&gt;=TODAY()-90),1,0),0)</f>
        <v/>
      </c>
      <c r="R161" s="17" t="str">
        <f t="shared" si="9"/>
        <v/>
      </c>
      <c r="S161" s="17" t="str">
        <f>IF(INDEX(Listado!A:A,ROW())="","",INDEX(Listado!A:A,ROW()))</f>
        <v/>
      </c>
      <c r="T161" s="17" t="str">
        <f ca="1">IF(INDEX(Listado!G:G,ROW())="","",INDEX(Listado!G:G,ROW()))</f>
        <v/>
      </c>
      <c r="U161" s="17" t="str">
        <f>IF(INDEX(Listado!F:F,ROW())="","",INDEX(Listado!F:F,ROW()))</f>
        <v/>
      </c>
      <c r="V161" s="17">
        <f>IF(COUNTA(INDEX(Listado!B:B,ROW()):INDEX(Listado!F:F,ROW()))&gt;0,1,0)</f>
        <v/>
      </c>
      <c r="W161" s="17" t="str">
        <f>IF(INDEX(Listado!L:L,ROW())="","",INDEX(Listado!L:L,ROW()))</f>
        <v/>
      </c>
      <c r="X161" s="17">
        <f>IF(N161="","",IF(INDEX(Listado!$M:$M,N161)="No","No","Sí"))</f>
        <v/>
      </c>
    </row>
    <row r="162" spans="2:24" ht="14.25">
      <c r="N162" s="17" t="str">
        <f>IF(V162=0,"",IFERROR(LOOKUP(2,1/(INDEX(Listado!A:A,2):INDEX(Listado!A:A,ROW())&lt;&gt;""),ROW(INDEX(Listado!A:A,2):INDEX(Listado!A:A,ROW()))),""))</f>
        <v/>
      </c>
      <c r="O162" s="17" t="str">
        <f>IFERROR(IF(N162="","",IF(INDEX(Listado!M:M,N162)="No",IF(INDEX(Listado!N:N,N162)=0,"",INDEX(Listado!N:N,N162)),IF(INDEX(Listado!I:I,N162)=0,"",INDEX(Listado!I:I,N162)))),"")</f>
        <v/>
      </c>
      <c r="P162" s="17">
        <f t="shared" ca="1" si="7"/>
        <v/>
      </c>
      <c r="Q162" s="17">
        <f>IFERROR(IF(AND(N162&lt;&gt;"",ISNUMBER(O162),O162&gt;0,O162&gt;=TODAY()-90),1,0),0)</f>
        <v/>
      </c>
      <c r="R162" s="17" t="str">
        <f t="shared" si="9"/>
        <v/>
      </c>
      <c r="S162" s="17" t="str">
        <f>IF(INDEX(Listado!A:A,ROW())="","",INDEX(Listado!A:A,ROW()))</f>
        <v/>
      </c>
      <c r="T162" s="17" t="str">
        <f ca="1">IF(INDEX(Listado!G:G,ROW())="","",INDEX(Listado!G:G,ROW()))</f>
        <v/>
      </c>
      <c r="U162" s="17" t="str">
        <f>IF(INDEX(Listado!F:F,ROW())="","",INDEX(Listado!F:F,ROW()))</f>
        <v/>
      </c>
      <c r="V162" s="17">
        <f>IF(COUNTA(INDEX(Listado!B:B,ROW()):INDEX(Listado!F:F,ROW()))&gt;0,1,0)</f>
        <v/>
      </c>
      <c r="W162" s="17" t="str">
        <f>IF(INDEX(Listado!L:L,ROW())="","",INDEX(Listado!L:L,ROW()))</f>
        <v/>
      </c>
      <c r="X162" s="17">
        <f>IF(N162="","",IF(INDEX(Listado!$M:$M,N162)="No","No","Sí"))</f>
        <v/>
      </c>
    </row>
    <row r="163" spans="2:24" ht="14.25">
      <c r="N163" s="17" t="str">
        <f>IF(V163=0,"",IFERROR(LOOKUP(2,1/(INDEX(Listado!A:A,2):INDEX(Listado!A:A,ROW())&lt;&gt;""),ROW(INDEX(Listado!A:A,2):INDEX(Listado!A:A,ROW()))),""))</f>
        <v/>
      </c>
      <c r="O163" s="17" t="str">
        <f>IFERROR(IF(N163="","",IF(INDEX(Listado!M:M,N163)="No",IF(INDEX(Listado!N:N,N163)=0,"",INDEX(Listado!N:N,N163)),IF(INDEX(Listado!I:I,N163)=0,"",INDEX(Listado!I:I,N163)))),"")</f>
        <v/>
      </c>
      <c r="P163" s="17">
        <f t="shared" ca="1" si="7"/>
        <v/>
      </c>
      <c r="Q163" s="17">
        <f>IFERROR(IF(AND(N163&lt;&gt;"",ISNUMBER(O163),O163&gt;0,O163&gt;=TODAY()-90),1,0),0)</f>
        <v/>
      </c>
      <c r="R163" s="17" t="str">
        <f t="shared" si="9"/>
        <v/>
      </c>
      <c r="S163" s="17" t="str">
        <f>IF(INDEX(Listado!A:A,ROW())="","",INDEX(Listado!A:A,ROW()))</f>
        <v/>
      </c>
      <c r="T163" s="17" t="str">
        <f ca="1">IF(INDEX(Listado!G:G,ROW())="","",INDEX(Listado!G:G,ROW()))</f>
        <v/>
      </c>
      <c r="U163" s="17" t="str">
        <f>IF(INDEX(Listado!F:F,ROW())="","",INDEX(Listado!F:F,ROW()))</f>
        <v/>
      </c>
      <c r="V163" s="17">
        <f>IF(COUNTA(INDEX(Listado!B:B,ROW()):INDEX(Listado!F:F,ROW()))&gt;0,1,0)</f>
        <v/>
      </c>
      <c r="W163" s="17" t="str">
        <f>IF(INDEX(Listado!L:L,ROW())="","",INDEX(Listado!L:L,ROW()))</f>
        <v/>
      </c>
      <c r="X163" s="17">
        <f>IF(N163="","",IF(INDEX(Listado!$M:$M,N163)="No","No","Sí"))</f>
        <v/>
      </c>
    </row>
    <row r="164" spans="2:24" ht="14.25">
      <c r="N164" s="17" t="str">
        <f>IF(V164=0,"",IFERROR(LOOKUP(2,1/(INDEX(Listado!A:A,2):INDEX(Listado!A:A,ROW())&lt;&gt;""),ROW(INDEX(Listado!A:A,2):INDEX(Listado!A:A,ROW()))),""))</f>
        <v/>
      </c>
      <c r="O164" s="17" t="str">
        <f>IFERROR(IF(N164="","",IF(INDEX(Listado!M:M,N164)="No",IF(INDEX(Listado!N:N,N164)=0,"",INDEX(Listado!N:N,N164)),IF(INDEX(Listado!I:I,N164)=0,"",INDEX(Listado!I:I,N164)))),"")</f>
        <v/>
      </c>
      <c r="P164" s="17">
        <f t="shared" ca="1" si="7"/>
        <v/>
      </c>
      <c r="Q164" s="17">
        <f>IFERROR(IF(AND(N164&lt;&gt;"",ISNUMBER(O164),O164&gt;0,O164&gt;=TODAY()-90),1,0),0)</f>
        <v/>
      </c>
      <c r="R164" s="17" t="str">
        <f t="shared" si="9"/>
        <v/>
      </c>
      <c r="S164" s="17" t="str">
        <f>IF(INDEX(Listado!A:A,ROW())="","",INDEX(Listado!A:A,ROW()))</f>
        <v/>
      </c>
      <c r="T164" s="17" t="str">
        <f ca="1">IF(INDEX(Listado!G:G,ROW())="","",INDEX(Listado!G:G,ROW()))</f>
        <v/>
      </c>
      <c r="U164" s="17" t="str">
        <f>IF(INDEX(Listado!F:F,ROW())="","",INDEX(Listado!F:F,ROW()))</f>
        <v/>
      </c>
      <c r="V164" s="17">
        <f>IF(COUNTA(INDEX(Listado!B:B,ROW()):INDEX(Listado!F:F,ROW()))&gt;0,1,0)</f>
        <v/>
      </c>
      <c r="W164" s="17" t="str">
        <f>IF(INDEX(Listado!L:L,ROW())="","",INDEX(Listado!L:L,ROW()))</f>
        <v/>
      </c>
      <c r="X164" s="17">
        <f>IF(N164="","",IF(INDEX(Listado!$M:$M,N164)="No","No","Sí"))</f>
        <v/>
      </c>
    </row>
    <row r="165" spans="2:24" ht="14.25">
      <c r="N165" s="17" t="str">
        <f>IF(V165=0,"",IFERROR(LOOKUP(2,1/(INDEX(Listado!A:A,2):INDEX(Listado!A:A,ROW())&lt;&gt;""),ROW(INDEX(Listado!A:A,2):INDEX(Listado!A:A,ROW()))),""))</f>
        <v/>
      </c>
      <c r="O165" s="17" t="str">
        <f>IFERROR(IF(N165="","",IF(INDEX(Listado!M:M,N165)="No",IF(INDEX(Listado!N:N,N165)=0,"",INDEX(Listado!N:N,N165)),IF(INDEX(Listado!I:I,N165)=0,"",INDEX(Listado!I:I,N165)))),"")</f>
        <v/>
      </c>
      <c r="P165" s="17">
        <f t="shared" ca="1" si="7"/>
        <v/>
      </c>
      <c r="Q165" s="17">
        <f>IFERROR(IF(AND(N165&lt;&gt;"",ISNUMBER(O165),O165&gt;0,O165&gt;=TODAY()-90),1,0),0)</f>
        <v/>
      </c>
      <c r="R165" s="17" t="str">
        <f t="shared" si="9"/>
        <v/>
      </c>
      <c r="S165" s="17" t="str">
        <f>IF(INDEX(Listado!A:A,ROW())="","",INDEX(Listado!A:A,ROW()))</f>
        <v/>
      </c>
      <c r="T165" s="17" t="str">
        <f ca="1">IF(INDEX(Listado!G:G,ROW())="","",INDEX(Listado!G:G,ROW()))</f>
        <v/>
      </c>
      <c r="U165" s="17" t="str">
        <f>IF(INDEX(Listado!F:F,ROW())="","",INDEX(Listado!F:F,ROW()))</f>
        <v/>
      </c>
      <c r="V165" s="17">
        <f>IF(COUNTA(INDEX(Listado!B:B,ROW()):INDEX(Listado!F:F,ROW()))&gt;0,1,0)</f>
        <v/>
      </c>
      <c r="W165" s="17" t="str">
        <f>IF(INDEX(Listado!L:L,ROW())="","",INDEX(Listado!L:L,ROW()))</f>
        <v/>
      </c>
      <c r="X165" s="17">
        <f>IF(N165="","",IF(INDEX(Listado!$M:$M,N165)="No","No","Sí"))</f>
        <v/>
      </c>
    </row>
    <row r="166" spans="2:24" ht="14.25">
      <c r="N166" s="17" t="str">
        <f>IF(V166=0,"",IFERROR(LOOKUP(2,1/(INDEX(Listado!A:A,2):INDEX(Listado!A:A,ROW())&lt;&gt;""),ROW(INDEX(Listado!A:A,2):INDEX(Listado!A:A,ROW()))),""))</f>
        <v/>
      </c>
      <c r="O166" s="17" t="str">
        <f>IFERROR(IF(N166="","",IF(INDEX(Listado!M:M,N166)="No",IF(INDEX(Listado!N:N,N166)=0,"",INDEX(Listado!N:N,N166)),IF(INDEX(Listado!I:I,N166)=0,"",INDEX(Listado!I:I,N166)))),"")</f>
        <v/>
      </c>
      <c r="P166" s="17">
        <f t="shared" ca="1" si="7"/>
        <v/>
      </c>
      <c r="Q166" s="17">
        <f>IFERROR(IF(AND(N166&lt;&gt;"",ISNUMBER(O166),O166&gt;0,O166&gt;=TODAY()-90),1,0),0)</f>
        <v/>
      </c>
      <c r="R166" s="17" t="str">
        <f t="shared" si="9"/>
        <v/>
      </c>
      <c r="S166" s="17" t="str">
        <f>IF(INDEX(Listado!A:A,ROW())="","",INDEX(Listado!A:A,ROW()))</f>
        <v/>
      </c>
      <c r="T166" s="17" t="str">
        <f ca="1">IF(INDEX(Listado!G:G,ROW())="","",INDEX(Listado!G:G,ROW()))</f>
        <v/>
      </c>
      <c r="U166" s="17" t="str">
        <f>IF(INDEX(Listado!F:F,ROW())="","",INDEX(Listado!F:F,ROW()))</f>
        <v/>
      </c>
      <c r="V166" s="17">
        <f>IF(COUNTA(INDEX(Listado!B:B,ROW()):INDEX(Listado!F:F,ROW()))&gt;0,1,0)</f>
        <v/>
      </c>
      <c r="W166" s="17" t="str">
        <f>IF(INDEX(Listado!L:L,ROW())="","",INDEX(Listado!L:L,ROW()))</f>
        <v/>
      </c>
      <c r="X166" s="17">
        <f>IF(N166="","",IF(INDEX(Listado!$M:$M,N166)="No","No","Sí"))</f>
        <v/>
      </c>
    </row>
    <row r="167" spans="2:24" ht="14.25">
      <c r="N167" s="17" t="str">
        <f>IF(V167=0,"",IFERROR(LOOKUP(2,1/(INDEX(Listado!A:A,2):INDEX(Listado!A:A,ROW())&lt;&gt;""),ROW(INDEX(Listado!A:A,2):INDEX(Listado!A:A,ROW()))),""))</f>
        <v/>
      </c>
      <c r="O167" s="17" t="str">
        <f>IFERROR(IF(N167="","",IF(INDEX(Listado!M:M,N167)="No",IF(INDEX(Listado!N:N,N167)=0,"",INDEX(Listado!N:N,N167)),IF(INDEX(Listado!I:I,N167)=0,"",INDEX(Listado!I:I,N167)))),"")</f>
        <v/>
      </c>
      <c r="P167" s="17">
        <f t="shared" ca="1" si="7"/>
        <v/>
      </c>
      <c r="Q167" s="17">
        <f>IFERROR(IF(AND(N167&lt;&gt;"",ISNUMBER(O167),O167&gt;0,O167&gt;=TODAY()-90),1,0),0)</f>
        <v/>
      </c>
      <c r="R167" s="17" t="str">
        <f t="shared" si="9"/>
        <v/>
      </c>
      <c r="S167" s="17" t="str">
        <f>IF(INDEX(Listado!A:A,ROW())="","",INDEX(Listado!A:A,ROW()))</f>
        <v/>
      </c>
      <c r="T167" s="17" t="str">
        <f ca="1">IF(INDEX(Listado!G:G,ROW())="","",INDEX(Listado!G:G,ROW()))</f>
        <v/>
      </c>
      <c r="U167" s="17" t="str">
        <f>IF(INDEX(Listado!F:F,ROW())="","",INDEX(Listado!F:F,ROW()))</f>
        <v/>
      </c>
      <c r="V167" s="17">
        <f>IF(COUNTA(INDEX(Listado!B:B,ROW()):INDEX(Listado!F:F,ROW()))&gt;0,1,0)</f>
        <v/>
      </c>
      <c r="W167" s="17" t="str">
        <f>IF(INDEX(Listado!L:L,ROW())="","",INDEX(Listado!L:L,ROW()))</f>
        <v/>
      </c>
      <c r="X167" s="17">
        <f>IF(N167="","",IF(INDEX(Listado!$M:$M,N167)="No","No","Sí"))</f>
        <v/>
      </c>
    </row>
    <row r="168" spans="2:24" ht="14.25">
      <c r="N168" s="17" t="str">
        <f>IF(V168=0,"",IFERROR(LOOKUP(2,1/(INDEX(Listado!A:A,2):INDEX(Listado!A:A,ROW())&lt;&gt;""),ROW(INDEX(Listado!A:A,2):INDEX(Listado!A:A,ROW()))),""))</f>
        <v/>
      </c>
      <c r="O168" s="17" t="str">
        <f>IFERROR(IF(N168="","",IF(INDEX(Listado!M:M,N168)="No",IF(INDEX(Listado!N:N,N168)=0,"",INDEX(Listado!N:N,N168)),IF(INDEX(Listado!I:I,N168)=0,"",INDEX(Listado!I:I,N168)))),"")</f>
        <v/>
      </c>
      <c r="P168" s="17">
        <f t="shared" ca="1" si="7"/>
        <v/>
      </c>
      <c r="Q168" s="17">
        <f>IFERROR(IF(AND(N168&lt;&gt;"",ISNUMBER(O168),O168&gt;0,O168&gt;=TODAY()-90),1,0),0)</f>
        <v/>
      </c>
      <c r="R168" s="17" t="str">
        <f t="shared" si="9"/>
        <v/>
      </c>
      <c r="S168" s="17" t="str">
        <f>IF(INDEX(Listado!A:A,ROW())="","",INDEX(Listado!A:A,ROW()))</f>
        <v/>
      </c>
      <c r="T168" s="17" t="str">
        <f ca="1">IF(INDEX(Listado!G:G,ROW())="","",INDEX(Listado!G:G,ROW()))</f>
        <v/>
      </c>
      <c r="U168" s="17" t="str">
        <f>IF(INDEX(Listado!F:F,ROW())="","",INDEX(Listado!F:F,ROW()))</f>
        <v/>
      </c>
      <c r="V168" s="17">
        <f>IF(COUNTA(INDEX(Listado!B:B,ROW()):INDEX(Listado!F:F,ROW()))&gt;0,1,0)</f>
        <v/>
      </c>
      <c r="W168" s="17" t="str">
        <f>IF(INDEX(Listado!L:L,ROW())="","",INDEX(Listado!L:L,ROW()))</f>
        <v/>
      </c>
      <c r="X168" s="17">
        <f>IF(N168="","",IF(INDEX(Listado!$M:$M,N168)="No","No","Sí"))</f>
        <v/>
      </c>
    </row>
    <row r="169" spans="2:24" ht="14.25">
      <c r="N169" s="17" t="str">
        <f>IF(V169=0,"",IFERROR(LOOKUP(2,1/(INDEX(Listado!A:A,2):INDEX(Listado!A:A,ROW())&lt;&gt;""),ROW(INDEX(Listado!A:A,2):INDEX(Listado!A:A,ROW()))),""))</f>
        <v/>
      </c>
      <c r="O169" s="17" t="str">
        <f>IFERROR(IF(N169="","",IF(INDEX(Listado!M:M,N169)="No",IF(INDEX(Listado!N:N,N169)=0,"",INDEX(Listado!N:N,N169)),IF(INDEX(Listado!I:I,N169)=0,"",INDEX(Listado!I:I,N169)))),"")</f>
        <v/>
      </c>
      <c r="P169" s="17">
        <f t="shared" ca="1" si="7"/>
        <v/>
      </c>
      <c r="Q169" s="17">
        <f>IFERROR(IF(AND(N169&lt;&gt;"",ISNUMBER(O169),O169&gt;0,O169&gt;=TODAY()-90),1,0),0)</f>
        <v/>
      </c>
      <c r="R169" s="17" t="str">
        <f t="shared" si="9"/>
        <v/>
      </c>
      <c r="S169" s="17" t="str">
        <f>IF(INDEX(Listado!A:A,ROW())="","",INDEX(Listado!A:A,ROW()))</f>
        <v/>
      </c>
      <c r="T169" s="17" t="str">
        <f ca="1">IF(INDEX(Listado!G:G,ROW())="","",INDEX(Listado!G:G,ROW()))</f>
        <v/>
      </c>
      <c r="U169" s="17" t="str">
        <f>IF(INDEX(Listado!F:F,ROW())="","",INDEX(Listado!F:F,ROW()))</f>
        <v/>
      </c>
      <c r="V169" s="17">
        <f>IF(COUNTA(INDEX(Listado!B:B,ROW()):INDEX(Listado!F:F,ROW()))&gt;0,1,0)</f>
        <v/>
      </c>
      <c r="W169" s="17" t="str">
        <f>IF(INDEX(Listado!L:L,ROW())="","",INDEX(Listado!L:L,ROW()))</f>
        <v/>
      </c>
      <c r="X169" s="17">
        <f>IF(N169="","",IF(INDEX(Listado!$M:$M,N169)="No","No","Sí"))</f>
        <v/>
      </c>
    </row>
    <row r="170" spans="2:24" ht="14.25">
      <c r="N170" s="17" t="str">
        <f>IF(V170=0,"",IFERROR(LOOKUP(2,1/(INDEX(Listado!A:A,2):INDEX(Listado!A:A,ROW())&lt;&gt;""),ROW(INDEX(Listado!A:A,2):INDEX(Listado!A:A,ROW()))),""))</f>
        <v/>
      </c>
      <c r="O170" s="17" t="str">
        <f>IFERROR(IF(N170="","",IF(INDEX(Listado!M:M,N170)="No",IF(INDEX(Listado!N:N,N170)=0,"",INDEX(Listado!N:N,N170)),IF(INDEX(Listado!I:I,N170)=0,"",INDEX(Listado!I:I,N170)))),"")</f>
        <v/>
      </c>
      <c r="P170" s="17">
        <f t="shared" ca="1" si="7"/>
        <v/>
      </c>
      <c r="Q170" s="17">
        <f>IFERROR(IF(AND(N170&lt;&gt;"",ISNUMBER(O170),O170&gt;0,O170&gt;=TODAY()-90),1,0),0)</f>
        <v/>
      </c>
      <c r="R170" s="17" t="str">
        <f t="shared" si="9"/>
        <v/>
      </c>
      <c r="S170" s="17" t="str">
        <f>IF(INDEX(Listado!A:A,ROW())="","",INDEX(Listado!A:A,ROW()))</f>
        <v/>
      </c>
      <c r="T170" s="17" t="str">
        <f ca="1">IF(INDEX(Listado!G:G,ROW())="","",INDEX(Listado!G:G,ROW()))</f>
        <v/>
      </c>
      <c r="U170" s="17" t="str">
        <f>IF(INDEX(Listado!F:F,ROW())="","",INDEX(Listado!F:F,ROW()))</f>
        <v/>
      </c>
      <c r="V170" s="17">
        <f>IF(COUNTA(INDEX(Listado!B:B,ROW()):INDEX(Listado!F:F,ROW()))&gt;0,1,0)</f>
        <v/>
      </c>
      <c r="W170" s="17" t="str">
        <f>IF(INDEX(Listado!L:L,ROW())="","",INDEX(Listado!L:L,ROW()))</f>
        <v/>
      </c>
      <c r="X170" s="17">
        <f>IF(N170="","",IF(INDEX(Listado!$M:$M,N170)="No","No","Sí"))</f>
        <v/>
      </c>
    </row>
    <row r="171" spans="2:24" ht="14.25">
      <c r="N171" s="17" t="str">
        <f>IF(V171=0,"",IFERROR(LOOKUP(2,1/(INDEX(Listado!A:A,2):INDEX(Listado!A:A,ROW())&lt;&gt;""),ROW(INDEX(Listado!A:A,2):INDEX(Listado!A:A,ROW()))),""))</f>
        <v/>
      </c>
      <c r="O171" s="17" t="str">
        <f>IFERROR(IF(N171="","",IF(INDEX(Listado!M:M,N171)="No",IF(INDEX(Listado!N:N,N171)=0,"",INDEX(Listado!N:N,N171)),IF(INDEX(Listado!I:I,N171)=0,"",INDEX(Listado!I:I,N171)))),"")</f>
        <v/>
      </c>
      <c r="P171" s="17">
        <f t="shared" ca="1" si="7"/>
        <v/>
      </c>
      <c r="Q171" s="17">
        <f>IFERROR(IF(AND(N171&lt;&gt;"",ISNUMBER(O171),O171&gt;0,O171&gt;=TODAY()-90),1,0),0)</f>
        <v/>
      </c>
      <c r="R171" s="17" t="str">
        <f t="shared" si="9"/>
        <v/>
      </c>
      <c r="S171" s="17" t="str">
        <f>IF(INDEX(Listado!A:A,ROW())="","",INDEX(Listado!A:A,ROW()))</f>
        <v/>
      </c>
      <c r="T171" s="17" t="str">
        <f ca="1">IF(INDEX(Listado!G:G,ROW())="","",INDEX(Listado!G:G,ROW()))</f>
        <v/>
      </c>
      <c r="U171" s="17" t="str">
        <f>IF(INDEX(Listado!F:F,ROW())="","",INDEX(Listado!F:F,ROW()))</f>
        <v/>
      </c>
      <c r="V171" s="17">
        <f>IF(COUNTA(INDEX(Listado!B:B,ROW()):INDEX(Listado!F:F,ROW()))&gt;0,1,0)</f>
        <v/>
      </c>
      <c r="W171" s="17" t="str">
        <f>IF(INDEX(Listado!L:L,ROW())="","",INDEX(Listado!L:L,ROW()))</f>
        <v/>
      </c>
      <c r="X171" s="17">
        <f>IF(N171="","",IF(INDEX(Listado!$M:$M,N171)="No","No","Sí"))</f>
        <v/>
      </c>
    </row>
    <row r="172" spans="2:24" ht="14.25">
      <c r="N172" s="17" t="str">
        <f>IF(V172=0,"",IFERROR(LOOKUP(2,1/(INDEX(Listado!A:A,2):INDEX(Listado!A:A,ROW())&lt;&gt;""),ROW(INDEX(Listado!A:A,2):INDEX(Listado!A:A,ROW()))),""))</f>
        <v/>
      </c>
      <c r="O172" s="17" t="str">
        <f>IFERROR(IF(N172="","",IF(INDEX(Listado!M:M,N172)="No",IF(INDEX(Listado!N:N,N172)=0,"",INDEX(Listado!N:N,N172)),IF(INDEX(Listado!I:I,N172)=0,"",INDEX(Listado!I:I,N172)))),"")</f>
        <v/>
      </c>
      <c r="P172" s="17">
        <f t="shared" ca="1" si="7"/>
        <v/>
      </c>
      <c r="Q172" s="17">
        <f>IFERROR(IF(AND(N172&lt;&gt;"",ISNUMBER(O172),O172&gt;0,O172&gt;=TODAY()-90),1,0),0)</f>
        <v/>
      </c>
      <c r="R172" s="17" t="str">
        <f t="shared" si="9"/>
        <v/>
      </c>
      <c r="S172" s="17" t="str">
        <f>IF(INDEX(Listado!A:A,ROW())="","",INDEX(Listado!A:A,ROW()))</f>
        <v/>
      </c>
      <c r="T172" s="17" t="str">
        <f ca="1">IF(INDEX(Listado!G:G,ROW())="","",INDEX(Listado!G:G,ROW()))</f>
        <v/>
      </c>
      <c r="U172" s="17" t="str">
        <f>IF(INDEX(Listado!F:F,ROW())="","",INDEX(Listado!F:F,ROW()))</f>
        <v/>
      </c>
      <c r="V172" s="17">
        <f>IF(COUNTA(INDEX(Listado!B:B,ROW()):INDEX(Listado!F:F,ROW()))&gt;0,1,0)</f>
        <v/>
      </c>
      <c r="W172" s="17" t="str">
        <f>IF(INDEX(Listado!L:L,ROW())="","",INDEX(Listado!L:L,ROW()))</f>
        <v/>
      </c>
      <c r="X172" s="17">
        <f>IF(N172="","",IF(INDEX(Listado!$M:$M,N172)="No","No","Sí"))</f>
        <v/>
      </c>
    </row>
    <row r="173" spans="2:24" ht="14.25">
      <c r="N173" s="17" t="str">
        <f>IF(V173=0,"",IFERROR(LOOKUP(2,1/(INDEX(Listado!A:A,2):INDEX(Listado!A:A,ROW())&lt;&gt;""),ROW(INDEX(Listado!A:A,2):INDEX(Listado!A:A,ROW()))),""))</f>
        <v/>
      </c>
      <c r="O173" s="17" t="str">
        <f>IFERROR(IF(N173="","",IF(INDEX(Listado!M:M,N173)="No",IF(INDEX(Listado!N:N,N173)=0,"",INDEX(Listado!N:N,N173)),IF(INDEX(Listado!I:I,N173)=0,"",INDEX(Listado!I:I,N173)))),"")</f>
        <v/>
      </c>
      <c r="P173" s="17">
        <f t="shared" ca="1" si="7"/>
        <v/>
      </c>
      <c r="Q173" s="17">
        <f>IFERROR(IF(AND(N173&lt;&gt;"",ISNUMBER(O173),O173&gt;0,O173&gt;=TODAY()-90),1,0),0)</f>
        <v/>
      </c>
      <c r="R173" s="17" t="str">
        <f t="shared" si="9"/>
        <v/>
      </c>
      <c r="S173" s="17" t="str">
        <f>IF(INDEX(Listado!A:A,ROW())="","",INDEX(Listado!A:A,ROW()))</f>
        <v/>
      </c>
      <c r="T173" s="17" t="str">
        <f ca="1">IF(INDEX(Listado!G:G,ROW())="","",INDEX(Listado!G:G,ROW()))</f>
        <v/>
      </c>
      <c r="U173" s="17" t="str">
        <f>IF(INDEX(Listado!F:F,ROW())="","",INDEX(Listado!F:F,ROW()))</f>
        <v/>
      </c>
      <c r="V173" s="17">
        <f>IF(COUNTA(INDEX(Listado!B:B,ROW()):INDEX(Listado!F:F,ROW()))&gt;0,1,0)</f>
        <v/>
      </c>
      <c r="W173" s="17" t="str">
        <f>IF(INDEX(Listado!L:L,ROW())="","",INDEX(Listado!L:L,ROW()))</f>
        <v/>
      </c>
      <c r="X173" s="17">
        <f>IF(N173="","",IF(INDEX(Listado!$M:$M,N173)="No","No","Sí"))</f>
        <v/>
      </c>
    </row>
    <row r="174" spans="2:24" ht="14.25">
      <c r="N174" s="17" t="str">
        <f>IF(V174=0,"",IFERROR(LOOKUP(2,1/(INDEX(Listado!A:A,2):INDEX(Listado!A:A,ROW())&lt;&gt;""),ROW(INDEX(Listado!A:A,2):INDEX(Listado!A:A,ROW()))),""))</f>
        <v/>
      </c>
      <c r="O174" s="17" t="str">
        <f>IFERROR(IF(N174="","",IF(INDEX(Listado!M:M,N174)="No",IF(INDEX(Listado!N:N,N174)=0,"",INDEX(Listado!N:N,N174)),IF(INDEX(Listado!I:I,N174)=0,"",INDEX(Listado!I:I,N174)))),"")</f>
        <v/>
      </c>
      <c r="P174" s="17">
        <f t="shared" ca="1" si="7"/>
        <v/>
      </c>
      <c r="Q174" s="17">
        <f>IFERROR(IF(AND(N174&lt;&gt;"",ISNUMBER(O174),O174&gt;0,O174&gt;=TODAY()-90),1,0),0)</f>
        <v/>
      </c>
      <c r="R174" s="17" t="str">
        <f t="shared" si="9"/>
        <v/>
      </c>
      <c r="S174" s="17" t="str">
        <f>IF(INDEX(Listado!A:A,ROW())="","",INDEX(Listado!A:A,ROW()))</f>
        <v/>
      </c>
      <c r="T174" s="17" t="str">
        <f ca="1">IF(INDEX(Listado!G:G,ROW())="","",INDEX(Listado!G:G,ROW()))</f>
        <v/>
      </c>
      <c r="U174" s="17" t="str">
        <f>IF(INDEX(Listado!F:F,ROW())="","",INDEX(Listado!F:F,ROW()))</f>
        <v/>
      </c>
      <c r="V174" s="17">
        <f>IF(COUNTA(INDEX(Listado!B:B,ROW()):INDEX(Listado!F:F,ROW()))&gt;0,1,0)</f>
        <v/>
      </c>
      <c r="W174" s="17" t="str">
        <f>IF(INDEX(Listado!L:L,ROW())="","",INDEX(Listado!L:L,ROW()))</f>
        <v/>
      </c>
      <c r="X174" s="17">
        <f>IF(N174="","",IF(INDEX(Listado!$M:$M,N174)="No","No","Sí"))</f>
        <v/>
      </c>
    </row>
    <row r="175" spans="2:24" ht="14.25">
      <c r="N175" s="17" t="str">
        <f>IF(V175=0,"",IFERROR(LOOKUP(2,1/(INDEX(Listado!A:A,2):INDEX(Listado!A:A,ROW())&lt;&gt;""),ROW(INDEX(Listado!A:A,2):INDEX(Listado!A:A,ROW()))),""))</f>
        <v/>
      </c>
      <c r="O175" s="17" t="str">
        <f>IFERROR(IF(N175="","",IF(INDEX(Listado!M:M,N175)="No",IF(INDEX(Listado!N:N,N175)=0,"",INDEX(Listado!N:N,N175)),IF(INDEX(Listado!I:I,N175)=0,"",INDEX(Listado!I:I,N175)))),"")</f>
        <v/>
      </c>
      <c r="P175" s="17">
        <f t="shared" ca="1" si="7"/>
        <v/>
      </c>
      <c r="Q175" s="17">
        <f>IFERROR(IF(AND(N175&lt;&gt;"",ISNUMBER(O175),O175&gt;0,O175&gt;=TODAY()-90),1,0),0)</f>
        <v/>
      </c>
      <c r="R175" s="17" t="str">
        <f t="shared" si="9"/>
        <v/>
      </c>
      <c r="S175" s="17" t="str">
        <f>IF(INDEX(Listado!A:A,ROW())="","",INDEX(Listado!A:A,ROW()))</f>
        <v/>
      </c>
      <c r="T175" s="17" t="str">
        <f ca="1">IF(INDEX(Listado!G:G,ROW())="","",INDEX(Listado!G:G,ROW()))</f>
        <v/>
      </c>
      <c r="U175" s="17" t="str">
        <f>IF(INDEX(Listado!F:F,ROW())="","",INDEX(Listado!F:F,ROW()))</f>
        <v/>
      </c>
      <c r="V175" s="17">
        <f>IF(COUNTA(INDEX(Listado!B:B,ROW()):INDEX(Listado!F:F,ROW()))&gt;0,1,0)</f>
        <v/>
      </c>
      <c r="W175" s="17" t="str">
        <f>IF(INDEX(Listado!L:L,ROW())="","",INDEX(Listado!L:L,ROW()))</f>
        <v/>
      </c>
      <c r="X175" s="17">
        <f>IF(N175="","",IF(INDEX(Listado!$M:$M,N175)="No","No","Sí"))</f>
        <v/>
      </c>
    </row>
    <row r="176" spans="2:24" ht="14.25">
      <c r="N176" s="17" t="str">
        <f>IF(V176=0,"",IFERROR(LOOKUP(2,1/(INDEX(Listado!A:A,2):INDEX(Listado!A:A,ROW())&lt;&gt;""),ROW(INDEX(Listado!A:A,2):INDEX(Listado!A:A,ROW()))),""))</f>
        <v/>
      </c>
      <c r="O176" s="17" t="str">
        <f>IFERROR(IF(N176="","",IF(INDEX(Listado!M:M,N176)="No",IF(INDEX(Listado!N:N,N176)=0,"",INDEX(Listado!N:N,N176)),IF(INDEX(Listado!I:I,N176)=0,"",INDEX(Listado!I:I,N176)))),"")</f>
        <v/>
      </c>
      <c r="P176" s="17">
        <f t="shared" ca="1" si="7"/>
        <v/>
      </c>
      <c r="Q176" s="17">
        <f>IFERROR(IF(AND(N176&lt;&gt;"",ISNUMBER(O176),O176&gt;0,O176&gt;=TODAY()-90),1,0),0)</f>
        <v/>
      </c>
      <c r="R176" s="17" t="str">
        <f t="shared" si="9"/>
        <v/>
      </c>
      <c r="S176" s="17" t="str">
        <f>IF(INDEX(Listado!A:A,ROW())="","",INDEX(Listado!A:A,ROW()))</f>
        <v/>
      </c>
      <c r="T176" s="17" t="str">
        <f ca="1">IF(INDEX(Listado!G:G,ROW())="","",INDEX(Listado!G:G,ROW()))</f>
        <v/>
      </c>
      <c r="U176" s="17" t="str">
        <f>IF(INDEX(Listado!F:F,ROW())="","",INDEX(Listado!F:F,ROW()))</f>
        <v/>
      </c>
      <c r="V176" s="17">
        <f>IF(COUNTA(INDEX(Listado!B:B,ROW()):INDEX(Listado!F:F,ROW()))&gt;0,1,0)</f>
        <v/>
      </c>
      <c r="W176" s="17" t="str">
        <f>IF(INDEX(Listado!L:L,ROW())="","",INDEX(Listado!L:L,ROW()))</f>
        <v/>
      </c>
      <c r="X176" s="17">
        <f>IF(N176="","",IF(INDEX(Listado!$M:$M,N176)="No","No","Sí"))</f>
        <v/>
      </c>
    </row>
    <row r="177" spans="2:24" ht="14.25">
      <c r="N177" s="17" t="str">
        <f>IF(V177=0,"",IFERROR(LOOKUP(2,1/(INDEX(Listado!A:A,2):INDEX(Listado!A:A,ROW())&lt;&gt;""),ROW(INDEX(Listado!A:A,2):INDEX(Listado!A:A,ROW()))),""))</f>
        <v/>
      </c>
      <c r="O177" s="17" t="str">
        <f>IFERROR(IF(N177="","",IF(INDEX(Listado!M:M,N177)="No",IF(INDEX(Listado!N:N,N177)=0,"",INDEX(Listado!N:N,N177)),IF(INDEX(Listado!I:I,N177)=0,"",INDEX(Listado!I:I,N177)))),"")</f>
        <v/>
      </c>
      <c r="P177" s="17">
        <f t="shared" ca="1" si="7"/>
        <v/>
      </c>
      <c r="Q177" s="17">
        <f>IFERROR(IF(AND(N177&lt;&gt;"",ISNUMBER(O177),O177&gt;0,O177&gt;=TODAY()-90),1,0),0)</f>
        <v/>
      </c>
      <c r="R177" s="17" t="str">
        <f t="shared" si="9"/>
        <v/>
      </c>
      <c r="S177" s="17" t="str">
        <f>IF(INDEX(Listado!A:A,ROW())="","",INDEX(Listado!A:A,ROW()))</f>
        <v/>
      </c>
      <c r="T177" s="17" t="str">
        <f ca="1">IF(INDEX(Listado!G:G,ROW())="","",INDEX(Listado!G:G,ROW()))</f>
        <v/>
      </c>
      <c r="U177" s="17" t="str">
        <f>IF(INDEX(Listado!F:F,ROW())="","",INDEX(Listado!F:F,ROW()))</f>
        <v/>
      </c>
      <c r="V177" s="17">
        <f>IF(COUNTA(INDEX(Listado!B:B,ROW()):INDEX(Listado!F:F,ROW()))&gt;0,1,0)</f>
        <v/>
      </c>
      <c r="W177" s="17" t="str">
        <f>IF(INDEX(Listado!L:L,ROW())="","",INDEX(Listado!L:L,ROW()))</f>
        <v/>
      </c>
      <c r="X177" s="17">
        <f>IF(N177="","",IF(INDEX(Listado!$M:$M,N177)="No","No","Sí"))</f>
        <v/>
      </c>
    </row>
    <row r="178" spans="2:24" ht="14.25">
      <c r="N178" s="17" t="str">
        <f>IF(V178=0,"",IFERROR(LOOKUP(2,1/(INDEX(Listado!A:A,2):INDEX(Listado!A:A,ROW())&lt;&gt;""),ROW(INDEX(Listado!A:A,2):INDEX(Listado!A:A,ROW()))),""))</f>
        <v/>
      </c>
      <c r="O178" s="17" t="str">
        <f>IFERROR(IF(N178="","",IF(INDEX(Listado!M:M,N178)="No",IF(INDEX(Listado!N:N,N178)=0,"",INDEX(Listado!N:N,N178)),IF(INDEX(Listado!I:I,N178)=0,"",INDEX(Listado!I:I,N178)))),"")</f>
        <v/>
      </c>
      <c r="P178" s="17">
        <f t="shared" ca="1" si="7"/>
        <v/>
      </c>
      <c r="Q178" s="17">
        <f>IFERROR(IF(AND(N178&lt;&gt;"",ISNUMBER(O178),O178&gt;0,O178&gt;=TODAY()-90),1,0),0)</f>
        <v/>
      </c>
      <c r="R178" s="17" t="str">
        <f t="shared" si="9"/>
        <v/>
      </c>
      <c r="S178" s="17" t="str">
        <f>IF(INDEX(Listado!A:A,ROW())="","",INDEX(Listado!A:A,ROW()))</f>
        <v/>
      </c>
      <c r="T178" s="17" t="str">
        <f ca="1">IF(INDEX(Listado!G:G,ROW())="","",INDEX(Listado!G:G,ROW()))</f>
        <v/>
      </c>
      <c r="U178" s="17" t="str">
        <f>IF(INDEX(Listado!F:F,ROW())="","",INDEX(Listado!F:F,ROW()))</f>
        <v/>
      </c>
      <c r="V178" s="17">
        <f>IF(COUNTA(INDEX(Listado!B:B,ROW()):INDEX(Listado!F:F,ROW()))&gt;0,1,0)</f>
        <v/>
      </c>
      <c r="W178" s="17" t="str">
        <f>IF(INDEX(Listado!L:L,ROW())="","",INDEX(Listado!L:L,ROW()))</f>
        <v/>
      </c>
      <c r="X178" s="17">
        <f>IF(N178="","",IF(INDEX(Listado!$M:$M,N178)="No","No","Sí"))</f>
        <v/>
      </c>
    </row>
    <row r="179" spans="2:24" ht="14.25">
      <c r="N179" s="17" t="str">
        <f>IF(V179=0,"",IFERROR(LOOKUP(2,1/(INDEX(Listado!A:A,2):INDEX(Listado!A:A,ROW())&lt;&gt;""),ROW(INDEX(Listado!A:A,2):INDEX(Listado!A:A,ROW()))),""))</f>
        <v/>
      </c>
      <c r="O179" s="17" t="str">
        <f>IFERROR(IF(N179="","",IF(INDEX(Listado!M:M,N179)="No",IF(INDEX(Listado!N:N,N179)=0,"",INDEX(Listado!N:N,N179)),IF(INDEX(Listado!I:I,N179)=0,"",INDEX(Listado!I:I,N179)))),"")</f>
        <v/>
      </c>
      <c r="P179" s="17">
        <f t="shared" ca="1" si="7"/>
        <v/>
      </c>
      <c r="Q179" s="17">
        <f>IFERROR(IF(AND(N179&lt;&gt;"",ISNUMBER(O179),O179&gt;0,O179&gt;=TODAY()-90),1,0),0)</f>
        <v/>
      </c>
      <c r="R179" s="17" t="str">
        <f t="shared" si="9"/>
        <v/>
      </c>
      <c r="S179" s="17" t="str">
        <f>IF(INDEX(Listado!A:A,ROW())="","",INDEX(Listado!A:A,ROW()))</f>
        <v/>
      </c>
      <c r="T179" s="17" t="str">
        <f ca="1">IF(INDEX(Listado!G:G,ROW())="","",INDEX(Listado!G:G,ROW()))</f>
        <v/>
      </c>
      <c r="U179" s="17" t="str">
        <f>IF(INDEX(Listado!F:F,ROW())="","",INDEX(Listado!F:F,ROW()))</f>
        <v/>
      </c>
      <c r="V179" s="17">
        <f>IF(COUNTA(INDEX(Listado!B:B,ROW()):INDEX(Listado!F:F,ROW()))&gt;0,1,0)</f>
        <v/>
      </c>
      <c r="W179" s="17" t="str">
        <f>IF(INDEX(Listado!L:L,ROW())="","",INDEX(Listado!L:L,ROW()))</f>
        <v/>
      </c>
      <c r="X179" s="17">
        <f>IF(N179="","",IF(INDEX(Listado!$M:$M,N179)="No","No","Sí"))</f>
        <v/>
      </c>
    </row>
    <row r="180" spans="2:24" ht="14.25">
      <c r="N180" s="17" t="str">
        <f>IF(V180=0,"",IFERROR(LOOKUP(2,1/(INDEX(Listado!A:A,2):INDEX(Listado!A:A,ROW())&lt;&gt;""),ROW(INDEX(Listado!A:A,2):INDEX(Listado!A:A,ROW()))),""))</f>
        <v/>
      </c>
      <c r="O180" s="17" t="str">
        <f>IFERROR(IF(N180="","",IF(INDEX(Listado!M:M,N180)="No",IF(INDEX(Listado!N:N,N180)=0,"",INDEX(Listado!N:N,N180)),IF(INDEX(Listado!I:I,N180)=0,"",INDEX(Listado!I:I,N180)))),"")</f>
        <v/>
      </c>
      <c r="P180" s="17">
        <f t="shared" ca="1" si="7"/>
        <v/>
      </c>
      <c r="Q180" s="17">
        <f>IFERROR(IF(AND(N180&lt;&gt;"",ISNUMBER(O180),O180&gt;0,O180&gt;=TODAY()-90),1,0),0)</f>
        <v/>
      </c>
      <c r="R180" s="17" t="str">
        <f t="shared" si="9"/>
        <v/>
      </c>
      <c r="S180" s="17" t="str">
        <f>IF(INDEX(Listado!A:A,ROW())="","",INDEX(Listado!A:A,ROW()))</f>
        <v/>
      </c>
      <c r="T180" s="17" t="str">
        <f ca="1">IF(INDEX(Listado!G:G,ROW())="","",INDEX(Listado!G:G,ROW()))</f>
        <v/>
      </c>
      <c r="U180" s="17" t="str">
        <f>IF(INDEX(Listado!F:F,ROW())="","",INDEX(Listado!F:F,ROW()))</f>
        <v/>
      </c>
      <c r="V180" s="17">
        <f>IF(COUNTA(INDEX(Listado!B:B,ROW()):INDEX(Listado!F:F,ROW()))&gt;0,1,0)</f>
        <v/>
      </c>
      <c r="W180" s="17" t="str">
        <f>IF(INDEX(Listado!L:L,ROW())="","",INDEX(Listado!L:L,ROW()))</f>
        <v/>
      </c>
      <c r="X180" s="17">
        <f>IF(N180="","",IF(INDEX(Listado!$M:$M,N180)="No","No","Sí"))</f>
        <v/>
      </c>
    </row>
    <row r="181" spans="2:24" ht="14.25">
      <c r="N181" s="17" t="str">
        <f>IF(V181=0,"",IFERROR(LOOKUP(2,1/(INDEX(Listado!A:A,2):INDEX(Listado!A:A,ROW())&lt;&gt;""),ROW(INDEX(Listado!A:A,2):INDEX(Listado!A:A,ROW()))),""))</f>
        <v/>
      </c>
      <c r="O181" s="17" t="str">
        <f>IFERROR(IF(N181="","",IF(INDEX(Listado!M:M,N181)="No",IF(INDEX(Listado!N:N,N181)=0,"",INDEX(Listado!N:N,N181)),IF(INDEX(Listado!I:I,N181)=0,"",INDEX(Listado!I:I,N181)))),"")</f>
        <v/>
      </c>
      <c r="P181" s="17">
        <f t="shared" ca="1" si="7"/>
        <v/>
      </c>
      <c r="Q181" s="17">
        <f>IFERROR(IF(AND(N181&lt;&gt;"",ISNUMBER(O181),O181&gt;0,O181&gt;=TODAY()-90),1,0),0)</f>
        <v/>
      </c>
      <c r="R181" s="17" t="str">
        <f t="shared" si="9"/>
        <v/>
      </c>
      <c r="S181" s="17" t="str">
        <f>IF(INDEX(Listado!A:A,ROW())="","",INDEX(Listado!A:A,ROW()))</f>
        <v/>
      </c>
      <c r="T181" s="17" t="str">
        <f ca="1">IF(INDEX(Listado!G:G,ROW())="","",INDEX(Listado!G:G,ROW()))</f>
        <v/>
      </c>
      <c r="U181" s="17" t="str">
        <f>IF(INDEX(Listado!F:F,ROW())="","",INDEX(Listado!F:F,ROW()))</f>
        <v/>
      </c>
      <c r="V181" s="17">
        <f>IF(COUNTA(INDEX(Listado!B:B,ROW()):INDEX(Listado!F:F,ROW()))&gt;0,1,0)</f>
        <v/>
      </c>
      <c r="W181" s="17" t="str">
        <f>IF(INDEX(Listado!L:L,ROW())="","",INDEX(Listado!L:L,ROW()))</f>
        <v/>
      </c>
      <c r="X181" s="17">
        <f>IF(N181="","",IF(INDEX(Listado!$M:$M,N181)="No","No","Sí"))</f>
        <v/>
      </c>
    </row>
    <row r="182" spans="2:24" ht="14.25">
      <c r="N182" s="17" t="str">
        <f>IF(V182=0,"",IFERROR(LOOKUP(2,1/(INDEX(Listado!A:A,2):INDEX(Listado!A:A,ROW())&lt;&gt;""),ROW(INDEX(Listado!A:A,2):INDEX(Listado!A:A,ROW()))),""))</f>
        <v/>
      </c>
      <c r="O182" s="17" t="str">
        <f>IFERROR(IF(N182="","",IF(INDEX(Listado!M:M,N182)="No",IF(INDEX(Listado!N:N,N182)=0,"",INDEX(Listado!N:N,N182)),IF(INDEX(Listado!I:I,N182)=0,"",INDEX(Listado!I:I,N182)))),"")</f>
        <v/>
      </c>
      <c r="P182" s="17">
        <f t="shared" ca="1" si="7"/>
        <v/>
      </c>
      <c r="Q182" s="17">
        <f>IFERROR(IF(AND(N182&lt;&gt;"",ISNUMBER(O182),O182&gt;0,O182&gt;=TODAY()-90),1,0),0)</f>
        <v/>
      </c>
      <c r="R182" s="17" t="str">
        <f t="shared" si="9"/>
        <v/>
      </c>
      <c r="S182" s="17" t="str">
        <f>IF(INDEX(Listado!A:A,ROW())="","",INDEX(Listado!A:A,ROW()))</f>
        <v/>
      </c>
      <c r="T182" s="17" t="str">
        <f ca="1">IF(INDEX(Listado!G:G,ROW())="","",INDEX(Listado!G:G,ROW()))</f>
        <v/>
      </c>
      <c r="U182" s="17" t="str">
        <f>IF(INDEX(Listado!F:F,ROW())="","",INDEX(Listado!F:F,ROW()))</f>
        <v/>
      </c>
      <c r="V182" s="17">
        <f>IF(COUNTA(INDEX(Listado!B:B,ROW()):INDEX(Listado!F:F,ROW()))&gt;0,1,0)</f>
        <v/>
      </c>
      <c r="W182" s="17" t="str">
        <f>IF(INDEX(Listado!L:L,ROW())="","",INDEX(Listado!L:L,ROW()))</f>
        <v/>
      </c>
      <c r="X182" s="17">
        <f>IF(N182="","",IF(INDEX(Listado!$M:$M,N182)="No","No","Sí"))</f>
        <v/>
      </c>
    </row>
    <row r="183" spans="2:24" ht="14.25">
      <c r="N183" s="17" t="str">
        <f>IF(V183=0,"",IFERROR(LOOKUP(2,1/(INDEX(Listado!A:A,2):INDEX(Listado!A:A,ROW())&lt;&gt;""),ROW(INDEX(Listado!A:A,2):INDEX(Listado!A:A,ROW()))),""))</f>
        <v/>
      </c>
      <c r="O183" s="17" t="str">
        <f>IFERROR(IF(N183="","",IF(INDEX(Listado!M:M,N183)="No",IF(INDEX(Listado!N:N,N183)=0,"",INDEX(Listado!N:N,N183)),IF(INDEX(Listado!I:I,N183)=0,"",INDEX(Listado!I:I,N183)))),"")</f>
        <v/>
      </c>
      <c r="P183" s="17">
        <f t="shared" ca="1" si="7"/>
        <v/>
      </c>
      <c r="Q183" s="17">
        <f>IFERROR(IF(AND(N183&lt;&gt;"",ISNUMBER(O183),O183&gt;0,O183&gt;=TODAY()-90),1,0),0)</f>
        <v/>
      </c>
      <c r="R183" s="17" t="str">
        <f t="shared" si="9"/>
        <v/>
      </c>
      <c r="S183" s="17" t="str">
        <f>IF(INDEX(Listado!A:A,ROW())="","",INDEX(Listado!A:A,ROW()))</f>
        <v/>
      </c>
      <c r="T183" s="17" t="str">
        <f ca="1">IF(INDEX(Listado!G:G,ROW())="","",INDEX(Listado!G:G,ROW()))</f>
        <v/>
      </c>
      <c r="U183" s="17" t="str">
        <f>IF(INDEX(Listado!F:F,ROW())="","",INDEX(Listado!F:F,ROW()))</f>
        <v/>
      </c>
      <c r="V183" s="17">
        <f>IF(COUNTA(INDEX(Listado!B:B,ROW()):INDEX(Listado!F:F,ROW()))&gt;0,1,0)</f>
        <v/>
      </c>
      <c r="W183" s="17" t="str">
        <f>IF(INDEX(Listado!L:L,ROW())="","",INDEX(Listado!L:L,ROW()))</f>
        <v/>
      </c>
      <c r="X183" s="17">
        <f>IF(N183="","",IF(INDEX(Listado!$M:$M,N183)="No","No","Sí"))</f>
        <v/>
      </c>
    </row>
    <row r="184" spans="2:24" ht="14.25">
      <c r="N184" s="17" t="str">
        <f>IF(V184=0,"",IFERROR(LOOKUP(2,1/(INDEX(Listado!A:A,2):INDEX(Listado!A:A,ROW())&lt;&gt;""),ROW(INDEX(Listado!A:A,2):INDEX(Listado!A:A,ROW()))),""))</f>
        <v/>
      </c>
      <c r="O184" s="17" t="str">
        <f>IFERROR(IF(N184="","",IF(INDEX(Listado!M:M,N184)="No",IF(INDEX(Listado!N:N,N184)=0,"",INDEX(Listado!N:N,N184)),IF(INDEX(Listado!I:I,N184)=0,"",INDEX(Listado!I:I,N184)))),"")</f>
        <v/>
      </c>
      <c r="P184" s="17">
        <f t="shared" ca="1" si="7"/>
        <v/>
      </c>
      <c r="Q184" s="17">
        <f>IFERROR(IF(AND(N184&lt;&gt;"",ISNUMBER(O184),O184&gt;0,O184&gt;=TODAY()-90),1,0),0)</f>
        <v/>
      </c>
      <c r="R184" s="17" t="str">
        <f t="shared" si="9"/>
        <v/>
      </c>
      <c r="S184" s="17" t="str">
        <f>IF(INDEX(Listado!A:A,ROW())="","",INDEX(Listado!A:A,ROW()))</f>
        <v/>
      </c>
      <c r="T184" s="17" t="str">
        <f ca="1">IF(INDEX(Listado!G:G,ROW())="","",INDEX(Listado!G:G,ROW()))</f>
        <v/>
      </c>
      <c r="U184" s="17" t="str">
        <f>IF(INDEX(Listado!F:F,ROW())="","",INDEX(Listado!F:F,ROW()))</f>
        <v/>
      </c>
      <c r="V184" s="17">
        <f>IF(COUNTA(INDEX(Listado!B:B,ROW()):INDEX(Listado!F:F,ROW()))&gt;0,1,0)</f>
        <v/>
      </c>
      <c r="W184" s="17" t="str">
        <f>IF(INDEX(Listado!L:L,ROW())="","",INDEX(Listado!L:L,ROW()))</f>
        <v/>
      </c>
      <c r="X184" s="17">
        <f>IF(N184="","",IF(INDEX(Listado!$M:$M,N184)="No","No","Sí"))</f>
        <v/>
      </c>
    </row>
    <row r="185" spans="2:24" ht="14.25">
      <c r="N185" s="17" t="str">
        <f>IF(V185=0,"",IFERROR(LOOKUP(2,1/(INDEX(Listado!A:A,2):INDEX(Listado!A:A,ROW())&lt;&gt;""),ROW(INDEX(Listado!A:A,2):INDEX(Listado!A:A,ROW()))),""))</f>
        <v/>
      </c>
      <c r="O185" s="17" t="str">
        <f>IFERROR(IF(N185="","",IF(INDEX(Listado!M:M,N185)="No",IF(INDEX(Listado!N:N,N185)=0,"",INDEX(Listado!N:N,N185)),IF(INDEX(Listado!I:I,N185)=0,"",INDEX(Listado!I:I,N185)))),"")</f>
        <v/>
      </c>
      <c r="P185" s="17">
        <f t="shared" ca="1" si="7"/>
        <v/>
      </c>
      <c r="Q185" s="17">
        <f>IFERROR(IF(AND(N185&lt;&gt;"",ISNUMBER(O185),O185&gt;0,O185&gt;=TODAY()-90),1,0),0)</f>
        <v/>
      </c>
      <c r="R185" s="17" t="str">
        <f t="shared" si="9"/>
        <v/>
      </c>
      <c r="S185" s="17" t="str">
        <f>IF(INDEX(Listado!A:A,ROW())="","",INDEX(Listado!A:A,ROW()))</f>
        <v/>
      </c>
      <c r="T185" s="17" t="str">
        <f ca="1">IF(INDEX(Listado!G:G,ROW())="","",INDEX(Listado!G:G,ROW()))</f>
        <v/>
      </c>
      <c r="U185" s="17" t="str">
        <f>IF(INDEX(Listado!F:F,ROW())="","",INDEX(Listado!F:F,ROW()))</f>
        <v/>
      </c>
      <c r="V185" s="17">
        <f>IF(COUNTA(INDEX(Listado!B:B,ROW()):INDEX(Listado!F:F,ROW()))&gt;0,1,0)</f>
        <v/>
      </c>
      <c r="W185" s="17" t="str">
        <f>IF(INDEX(Listado!L:L,ROW())="","",INDEX(Listado!L:L,ROW()))</f>
        <v/>
      </c>
      <c r="X185" s="17">
        <f>IF(N185="","",IF(INDEX(Listado!$M:$M,N185)="No","No","Sí"))</f>
        <v/>
      </c>
    </row>
    <row r="186" spans="2:24" ht="14.25">
      <c r="N186" s="17" t="str">
        <f>IF(V186=0,"",IFERROR(LOOKUP(2,1/(INDEX(Listado!A:A,2):INDEX(Listado!A:A,ROW())&lt;&gt;""),ROW(INDEX(Listado!A:A,2):INDEX(Listado!A:A,ROW()))),""))</f>
        <v/>
      </c>
      <c r="O186" s="17" t="str">
        <f>IFERROR(IF(N186="","",IF(INDEX(Listado!M:M,N186)="No",IF(INDEX(Listado!N:N,N186)=0,"",INDEX(Listado!N:N,N186)),IF(INDEX(Listado!I:I,N186)=0,"",INDEX(Listado!I:I,N186)))),"")</f>
        <v/>
      </c>
      <c r="P186" s="17">
        <f t="shared" ca="1" si="7"/>
        <v/>
      </c>
      <c r="Q186" s="17">
        <f>IFERROR(IF(AND(N186&lt;&gt;"",ISNUMBER(O186),O186&gt;0,O186&gt;=TODAY()-90),1,0),0)</f>
        <v/>
      </c>
      <c r="R186" s="17" t="str">
        <f t="shared" si="9"/>
        <v/>
      </c>
      <c r="S186" s="17" t="str">
        <f>IF(INDEX(Listado!A:A,ROW())="","",INDEX(Listado!A:A,ROW()))</f>
        <v/>
      </c>
      <c r="T186" s="17" t="str">
        <f ca="1">IF(INDEX(Listado!G:G,ROW())="","",INDEX(Listado!G:G,ROW()))</f>
        <v/>
      </c>
      <c r="U186" s="17" t="str">
        <f>IF(INDEX(Listado!F:F,ROW())="","",INDEX(Listado!F:F,ROW()))</f>
        <v/>
      </c>
      <c r="V186" s="17">
        <f>IF(COUNTA(INDEX(Listado!B:B,ROW()):INDEX(Listado!F:F,ROW()))&gt;0,1,0)</f>
        <v/>
      </c>
      <c r="W186" s="17" t="str">
        <f>IF(INDEX(Listado!L:L,ROW())="","",INDEX(Listado!L:L,ROW()))</f>
        <v/>
      </c>
      <c r="X186" s="17">
        <f>IF(N186="","",IF(INDEX(Listado!$M:$M,N186)="No","No","Sí"))</f>
        <v/>
      </c>
    </row>
    <row r="187" spans="2:24" ht="14.25">
      <c r="N187" s="17" t="str">
        <f>IF(V187=0,"",IFERROR(LOOKUP(2,1/(INDEX(Listado!A:A,2):INDEX(Listado!A:A,ROW())&lt;&gt;""),ROW(INDEX(Listado!A:A,2):INDEX(Listado!A:A,ROW()))),""))</f>
        <v/>
      </c>
      <c r="O187" s="17" t="str">
        <f>IFERROR(IF(N187="","",IF(INDEX(Listado!M:M,N187)="No",IF(INDEX(Listado!N:N,N187)=0,"",INDEX(Listado!N:N,N187)),IF(INDEX(Listado!I:I,N187)=0,"",INDEX(Listado!I:I,N187)))),"")</f>
        <v/>
      </c>
      <c r="P187" s="17">
        <f t="shared" ca="1" si="7"/>
        <v/>
      </c>
      <c r="Q187" s="17">
        <f>IFERROR(IF(AND(N187&lt;&gt;"",ISNUMBER(O187),O187&gt;0,O187&gt;=TODAY()-90),1,0),0)</f>
        <v/>
      </c>
      <c r="R187" s="17" t="str">
        <f t="shared" si="9"/>
        <v/>
      </c>
      <c r="S187" s="17" t="str">
        <f>IF(INDEX(Listado!A:A,ROW())="","",INDEX(Listado!A:A,ROW()))</f>
        <v/>
      </c>
      <c r="T187" s="17" t="str">
        <f ca="1">IF(INDEX(Listado!G:G,ROW())="","",INDEX(Listado!G:G,ROW()))</f>
        <v/>
      </c>
      <c r="U187" s="17" t="str">
        <f>IF(INDEX(Listado!F:F,ROW())="","",INDEX(Listado!F:F,ROW()))</f>
        <v/>
      </c>
      <c r="V187" s="17">
        <f>IF(COUNTA(INDEX(Listado!B:B,ROW()):INDEX(Listado!F:F,ROW()))&gt;0,1,0)</f>
        <v/>
      </c>
      <c r="W187" s="17" t="str">
        <f>IF(INDEX(Listado!L:L,ROW())="","",INDEX(Listado!L:L,ROW()))</f>
        <v/>
      </c>
      <c r="X187" s="17">
        <f>IF(N187="","",IF(INDEX(Listado!$M:$M,N187)="No","No","Sí"))</f>
        <v/>
      </c>
    </row>
    <row r="188" spans="2:24" ht="14.25">
      <c r="N188" s="17" t="str">
        <f>IF(V188=0,"",IFERROR(LOOKUP(2,1/(INDEX(Listado!A:A,2):INDEX(Listado!A:A,ROW())&lt;&gt;""),ROW(INDEX(Listado!A:A,2):INDEX(Listado!A:A,ROW()))),""))</f>
        <v/>
      </c>
      <c r="O188" s="17" t="str">
        <f>IFERROR(IF(N188="","",IF(INDEX(Listado!M:M,N188)="No",IF(INDEX(Listado!N:N,N188)=0,"",INDEX(Listado!N:N,N188)),IF(INDEX(Listado!I:I,N188)=0,"",INDEX(Listado!I:I,N188)))),"")</f>
        <v/>
      </c>
      <c r="P188" s="17">
        <f t="shared" ca="1" si="7"/>
        <v/>
      </c>
      <c r="Q188" s="17">
        <f>IFERROR(IF(AND(N188&lt;&gt;"",ISNUMBER(O188),O188&gt;0,O188&gt;=TODAY()-90),1,0),0)</f>
        <v/>
      </c>
      <c r="R188" s="17" t="str">
        <f t="shared" si="9"/>
        <v/>
      </c>
      <c r="S188" s="17" t="str">
        <f>IF(INDEX(Listado!A:A,ROW())="","",INDEX(Listado!A:A,ROW()))</f>
        <v/>
      </c>
      <c r="T188" s="17" t="str">
        <f ca="1">IF(INDEX(Listado!G:G,ROW())="","",INDEX(Listado!G:G,ROW()))</f>
        <v/>
      </c>
      <c r="U188" s="17" t="str">
        <f>IF(INDEX(Listado!F:F,ROW())="","",INDEX(Listado!F:F,ROW()))</f>
        <v/>
      </c>
      <c r="V188" s="17">
        <f>IF(COUNTA(INDEX(Listado!B:B,ROW()):INDEX(Listado!F:F,ROW()))&gt;0,1,0)</f>
        <v/>
      </c>
      <c r="W188" s="17" t="str">
        <f>IF(INDEX(Listado!L:L,ROW())="","",INDEX(Listado!L:L,ROW()))</f>
        <v/>
      </c>
      <c r="X188" s="17">
        <f>IF(N188="","",IF(INDEX(Listado!$M:$M,N188)="No","No","Sí"))</f>
        <v/>
      </c>
    </row>
    <row r="189" spans="2:24" ht="14.25">
      <c r="N189" s="17" t="str">
        <f>IF(V189=0,"",IFERROR(LOOKUP(2,1/(INDEX(Listado!A:A,2):INDEX(Listado!A:A,ROW())&lt;&gt;""),ROW(INDEX(Listado!A:A,2):INDEX(Listado!A:A,ROW()))),""))</f>
        <v/>
      </c>
      <c r="O189" s="17" t="str">
        <f>IFERROR(IF(N189="","",IF(INDEX(Listado!M:M,N189)="No",IF(INDEX(Listado!N:N,N189)=0,"",INDEX(Listado!N:N,N189)),IF(INDEX(Listado!I:I,N189)=0,"",INDEX(Listado!I:I,N189)))),"")</f>
        <v/>
      </c>
      <c r="P189" s="17">
        <f t="shared" ca="1" si="7"/>
        <v/>
      </c>
      <c r="Q189" s="17">
        <f>IFERROR(IF(AND(N189&lt;&gt;"",ISNUMBER(O189),O189&gt;0,O189&gt;=TODAY()-90),1,0),0)</f>
        <v/>
      </c>
      <c r="R189" s="17" t="str">
        <f t="shared" si="9"/>
        <v/>
      </c>
      <c r="S189" s="17" t="str">
        <f>IF(INDEX(Listado!A:A,ROW())="","",INDEX(Listado!A:A,ROW()))</f>
        <v/>
      </c>
      <c r="T189" s="17" t="str">
        <f ca="1">IF(INDEX(Listado!G:G,ROW())="","",INDEX(Listado!G:G,ROW()))</f>
        <v/>
      </c>
      <c r="U189" s="17" t="str">
        <f>IF(INDEX(Listado!F:F,ROW())="","",INDEX(Listado!F:F,ROW()))</f>
        <v/>
      </c>
      <c r="V189" s="17">
        <f>IF(COUNTA(INDEX(Listado!B:B,ROW()):INDEX(Listado!F:F,ROW()))&gt;0,1,0)</f>
        <v/>
      </c>
      <c r="W189" s="17" t="str">
        <f>IF(INDEX(Listado!L:L,ROW())="","",INDEX(Listado!L:L,ROW()))</f>
        <v/>
      </c>
      <c r="X189" s="17">
        <f>IF(N189="","",IF(INDEX(Listado!$M:$M,N189)="No","No","Sí"))</f>
        <v/>
      </c>
    </row>
    <row r="190" spans="2:24" ht="14.25">
      <c r="N190" s="17" t="str">
        <f>IF(V190=0,"",IFERROR(LOOKUP(2,1/(INDEX(Listado!A:A,2):INDEX(Listado!A:A,ROW())&lt;&gt;""),ROW(INDEX(Listado!A:A,2):INDEX(Listado!A:A,ROW()))),""))</f>
        <v/>
      </c>
      <c r="O190" s="17" t="str">
        <f>IFERROR(IF(N190="","",IF(INDEX(Listado!M:M,N190)="No",IF(INDEX(Listado!N:N,N190)=0,"",INDEX(Listado!N:N,N190)),IF(INDEX(Listado!I:I,N190)=0,"",INDEX(Listado!I:I,N190)))),"")</f>
        <v/>
      </c>
      <c r="P190" s="17">
        <f t="shared" ca="1" si="7"/>
        <v/>
      </c>
      <c r="Q190" s="17">
        <f>IFERROR(IF(AND(N190&lt;&gt;"",ISNUMBER(O190),O190&gt;0,O190&gt;=TODAY()-90),1,0),0)</f>
        <v/>
      </c>
      <c r="R190" s="17" t="str">
        <f t="shared" si="9"/>
        <v/>
      </c>
      <c r="S190" s="17" t="str">
        <f>IF(INDEX(Listado!A:A,ROW())="","",INDEX(Listado!A:A,ROW()))</f>
        <v/>
      </c>
      <c r="T190" s="17" t="str">
        <f ca="1">IF(INDEX(Listado!G:G,ROW())="","",INDEX(Listado!G:G,ROW()))</f>
        <v/>
      </c>
      <c r="U190" s="17" t="str">
        <f>IF(INDEX(Listado!F:F,ROW())="","",INDEX(Listado!F:F,ROW()))</f>
        <v/>
      </c>
      <c r="V190" s="17">
        <f>IF(COUNTA(INDEX(Listado!B:B,ROW()):INDEX(Listado!F:F,ROW()))&gt;0,1,0)</f>
        <v/>
      </c>
      <c r="W190" s="17" t="str">
        <f>IF(INDEX(Listado!L:L,ROW())="","",INDEX(Listado!L:L,ROW()))</f>
        <v/>
      </c>
      <c r="X190" s="17">
        <f>IF(N190="","",IF(INDEX(Listado!$M:$M,N190)="No","No","Sí"))</f>
        <v/>
      </c>
    </row>
    <row r="191" spans="2:24" ht="14.25">
      <c r="N191" s="17" t="str">
        <f>IF(V191=0,"",IFERROR(LOOKUP(2,1/(INDEX(Listado!A:A,2):INDEX(Listado!A:A,ROW())&lt;&gt;""),ROW(INDEX(Listado!A:A,2):INDEX(Listado!A:A,ROW()))),""))</f>
        <v/>
      </c>
      <c r="O191" s="17" t="str">
        <f>IFERROR(IF(N191="","",IF(INDEX(Listado!M:M,N191)="No",IF(INDEX(Listado!N:N,N191)=0,"",INDEX(Listado!N:N,N191)),IF(INDEX(Listado!I:I,N191)=0,"",INDEX(Listado!I:I,N191)))),"")</f>
        <v/>
      </c>
      <c r="P191" s="17">
        <f t="shared" ca="1" si="7"/>
        <v/>
      </c>
      <c r="Q191" s="17">
        <f>IFERROR(IF(AND(N191&lt;&gt;"",ISNUMBER(O191),O191&gt;0,O191&gt;=TODAY()-90),1,0),0)</f>
        <v/>
      </c>
      <c r="R191" s="17" t="str">
        <f t="shared" si="9"/>
        <v/>
      </c>
      <c r="S191" s="17" t="str">
        <f>IF(INDEX(Listado!A:A,ROW())="","",INDEX(Listado!A:A,ROW()))</f>
        <v/>
      </c>
      <c r="T191" s="17" t="str">
        <f ca="1">IF(INDEX(Listado!G:G,ROW())="","",INDEX(Listado!G:G,ROW()))</f>
        <v/>
      </c>
      <c r="U191" s="17" t="str">
        <f>IF(INDEX(Listado!F:F,ROW())="","",INDEX(Listado!F:F,ROW()))</f>
        <v/>
      </c>
      <c r="V191" s="17">
        <f>IF(COUNTA(INDEX(Listado!B:B,ROW()):INDEX(Listado!F:F,ROW()))&gt;0,1,0)</f>
        <v/>
      </c>
      <c r="W191" s="17" t="str">
        <f>IF(INDEX(Listado!L:L,ROW())="","",INDEX(Listado!L:L,ROW()))</f>
        <v/>
      </c>
      <c r="X191" s="17">
        <f>IF(N191="","",IF(INDEX(Listado!$M:$M,N191)="No","No","Sí"))</f>
        <v/>
      </c>
    </row>
    <row r="192" spans="2:24" ht="14.25">
      <c r="N192" s="17" t="str">
        <f>IF(V192=0,"",IFERROR(LOOKUP(2,1/(INDEX(Listado!A:A,2):INDEX(Listado!A:A,ROW())&lt;&gt;""),ROW(INDEX(Listado!A:A,2):INDEX(Listado!A:A,ROW()))),""))</f>
        <v/>
      </c>
      <c r="O192" s="17" t="str">
        <f>IFERROR(IF(N192="","",IF(INDEX(Listado!M:M,N192)="No",IF(INDEX(Listado!N:N,N192)=0,"",INDEX(Listado!N:N,N192)),IF(INDEX(Listado!I:I,N192)=0,"",INDEX(Listado!I:I,N192)))),"")</f>
        <v/>
      </c>
      <c r="P192" s="17">
        <f t="shared" ca="1" si="7"/>
        <v/>
      </c>
      <c r="Q192" s="17">
        <f>IFERROR(IF(AND(N192&lt;&gt;"",ISNUMBER(O192),O192&gt;0,O192&gt;=TODAY()-90),1,0),0)</f>
        <v/>
      </c>
      <c r="R192" s="17" t="str">
        <f t="shared" si="9"/>
        <v/>
      </c>
      <c r="S192" s="17" t="str">
        <f>IF(INDEX(Listado!A:A,ROW())="","",INDEX(Listado!A:A,ROW()))</f>
        <v/>
      </c>
      <c r="T192" s="17" t="str">
        <f ca="1">IF(INDEX(Listado!G:G,ROW())="","",INDEX(Listado!G:G,ROW()))</f>
        <v/>
      </c>
      <c r="U192" s="17" t="str">
        <f>IF(INDEX(Listado!F:F,ROW())="","",INDEX(Listado!F:F,ROW()))</f>
        <v/>
      </c>
      <c r="V192" s="17">
        <f>IF(COUNTA(INDEX(Listado!B:B,ROW()):INDEX(Listado!F:F,ROW()))&gt;0,1,0)</f>
        <v/>
      </c>
      <c r="W192" s="17" t="str">
        <f>IF(INDEX(Listado!L:L,ROW())="","",INDEX(Listado!L:L,ROW()))</f>
        <v/>
      </c>
      <c r="X192" s="17">
        <f>IF(N192="","",IF(INDEX(Listado!$M:$M,N192)="No","No","Sí"))</f>
        <v/>
      </c>
    </row>
    <row r="193" spans="2:24" ht="14.25">
      <c r="N193" s="17" t="str">
        <f>IF(V193=0,"",IFERROR(LOOKUP(2,1/(INDEX(Listado!A:A,2):INDEX(Listado!A:A,ROW())&lt;&gt;""),ROW(INDEX(Listado!A:A,2):INDEX(Listado!A:A,ROW()))),""))</f>
        <v/>
      </c>
      <c r="O193" s="17" t="str">
        <f>IFERROR(IF(N193="","",IF(INDEX(Listado!M:M,N193)="No",IF(INDEX(Listado!N:N,N193)=0,"",INDEX(Listado!N:N,N193)),IF(INDEX(Listado!I:I,N193)=0,"",INDEX(Listado!I:I,N193)))),"")</f>
        <v/>
      </c>
      <c r="P193" s="17">
        <f t="shared" ca="1" si="7"/>
        <v/>
      </c>
      <c r="Q193" s="17">
        <f>IFERROR(IF(AND(N193&lt;&gt;"",ISNUMBER(O193),O193&gt;0,O193&gt;=TODAY()-90),1,0),0)</f>
        <v/>
      </c>
      <c r="R193" s="17" t="str">
        <f t="shared" si="9"/>
        <v/>
      </c>
      <c r="S193" s="17" t="str">
        <f>IF(INDEX(Listado!A:A,ROW())="","",INDEX(Listado!A:A,ROW()))</f>
        <v/>
      </c>
      <c r="T193" s="17" t="str">
        <f ca="1">IF(INDEX(Listado!G:G,ROW())="","",INDEX(Listado!G:G,ROW()))</f>
        <v/>
      </c>
      <c r="U193" s="17" t="str">
        <f>IF(INDEX(Listado!F:F,ROW())="","",INDEX(Listado!F:F,ROW()))</f>
        <v/>
      </c>
      <c r="V193" s="17">
        <f>IF(COUNTA(INDEX(Listado!B:B,ROW()):INDEX(Listado!F:F,ROW()))&gt;0,1,0)</f>
        <v/>
      </c>
      <c r="W193" s="17" t="str">
        <f>IF(INDEX(Listado!L:L,ROW())="","",INDEX(Listado!L:L,ROW()))</f>
        <v/>
      </c>
      <c r="X193" s="17">
        <f>IF(N193="","",IF(INDEX(Listado!$M:$M,N193)="No","No","Sí"))</f>
        <v/>
      </c>
    </row>
    <row r="194" spans="2:24" ht="14.25">
      <c r="N194" s="17" t="str">
        <f>IF(V194=0,"",IFERROR(LOOKUP(2,1/(INDEX(Listado!A:A,2):INDEX(Listado!A:A,ROW())&lt;&gt;""),ROW(INDEX(Listado!A:A,2):INDEX(Listado!A:A,ROW()))),""))</f>
        <v/>
      </c>
      <c r="O194" s="17" t="str">
        <f>IFERROR(IF(N194="","",IF(INDEX(Listado!M:M,N194)="No",IF(INDEX(Listado!N:N,N194)=0,"",INDEX(Listado!N:N,N194)),IF(INDEX(Listado!I:I,N194)=0,"",INDEX(Listado!I:I,N194)))),"")</f>
        <v/>
      </c>
      <c r="P194" s="17">
        <f t="shared" ref="P194:P257" ca="1" si="10">IF(W194="",0,IFERROR(IF(AND(ISNUMBER(W194),W194=INT(W194),ISNUMBER(O194),O194&gt;0,W194&gt;=TODAY(),W194&lt;=O194+90),0,1),1))</f>
        <v/>
      </c>
      <c r="Q194" s="17">
        <f>IFERROR(IF(AND(N194&lt;&gt;"",ISNUMBER(O194),O194&gt;0,O194&gt;=TODAY()-90),1,0),0)</f>
        <v/>
      </c>
      <c r="R194" s="17" t="str">
        <f t="shared" ref="R194:R257" si="12">IF(S194="","",COUNTIFS($N$2:$N$2999,ROW(),$Q$2:$Q$2999,1))</f>
        <v/>
      </c>
      <c r="S194" s="17" t="str">
        <f>IF(INDEX(Listado!A:A,ROW())="","",INDEX(Listado!A:A,ROW()))</f>
        <v/>
      </c>
      <c r="T194" s="17" t="str">
        <f ca="1">IF(INDEX(Listado!G:G,ROW())="","",INDEX(Listado!G:G,ROW()))</f>
        <v/>
      </c>
      <c r="U194" s="17" t="str">
        <f>IF(INDEX(Listado!F:F,ROW())="","",INDEX(Listado!F:F,ROW()))</f>
        <v/>
      </c>
      <c r="V194" s="17">
        <f>IF(COUNTA(INDEX(Listado!B:B,ROW()):INDEX(Listado!F:F,ROW()))&gt;0,1,0)</f>
        <v/>
      </c>
      <c r="W194" s="17" t="str">
        <f>IF(INDEX(Listado!L:L,ROW())="","",INDEX(Listado!L:L,ROW()))</f>
        <v/>
      </c>
      <c r="X194" s="17">
        <f>IF(N194="","",IF(INDEX(Listado!$M:$M,N194)="No","No","Sí"))</f>
        <v/>
      </c>
    </row>
    <row r="195" spans="2:24" ht="14.25">
      <c r="N195" s="17" t="str">
        <f>IF(V195=0,"",IFERROR(LOOKUP(2,1/(INDEX(Listado!A:A,2):INDEX(Listado!A:A,ROW())&lt;&gt;""),ROW(INDEX(Listado!A:A,2):INDEX(Listado!A:A,ROW()))),""))</f>
        <v/>
      </c>
      <c r="O195" s="17" t="str">
        <f>IFERROR(IF(N195="","",IF(INDEX(Listado!M:M,N195)="No",IF(INDEX(Listado!N:N,N195)=0,"",INDEX(Listado!N:N,N195)),IF(INDEX(Listado!I:I,N195)=0,"",INDEX(Listado!I:I,N195)))),"")</f>
        <v/>
      </c>
      <c r="P195" s="17">
        <f t="shared" ca="1" si="10"/>
        <v/>
      </c>
      <c r="Q195" s="17">
        <f>IFERROR(IF(AND(N195&lt;&gt;"",ISNUMBER(O195),O195&gt;0,O195&gt;=TODAY()-90),1,0),0)</f>
        <v/>
      </c>
      <c r="R195" s="17" t="str">
        <f t="shared" si="12"/>
        <v/>
      </c>
      <c r="S195" s="17" t="str">
        <f>IF(INDEX(Listado!A:A,ROW())="","",INDEX(Listado!A:A,ROW()))</f>
        <v/>
      </c>
      <c r="T195" s="17" t="str">
        <f ca="1">IF(INDEX(Listado!G:G,ROW())="","",INDEX(Listado!G:G,ROW()))</f>
        <v/>
      </c>
      <c r="U195" s="17" t="str">
        <f>IF(INDEX(Listado!F:F,ROW())="","",INDEX(Listado!F:F,ROW()))</f>
        <v/>
      </c>
      <c r="V195" s="17">
        <f>IF(COUNTA(INDEX(Listado!B:B,ROW()):INDEX(Listado!F:F,ROW()))&gt;0,1,0)</f>
        <v/>
      </c>
      <c r="W195" s="17" t="str">
        <f>IF(INDEX(Listado!L:L,ROW())="","",INDEX(Listado!L:L,ROW()))</f>
        <v/>
      </c>
      <c r="X195" s="17">
        <f>IF(N195="","",IF(INDEX(Listado!$M:$M,N195)="No","No","Sí"))</f>
        <v/>
      </c>
    </row>
    <row r="196" spans="2:24" ht="14.25">
      <c r="N196" s="17" t="str">
        <f>IF(V196=0,"",IFERROR(LOOKUP(2,1/(INDEX(Listado!A:A,2):INDEX(Listado!A:A,ROW())&lt;&gt;""),ROW(INDEX(Listado!A:A,2):INDEX(Listado!A:A,ROW()))),""))</f>
        <v/>
      </c>
      <c r="O196" s="17" t="str">
        <f>IFERROR(IF(N196="","",IF(INDEX(Listado!M:M,N196)="No",IF(INDEX(Listado!N:N,N196)=0,"",INDEX(Listado!N:N,N196)),IF(INDEX(Listado!I:I,N196)=0,"",INDEX(Listado!I:I,N196)))),"")</f>
        <v/>
      </c>
      <c r="P196" s="17">
        <f t="shared" ca="1" si="10"/>
        <v/>
      </c>
      <c r="Q196" s="17">
        <f>IFERROR(IF(AND(N196&lt;&gt;"",ISNUMBER(O196),O196&gt;0,O196&gt;=TODAY()-90),1,0),0)</f>
        <v/>
      </c>
      <c r="R196" s="17" t="str">
        <f t="shared" si="12"/>
        <v/>
      </c>
      <c r="S196" s="17" t="str">
        <f>IF(INDEX(Listado!A:A,ROW())="","",INDEX(Listado!A:A,ROW()))</f>
        <v/>
      </c>
      <c r="T196" s="17" t="str">
        <f ca="1">IF(INDEX(Listado!G:G,ROW())="","",INDEX(Listado!G:G,ROW()))</f>
        <v/>
      </c>
      <c r="U196" s="17" t="str">
        <f>IF(INDEX(Listado!F:F,ROW())="","",INDEX(Listado!F:F,ROW()))</f>
        <v/>
      </c>
      <c r="V196" s="17">
        <f>IF(COUNTA(INDEX(Listado!B:B,ROW()):INDEX(Listado!F:F,ROW()))&gt;0,1,0)</f>
        <v/>
      </c>
      <c r="W196" s="17" t="str">
        <f>IF(INDEX(Listado!L:L,ROW())="","",INDEX(Listado!L:L,ROW()))</f>
        <v/>
      </c>
      <c r="X196" s="17">
        <f>IF(N196="","",IF(INDEX(Listado!$M:$M,N196)="No","No","Sí"))</f>
        <v/>
      </c>
    </row>
    <row r="197" spans="2:24" ht="14.25">
      <c r="N197" s="17" t="str">
        <f>IF(V197=0,"",IFERROR(LOOKUP(2,1/(INDEX(Listado!A:A,2):INDEX(Listado!A:A,ROW())&lt;&gt;""),ROW(INDEX(Listado!A:A,2):INDEX(Listado!A:A,ROW()))),""))</f>
        <v/>
      </c>
      <c r="O197" s="17" t="str">
        <f>IFERROR(IF(N197="","",IF(INDEX(Listado!M:M,N197)="No",IF(INDEX(Listado!N:N,N197)=0,"",INDEX(Listado!N:N,N197)),IF(INDEX(Listado!I:I,N197)=0,"",INDEX(Listado!I:I,N197)))),"")</f>
        <v/>
      </c>
      <c r="P197" s="17">
        <f t="shared" ca="1" si="10"/>
        <v/>
      </c>
      <c r="Q197" s="17">
        <f>IFERROR(IF(AND(N197&lt;&gt;"",ISNUMBER(O197),O197&gt;0,O197&gt;=TODAY()-90),1,0),0)</f>
        <v/>
      </c>
      <c r="R197" s="17" t="str">
        <f t="shared" si="12"/>
        <v/>
      </c>
      <c r="S197" s="17" t="str">
        <f>IF(INDEX(Listado!A:A,ROW())="","",INDEX(Listado!A:A,ROW()))</f>
        <v/>
      </c>
      <c r="T197" s="17" t="str">
        <f ca="1">IF(INDEX(Listado!G:G,ROW())="","",INDEX(Listado!G:G,ROW()))</f>
        <v/>
      </c>
      <c r="U197" s="17" t="str">
        <f>IF(INDEX(Listado!F:F,ROW())="","",INDEX(Listado!F:F,ROW()))</f>
        <v/>
      </c>
      <c r="V197" s="17">
        <f>IF(COUNTA(INDEX(Listado!B:B,ROW()):INDEX(Listado!F:F,ROW()))&gt;0,1,0)</f>
        <v/>
      </c>
      <c r="W197" s="17" t="str">
        <f>IF(INDEX(Listado!L:L,ROW())="","",INDEX(Listado!L:L,ROW()))</f>
        <v/>
      </c>
      <c r="X197" s="17">
        <f>IF(N197="","",IF(INDEX(Listado!$M:$M,N197)="No","No","Sí"))</f>
        <v/>
      </c>
    </row>
    <row r="198" spans="2:24" ht="14.25">
      <c r="N198" s="17" t="str">
        <f>IF(V198=0,"",IFERROR(LOOKUP(2,1/(INDEX(Listado!A:A,2):INDEX(Listado!A:A,ROW())&lt;&gt;""),ROW(INDEX(Listado!A:A,2):INDEX(Listado!A:A,ROW()))),""))</f>
        <v/>
      </c>
      <c r="O198" s="17" t="str">
        <f>IFERROR(IF(N198="","",IF(INDEX(Listado!M:M,N198)="No",IF(INDEX(Listado!N:N,N198)=0,"",INDEX(Listado!N:N,N198)),IF(INDEX(Listado!I:I,N198)=0,"",INDEX(Listado!I:I,N198)))),"")</f>
        <v/>
      </c>
      <c r="P198" s="17">
        <f t="shared" ca="1" si="10"/>
        <v/>
      </c>
      <c r="Q198" s="17">
        <f>IFERROR(IF(AND(N198&lt;&gt;"",ISNUMBER(O198),O198&gt;0,O198&gt;=TODAY()-90),1,0),0)</f>
        <v/>
      </c>
      <c r="R198" s="17" t="str">
        <f t="shared" si="12"/>
        <v/>
      </c>
      <c r="S198" s="17" t="str">
        <f>IF(INDEX(Listado!A:A,ROW())="","",INDEX(Listado!A:A,ROW()))</f>
        <v/>
      </c>
      <c r="T198" s="17" t="str">
        <f ca="1">IF(INDEX(Listado!G:G,ROW())="","",INDEX(Listado!G:G,ROW()))</f>
        <v/>
      </c>
      <c r="U198" s="17" t="str">
        <f>IF(INDEX(Listado!F:F,ROW())="","",INDEX(Listado!F:F,ROW()))</f>
        <v/>
      </c>
      <c r="V198" s="17">
        <f>IF(COUNTA(INDEX(Listado!B:B,ROW()):INDEX(Listado!F:F,ROW()))&gt;0,1,0)</f>
        <v/>
      </c>
      <c r="W198" s="17" t="str">
        <f>IF(INDEX(Listado!L:L,ROW())="","",INDEX(Listado!L:L,ROW()))</f>
        <v/>
      </c>
      <c r="X198" s="17">
        <f>IF(N198="","",IF(INDEX(Listado!$M:$M,N198)="No","No","Sí"))</f>
        <v/>
      </c>
    </row>
    <row r="199" spans="2:24" ht="14.25">
      <c r="N199" s="17" t="str">
        <f>IF(V199=0,"",IFERROR(LOOKUP(2,1/(INDEX(Listado!A:A,2):INDEX(Listado!A:A,ROW())&lt;&gt;""),ROW(INDEX(Listado!A:A,2):INDEX(Listado!A:A,ROW()))),""))</f>
        <v/>
      </c>
      <c r="O199" s="17" t="str">
        <f>IFERROR(IF(N199="","",IF(INDEX(Listado!M:M,N199)="No",IF(INDEX(Listado!N:N,N199)=0,"",INDEX(Listado!N:N,N199)),IF(INDEX(Listado!I:I,N199)=0,"",INDEX(Listado!I:I,N199)))),"")</f>
        <v/>
      </c>
      <c r="P199" s="17">
        <f t="shared" ca="1" si="10"/>
        <v/>
      </c>
      <c r="Q199" s="17">
        <f>IFERROR(IF(AND(N199&lt;&gt;"",ISNUMBER(O199),O199&gt;0,O199&gt;=TODAY()-90),1,0),0)</f>
        <v/>
      </c>
      <c r="R199" s="17" t="str">
        <f t="shared" si="12"/>
        <v/>
      </c>
      <c r="S199" s="17" t="str">
        <f>IF(INDEX(Listado!A:A,ROW())="","",INDEX(Listado!A:A,ROW()))</f>
        <v/>
      </c>
      <c r="T199" s="17" t="str">
        <f ca="1">IF(INDEX(Listado!G:G,ROW())="","",INDEX(Listado!G:G,ROW()))</f>
        <v/>
      </c>
      <c r="U199" s="17" t="str">
        <f>IF(INDEX(Listado!F:F,ROW())="","",INDEX(Listado!F:F,ROW()))</f>
        <v/>
      </c>
      <c r="V199" s="17">
        <f>IF(COUNTA(INDEX(Listado!B:B,ROW()):INDEX(Listado!F:F,ROW()))&gt;0,1,0)</f>
        <v/>
      </c>
      <c r="W199" s="17" t="str">
        <f>IF(INDEX(Listado!L:L,ROW())="","",INDEX(Listado!L:L,ROW()))</f>
        <v/>
      </c>
      <c r="X199" s="17">
        <f>IF(N199="","",IF(INDEX(Listado!$M:$M,N199)="No","No","Sí"))</f>
        <v/>
      </c>
    </row>
    <row r="200" spans="2:24" ht="14.25">
      <c r="N200" s="17" t="str">
        <f>IF(V200=0,"",IFERROR(LOOKUP(2,1/(INDEX(Listado!A:A,2):INDEX(Listado!A:A,ROW())&lt;&gt;""),ROW(INDEX(Listado!A:A,2):INDEX(Listado!A:A,ROW()))),""))</f>
        <v/>
      </c>
      <c r="O200" s="17" t="str">
        <f>IFERROR(IF(N200="","",IF(INDEX(Listado!M:M,N200)="No",IF(INDEX(Listado!N:N,N200)=0,"",INDEX(Listado!N:N,N200)),IF(INDEX(Listado!I:I,N200)=0,"",INDEX(Listado!I:I,N200)))),"")</f>
        <v/>
      </c>
      <c r="P200" s="17">
        <f t="shared" ca="1" si="10"/>
        <v/>
      </c>
      <c r="Q200" s="17">
        <f>IFERROR(IF(AND(N200&lt;&gt;"",ISNUMBER(O200),O200&gt;0,O200&gt;=TODAY()-90),1,0),0)</f>
        <v/>
      </c>
      <c r="R200" s="17" t="str">
        <f t="shared" si="12"/>
        <v/>
      </c>
      <c r="S200" s="17" t="str">
        <f>IF(INDEX(Listado!A:A,ROW())="","",INDEX(Listado!A:A,ROW()))</f>
        <v/>
      </c>
      <c r="T200" s="17" t="str">
        <f ca="1">IF(INDEX(Listado!G:G,ROW())="","",INDEX(Listado!G:G,ROW()))</f>
        <v/>
      </c>
      <c r="U200" s="17" t="str">
        <f>IF(INDEX(Listado!F:F,ROW())="","",INDEX(Listado!F:F,ROW()))</f>
        <v/>
      </c>
      <c r="V200" s="17">
        <f>IF(COUNTA(INDEX(Listado!B:B,ROW()):INDEX(Listado!F:F,ROW()))&gt;0,1,0)</f>
        <v/>
      </c>
      <c r="W200" s="17" t="str">
        <f>IF(INDEX(Listado!L:L,ROW())="","",INDEX(Listado!L:L,ROW()))</f>
        <v/>
      </c>
      <c r="X200" s="17">
        <f>IF(N200="","",IF(INDEX(Listado!$M:$M,N200)="No","No","Sí"))</f>
        <v/>
      </c>
    </row>
    <row r="201" spans="2:24" ht="14.25">
      <c r="N201" s="17" t="str">
        <f>IF(V201=0,"",IFERROR(LOOKUP(2,1/(INDEX(Listado!A:A,2):INDEX(Listado!A:A,ROW())&lt;&gt;""),ROW(INDEX(Listado!A:A,2):INDEX(Listado!A:A,ROW()))),""))</f>
        <v/>
      </c>
      <c r="O201" s="17" t="str">
        <f>IFERROR(IF(N201="","",IF(INDEX(Listado!M:M,N201)="No",IF(INDEX(Listado!N:N,N201)=0,"",INDEX(Listado!N:N,N201)),IF(INDEX(Listado!I:I,N201)=0,"",INDEX(Listado!I:I,N201)))),"")</f>
        <v/>
      </c>
      <c r="P201" s="17">
        <f t="shared" ca="1" si="10"/>
        <v/>
      </c>
      <c r="Q201" s="17">
        <f>IFERROR(IF(AND(N201&lt;&gt;"",ISNUMBER(O201),O201&gt;0,O201&gt;=TODAY()-90),1,0),0)</f>
        <v/>
      </c>
      <c r="R201" s="17" t="str">
        <f t="shared" si="12"/>
        <v/>
      </c>
      <c r="S201" s="17" t="str">
        <f>IF(INDEX(Listado!A:A,ROW())="","",INDEX(Listado!A:A,ROW()))</f>
        <v/>
      </c>
      <c r="T201" s="17" t="str">
        <f ca="1">IF(INDEX(Listado!G:G,ROW())="","",INDEX(Listado!G:G,ROW()))</f>
        <v/>
      </c>
      <c r="U201" s="17" t="str">
        <f>IF(INDEX(Listado!F:F,ROW())="","",INDEX(Listado!F:F,ROW()))</f>
        <v/>
      </c>
      <c r="V201" s="17">
        <f>IF(COUNTA(INDEX(Listado!B:B,ROW()):INDEX(Listado!F:F,ROW()))&gt;0,1,0)</f>
        <v/>
      </c>
      <c r="W201" s="17" t="str">
        <f>IF(INDEX(Listado!L:L,ROW())="","",INDEX(Listado!L:L,ROW()))</f>
        <v/>
      </c>
      <c r="X201" s="17">
        <f>IF(N201="","",IF(INDEX(Listado!$M:$M,N201)="No","No","Sí"))</f>
        <v/>
      </c>
    </row>
    <row r="202" spans="2:24" ht="14.25">
      <c r="N202" s="17" t="str">
        <f>IF(V202=0,"",IFERROR(LOOKUP(2,1/(INDEX(Listado!A:A,2):INDEX(Listado!A:A,ROW())&lt;&gt;""),ROW(INDEX(Listado!A:A,2):INDEX(Listado!A:A,ROW()))),""))</f>
        <v/>
      </c>
      <c r="O202" s="17" t="str">
        <f>IFERROR(IF(N202="","",IF(INDEX(Listado!M:M,N202)="No",IF(INDEX(Listado!N:N,N202)=0,"",INDEX(Listado!N:N,N202)),IF(INDEX(Listado!I:I,N202)=0,"",INDEX(Listado!I:I,N202)))),"")</f>
        <v/>
      </c>
      <c r="P202" s="17">
        <f t="shared" ca="1" si="10"/>
        <v/>
      </c>
      <c r="Q202" s="17">
        <f>IFERROR(IF(AND(N202&lt;&gt;"",ISNUMBER(O202),O202&gt;0,O202&gt;=TODAY()-90),1,0),0)</f>
        <v/>
      </c>
      <c r="R202" s="17" t="str">
        <f t="shared" si="12"/>
        <v/>
      </c>
      <c r="S202" s="17" t="str">
        <f>IF(INDEX(Listado!A:A,ROW())="","",INDEX(Listado!A:A,ROW()))</f>
        <v/>
      </c>
      <c r="T202" s="17" t="str">
        <f ca="1">IF(INDEX(Listado!G:G,ROW())="","",INDEX(Listado!G:G,ROW()))</f>
        <v/>
      </c>
      <c r="U202" s="17" t="str">
        <f>IF(INDEX(Listado!F:F,ROW())="","",INDEX(Listado!F:F,ROW()))</f>
        <v/>
      </c>
      <c r="V202" s="17">
        <f>IF(COUNTA(INDEX(Listado!B:B,ROW()):INDEX(Listado!F:F,ROW()))&gt;0,1,0)</f>
        <v/>
      </c>
      <c r="W202" s="17" t="str">
        <f>IF(INDEX(Listado!L:L,ROW())="","",INDEX(Listado!L:L,ROW()))</f>
        <v/>
      </c>
      <c r="X202" s="17">
        <f>IF(N202="","",IF(INDEX(Listado!$M:$M,N202)="No","No","Sí"))</f>
        <v/>
      </c>
    </row>
    <row r="203" spans="2:24" ht="14.25">
      <c r="N203" s="17" t="str">
        <f>IF(V203=0,"",IFERROR(LOOKUP(2,1/(INDEX(Listado!A:A,2):INDEX(Listado!A:A,ROW())&lt;&gt;""),ROW(INDEX(Listado!A:A,2):INDEX(Listado!A:A,ROW()))),""))</f>
        <v/>
      </c>
      <c r="O203" s="17" t="str">
        <f>IFERROR(IF(N203="","",IF(INDEX(Listado!M:M,N203)="No",IF(INDEX(Listado!N:N,N203)=0,"",INDEX(Listado!N:N,N203)),IF(INDEX(Listado!I:I,N203)=0,"",INDEX(Listado!I:I,N203)))),"")</f>
        <v/>
      </c>
      <c r="P203" s="17">
        <f t="shared" ca="1" si="10"/>
        <v/>
      </c>
      <c r="Q203" s="17">
        <f>IFERROR(IF(AND(N203&lt;&gt;"",ISNUMBER(O203),O203&gt;0,O203&gt;=TODAY()-90),1,0),0)</f>
        <v/>
      </c>
      <c r="R203" s="17" t="str">
        <f t="shared" si="12"/>
        <v/>
      </c>
      <c r="S203" s="17" t="str">
        <f>IF(INDEX(Listado!A:A,ROW())="","",INDEX(Listado!A:A,ROW()))</f>
        <v/>
      </c>
      <c r="T203" s="17" t="str">
        <f ca="1">IF(INDEX(Listado!G:G,ROW())="","",INDEX(Listado!G:G,ROW()))</f>
        <v/>
      </c>
      <c r="U203" s="17" t="str">
        <f>IF(INDEX(Listado!F:F,ROW())="","",INDEX(Listado!F:F,ROW()))</f>
        <v/>
      </c>
      <c r="V203" s="17">
        <f>IF(COUNTA(INDEX(Listado!B:B,ROW()):INDEX(Listado!F:F,ROW()))&gt;0,1,0)</f>
        <v/>
      </c>
      <c r="W203" s="17" t="str">
        <f>IF(INDEX(Listado!L:L,ROW())="","",INDEX(Listado!L:L,ROW()))</f>
        <v/>
      </c>
      <c r="X203" s="17">
        <f>IF(N203="","",IF(INDEX(Listado!$M:$M,N203)="No","No","Sí"))</f>
        <v/>
      </c>
    </row>
    <row r="204" spans="2:24" ht="14.25">
      <c r="N204" s="17" t="str">
        <f>IF(V204=0,"",IFERROR(LOOKUP(2,1/(INDEX(Listado!A:A,2):INDEX(Listado!A:A,ROW())&lt;&gt;""),ROW(INDEX(Listado!A:A,2):INDEX(Listado!A:A,ROW()))),""))</f>
        <v/>
      </c>
      <c r="O204" s="17" t="str">
        <f>IFERROR(IF(N204="","",IF(INDEX(Listado!M:M,N204)="No",IF(INDEX(Listado!N:N,N204)=0,"",INDEX(Listado!N:N,N204)),IF(INDEX(Listado!I:I,N204)=0,"",INDEX(Listado!I:I,N204)))),"")</f>
        <v/>
      </c>
      <c r="P204" s="17">
        <f t="shared" ca="1" si="10"/>
        <v/>
      </c>
      <c r="Q204" s="17">
        <f>IFERROR(IF(AND(N204&lt;&gt;"",ISNUMBER(O204),O204&gt;0,O204&gt;=TODAY()-90),1,0),0)</f>
        <v/>
      </c>
      <c r="R204" s="17" t="str">
        <f t="shared" si="12"/>
        <v/>
      </c>
      <c r="S204" s="17" t="str">
        <f>IF(INDEX(Listado!A:A,ROW())="","",INDEX(Listado!A:A,ROW()))</f>
        <v/>
      </c>
      <c r="T204" s="17" t="str">
        <f ca="1">IF(INDEX(Listado!G:G,ROW())="","",INDEX(Listado!G:G,ROW()))</f>
        <v/>
      </c>
      <c r="U204" s="17" t="str">
        <f>IF(INDEX(Listado!F:F,ROW())="","",INDEX(Listado!F:F,ROW()))</f>
        <v/>
      </c>
      <c r="V204" s="17">
        <f>IF(COUNTA(INDEX(Listado!B:B,ROW()):INDEX(Listado!F:F,ROW()))&gt;0,1,0)</f>
        <v/>
      </c>
      <c r="W204" s="17" t="str">
        <f>IF(INDEX(Listado!L:L,ROW())="","",INDEX(Listado!L:L,ROW()))</f>
        <v/>
      </c>
      <c r="X204" s="17">
        <f>IF(N204="","",IF(INDEX(Listado!$M:$M,N204)="No","No","Sí"))</f>
        <v/>
      </c>
    </row>
    <row r="205" spans="2:24" ht="14.25">
      <c r="N205" s="17" t="str">
        <f>IF(V205=0,"",IFERROR(LOOKUP(2,1/(INDEX(Listado!A:A,2):INDEX(Listado!A:A,ROW())&lt;&gt;""),ROW(INDEX(Listado!A:A,2):INDEX(Listado!A:A,ROW()))),""))</f>
        <v/>
      </c>
      <c r="O205" s="17" t="str">
        <f>IFERROR(IF(N205="","",IF(INDEX(Listado!M:M,N205)="No",IF(INDEX(Listado!N:N,N205)=0,"",INDEX(Listado!N:N,N205)),IF(INDEX(Listado!I:I,N205)=0,"",INDEX(Listado!I:I,N205)))),"")</f>
        <v/>
      </c>
      <c r="P205" s="17">
        <f t="shared" ca="1" si="10"/>
        <v/>
      </c>
      <c r="Q205" s="17">
        <f>IFERROR(IF(AND(N205&lt;&gt;"",ISNUMBER(O205),O205&gt;0,O205&gt;=TODAY()-90),1,0),0)</f>
        <v/>
      </c>
      <c r="R205" s="17" t="str">
        <f t="shared" si="12"/>
        <v/>
      </c>
      <c r="S205" s="17" t="str">
        <f>IF(INDEX(Listado!A:A,ROW())="","",INDEX(Listado!A:A,ROW()))</f>
        <v/>
      </c>
      <c r="T205" s="17" t="str">
        <f ca="1">IF(INDEX(Listado!G:G,ROW())="","",INDEX(Listado!G:G,ROW()))</f>
        <v/>
      </c>
      <c r="U205" s="17" t="str">
        <f>IF(INDEX(Listado!F:F,ROW())="","",INDEX(Listado!F:F,ROW()))</f>
        <v/>
      </c>
      <c r="V205" s="17">
        <f>IF(COUNTA(INDEX(Listado!B:B,ROW()):INDEX(Listado!F:F,ROW()))&gt;0,1,0)</f>
        <v/>
      </c>
      <c r="W205" s="17" t="str">
        <f>IF(INDEX(Listado!L:L,ROW())="","",INDEX(Listado!L:L,ROW()))</f>
        <v/>
      </c>
      <c r="X205" s="17">
        <f>IF(N205="","",IF(INDEX(Listado!$M:$M,N205)="No","No","Sí"))</f>
        <v/>
      </c>
    </row>
    <row r="206" spans="2:24" ht="14.25">
      <c r="N206" s="17" t="str">
        <f>IF(V206=0,"",IFERROR(LOOKUP(2,1/(INDEX(Listado!A:A,2):INDEX(Listado!A:A,ROW())&lt;&gt;""),ROW(INDEX(Listado!A:A,2):INDEX(Listado!A:A,ROW()))),""))</f>
        <v/>
      </c>
      <c r="O206" s="17" t="str">
        <f>IFERROR(IF(N206="","",IF(INDEX(Listado!M:M,N206)="No",IF(INDEX(Listado!N:N,N206)=0,"",INDEX(Listado!N:N,N206)),IF(INDEX(Listado!I:I,N206)=0,"",INDEX(Listado!I:I,N206)))),"")</f>
        <v/>
      </c>
      <c r="P206" s="17">
        <f t="shared" ca="1" si="10"/>
        <v/>
      </c>
      <c r="Q206" s="17">
        <f>IFERROR(IF(AND(N206&lt;&gt;"",ISNUMBER(O206),O206&gt;0,O206&gt;=TODAY()-90),1,0),0)</f>
        <v/>
      </c>
      <c r="R206" s="17" t="str">
        <f t="shared" si="12"/>
        <v/>
      </c>
      <c r="S206" s="17" t="str">
        <f>IF(INDEX(Listado!A:A,ROW())="","",INDEX(Listado!A:A,ROW()))</f>
        <v/>
      </c>
      <c r="T206" s="17" t="str">
        <f ca="1">IF(INDEX(Listado!G:G,ROW())="","",INDEX(Listado!G:G,ROW()))</f>
        <v/>
      </c>
      <c r="U206" s="17" t="str">
        <f>IF(INDEX(Listado!F:F,ROW())="","",INDEX(Listado!F:F,ROW()))</f>
        <v/>
      </c>
      <c r="V206" s="17">
        <f>IF(COUNTA(INDEX(Listado!B:B,ROW()):INDEX(Listado!F:F,ROW()))&gt;0,1,0)</f>
        <v/>
      </c>
      <c r="W206" s="17" t="str">
        <f>IF(INDEX(Listado!L:L,ROW())="","",INDEX(Listado!L:L,ROW()))</f>
        <v/>
      </c>
      <c r="X206" s="17">
        <f>IF(N206="","",IF(INDEX(Listado!$M:$M,N206)="No","No","Sí"))</f>
        <v/>
      </c>
    </row>
    <row r="207" spans="2:24" ht="14.25">
      <c r="N207" s="17" t="str">
        <f>IF(V207=0,"",IFERROR(LOOKUP(2,1/(INDEX(Listado!A:A,2):INDEX(Listado!A:A,ROW())&lt;&gt;""),ROW(INDEX(Listado!A:A,2):INDEX(Listado!A:A,ROW()))),""))</f>
        <v/>
      </c>
      <c r="O207" s="17" t="str">
        <f>IFERROR(IF(N207="","",IF(INDEX(Listado!M:M,N207)="No",IF(INDEX(Listado!N:N,N207)=0,"",INDEX(Listado!N:N,N207)),IF(INDEX(Listado!I:I,N207)=0,"",INDEX(Listado!I:I,N207)))),"")</f>
        <v/>
      </c>
      <c r="P207" s="17">
        <f t="shared" ca="1" si="10"/>
        <v/>
      </c>
      <c r="Q207" s="17">
        <f>IFERROR(IF(AND(N207&lt;&gt;"",ISNUMBER(O207),O207&gt;0,O207&gt;=TODAY()-90),1,0),0)</f>
        <v/>
      </c>
      <c r="R207" s="17" t="str">
        <f t="shared" si="12"/>
        <v/>
      </c>
      <c r="S207" s="17" t="str">
        <f>IF(INDEX(Listado!A:A,ROW())="","",INDEX(Listado!A:A,ROW()))</f>
        <v/>
      </c>
      <c r="T207" s="17" t="str">
        <f ca="1">IF(INDEX(Listado!G:G,ROW())="","",INDEX(Listado!G:G,ROW()))</f>
        <v/>
      </c>
      <c r="U207" s="17" t="str">
        <f>IF(INDEX(Listado!F:F,ROW())="","",INDEX(Listado!F:F,ROW()))</f>
        <v/>
      </c>
      <c r="V207" s="17">
        <f>IF(COUNTA(INDEX(Listado!B:B,ROW()):INDEX(Listado!F:F,ROW()))&gt;0,1,0)</f>
        <v/>
      </c>
      <c r="W207" s="17" t="str">
        <f>IF(INDEX(Listado!L:L,ROW())="","",INDEX(Listado!L:L,ROW()))</f>
        <v/>
      </c>
      <c r="X207" s="17">
        <f>IF(N207="","",IF(INDEX(Listado!$M:$M,N207)="No","No","Sí"))</f>
        <v/>
      </c>
    </row>
    <row r="208" spans="2:24" ht="14.25">
      <c r="N208" s="17" t="str">
        <f>IF(V208=0,"",IFERROR(LOOKUP(2,1/(INDEX(Listado!A:A,2):INDEX(Listado!A:A,ROW())&lt;&gt;""),ROW(INDEX(Listado!A:A,2):INDEX(Listado!A:A,ROW()))),""))</f>
        <v/>
      </c>
      <c r="O208" s="17" t="str">
        <f>IFERROR(IF(N208="","",IF(INDEX(Listado!M:M,N208)="No",IF(INDEX(Listado!N:N,N208)=0,"",INDEX(Listado!N:N,N208)),IF(INDEX(Listado!I:I,N208)=0,"",INDEX(Listado!I:I,N208)))),"")</f>
        <v/>
      </c>
      <c r="P208" s="17">
        <f t="shared" ca="1" si="10"/>
        <v/>
      </c>
      <c r="Q208" s="17">
        <f>IFERROR(IF(AND(N208&lt;&gt;"",ISNUMBER(O208),O208&gt;0,O208&gt;=TODAY()-90),1,0),0)</f>
        <v/>
      </c>
      <c r="R208" s="17" t="str">
        <f t="shared" si="12"/>
        <v/>
      </c>
      <c r="S208" s="17" t="str">
        <f>IF(INDEX(Listado!A:A,ROW())="","",INDEX(Listado!A:A,ROW()))</f>
        <v/>
      </c>
      <c r="T208" s="17" t="str">
        <f ca="1">IF(INDEX(Listado!G:G,ROW())="","",INDEX(Listado!G:G,ROW()))</f>
        <v/>
      </c>
      <c r="U208" s="17" t="str">
        <f>IF(INDEX(Listado!F:F,ROW())="","",INDEX(Listado!F:F,ROW()))</f>
        <v/>
      </c>
      <c r="V208" s="17">
        <f>IF(COUNTA(INDEX(Listado!B:B,ROW()):INDEX(Listado!F:F,ROW()))&gt;0,1,0)</f>
        <v/>
      </c>
      <c r="W208" s="17" t="str">
        <f>IF(INDEX(Listado!L:L,ROW())="","",INDEX(Listado!L:L,ROW()))</f>
        <v/>
      </c>
      <c r="X208" s="17">
        <f>IF(N208="","",IF(INDEX(Listado!$M:$M,N208)="No","No","Sí"))</f>
        <v/>
      </c>
    </row>
    <row r="209" spans="2:24" ht="14.25">
      <c r="N209" s="17" t="str">
        <f>IF(V209=0,"",IFERROR(LOOKUP(2,1/(INDEX(Listado!A:A,2):INDEX(Listado!A:A,ROW())&lt;&gt;""),ROW(INDEX(Listado!A:A,2):INDEX(Listado!A:A,ROW()))),""))</f>
        <v/>
      </c>
      <c r="O209" s="17" t="str">
        <f>IFERROR(IF(N209="","",IF(INDEX(Listado!M:M,N209)="No",IF(INDEX(Listado!N:N,N209)=0,"",INDEX(Listado!N:N,N209)),IF(INDEX(Listado!I:I,N209)=0,"",INDEX(Listado!I:I,N209)))),"")</f>
        <v/>
      </c>
      <c r="P209" s="17">
        <f t="shared" ca="1" si="10"/>
        <v/>
      </c>
      <c r="Q209" s="17">
        <f>IFERROR(IF(AND(N209&lt;&gt;"",ISNUMBER(O209),O209&gt;0,O209&gt;=TODAY()-90),1,0),0)</f>
        <v/>
      </c>
      <c r="R209" s="17" t="str">
        <f t="shared" si="12"/>
        <v/>
      </c>
      <c r="S209" s="17" t="str">
        <f>IF(INDEX(Listado!A:A,ROW())="","",INDEX(Listado!A:A,ROW()))</f>
        <v/>
      </c>
      <c r="T209" s="17" t="str">
        <f ca="1">IF(INDEX(Listado!G:G,ROW())="","",INDEX(Listado!G:G,ROW()))</f>
        <v/>
      </c>
      <c r="U209" s="17" t="str">
        <f>IF(INDEX(Listado!F:F,ROW())="","",INDEX(Listado!F:F,ROW()))</f>
        <v/>
      </c>
      <c r="V209" s="17">
        <f>IF(COUNTA(INDEX(Listado!B:B,ROW()):INDEX(Listado!F:F,ROW()))&gt;0,1,0)</f>
        <v/>
      </c>
      <c r="W209" s="17" t="str">
        <f>IF(INDEX(Listado!L:L,ROW())="","",INDEX(Listado!L:L,ROW()))</f>
        <v/>
      </c>
      <c r="X209" s="17">
        <f>IF(N209="","",IF(INDEX(Listado!$M:$M,N209)="No","No","Sí"))</f>
        <v/>
      </c>
    </row>
    <row r="210" spans="2:24" ht="14.25">
      <c r="N210" s="17" t="str">
        <f>IF(V210=0,"",IFERROR(LOOKUP(2,1/(INDEX(Listado!A:A,2):INDEX(Listado!A:A,ROW())&lt;&gt;""),ROW(INDEX(Listado!A:A,2):INDEX(Listado!A:A,ROW()))),""))</f>
        <v/>
      </c>
      <c r="O210" s="17" t="str">
        <f>IFERROR(IF(N210="","",IF(INDEX(Listado!M:M,N210)="No",IF(INDEX(Listado!N:N,N210)=0,"",INDEX(Listado!N:N,N210)),IF(INDEX(Listado!I:I,N210)=0,"",INDEX(Listado!I:I,N210)))),"")</f>
        <v/>
      </c>
      <c r="P210" s="17">
        <f t="shared" ca="1" si="10"/>
        <v/>
      </c>
      <c r="Q210" s="17">
        <f>IFERROR(IF(AND(N210&lt;&gt;"",ISNUMBER(O210),O210&gt;0,O210&gt;=TODAY()-90),1,0),0)</f>
        <v/>
      </c>
      <c r="R210" s="17" t="str">
        <f t="shared" si="12"/>
        <v/>
      </c>
      <c r="S210" s="17" t="str">
        <f>IF(INDEX(Listado!A:A,ROW())="","",INDEX(Listado!A:A,ROW()))</f>
        <v/>
      </c>
      <c r="T210" s="17" t="str">
        <f ca="1">IF(INDEX(Listado!G:G,ROW())="","",INDEX(Listado!G:G,ROW()))</f>
        <v/>
      </c>
      <c r="U210" s="17" t="str">
        <f>IF(INDEX(Listado!F:F,ROW())="","",INDEX(Listado!F:F,ROW()))</f>
        <v/>
      </c>
      <c r="V210" s="17">
        <f>IF(COUNTA(INDEX(Listado!B:B,ROW()):INDEX(Listado!F:F,ROW()))&gt;0,1,0)</f>
        <v/>
      </c>
      <c r="W210" s="17" t="str">
        <f>IF(INDEX(Listado!L:L,ROW())="","",INDEX(Listado!L:L,ROW()))</f>
        <v/>
      </c>
      <c r="X210" s="17">
        <f>IF(N210="","",IF(INDEX(Listado!$M:$M,N210)="No","No","Sí"))</f>
        <v/>
      </c>
    </row>
    <row r="211" spans="2:24" ht="14.25">
      <c r="N211" s="17" t="str">
        <f>IF(V211=0,"",IFERROR(LOOKUP(2,1/(INDEX(Listado!A:A,2):INDEX(Listado!A:A,ROW())&lt;&gt;""),ROW(INDEX(Listado!A:A,2):INDEX(Listado!A:A,ROW()))),""))</f>
        <v/>
      </c>
      <c r="O211" s="17" t="str">
        <f>IFERROR(IF(N211="","",IF(INDEX(Listado!M:M,N211)="No",IF(INDEX(Listado!N:N,N211)=0,"",INDEX(Listado!N:N,N211)),IF(INDEX(Listado!I:I,N211)=0,"",INDEX(Listado!I:I,N211)))),"")</f>
        <v/>
      </c>
      <c r="P211" s="17">
        <f t="shared" ca="1" si="10"/>
        <v/>
      </c>
      <c r="Q211" s="17">
        <f>IFERROR(IF(AND(N211&lt;&gt;"",ISNUMBER(O211),O211&gt;0,O211&gt;=TODAY()-90),1,0),0)</f>
        <v/>
      </c>
      <c r="R211" s="17" t="str">
        <f t="shared" si="12"/>
        <v/>
      </c>
      <c r="S211" s="17" t="str">
        <f>IF(INDEX(Listado!A:A,ROW())="","",INDEX(Listado!A:A,ROW()))</f>
        <v/>
      </c>
      <c r="T211" s="17" t="str">
        <f ca="1">IF(INDEX(Listado!G:G,ROW())="","",INDEX(Listado!G:G,ROW()))</f>
        <v/>
      </c>
      <c r="U211" s="17" t="str">
        <f>IF(INDEX(Listado!F:F,ROW())="","",INDEX(Listado!F:F,ROW()))</f>
        <v/>
      </c>
      <c r="V211" s="17">
        <f>IF(COUNTA(INDEX(Listado!B:B,ROW()):INDEX(Listado!F:F,ROW()))&gt;0,1,0)</f>
        <v/>
      </c>
      <c r="W211" s="17" t="str">
        <f>IF(INDEX(Listado!L:L,ROW())="","",INDEX(Listado!L:L,ROW()))</f>
        <v/>
      </c>
      <c r="X211" s="17">
        <f>IF(N211="","",IF(INDEX(Listado!$M:$M,N211)="No","No","Sí"))</f>
        <v/>
      </c>
    </row>
    <row r="212" spans="2:24" ht="14.25">
      <c r="N212" s="17" t="str">
        <f>IF(V212=0,"",IFERROR(LOOKUP(2,1/(INDEX(Listado!A:A,2):INDEX(Listado!A:A,ROW())&lt;&gt;""),ROW(INDEX(Listado!A:A,2):INDEX(Listado!A:A,ROW()))),""))</f>
        <v/>
      </c>
      <c r="O212" s="17" t="str">
        <f>IFERROR(IF(N212="","",IF(INDEX(Listado!M:M,N212)="No",IF(INDEX(Listado!N:N,N212)=0,"",INDEX(Listado!N:N,N212)),IF(INDEX(Listado!I:I,N212)=0,"",INDEX(Listado!I:I,N212)))),"")</f>
        <v/>
      </c>
      <c r="P212" s="17">
        <f t="shared" ca="1" si="10"/>
        <v/>
      </c>
      <c r="Q212" s="17">
        <f>IFERROR(IF(AND(N212&lt;&gt;"",ISNUMBER(O212),O212&gt;0,O212&gt;=TODAY()-90),1,0),0)</f>
        <v/>
      </c>
      <c r="R212" s="17" t="str">
        <f t="shared" si="12"/>
        <v/>
      </c>
      <c r="S212" s="17" t="str">
        <f>IF(INDEX(Listado!A:A,ROW())="","",INDEX(Listado!A:A,ROW()))</f>
        <v/>
      </c>
      <c r="T212" s="17" t="str">
        <f ca="1">IF(INDEX(Listado!G:G,ROW())="","",INDEX(Listado!G:G,ROW()))</f>
        <v/>
      </c>
      <c r="U212" s="17" t="str">
        <f>IF(INDEX(Listado!F:F,ROW())="","",INDEX(Listado!F:F,ROW()))</f>
        <v/>
      </c>
      <c r="V212" s="17">
        <f>IF(COUNTA(INDEX(Listado!B:B,ROW()):INDEX(Listado!F:F,ROW()))&gt;0,1,0)</f>
        <v/>
      </c>
      <c r="W212" s="17" t="str">
        <f>IF(INDEX(Listado!L:L,ROW())="","",INDEX(Listado!L:L,ROW()))</f>
        <v/>
      </c>
      <c r="X212" s="17">
        <f>IF(N212="","",IF(INDEX(Listado!$M:$M,N212)="No","No","Sí"))</f>
        <v/>
      </c>
    </row>
    <row r="213" spans="2:24" ht="14.25">
      <c r="N213" s="17" t="str">
        <f>IF(V213=0,"",IFERROR(LOOKUP(2,1/(INDEX(Listado!A:A,2):INDEX(Listado!A:A,ROW())&lt;&gt;""),ROW(INDEX(Listado!A:A,2):INDEX(Listado!A:A,ROW()))),""))</f>
        <v/>
      </c>
      <c r="O213" s="17" t="str">
        <f>IFERROR(IF(N213="","",IF(INDEX(Listado!M:M,N213)="No",IF(INDEX(Listado!N:N,N213)=0,"",INDEX(Listado!N:N,N213)),IF(INDEX(Listado!I:I,N213)=0,"",INDEX(Listado!I:I,N213)))),"")</f>
        <v/>
      </c>
      <c r="P213" s="17">
        <f t="shared" ca="1" si="10"/>
        <v/>
      </c>
      <c r="Q213" s="17">
        <f>IFERROR(IF(AND(N213&lt;&gt;"",ISNUMBER(O213),O213&gt;0,O213&gt;=TODAY()-90),1,0),0)</f>
        <v/>
      </c>
      <c r="R213" s="17" t="str">
        <f t="shared" si="12"/>
        <v/>
      </c>
      <c r="S213" s="17" t="str">
        <f>IF(INDEX(Listado!A:A,ROW())="","",INDEX(Listado!A:A,ROW()))</f>
        <v/>
      </c>
      <c r="T213" s="17" t="str">
        <f ca="1">IF(INDEX(Listado!G:G,ROW())="","",INDEX(Listado!G:G,ROW()))</f>
        <v/>
      </c>
      <c r="U213" s="17" t="str">
        <f>IF(INDEX(Listado!F:F,ROW())="","",INDEX(Listado!F:F,ROW()))</f>
        <v/>
      </c>
      <c r="V213" s="17">
        <f>IF(COUNTA(INDEX(Listado!B:B,ROW()):INDEX(Listado!F:F,ROW()))&gt;0,1,0)</f>
        <v/>
      </c>
      <c r="W213" s="17" t="str">
        <f>IF(INDEX(Listado!L:L,ROW())="","",INDEX(Listado!L:L,ROW()))</f>
        <v/>
      </c>
      <c r="X213" s="17">
        <f>IF(N213="","",IF(INDEX(Listado!$M:$M,N213)="No","No","Sí"))</f>
        <v/>
      </c>
    </row>
    <row r="214" spans="2:24" ht="14.25">
      <c r="N214" s="17" t="str">
        <f>IF(V214=0,"",IFERROR(LOOKUP(2,1/(INDEX(Listado!A:A,2):INDEX(Listado!A:A,ROW())&lt;&gt;""),ROW(INDEX(Listado!A:A,2):INDEX(Listado!A:A,ROW()))),""))</f>
        <v/>
      </c>
      <c r="O214" s="17" t="str">
        <f>IFERROR(IF(N214="","",IF(INDEX(Listado!M:M,N214)="No",IF(INDEX(Listado!N:N,N214)=0,"",INDEX(Listado!N:N,N214)),IF(INDEX(Listado!I:I,N214)=0,"",INDEX(Listado!I:I,N214)))),"")</f>
        <v/>
      </c>
      <c r="P214" s="17">
        <f t="shared" ca="1" si="10"/>
        <v/>
      </c>
      <c r="Q214" s="17">
        <f>IFERROR(IF(AND(N214&lt;&gt;"",ISNUMBER(O214),O214&gt;0,O214&gt;=TODAY()-90),1,0),0)</f>
        <v/>
      </c>
      <c r="R214" s="17" t="str">
        <f t="shared" si="12"/>
        <v/>
      </c>
      <c r="S214" s="17" t="str">
        <f>IF(INDEX(Listado!A:A,ROW())="","",INDEX(Listado!A:A,ROW()))</f>
        <v/>
      </c>
      <c r="T214" s="17" t="str">
        <f ca="1">IF(INDEX(Listado!G:G,ROW())="","",INDEX(Listado!G:G,ROW()))</f>
        <v/>
      </c>
      <c r="U214" s="17" t="str">
        <f>IF(INDEX(Listado!F:F,ROW())="","",INDEX(Listado!F:F,ROW()))</f>
        <v/>
      </c>
      <c r="V214" s="17">
        <f>IF(COUNTA(INDEX(Listado!B:B,ROW()):INDEX(Listado!F:F,ROW()))&gt;0,1,0)</f>
        <v/>
      </c>
      <c r="W214" s="17" t="str">
        <f>IF(INDEX(Listado!L:L,ROW())="","",INDEX(Listado!L:L,ROW()))</f>
        <v/>
      </c>
      <c r="X214" s="17">
        <f>IF(N214="","",IF(INDEX(Listado!$M:$M,N214)="No","No","Sí"))</f>
        <v/>
      </c>
    </row>
    <row r="215" spans="2:24" ht="14.25">
      <c r="N215" s="17" t="str">
        <f>IF(V215=0,"",IFERROR(LOOKUP(2,1/(INDEX(Listado!A:A,2):INDEX(Listado!A:A,ROW())&lt;&gt;""),ROW(INDEX(Listado!A:A,2):INDEX(Listado!A:A,ROW()))),""))</f>
        <v/>
      </c>
      <c r="O215" s="17" t="str">
        <f>IFERROR(IF(N215="","",IF(INDEX(Listado!M:M,N215)="No",IF(INDEX(Listado!N:N,N215)=0,"",INDEX(Listado!N:N,N215)),IF(INDEX(Listado!I:I,N215)=0,"",INDEX(Listado!I:I,N215)))),"")</f>
        <v/>
      </c>
      <c r="P215" s="17">
        <f t="shared" ca="1" si="10"/>
        <v/>
      </c>
      <c r="Q215" s="17">
        <f>IFERROR(IF(AND(N215&lt;&gt;"",ISNUMBER(O215),O215&gt;0,O215&gt;=TODAY()-90),1,0),0)</f>
        <v/>
      </c>
      <c r="R215" s="17" t="str">
        <f t="shared" si="12"/>
        <v/>
      </c>
      <c r="S215" s="17" t="str">
        <f>IF(INDEX(Listado!A:A,ROW())="","",INDEX(Listado!A:A,ROW()))</f>
        <v/>
      </c>
      <c r="T215" s="17" t="str">
        <f ca="1">IF(INDEX(Listado!G:G,ROW())="","",INDEX(Listado!G:G,ROW()))</f>
        <v/>
      </c>
      <c r="U215" s="17" t="str">
        <f>IF(INDEX(Listado!F:F,ROW())="","",INDEX(Listado!F:F,ROW()))</f>
        <v/>
      </c>
      <c r="V215" s="17">
        <f>IF(COUNTA(INDEX(Listado!B:B,ROW()):INDEX(Listado!F:F,ROW()))&gt;0,1,0)</f>
        <v/>
      </c>
      <c r="W215" s="17" t="str">
        <f>IF(INDEX(Listado!L:L,ROW())="","",INDEX(Listado!L:L,ROW()))</f>
        <v/>
      </c>
      <c r="X215" s="17">
        <f>IF(N215="","",IF(INDEX(Listado!$M:$M,N215)="No","No","Sí"))</f>
        <v/>
      </c>
    </row>
    <row r="216" spans="2:24" ht="14.25">
      <c r="N216" s="17" t="str">
        <f>IF(V216=0,"",IFERROR(LOOKUP(2,1/(INDEX(Listado!A:A,2):INDEX(Listado!A:A,ROW())&lt;&gt;""),ROW(INDEX(Listado!A:A,2):INDEX(Listado!A:A,ROW()))),""))</f>
        <v/>
      </c>
      <c r="O216" s="17" t="str">
        <f>IFERROR(IF(N216="","",IF(INDEX(Listado!M:M,N216)="No",IF(INDEX(Listado!N:N,N216)=0,"",INDEX(Listado!N:N,N216)),IF(INDEX(Listado!I:I,N216)=0,"",INDEX(Listado!I:I,N216)))),"")</f>
        <v/>
      </c>
      <c r="P216" s="17">
        <f t="shared" ca="1" si="10"/>
        <v/>
      </c>
      <c r="Q216" s="17">
        <f>IFERROR(IF(AND(N216&lt;&gt;"",ISNUMBER(O216),O216&gt;0,O216&gt;=TODAY()-90),1,0),0)</f>
        <v/>
      </c>
      <c r="R216" s="17" t="str">
        <f t="shared" si="12"/>
        <v/>
      </c>
      <c r="S216" s="17" t="str">
        <f>IF(INDEX(Listado!A:A,ROW())="","",INDEX(Listado!A:A,ROW()))</f>
        <v/>
      </c>
      <c r="T216" s="17" t="str">
        <f ca="1">IF(INDEX(Listado!G:G,ROW())="","",INDEX(Listado!G:G,ROW()))</f>
        <v/>
      </c>
      <c r="U216" s="17" t="str">
        <f>IF(INDEX(Listado!F:F,ROW())="","",INDEX(Listado!F:F,ROW()))</f>
        <v/>
      </c>
      <c r="V216" s="17">
        <f>IF(COUNTA(INDEX(Listado!B:B,ROW()):INDEX(Listado!F:F,ROW()))&gt;0,1,0)</f>
        <v/>
      </c>
      <c r="W216" s="17" t="str">
        <f>IF(INDEX(Listado!L:L,ROW())="","",INDEX(Listado!L:L,ROW()))</f>
        <v/>
      </c>
      <c r="X216" s="17">
        <f>IF(N216="","",IF(INDEX(Listado!$M:$M,N216)="No","No","Sí"))</f>
        <v/>
      </c>
    </row>
    <row r="217" spans="2:24" ht="14.25">
      <c r="N217" s="17" t="str">
        <f>IF(V217=0,"",IFERROR(LOOKUP(2,1/(INDEX(Listado!A:A,2):INDEX(Listado!A:A,ROW())&lt;&gt;""),ROW(INDEX(Listado!A:A,2):INDEX(Listado!A:A,ROW()))),""))</f>
        <v/>
      </c>
      <c r="O217" s="17" t="str">
        <f>IFERROR(IF(N217="","",IF(INDEX(Listado!M:M,N217)="No",IF(INDEX(Listado!N:N,N217)=0,"",INDEX(Listado!N:N,N217)),IF(INDEX(Listado!I:I,N217)=0,"",INDEX(Listado!I:I,N217)))),"")</f>
        <v/>
      </c>
      <c r="P217" s="17">
        <f t="shared" ca="1" si="10"/>
        <v/>
      </c>
      <c r="Q217" s="17">
        <f>IFERROR(IF(AND(N217&lt;&gt;"",ISNUMBER(O217),O217&gt;0,O217&gt;=TODAY()-90),1,0),0)</f>
        <v/>
      </c>
      <c r="R217" s="17" t="str">
        <f t="shared" si="12"/>
        <v/>
      </c>
      <c r="S217" s="17" t="str">
        <f>IF(INDEX(Listado!A:A,ROW())="","",INDEX(Listado!A:A,ROW()))</f>
        <v/>
      </c>
      <c r="T217" s="17" t="str">
        <f ca="1">IF(INDEX(Listado!G:G,ROW())="","",INDEX(Listado!G:G,ROW()))</f>
        <v/>
      </c>
      <c r="U217" s="17" t="str">
        <f>IF(INDEX(Listado!F:F,ROW())="","",INDEX(Listado!F:F,ROW()))</f>
        <v/>
      </c>
      <c r="V217" s="17">
        <f>IF(COUNTA(INDEX(Listado!B:B,ROW()):INDEX(Listado!F:F,ROW()))&gt;0,1,0)</f>
        <v/>
      </c>
      <c r="W217" s="17" t="str">
        <f>IF(INDEX(Listado!L:L,ROW())="","",INDEX(Listado!L:L,ROW()))</f>
        <v/>
      </c>
      <c r="X217" s="17">
        <f>IF(N217="","",IF(INDEX(Listado!$M:$M,N217)="No","No","Sí"))</f>
        <v/>
      </c>
    </row>
    <row r="218" spans="2:24" ht="14.25">
      <c r="N218" s="17" t="str">
        <f>IF(V218=0,"",IFERROR(LOOKUP(2,1/(INDEX(Listado!A:A,2):INDEX(Listado!A:A,ROW())&lt;&gt;""),ROW(INDEX(Listado!A:A,2):INDEX(Listado!A:A,ROW()))),""))</f>
        <v/>
      </c>
      <c r="O218" s="17" t="str">
        <f>IFERROR(IF(N218="","",IF(INDEX(Listado!M:M,N218)="No",IF(INDEX(Listado!N:N,N218)=0,"",INDEX(Listado!N:N,N218)),IF(INDEX(Listado!I:I,N218)=0,"",INDEX(Listado!I:I,N218)))),"")</f>
        <v/>
      </c>
      <c r="P218" s="17">
        <f t="shared" ca="1" si="10"/>
        <v/>
      </c>
      <c r="Q218" s="17">
        <f>IFERROR(IF(AND(N218&lt;&gt;"",ISNUMBER(O218),O218&gt;0,O218&gt;=TODAY()-90),1,0),0)</f>
        <v/>
      </c>
      <c r="R218" s="17" t="str">
        <f t="shared" si="12"/>
        <v/>
      </c>
      <c r="S218" s="17" t="str">
        <f>IF(INDEX(Listado!A:A,ROW())="","",INDEX(Listado!A:A,ROW()))</f>
        <v/>
      </c>
      <c r="T218" s="17" t="str">
        <f ca="1">IF(INDEX(Listado!G:G,ROW())="","",INDEX(Listado!G:G,ROW()))</f>
        <v/>
      </c>
      <c r="U218" s="17" t="str">
        <f>IF(INDEX(Listado!F:F,ROW())="","",INDEX(Listado!F:F,ROW()))</f>
        <v/>
      </c>
      <c r="V218" s="17">
        <f>IF(COUNTA(INDEX(Listado!B:B,ROW()):INDEX(Listado!F:F,ROW()))&gt;0,1,0)</f>
        <v/>
      </c>
      <c r="W218" s="17" t="str">
        <f>IF(INDEX(Listado!L:L,ROW())="","",INDEX(Listado!L:L,ROW()))</f>
        <v/>
      </c>
      <c r="X218" s="17">
        <f>IF(N218="","",IF(INDEX(Listado!$M:$M,N218)="No","No","Sí"))</f>
        <v/>
      </c>
    </row>
    <row r="219" spans="2:24" ht="14.25">
      <c r="N219" s="17" t="str">
        <f>IF(V219=0,"",IFERROR(LOOKUP(2,1/(INDEX(Listado!A:A,2):INDEX(Listado!A:A,ROW())&lt;&gt;""),ROW(INDEX(Listado!A:A,2):INDEX(Listado!A:A,ROW()))),""))</f>
        <v/>
      </c>
      <c r="O219" s="17" t="str">
        <f>IFERROR(IF(N219="","",IF(INDEX(Listado!M:M,N219)="No",IF(INDEX(Listado!N:N,N219)=0,"",INDEX(Listado!N:N,N219)),IF(INDEX(Listado!I:I,N219)=0,"",INDEX(Listado!I:I,N219)))),"")</f>
        <v/>
      </c>
      <c r="P219" s="17">
        <f t="shared" ca="1" si="10"/>
        <v/>
      </c>
      <c r="Q219" s="17">
        <f>IFERROR(IF(AND(N219&lt;&gt;"",ISNUMBER(O219),O219&gt;0,O219&gt;=TODAY()-90),1,0),0)</f>
        <v/>
      </c>
      <c r="R219" s="17" t="str">
        <f t="shared" si="12"/>
        <v/>
      </c>
      <c r="S219" s="17" t="str">
        <f>IF(INDEX(Listado!A:A,ROW())="","",INDEX(Listado!A:A,ROW()))</f>
        <v/>
      </c>
      <c r="T219" s="17" t="str">
        <f ca="1">IF(INDEX(Listado!G:G,ROW())="","",INDEX(Listado!G:G,ROW()))</f>
        <v/>
      </c>
      <c r="U219" s="17" t="str">
        <f>IF(INDEX(Listado!F:F,ROW())="","",INDEX(Listado!F:F,ROW()))</f>
        <v/>
      </c>
      <c r="V219" s="17">
        <f>IF(COUNTA(INDEX(Listado!B:B,ROW()):INDEX(Listado!F:F,ROW()))&gt;0,1,0)</f>
        <v/>
      </c>
      <c r="W219" s="17" t="str">
        <f>IF(INDEX(Listado!L:L,ROW())="","",INDEX(Listado!L:L,ROW()))</f>
        <v/>
      </c>
      <c r="X219" s="17">
        <f>IF(N219="","",IF(INDEX(Listado!$M:$M,N219)="No","No","Sí"))</f>
        <v/>
      </c>
    </row>
    <row r="220" spans="2:24" ht="14.25">
      <c r="N220" s="17" t="str">
        <f>IF(V220=0,"",IFERROR(LOOKUP(2,1/(INDEX(Listado!A:A,2):INDEX(Listado!A:A,ROW())&lt;&gt;""),ROW(INDEX(Listado!A:A,2):INDEX(Listado!A:A,ROW()))),""))</f>
        <v/>
      </c>
      <c r="O220" s="17" t="str">
        <f>IFERROR(IF(N220="","",IF(INDEX(Listado!M:M,N220)="No",IF(INDEX(Listado!N:N,N220)=0,"",INDEX(Listado!N:N,N220)),IF(INDEX(Listado!I:I,N220)=0,"",INDEX(Listado!I:I,N220)))),"")</f>
        <v/>
      </c>
      <c r="P220" s="17">
        <f t="shared" ca="1" si="10"/>
        <v/>
      </c>
      <c r="Q220" s="17">
        <f>IFERROR(IF(AND(N220&lt;&gt;"",ISNUMBER(O220),O220&gt;0,O220&gt;=TODAY()-90),1,0),0)</f>
        <v/>
      </c>
      <c r="R220" s="17" t="str">
        <f t="shared" si="12"/>
        <v/>
      </c>
      <c r="S220" s="17" t="str">
        <f>IF(INDEX(Listado!A:A,ROW())="","",INDEX(Listado!A:A,ROW()))</f>
        <v/>
      </c>
      <c r="T220" s="17" t="str">
        <f ca="1">IF(INDEX(Listado!G:G,ROW())="","",INDEX(Listado!G:G,ROW()))</f>
        <v/>
      </c>
      <c r="U220" s="17" t="str">
        <f>IF(INDEX(Listado!F:F,ROW())="","",INDEX(Listado!F:F,ROW()))</f>
        <v/>
      </c>
      <c r="V220" s="17">
        <f>IF(COUNTA(INDEX(Listado!B:B,ROW()):INDEX(Listado!F:F,ROW()))&gt;0,1,0)</f>
        <v/>
      </c>
      <c r="W220" s="17" t="str">
        <f>IF(INDEX(Listado!L:L,ROW())="","",INDEX(Listado!L:L,ROW()))</f>
        <v/>
      </c>
      <c r="X220" s="17">
        <f>IF(N220="","",IF(INDEX(Listado!$M:$M,N220)="No","No","Sí"))</f>
        <v/>
      </c>
    </row>
    <row r="221" spans="2:24" ht="14.25">
      <c r="N221" s="17" t="str">
        <f>IF(V221=0,"",IFERROR(LOOKUP(2,1/(INDEX(Listado!A:A,2):INDEX(Listado!A:A,ROW())&lt;&gt;""),ROW(INDEX(Listado!A:A,2):INDEX(Listado!A:A,ROW()))),""))</f>
        <v/>
      </c>
      <c r="O221" s="17" t="str">
        <f>IFERROR(IF(N221="","",IF(INDEX(Listado!M:M,N221)="No",IF(INDEX(Listado!N:N,N221)=0,"",INDEX(Listado!N:N,N221)),IF(INDEX(Listado!I:I,N221)=0,"",INDEX(Listado!I:I,N221)))),"")</f>
        <v/>
      </c>
      <c r="P221" s="17">
        <f t="shared" ca="1" si="10"/>
        <v/>
      </c>
      <c r="Q221" s="17">
        <f>IFERROR(IF(AND(N221&lt;&gt;"",ISNUMBER(O221),O221&gt;0,O221&gt;=TODAY()-90),1,0),0)</f>
        <v/>
      </c>
      <c r="R221" s="17" t="str">
        <f t="shared" si="12"/>
        <v/>
      </c>
      <c r="S221" s="17" t="str">
        <f>IF(INDEX(Listado!A:A,ROW())="","",INDEX(Listado!A:A,ROW()))</f>
        <v/>
      </c>
      <c r="T221" s="17" t="str">
        <f ca="1">IF(INDEX(Listado!G:G,ROW())="","",INDEX(Listado!G:G,ROW()))</f>
        <v/>
      </c>
      <c r="U221" s="17" t="str">
        <f>IF(INDEX(Listado!F:F,ROW())="","",INDEX(Listado!F:F,ROW()))</f>
        <v/>
      </c>
      <c r="V221" s="17">
        <f>IF(COUNTA(INDEX(Listado!B:B,ROW()):INDEX(Listado!F:F,ROW()))&gt;0,1,0)</f>
        <v/>
      </c>
      <c r="W221" s="17" t="str">
        <f>IF(INDEX(Listado!L:L,ROW())="","",INDEX(Listado!L:L,ROW()))</f>
        <v/>
      </c>
      <c r="X221" s="17">
        <f>IF(N221="","",IF(INDEX(Listado!$M:$M,N221)="No","No","Sí"))</f>
        <v/>
      </c>
    </row>
    <row r="222" spans="2:24" ht="14.25">
      <c r="N222" s="17" t="str">
        <f>IF(V222=0,"",IFERROR(LOOKUP(2,1/(INDEX(Listado!A:A,2):INDEX(Listado!A:A,ROW())&lt;&gt;""),ROW(INDEX(Listado!A:A,2):INDEX(Listado!A:A,ROW()))),""))</f>
        <v/>
      </c>
      <c r="O222" s="17" t="str">
        <f>IFERROR(IF(N222="","",IF(INDEX(Listado!M:M,N222)="No",IF(INDEX(Listado!N:N,N222)=0,"",INDEX(Listado!N:N,N222)),IF(INDEX(Listado!I:I,N222)=0,"",INDEX(Listado!I:I,N222)))),"")</f>
        <v/>
      </c>
      <c r="P222" s="17">
        <f t="shared" ca="1" si="10"/>
        <v/>
      </c>
      <c r="Q222" s="17">
        <f>IFERROR(IF(AND(N222&lt;&gt;"",ISNUMBER(O222),O222&gt;0,O222&gt;=TODAY()-90),1,0),0)</f>
        <v/>
      </c>
      <c r="R222" s="17" t="str">
        <f t="shared" si="12"/>
        <v/>
      </c>
      <c r="S222" s="17" t="str">
        <f>IF(INDEX(Listado!A:A,ROW())="","",INDEX(Listado!A:A,ROW()))</f>
        <v/>
      </c>
      <c r="T222" s="17" t="str">
        <f ca="1">IF(INDEX(Listado!G:G,ROW())="","",INDEX(Listado!G:G,ROW()))</f>
        <v/>
      </c>
      <c r="U222" s="17" t="str">
        <f>IF(INDEX(Listado!F:F,ROW())="","",INDEX(Listado!F:F,ROW()))</f>
        <v/>
      </c>
      <c r="V222" s="17">
        <f>IF(COUNTA(INDEX(Listado!B:B,ROW()):INDEX(Listado!F:F,ROW()))&gt;0,1,0)</f>
        <v/>
      </c>
      <c r="W222" s="17" t="str">
        <f>IF(INDEX(Listado!L:L,ROW())="","",INDEX(Listado!L:L,ROW()))</f>
        <v/>
      </c>
      <c r="X222" s="17">
        <f>IF(N222="","",IF(INDEX(Listado!$M:$M,N222)="No","No","Sí"))</f>
        <v/>
      </c>
    </row>
    <row r="223" spans="2:24" ht="14.25">
      <c r="N223" s="17" t="str">
        <f>IF(V223=0,"",IFERROR(LOOKUP(2,1/(INDEX(Listado!A:A,2):INDEX(Listado!A:A,ROW())&lt;&gt;""),ROW(INDEX(Listado!A:A,2):INDEX(Listado!A:A,ROW()))),""))</f>
        <v/>
      </c>
      <c r="O223" s="17" t="str">
        <f>IFERROR(IF(N223="","",IF(INDEX(Listado!M:M,N223)="No",IF(INDEX(Listado!N:N,N223)=0,"",INDEX(Listado!N:N,N223)),IF(INDEX(Listado!I:I,N223)=0,"",INDEX(Listado!I:I,N223)))),"")</f>
        <v/>
      </c>
      <c r="P223" s="17">
        <f t="shared" ca="1" si="10"/>
        <v/>
      </c>
      <c r="Q223" s="17">
        <f>IFERROR(IF(AND(N223&lt;&gt;"",ISNUMBER(O223),O223&gt;0,O223&gt;=TODAY()-90),1,0),0)</f>
        <v/>
      </c>
      <c r="R223" s="17" t="str">
        <f t="shared" si="12"/>
        <v/>
      </c>
      <c r="S223" s="17" t="str">
        <f>IF(INDEX(Listado!A:A,ROW())="","",INDEX(Listado!A:A,ROW()))</f>
        <v/>
      </c>
      <c r="T223" s="17" t="str">
        <f ca="1">IF(INDEX(Listado!G:G,ROW())="","",INDEX(Listado!G:G,ROW()))</f>
        <v/>
      </c>
      <c r="U223" s="17" t="str">
        <f>IF(INDEX(Listado!F:F,ROW())="","",INDEX(Listado!F:F,ROW()))</f>
        <v/>
      </c>
      <c r="V223" s="17">
        <f>IF(COUNTA(INDEX(Listado!B:B,ROW()):INDEX(Listado!F:F,ROW()))&gt;0,1,0)</f>
        <v/>
      </c>
      <c r="W223" s="17" t="str">
        <f>IF(INDEX(Listado!L:L,ROW())="","",INDEX(Listado!L:L,ROW()))</f>
        <v/>
      </c>
      <c r="X223" s="17">
        <f>IF(N223="","",IF(INDEX(Listado!$M:$M,N223)="No","No","Sí"))</f>
        <v/>
      </c>
    </row>
    <row r="224" spans="2:24" ht="14.25">
      <c r="N224" s="17" t="str">
        <f>IF(V224=0,"",IFERROR(LOOKUP(2,1/(INDEX(Listado!A:A,2):INDEX(Listado!A:A,ROW())&lt;&gt;""),ROW(INDEX(Listado!A:A,2):INDEX(Listado!A:A,ROW()))),""))</f>
        <v/>
      </c>
      <c r="O224" s="17" t="str">
        <f>IFERROR(IF(N224="","",IF(INDEX(Listado!M:M,N224)="No",IF(INDEX(Listado!N:N,N224)=0,"",INDEX(Listado!N:N,N224)),IF(INDEX(Listado!I:I,N224)=0,"",INDEX(Listado!I:I,N224)))),"")</f>
        <v/>
      </c>
      <c r="P224" s="17">
        <f t="shared" ca="1" si="10"/>
        <v/>
      </c>
      <c r="Q224" s="17">
        <f>IFERROR(IF(AND(N224&lt;&gt;"",ISNUMBER(O224),O224&gt;0,O224&gt;=TODAY()-90),1,0),0)</f>
        <v/>
      </c>
      <c r="R224" s="17" t="str">
        <f t="shared" si="12"/>
        <v/>
      </c>
      <c r="S224" s="17" t="str">
        <f>IF(INDEX(Listado!A:A,ROW())="","",INDEX(Listado!A:A,ROW()))</f>
        <v/>
      </c>
      <c r="T224" s="17" t="str">
        <f ca="1">IF(INDEX(Listado!G:G,ROW())="","",INDEX(Listado!G:G,ROW()))</f>
        <v/>
      </c>
      <c r="U224" s="17" t="str">
        <f>IF(INDEX(Listado!F:F,ROW())="","",INDEX(Listado!F:F,ROW()))</f>
        <v/>
      </c>
      <c r="V224" s="17">
        <f>IF(COUNTA(INDEX(Listado!B:B,ROW()):INDEX(Listado!F:F,ROW()))&gt;0,1,0)</f>
        <v/>
      </c>
      <c r="W224" s="17" t="str">
        <f>IF(INDEX(Listado!L:L,ROW())="","",INDEX(Listado!L:L,ROW()))</f>
        <v/>
      </c>
      <c r="X224" s="17">
        <f>IF(N224="","",IF(INDEX(Listado!$M:$M,N224)="No","No","Sí"))</f>
        <v/>
      </c>
    </row>
    <row r="225" spans="2:24" ht="14.25">
      <c r="N225" s="17" t="str">
        <f>IF(V225=0,"",IFERROR(LOOKUP(2,1/(INDEX(Listado!A:A,2):INDEX(Listado!A:A,ROW())&lt;&gt;""),ROW(INDEX(Listado!A:A,2):INDEX(Listado!A:A,ROW()))),""))</f>
        <v/>
      </c>
      <c r="O225" s="17" t="str">
        <f>IFERROR(IF(N225="","",IF(INDEX(Listado!M:M,N225)="No",IF(INDEX(Listado!N:N,N225)=0,"",INDEX(Listado!N:N,N225)),IF(INDEX(Listado!I:I,N225)=0,"",INDEX(Listado!I:I,N225)))),"")</f>
        <v/>
      </c>
      <c r="P225" s="17">
        <f t="shared" ca="1" si="10"/>
        <v/>
      </c>
      <c r="Q225" s="17">
        <f>IFERROR(IF(AND(N225&lt;&gt;"",ISNUMBER(O225),O225&gt;0,O225&gt;=TODAY()-90),1,0),0)</f>
        <v/>
      </c>
      <c r="R225" s="17" t="str">
        <f t="shared" si="12"/>
        <v/>
      </c>
      <c r="S225" s="17" t="str">
        <f>IF(INDEX(Listado!A:A,ROW())="","",INDEX(Listado!A:A,ROW()))</f>
        <v/>
      </c>
      <c r="T225" s="17" t="str">
        <f ca="1">IF(INDEX(Listado!G:G,ROW())="","",INDEX(Listado!G:G,ROW()))</f>
        <v/>
      </c>
      <c r="U225" s="17" t="str">
        <f>IF(INDEX(Listado!F:F,ROW())="","",INDEX(Listado!F:F,ROW()))</f>
        <v/>
      </c>
      <c r="V225" s="17">
        <f>IF(COUNTA(INDEX(Listado!B:B,ROW()):INDEX(Listado!F:F,ROW()))&gt;0,1,0)</f>
        <v/>
      </c>
      <c r="W225" s="17" t="str">
        <f>IF(INDEX(Listado!L:L,ROW())="","",INDEX(Listado!L:L,ROW()))</f>
        <v/>
      </c>
      <c r="X225" s="17">
        <f>IF(N225="","",IF(INDEX(Listado!$M:$M,N225)="No","No","Sí"))</f>
        <v/>
      </c>
    </row>
    <row r="226" spans="2:24" ht="14.25">
      <c r="N226" s="17" t="str">
        <f>IF(V226=0,"",IFERROR(LOOKUP(2,1/(INDEX(Listado!A:A,2):INDEX(Listado!A:A,ROW())&lt;&gt;""),ROW(INDEX(Listado!A:A,2):INDEX(Listado!A:A,ROW()))),""))</f>
        <v/>
      </c>
      <c r="O226" s="17" t="str">
        <f>IFERROR(IF(N226="","",IF(INDEX(Listado!M:M,N226)="No",IF(INDEX(Listado!N:N,N226)=0,"",INDEX(Listado!N:N,N226)),IF(INDEX(Listado!I:I,N226)=0,"",INDEX(Listado!I:I,N226)))),"")</f>
        <v/>
      </c>
      <c r="P226" s="17">
        <f t="shared" ca="1" si="10"/>
        <v/>
      </c>
      <c r="Q226" s="17">
        <f>IFERROR(IF(AND(N226&lt;&gt;"",ISNUMBER(O226),O226&gt;0,O226&gt;=TODAY()-90),1,0),0)</f>
        <v/>
      </c>
      <c r="R226" s="17" t="str">
        <f t="shared" si="12"/>
        <v/>
      </c>
      <c r="S226" s="17" t="str">
        <f>IF(INDEX(Listado!A:A,ROW())="","",INDEX(Listado!A:A,ROW()))</f>
        <v/>
      </c>
      <c r="T226" s="17" t="str">
        <f ca="1">IF(INDEX(Listado!G:G,ROW())="","",INDEX(Listado!G:G,ROW()))</f>
        <v/>
      </c>
      <c r="U226" s="17" t="str">
        <f>IF(INDEX(Listado!F:F,ROW())="","",INDEX(Listado!F:F,ROW()))</f>
        <v/>
      </c>
      <c r="V226" s="17">
        <f>IF(COUNTA(INDEX(Listado!B:B,ROW()):INDEX(Listado!F:F,ROW()))&gt;0,1,0)</f>
        <v/>
      </c>
      <c r="W226" s="17" t="str">
        <f>IF(INDEX(Listado!L:L,ROW())="","",INDEX(Listado!L:L,ROW()))</f>
        <v/>
      </c>
      <c r="X226" s="17">
        <f>IF(N226="","",IF(INDEX(Listado!$M:$M,N226)="No","No","Sí"))</f>
        <v/>
      </c>
    </row>
    <row r="227" spans="2:24" ht="14.25">
      <c r="N227" s="17" t="str">
        <f>IF(V227=0,"",IFERROR(LOOKUP(2,1/(INDEX(Listado!A:A,2):INDEX(Listado!A:A,ROW())&lt;&gt;""),ROW(INDEX(Listado!A:A,2):INDEX(Listado!A:A,ROW()))),""))</f>
        <v/>
      </c>
      <c r="O227" s="17" t="str">
        <f>IFERROR(IF(N227="","",IF(INDEX(Listado!M:M,N227)="No",IF(INDEX(Listado!N:N,N227)=0,"",INDEX(Listado!N:N,N227)),IF(INDEX(Listado!I:I,N227)=0,"",INDEX(Listado!I:I,N227)))),"")</f>
        <v/>
      </c>
      <c r="P227" s="17">
        <f t="shared" ca="1" si="10"/>
        <v/>
      </c>
      <c r="Q227" s="17">
        <f>IFERROR(IF(AND(N227&lt;&gt;"",ISNUMBER(O227),O227&gt;0,O227&gt;=TODAY()-90),1,0),0)</f>
        <v/>
      </c>
      <c r="R227" s="17" t="str">
        <f t="shared" si="12"/>
        <v/>
      </c>
      <c r="S227" s="17" t="str">
        <f>IF(INDEX(Listado!A:A,ROW())="","",INDEX(Listado!A:A,ROW()))</f>
        <v/>
      </c>
      <c r="T227" s="17" t="str">
        <f ca="1">IF(INDEX(Listado!G:G,ROW())="","",INDEX(Listado!G:G,ROW()))</f>
        <v/>
      </c>
      <c r="U227" s="17" t="str">
        <f>IF(INDEX(Listado!F:F,ROW())="","",INDEX(Listado!F:F,ROW()))</f>
        <v/>
      </c>
      <c r="V227" s="17">
        <f>IF(COUNTA(INDEX(Listado!B:B,ROW()):INDEX(Listado!F:F,ROW()))&gt;0,1,0)</f>
        <v/>
      </c>
      <c r="W227" s="17" t="str">
        <f>IF(INDEX(Listado!L:L,ROW())="","",INDEX(Listado!L:L,ROW()))</f>
        <v/>
      </c>
      <c r="X227" s="17">
        <f>IF(N227="","",IF(INDEX(Listado!$M:$M,N227)="No","No","Sí"))</f>
        <v/>
      </c>
    </row>
    <row r="228" spans="2:24" ht="14.25">
      <c r="N228" s="17" t="str">
        <f>IF(V228=0,"",IFERROR(LOOKUP(2,1/(INDEX(Listado!A:A,2):INDEX(Listado!A:A,ROW())&lt;&gt;""),ROW(INDEX(Listado!A:A,2):INDEX(Listado!A:A,ROW()))),""))</f>
        <v/>
      </c>
      <c r="O228" s="17" t="str">
        <f>IFERROR(IF(N228="","",IF(INDEX(Listado!M:M,N228)="No",IF(INDEX(Listado!N:N,N228)=0,"",INDEX(Listado!N:N,N228)),IF(INDEX(Listado!I:I,N228)=0,"",INDEX(Listado!I:I,N228)))),"")</f>
        <v/>
      </c>
      <c r="P228" s="17">
        <f t="shared" ca="1" si="10"/>
        <v/>
      </c>
      <c r="Q228" s="17">
        <f>IFERROR(IF(AND(N228&lt;&gt;"",ISNUMBER(O228),O228&gt;0,O228&gt;=TODAY()-90),1,0),0)</f>
        <v/>
      </c>
      <c r="R228" s="17" t="str">
        <f t="shared" si="12"/>
        <v/>
      </c>
      <c r="S228" s="17" t="str">
        <f>IF(INDEX(Listado!A:A,ROW())="","",INDEX(Listado!A:A,ROW()))</f>
        <v/>
      </c>
      <c r="T228" s="17" t="str">
        <f ca="1">IF(INDEX(Listado!G:G,ROW())="","",INDEX(Listado!G:G,ROW()))</f>
        <v/>
      </c>
      <c r="U228" s="17" t="str">
        <f>IF(INDEX(Listado!F:F,ROW())="","",INDEX(Listado!F:F,ROW()))</f>
        <v/>
      </c>
      <c r="V228" s="17">
        <f>IF(COUNTA(INDEX(Listado!B:B,ROW()):INDEX(Listado!F:F,ROW()))&gt;0,1,0)</f>
        <v/>
      </c>
      <c r="W228" s="17" t="str">
        <f>IF(INDEX(Listado!L:L,ROW())="","",INDEX(Listado!L:L,ROW()))</f>
        <v/>
      </c>
      <c r="X228" s="17">
        <f>IF(N228="","",IF(INDEX(Listado!$M:$M,N228)="No","No","Sí"))</f>
        <v/>
      </c>
    </row>
    <row r="229" spans="2:24" ht="14.25">
      <c r="N229" s="17" t="str">
        <f>IF(V229=0,"",IFERROR(LOOKUP(2,1/(INDEX(Listado!A:A,2):INDEX(Listado!A:A,ROW())&lt;&gt;""),ROW(INDEX(Listado!A:A,2):INDEX(Listado!A:A,ROW()))),""))</f>
        <v/>
      </c>
      <c r="O229" s="17" t="str">
        <f>IFERROR(IF(N229="","",IF(INDEX(Listado!M:M,N229)="No",IF(INDEX(Listado!N:N,N229)=0,"",INDEX(Listado!N:N,N229)),IF(INDEX(Listado!I:I,N229)=0,"",INDEX(Listado!I:I,N229)))),"")</f>
        <v/>
      </c>
      <c r="P229" s="17">
        <f t="shared" ca="1" si="10"/>
        <v/>
      </c>
      <c r="Q229" s="17">
        <f>IFERROR(IF(AND(N229&lt;&gt;"",ISNUMBER(O229),O229&gt;0,O229&gt;=TODAY()-90),1,0),0)</f>
        <v/>
      </c>
      <c r="R229" s="17" t="str">
        <f t="shared" si="12"/>
        <v/>
      </c>
      <c r="S229" s="17" t="str">
        <f>IF(INDEX(Listado!A:A,ROW())="","",INDEX(Listado!A:A,ROW()))</f>
        <v/>
      </c>
      <c r="T229" s="17" t="str">
        <f ca="1">IF(INDEX(Listado!G:G,ROW())="","",INDEX(Listado!G:G,ROW()))</f>
        <v/>
      </c>
      <c r="U229" s="17" t="str">
        <f>IF(INDEX(Listado!F:F,ROW())="","",INDEX(Listado!F:F,ROW()))</f>
        <v/>
      </c>
      <c r="V229" s="17">
        <f>IF(COUNTA(INDEX(Listado!B:B,ROW()):INDEX(Listado!F:F,ROW()))&gt;0,1,0)</f>
        <v/>
      </c>
      <c r="W229" s="17" t="str">
        <f>IF(INDEX(Listado!L:L,ROW())="","",INDEX(Listado!L:L,ROW()))</f>
        <v/>
      </c>
      <c r="X229" s="17">
        <f>IF(N229="","",IF(INDEX(Listado!$M:$M,N229)="No","No","Sí"))</f>
        <v/>
      </c>
    </row>
    <row r="230" spans="2:24" ht="14.25">
      <c r="N230" s="17" t="str">
        <f>IF(V230=0,"",IFERROR(LOOKUP(2,1/(INDEX(Listado!A:A,2):INDEX(Listado!A:A,ROW())&lt;&gt;""),ROW(INDEX(Listado!A:A,2):INDEX(Listado!A:A,ROW()))),""))</f>
        <v/>
      </c>
      <c r="O230" s="17" t="str">
        <f>IFERROR(IF(N230="","",IF(INDEX(Listado!M:M,N230)="No",IF(INDEX(Listado!N:N,N230)=0,"",INDEX(Listado!N:N,N230)),IF(INDEX(Listado!I:I,N230)=0,"",INDEX(Listado!I:I,N230)))),"")</f>
        <v/>
      </c>
      <c r="P230" s="17">
        <f t="shared" ca="1" si="10"/>
        <v/>
      </c>
      <c r="Q230" s="17">
        <f>IFERROR(IF(AND(N230&lt;&gt;"",ISNUMBER(O230),O230&gt;0,O230&gt;=TODAY()-90),1,0),0)</f>
        <v/>
      </c>
      <c r="R230" s="17" t="str">
        <f t="shared" si="12"/>
        <v/>
      </c>
      <c r="S230" s="17" t="str">
        <f>IF(INDEX(Listado!A:A,ROW())="","",INDEX(Listado!A:A,ROW()))</f>
        <v/>
      </c>
      <c r="T230" s="17" t="str">
        <f ca="1">IF(INDEX(Listado!G:G,ROW())="","",INDEX(Listado!G:G,ROW()))</f>
        <v/>
      </c>
      <c r="U230" s="17" t="str">
        <f>IF(INDEX(Listado!F:F,ROW())="","",INDEX(Listado!F:F,ROW()))</f>
        <v/>
      </c>
      <c r="V230" s="17">
        <f>IF(COUNTA(INDEX(Listado!B:B,ROW()):INDEX(Listado!F:F,ROW()))&gt;0,1,0)</f>
        <v/>
      </c>
      <c r="W230" s="17" t="str">
        <f>IF(INDEX(Listado!L:L,ROW())="","",INDEX(Listado!L:L,ROW()))</f>
        <v/>
      </c>
      <c r="X230" s="17">
        <f>IF(N230="","",IF(INDEX(Listado!$M:$M,N230)="No","No","Sí"))</f>
        <v/>
      </c>
    </row>
    <row r="231" spans="2:24" ht="14.25">
      <c r="N231" s="17" t="str">
        <f>IF(V231=0,"",IFERROR(LOOKUP(2,1/(INDEX(Listado!A:A,2):INDEX(Listado!A:A,ROW())&lt;&gt;""),ROW(INDEX(Listado!A:A,2):INDEX(Listado!A:A,ROW()))),""))</f>
        <v/>
      </c>
      <c r="O231" s="17" t="str">
        <f>IFERROR(IF(N231="","",IF(INDEX(Listado!M:M,N231)="No",IF(INDEX(Listado!N:N,N231)=0,"",INDEX(Listado!N:N,N231)),IF(INDEX(Listado!I:I,N231)=0,"",INDEX(Listado!I:I,N231)))),"")</f>
        <v/>
      </c>
      <c r="P231" s="17">
        <f t="shared" ca="1" si="10"/>
        <v/>
      </c>
      <c r="Q231" s="17">
        <f>IFERROR(IF(AND(N231&lt;&gt;"",ISNUMBER(O231),O231&gt;0,O231&gt;=TODAY()-90),1,0),0)</f>
        <v/>
      </c>
      <c r="R231" s="17" t="str">
        <f t="shared" si="12"/>
        <v/>
      </c>
      <c r="S231" s="17" t="str">
        <f>IF(INDEX(Listado!A:A,ROW())="","",INDEX(Listado!A:A,ROW()))</f>
        <v/>
      </c>
      <c r="T231" s="17" t="str">
        <f ca="1">IF(INDEX(Listado!G:G,ROW())="","",INDEX(Listado!G:G,ROW()))</f>
        <v/>
      </c>
      <c r="U231" s="17" t="str">
        <f>IF(INDEX(Listado!F:F,ROW())="","",INDEX(Listado!F:F,ROW()))</f>
        <v/>
      </c>
      <c r="V231" s="17">
        <f>IF(COUNTA(INDEX(Listado!B:B,ROW()):INDEX(Listado!F:F,ROW()))&gt;0,1,0)</f>
        <v/>
      </c>
      <c r="W231" s="17" t="str">
        <f>IF(INDEX(Listado!L:L,ROW())="","",INDEX(Listado!L:L,ROW()))</f>
        <v/>
      </c>
      <c r="X231" s="17">
        <f>IF(N231="","",IF(INDEX(Listado!$M:$M,N231)="No","No","Sí"))</f>
        <v/>
      </c>
    </row>
    <row r="232" spans="2:24" ht="14.25">
      <c r="N232" s="17" t="str">
        <f>IF(V232=0,"",IFERROR(LOOKUP(2,1/(INDEX(Listado!A:A,2):INDEX(Listado!A:A,ROW())&lt;&gt;""),ROW(INDEX(Listado!A:A,2):INDEX(Listado!A:A,ROW()))),""))</f>
        <v/>
      </c>
      <c r="O232" s="17" t="str">
        <f>IFERROR(IF(N232="","",IF(INDEX(Listado!M:M,N232)="No",IF(INDEX(Listado!N:N,N232)=0,"",INDEX(Listado!N:N,N232)),IF(INDEX(Listado!I:I,N232)=0,"",INDEX(Listado!I:I,N232)))),"")</f>
        <v/>
      </c>
      <c r="P232" s="17">
        <f t="shared" ca="1" si="10"/>
        <v/>
      </c>
      <c r="Q232" s="17">
        <f>IFERROR(IF(AND(N232&lt;&gt;"",ISNUMBER(O232),O232&gt;0,O232&gt;=TODAY()-90),1,0),0)</f>
        <v/>
      </c>
      <c r="R232" s="17" t="str">
        <f t="shared" si="12"/>
        <v/>
      </c>
      <c r="S232" s="17" t="str">
        <f>IF(INDEX(Listado!A:A,ROW())="","",INDEX(Listado!A:A,ROW()))</f>
        <v/>
      </c>
      <c r="T232" s="17" t="str">
        <f ca="1">IF(INDEX(Listado!G:G,ROW())="","",INDEX(Listado!G:G,ROW()))</f>
        <v/>
      </c>
      <c r="U232" s="17" t="str">
        <f>IF(INDEX(Listado!F:F,ROW())="","",INDEX(Listado!F:F,ROW()))</f>
        <v/>
      </c>
      <c r="V232" s="17">
        <f>IF(COUNTA(INDEX(Listado!B:B,ROW()):INDEX(Listado!F:F,ROW()))&gt;0,1,0)</f>
        <v/>
      </c>
      <c r="W232" s="17" t="str">
        <f>IF(INDEX(Listado!L:L,ROW())="","",INDEX(Listado!L:L,ROW()))</f>
        <v/>
      </c>
      <c r="X232" s="17">
        <f>IF(N232="","",IF(INDEX(Listado!$M:$M,N232)="No","No","Sí"))</f>
        <v/>
      </c>
    </row>
    <row r="233" spans="2:24" ht="14.25">
      <c r="N233" s="17" t="str">
        <f>IF(V233=0,"",IFERROR(LOOKUP(2,1/(INDEX(Listado!A:A,2):INDEX(Listado!A:A,ROW())&lt;&gt;""),ROW(INDEX(Listado!A:A,2):INDEX(Listado!A:A,ROW()))),""))</f>
        <v/>
      </c>
      <c r="O233" s="17" t="str">
        <f>IFERROR(IF(N233="","",IF(INDEX(Listado!M:M,N233)="No",IF(INDEX(Listado!N:N,N233)=0,"",INDEX(Listado!N:N,N233)),IF(INDEX(Listado!I:I,N233)=0,"",INDEX(Listado!I:I,N233)))),"")</f>
        <v/>
      </c>
      <c r="P233" s="17">
        <f t="shared" ca="1" si="10"/>
        <v/>
      </c>
      <c r="Q233" s="17">
        <f>IFERROR(IF(AND(N233&lt;&gt;"",ISNUMBER(O233),O233&gt;0,O233&gt;=TODAY()-90),1,0),0)</f>
        <v/>
      </c>
      <c r="R233" s="17" t="str">
        <f t="shared" si="12"/>
        <v/>
      </c>
      <c r="S233" s="17" t="str">
        <f>IF(INDEX(Listado!A:A,ROW())="","",INDEX(Listado!A:A,ROW()))</f>
        <v/>
      </c>
      <c r="T233" s="17" t="str">
        <f ca="1">IF(INDEX(Listado!G:G,ROW())="","",INDEX(Listado!G:G,ROW()))</f>
        <v/>
      </c>
      <c r="U233" s="17" t="str">
        <f>IF(INDEX(Listado!F:F,ROW())="","",INDEX(Listado!F:F,ROW()))</f>
        <v/>
      </c>
      <c r="V233" s="17">
        <f>IF(COUNTA(INDEX(Listado!B:B,ROW()):INDEX(Listado!F:F,ROW()))&gt;0,1,0)</f>
        <v/>
      </c>
      <c r="W233" s="17" t="str">
        <f>IF(INDEX(Listado!L:L,ROW())="","",INDEX(Listado!L:L,ROW()))</f>
        <v/>
      </c>
      <c r="X233" s="17">
        <f>IF(N233="","",IF(INDEX(Listado!$M:$M,N233)="No","No","Sí"))</f>
        <v/>
      </c>
    </row>
    <row r="234" spans="2:24" ht="14.25">
      <c r="N234" s="17" t="str">
        <f>IF(V234=0,"",IFERROR(LOOKUP(2,1/(INDEX(Listado!A:A,2):INDEX(Listado!A:A,ROW())&lt;&gt;""),ROW(INDEX(Listado!A:A,2):INDEX(Listado!A:A,ROW()))),""))</f>
        <v/>
      </c>
      <c r="O234" s="17" t="str">
        <f>IFERROR(IF(N234="","",IF(INDEX(Listado!M:M,N234)="No",IF(INDEX(Listado!N:N,N234)=0,"",INDEX(Listado!N:N,N234)),IF(INDEX(Listado!I:I,N234)=0,"",INDEX(Listado!I:I,N234)))),"")</f>
        <v/>
      </c>
      <c r="P234" s="17">
        <f t="shared" ca="1" si="10"/>
        <v/>
      </c>
      <c r="Q234" s="17">
        <f>IFERROR(IF(AND(N234&lt;&gt;"",ISNUMBER(O234),O234&gt;0,O234&gt;=TODAY()-90),1,0),0)</f>
        <v/>
      </c>
      <c r="R234" s="17" t="str">
        <f t="shared" si="12"/>
        <v/>
      </c>
      <c r="S234" s="17" t="str">
        <f>IF(INDEX(Listado!A:A,ROW())="","",INDEX(Listado!A:A,ROW()))</f>
        <v/>
      </c>
      <c r="T234" s="17" t="str">
        <f ca="1">IF(INDEX(Listado!G:G,ROW())="","",INDEX(Listado!G:G,ROW()))</f>
        <v/>
      </c>
      <c r="U234" s="17" t="str">
        <f>IF(INDEX(Listado!F:F,ROW())="","",INDEX(Listado!F:F,ROW()))</f>
        <v/>
      </c>
      <c r="V234" s="17">
        <f>IF(COUNTA(INDEX(Listado!B:B,ROW()):INDEX(Listado!F:F,ROW()))&gt;0,1,0)</f>
        <v/>
      </c>
      <c r="W234" s="17" t="str">
        <f>IF(INDEX(Listado!L:L,ROW())="","",INDEX(Listado!L:L,ROW()))</f>
        <v/>
      </c>
      <c r="X234" s="17">
        <f>IF(N234="","",IF(INDEX(Listado!$M:$M,N234)="No","No","Sí"))</f>
        <v/>
      </c>
    </row>
    <row r="235" spans="2:24" ht="14.25">
      <c r="N235" s="17" t="str">
        <f>IF(V235=0,"",IFERROR(LOOKUP(2,1/(INDEX(Listado!A:A,2):INDEX(Listado!A:A,ROW())&lt;&gt;""),ROW(INDEX(Listado!A:A,2):INDEX(Listado!A:A,ROW()))),""))</f>
        <v/>
      </c>
      <c r="O235" s="17" t="str">
        <f>IFERROR(IF(N235="","",IF(INDEX(Listado!M:M,N235)="No",IF(INDEX(Listado!N:N,N235)=0,"",INDEX(Listado!N:N,N235)),IF(INDEX(Listado!I:I,N235)=0,"",INDEX(Listado!I:I,N235)))),"")</f>
        <v/>
      </c>
      <c r="P235" s="17">
        <f t="shared" ca="1" si="10"/>
        <v/>
      </c>
      <c r="Q235" s="17">
        <f>IFERROR(IF(AND(N235&lt;&gt;"",ISNUMBER(O235),O235&gt;0,O235&gt;=TODAY()-90),1,0),0)</f>
        <v/>
      </c>
      <c r="R235" s="17" t="str">
        <f t="shared" si="12"/>
        <v/>
      </c>
      <c r="S235" s="17" t="str">
        <f>IF(INDEX(Listado!A:A,ROW())="","",INDEX(Listado!A:A,ROW()))</f>
        <v/>
      </c>
      <c r="T235" s="17" t="str">
        <f ca="1">IF(INDEX(Listado!G:G,ROW())="","",INDEX(Listado!G:G,ROW()))</f>
        <v/>
      </c>
      <c r="U235" s="17" t="str">
        <f>IF(INDEX(Listado!F:F,ROW())="","",INDEX(Listado!F:F,ROW()))</f>
        <v/>
      </c>
      <c r="V235" s="17">
        <f>IF(COUNTA(INDEX(Listado!B:B,ROW()):INDEX(Listado!F:F,ROW()))&gt;0,1,0)</f>
        <v/>
      </c>
      <c r="W235" s="17" t="str">
        <f>IF(INDEX(Listado!L:L,ROW())="","",INDEX(Listado!L:L,ROW()))</f>
        <v/>
      </c>
      <c r="X235" s="17">
        <f>IF(N235="","",IF(INDEX(Listado!$M:$M,N235)="No","No","Sí"))</f>
        <v/>
      </c>
    </row>
    <row r="236" spans="2:24" ht="14.25">
      <c r="N236" s="17" t="str">
        <f>IF(V236=0,"",IFERROR(LOOKUP(2,1/(INDEX(Listado!A:A,2):INDEX(Listado!A:A,ROW())&lt;&gt;""),ROW(INDEX(Listado!A:A,2):INDEX(Listado!A:A,ROW()))),""))</f>
        <v/>
      </c>
      <c r="O236" s="17" t="str">
        <f>IFERROR(IF(N236="","",IF(INDEX(Listado!M:M,N236)="No",IF(INDEX(Listado!N:N,N236)=0,"",INDEX(Listado!N:N,N236)),IF(INDEX(Listado!I:I,N236)=0,"",INDEX(Listado!I:I,N236)))),"")</f>
        <v/>
      </c>
      <c r="P236" s="17">
        <f t="shared" ca="1" si="10"/>
        <v/>
      </c>
      <c r="Q236" s="17">
        <f>IFERROR(IF(AND(N236&lt;&gt;"",ISNUMBER(O236),O236&gt;0,O236&gt;=TODAY()-90),1,0),0)</f>
        <v/>
      </c>
      <c r="R236" s="17" t="str">
        <f t="shared" si="12"/>
        <v/>
      </c>
      <c r="S236" s="17" t="str">
        <f>IF(INDEX(Listado!A:A,ROW())="","",INDEX(Listado!A:A,ROW()))</f>
        <v/>
      </c>
      <c r="T236" s="17" t="str">
        <f ca="1">IF(INDEX(Listado!G:G,ROW())="","",INDEX(Listado!G:G,ROW()))</f>
        <v/>
      </c>
      <c r="U236" s="17" t="str">
        <f>IF(INDEX(Listado!F:F,ROW())="","",INDEX(Listado!F:F,ROW()))</f>
        <v/>
      </c>
      <c r="V236" s="17">
        <f>IF(COUNTA(INDEX(Listado!B:B,ROW()):INDEX(Listado!F:F,ROW()))&gt;0,1,0)</f>
        <v/>
      </c>
      <c r="W236" s="17" t="str">
        <f>IF(INDEX(Listado!L:L,ROW())="","",INDEX(Listado!L:L,ROW()))</f>
        <v/>
      </c>
      <c r="X236" s="17">
        <f>IF(N236="","",IF(INDEX(Listado!$M:$M,N236)="No","No","Sí"))</f>
        <v/>
      </c>
    </row>
    <row r="237" spans="2:24" ht="14.25">
      <c r="N237" s="17" t="str">
        <f>IF(V237=0,"",IFERROR(LOOKUP(2,1/(INDEX(Listado!A:A,2):INDEX(Listado!A:A,ROW())&lt;&gt;""),ROW(INDEX(Listado!A:A,2):INDEX(Listado!A:A,ROW()))),""))</f>
        <v/>
      </c>
      <c r="O237" s="17" t="str">
        <f>IFERROR(IF(N237="","",IF(INDEX(Listado!M:M,N237)="No",IF(INDEX(Listado!N:N,N237)=0,"",INDEX(Listado!N:N,N237)),IF(INDEX(Listado!I:I,N237)=0,"",INDEX(Listado!I:I,N237)))),"")</f>
        <v/>
      </c>
      <c r="P237" s="17">
        <f t="shared" ca="1" si="10"/>
        <v/>
      </c>
      <c r="Q237" s="17">
        <f>IFERROR(IF(AND(N237&lt;&gt;"",ISNUMBER(O237),O237&gt;0,O237&gt;=TODAY()-90),1,0),0)</f>
        <v/>
      </c>
      <c r="R237" s="17" t="str">
        <f t="shared" si="12"/>
        <v/>
      </c>
      <c r="S237" s="17" t="str">
        <f>IF(INDEX(Listado!A:A,ROW())="","",INDEX(Listado!A:A,ROW()))</f>
        <v/>
      </c>
      <c r="T237" s="17" t="str">
        <f ca="1">IF(INDEX(Listado!G:G,ROW())="","",INDEX(Listado!G:G,ROW()))</f>
        <v/>
      </c>
      <c r="U237" s="17" t="str">
        <f>IF(INDEX(Listado!F:F,ROW())="","",INDEX(Listado!F:F,ROW()))</f>
        <v/>
      </c>
      <c r="V237" s="17">
        <f>IF(COUNTA(INDEX(Listado!B:B,ROW()):INDEX(Listado!F:F,ROW()))&gt;0,1,0)</f>
        <v/>
      </c>
      <c r="W237" s="17" t="str">
        <f>IF(INDEX(Listado!L:L,ROW())="","",INDEX(Listado!L:L,ROW()))</f>
        <v/>
      </c>
      <c r="X237" s="17">
        <f>IF(N237="","",IF(INDEX(Listado!$M:$M,N237)="No","No","Sí"))</f>
        <v/>
      </c>
    </row>
    <row r="238" spans="2:24" ht="14.25">
      <c r="N238" s="17" t="str">
        <f>IF(V238=0,"",IFERROR(LOOKUP(2,1/(INDEX(Listado!A:A,2):INDEX(Listado!A:A,ROW())&lt;&gt;""),ROW(INDEX(Listado!A:A,2):INDEX(Listado!A:A,ROW()))),""))</f>
        <v/>
      </c>
      <c r="O238" s="17" t="str">
        <f>IFERROR(IF(N238="","",IF(INDEX(Listado!M:M,N238)="No",IF(INDEX(Listado!N:N,N238)=0,"",INDEX(Listado!N:N,N238)),IF(INDEX(Listado!I:I,N238)=0,"",INDEX(Listado!I:I,N238)))),"")</f>
        <v/>
      </c>
      <c r="P238" s="17">
        <f t="shared" ca="1" si="10"/>
        <v/>
      </c>
      <c r="Q238" s="17">
        <f>IFERROR(IF(AND(N238&lt;&gt;"",ISNUMBER(O238),O238&gt;0,O238&gt;=TODAY()-90),1,0),0)</f>
        <v/>
      </c>
      <c r="R238" s="17" t="str">
        <f t="shared" si="12"/>
        <v/>
      </c>
      <c r="S238" s="17" t="str">
        <f>IF(INDEX(Listado!A:A,ROW())="","",INDEX(Listado!A:A,ROW()))</f>
        <v/>
      </c>
      <c r="T238" s="17" t="str">
        <f ca="1">IF(INDEX(Listado!G:G,ROW())="","",INDEX(Listado!G:G,ROW()))</f>
        <v/>
      </c>
      <c r="U238" s="17" t="str">
        <f>IF(INDEX(Listado!F:F,ROW())="","",INDEX(Listado!F:F,ROW()))</f>
        <v/>
      </c>
      <c r="V238" s="17">
        <f>IF(COUNTA(INDEX(Listado!B:B,ROW()):INDEX(Listado!F:F,ROW()))&gt;0,1,0)</f>
        <v/>
      </c>
      <c r="W238" s="17" t="str">
        <f>IF(INDEX(Listado!L:L,ROW())="","",INDEX(Listado!L:L,ROW()))</f>
        <v/>
      </c>
      <c r="X238" s="17">
        <f>IF(N238="","",IF(INDEX(Listado!$M:$M,N238)="No","No","Sí"))</f>
        <v/>
      </c>
    </row>
    <row r="239" spans="2:24" ht="14.25">
      <c r="N239" s="17" t="str">
        <f>IF(V239=0,"",IFERROR(LOOKUP(2,1/(INDEX(Listado!A:A,2):INDEX(Listado!A:A,ROW())&lt;&gt;""),ROW(INDEX(Listado!A:A,2):INDEX(Listado!A:A,ROW()))),""))</f>
        <v/>
      </c>
      <c r="O239" s="17" t="str">
        <f>IFERROR(IF(N239="","",IF(INDEX(Listado!M:M,N239)="No",IF(INDEX(Listado!N:N,N239)=0,"",INDEX(Listado!N:N,N239)),IF(INDEX(Listado!I:I,N239)=0,"",INDEX(Listado!I:I,N239)))),"")</f>
        <v/>
      </c>
      <c r="P239" s="17">
        <f t="shared" ca="1" si="10"/>
        <v/>
      </c>
      <c r="Q239" s="17">
        <f>IFERROR(IF(AND(N239&lt;&gt;"",ISNUMBER(O239),O239&gt;0,O239&gt;=TODAY()-90),1,0),0)</f>
        <v/>
      </c>
      <c r="R239" s="17" t="str">
        <f t="shared" si="12"/>
        <v/>
      </c>
      <c r="S239" s="17" t="str">
        <f>IF(INDEX(Listado!A:A,ROW())="","",INDEX(Listado!A:A,ROW()))</f>
        <v/>
      </c>
      <c r="T239" s="17" t="str">
        <f ca="1">IF(INDEX(Listado!G:G,ROW())="","",INDEX(Listado!G:G,ROW()))</f>
        <v/>
      </c>
      <c r="U239" s="17" t="str">
        <f>IF(INDEX(Listado!F:F,ROW())="","",INDEX(Listado!F:F,ROW()))</f>
        <v/>
      </c>
      <c r="V239" s="17">
        <f>IF(COUNTA(INDEX(Listado!B:B,ROW()):INDEX(Listado!F:F,ROW()))&gt;0,1,0)</f>
        <v/>
      </c>
      <c r="W239" s="17" t="str">
        <f>IF(INDEX(Listado!L:L,ROW())="","",INDEX(Listado!L:L,ROW()))</f>
        <v/>
      </c>
      <c r="X239" s="17">
        <f>IF(N239="","",IF(INDEX(Listado!$M:$M,N239)="No","No","Sí"))</f>
        <v/>
      </c>
    </row>
    <row r="240" spans="2:24" ht="14.25">
      <c r="N240" s="17" t="str">
        <f>IF(V240=0,"",IFERROR(LOOKUP(2,1/(INDEX(Listado!A:A,2):INDEX(Listado!A:A,ROW())&lt;&gt;""),ROW(INDEX(Listado!A:A,2):INDEX(Listado!A:A,ROW()))),""))</f>
        <v/>
      </c>
      <c r="O240" s="17" t="str">
        <f>IFERROR(IF(N240="","",IF(INDEX(Listado!M:M,N240)="No",IF(INDEX(Listado!N:N,N240)=0,"",INDEX(Listado!N:N,N240)),IF(INDEX(Listado!I:I,N240)=0,"",INDEX(Listado!I:I,N240)))),"")</f>
        <v/>
      </c>
      <c r="P240" s="17">
        <f t="shared" ca="1" si="10"/>
        <v/>
      </c>
      <c r="Q240" s="17">
        <f>IFERROR(IF(AND(N240&lt;&gt;"",ISNUMBER(O240),O240&gt;0,O240&gt;=TODAY()-90),1,0),0)</f>
        <v/>
      </c>
      <c r="R240" s="17" t="str">
        <f t="shared" si="12"/>
        <v/>
      </c>
      <c r="S240" s="17" t="str">
        <f>IF(INDEX(Listado!A:A,ROW())="","",INDEX(Listado!A:A,ROW()))</f>
        <v/>
      </c>
      <c r="T240" s="17" t="str">
        <f ca="1">IF(INDEX(Listado!G:G,ROW())="","",INDEX(Listado!G:G,ROW()))</f>
        <v/>
      </c>
      <c r="U240" s="17" t="str">
        <f>IF(INDEX(Listado!F:F,ROW())="","",INDEX(Listado!F:F,ROW()))</f>
        <v/>
      </c>
      <c r="V240" s="17">
        <f>IF(COUNTA(INDEX(Listado!B:B,ROW()):INDEX(Listado!F:F,ROW()))&gt;0,1,0)</f>
        <v/>
      </c>
      <c r="W240" s="17" t="str">
        <f>IF(INDEX(Listado!L:L,ROW())="","",INDEX(Listado!L:L,ROW()))</f>
        <v/>
      </c>
      <c r="X240" s="17">
        <f>IF(N240="","",IF(INDEX(Listado!$M:$M,N240)="No","No","Sí"))</f>
        <v/>
      </c>
    </row>
    <row r="241" spans="2:24" ht="14.25">
      <c r="N241" s="17" t="str">
        <f>IF(V241=0,"",IFERROR(LOOKUP(2,1/(INDEX(Listado!A:A,2):INDEX(Listado!A:A,ROW())&lt;&gt;""),ROW(INDEX(Listado!A:A,2):INDEX(Listado!A:A,ROW()))),""))</f>
        <v/>
      </c>
      <c r="O241" s="17" t="str">
        <f>IFERROR(IF(N241="","",IF(INDEX(Listado!M:M,N241)="No",IF(INDEX(Listado!N:N,N241)=0,"",INDEX(Listado!N:N,N241)),IF(INDEX(Listado!I:I,N241)=0,"",INDEX(Listado!I:I,N241)))),"")</f>
        <v/>
      </c>
      <c r="P241" s="17">
        <f t="shared" ca="1" si="10"/>
        <v/>
      </c>
      <c r="Q241" s="17">
        <f>IFERROR(IF(AND(N241&lt;&gt;"",ISNUMBER(O241),O241&gt;0,O241&gt;=TODAY()-90),1,0),0)</f>
        <v/>
      </c>
      <c r="R241" s="17" t="str">
        <f t="shared" si="12"/>
        <v/>
      </c>
      <c r="S241" s="17" t="str">
        <f>IF(INDEX(Listado!A:A,ROW())="","",INDEX(Listado!A:A,ROW()))</f>
        <v/>
      </c>
      <c r="T241" s="17" t="str">
        <f ca="1">IF(INDEX(Listado!G:G,ROW())="","",INDEX(Listado!G:G,ROW()))</f>
        <v/>
      </c>
      <c r="U241" s="17" t="str">
        <f>IF(INDEX(Listado!F:F,ROW())="","",INDEX(Listado!F:F,ROW()))</f>
        <v/>
      </c>
      <c r="V241" s="17">
        <f>IF(COUNTA(INDEX(Listado!B:B,ROW()):INDEX(Listado!F:F,ROW()))&gt;0,1,0)</f>
        <v/>
      </c>
      <c r="W241" s="17" t="str">
        <f>IF(INDEX(Listado!L:L,ROW())="","",INDEX(Listado!L:L,ROW()))</f>
        <v/>
      </c>
      <c r="X241" s="17">
        <f>IF(N241="","",IF(INDEX(Listado!$M:$M,N241)="No","No","Sí"))</f>
        <v/>
      </c>
    </row>
    <row r="242" spans="2:24" ht="14.25">
      <c r="N242" s="17" t="str">
        <f>IF(V242=0,"",IFERROR(LOOKUP(2,1/(INDEX(Listado!A:A,2):INDEX(Listado!A:A,ROW())&lt;&gt;""),ROW(INDEX(Listado!A:A,2):INDEX(Listado!A:A,ROW()))),""))</f>
        <v/>
      </c>
      <c r="O242" s="17" t="str">
        <f>IFERROR(IF(N242="","",IF(INDEX(Listado!M:M,N242)="No",IF(INDEX(Listado!N:N,N242)=0,"",INDEX(Listado!N:N,N242)),IF(INDEX(Listado!I:I,N242)=0,"",INDEX(Listado!I:I,N242)))),"")</f>
        <v/>
      </c>
      <c r="P242" s="17">
        <f t="shared" ca="1" si="10"/>
        <v/>
      </c>
      <c r="Q242" s="17">
        <f>IFERROR(IF(AND(N242&lt;&gt;"",ISNUMBER(O242),O242&gt;0,O242&gt;=TODAY()-90),1,0),0)</f>
        <v/>
      </c>
      <c r="R242" s="17" t="str">
        <f t="shared" si="12"/>
        <v/>
      </c>
      <c r="S242" s="17" t="str">
        <f>IF(INDEX(Listado!A:A,ROW())="","",INDEX(Listado!A:A,ROW()))</f>
        <v/>
      </c>
      <c r="T242" s="17" t="str">
        <f ca="1">IF(INDEX(Listado!G:G,ROW())="","",INDEX(Listado!G:G,ROW()))</f>
        <v/>
      </c>
      <c r="U242" s="17" t="str">
        <f>IF(INDEX(Listado!F:F,ROW())="","",INDEX(Listado!F:F,ROW()))</f>
        <v/>
      </c>
      <c r="V242" s="17">
        <f>IF(COUNTA(INDEX(Listado!B:B,ROW()):INDEX(Listado!F:F,ROW()))&gt;0,1,0)</f>
        <v/>
      </c>
      <c r="W242" s="17" t="str">
        <f>IF(INDEX(Listado!L:L,ROW())="","",INDEX(Listado!L:L,ROW()))</f>
        <v/>
      </c>
      <c r="X242" s="17">
        <f>IF(N242="","",IF(INDEX(Listado!$M:$M,N242)="No","No","Sí"))</f>
        <v/>
      </c>
    </row>
    <row r="243" spans="2:24" ht="14.25">
      <c r="N243" s="17" t="str">
        <f>IF(V243=0,"",IFERROR(LOOKUP(2,1/(INDEX(Listado!A:A,2):INDEX(Listado!A:A,ROW())&lt;&gt;""),ROW(INDEX(Listado!A:A,2):INDEX(Listado!A:A,ROW()))),""))</f>
        <v/>
      </c>
      <c r="O243" s="17" t="str">
        <f>IFERROR(IF(N243="","",IF(INDEX(Listado!M:M,N243)="No",IF(INDEX(Listado!N:N,N243)=0,"",INDEX(Listado!N:N,N243)),IF(INDEX(Listado!I:I,N243)=0,"",INDEX(Listado!I:I,N243)))),"")</f>
        <v/>
      </c>
      <c r="P243" s="17">
        <f t="shared" ca="1" si="10"/>
        <v/>
      </c>
      <c r="Q243" s="17">
        <f>IFERROR(IF(AND(N243&lt;&gt;"",ISNUMBER(O243),O243&gt;0,O243&gt;=TODAY()-90),1,0),0)</f>
        <v/>
      </c>
      <c r="R243" s="17" t="str">
        <f t="shared" si="12"/>
        <v/>
      </c>
      <c r="S243" s="17" t="str">
        <f>IF(INDEX(Listado!A:A,ROW())="","",INDEX(Listado!A:A,ROW()))</f>
        <v/>
      </c>
      <c r="T243" s="17" t="str">
        <f ca="1">IF(INDEX(Listado!G:G,ROW())="","",INDEX(Listado!G:G,ROW()))</f>
        <v/>
      </c>
      <c r="U243" s="17" t="str">
        <f>IF(INDEX(Listado!F:F,ROW())="","",INDEX(Listado!F:F,ROW()))</f>
        <v/>
      </c>
      <c r="V243" s="17">
        <f>IF(COUNTA(INDEX(Listado!B:B,ROW()):INDEX(Listado!F:F,ROW()))&gt;0,1,0)</f>
        <v/>
      </c>
      <c r="W243" s="17" t="str">
        <f>IF(INDEX(Listado!L:L,ROW())="","",INDEX(Listado!L:L,ROW()))</f>
        <v/>
      </c>
      <c r="X243" s="17">
        <f>IF(N243="","",IF(INDEX(Listado!$M:$M,N243)="No","No","Sí"))</f>
        <v/>
      </c>
    </row>
    <row r="244" spans="2:24" ht="14.25">
      <c r="N244" s="17" t="str">
        <f>IF(V244=0,"",IFERROR(LOOKUP(2,1/(INDEX(Listado!A:A,2):INDEX(Listado!A:A,ROW())&lt;&gt;""),ROW(INDEX(Listado!A:A,2):INDEX(Listado!A:A,ROW()))),""))</f>
        <v/>
      </c>
      <c r="O244" s="17" t="str">
        <f>IFERROR(IF(N244="","",IF(INDEX(Listado!M:M,N244)="No",IF(INDEX(Listado!N:N,N244)=0,"",INDEX(Listado!N:N,N244)),IF(INDEX(Listado!I:I,N244)=0,"",INDEX(Listado!I:I,N244)))),"")</f>
        <v/>
      </c>
      <c r="P244" s="17">
        <f t="shared" ca="1" si="10"/>
        <v/>
      </c>
      <c r="Q244" s="17">
        <f>IFERROR(IF(AND(N244&lt;&gt;"",ISNUMBER(O244),O244&gt;0,O244&gt;=TODAY()-90),1,0),0)</f>
        <v/>
      </c>
      <c r="R244" s="17" t="str">
        <f t="shared" si="12"/>
        <v/>
      </c>
      <c r="S244" s="17" t="str">
        <f>IF(INDEX(Listado!A:A,ROW())="","",INDEX(Listado!A:A,ROW()))</f>
        <v/>
      </c>
      <c r="T244" s="17" t="str">
        <f ca="1">IF(INDEX(Listado!G:G,ROW())="","",INDEX(Listado!G:G,ROW()))</f>
        <v/>
      </c>
      <c r="U244" s="17" t="str">
        <f>IF(INDEX(Listado!F:F,ROW())="","",INDEX(Listado!F:F,ROW()))</f>
        <v/>
      </c>
      <c r="V244" s="17">
        <f>IF(COUNTA(INDEX(Listado!B:B,ROW()):INDEX(Listado!F:F,ROW()))&gt;0,1,0)</f>
        <v/>
      </c>
      <c r="W244" s="17" t="str">
        <f>IF(INDEX(Listado!L:L,ROW())="","",INDEX(Listado!L:L,ROW()))</f>
        <v/>
      </c>
      <c r="X244" s="17">
        <f>IF(N244="","",IF(INDEX(Listado!$M:$M,N244)="No","No","Sí"))</f>
        <v/>
      </c>
    </row>
    <row r="245" spans="2:24" ht="14.25">
      <c r="N245" s="17" t="str">
        <f>IF(V245=0,"",IFERROR(LOOKUP(2,1/(INDEX(Listado!A:A,2):INDEX(Listado!A:A,ROW())&lt;&gt;""),ROW(INDEX(Listado!A:A,2):INDEX(Listado!A:A,ROW()))),""))</f>
        <v/>
      </c>
      <c r="O245" s="17" t="str">
        <f>IFERROR(IF(N245="","",IF(INDEX(Listado!M:M,N245)="No",IF(INDEX(Listado!N:N,N245)=0,"",INDEX(Listado!N:N,N245)),IF(INDEX(Listado!I:I,N245)=0,"",INDEX(Listado!I:I,N245)))),"")</f>
        <v/>
      </c>
      <c r="P245" s="17">
        <f t="shared" ca="1" si="10"/>
        <v/>
      </c>
      <c r="Q245" s="17">
        <f>IFERROR(IF(AND(N245&lt;&gt;"",ISNUMBER(O245),O245&gt;0,O245&gt;=TODAY()-90),1,0),0)</f>
        <v/>
      </c>
      <c r="R245" s="17" t="str">
        <f t="shared" si="12"/>
        <v/>
      </c>
      <c r="S245" s="17" t="str">
        <f>IF(INDEX(Listado!A:A,ROW())="","",INDEX(Listado!A:A,ROW()))</f>
        <v/>
      </c>
      <c r="T245" s="17" t="str">
        <f ca="1">IF(INDEX(Listado!G:G,ROW())="","",INDEX(Listado!G:G,ROW()))</f>
        <v/>
      </c>
      <c r="U245" s="17" t="str">
        <f>IF(INDEX(Listado!F:F,ROW())="","",INDEX(Listado!F:F,ROW()))</f>
        <v/>
      </c>
      <c r="V245" s="17">
        <f>IF(COUNTA(INDEX(Listado!B:B,ROW()):INDEX(Listado!F:F,ROW()))&gt;0,1,0)</f>
        <v/>
      </c>
      <c r="W245" s="17" t="str">
        <f>IF(INDEX(Listado!L:L,ROW())="","",INDEX(Listado!L:L,ROW()))</f>
        <v/>
      </c>
      <c r="X245" s="17">
        <f>IF(N245="","",IF(INDEX(Listado!$M:$M,N245)="No","No","Sí"))</f>
        <v/>
      </c>
    </row>
    <row r="246" spans="2:24" ht="14.25">
      <c r="N246" s="17" t="str">
        <f>IF(V246=0,"",IFERROR(LOOKUP(2,1/(INDEX(Listado!A:A,2):INDEX(Listado!A:A,ROW())&lt;&gt;""),ROW(INDEX(Listado!A:A,2):INDEX(Listado!A:A,ROW()))),""))</f>
        <v/>
      </c>
      <c r="O246" s="17" t="str">
        <f>IFERROR(IF(N246="","",IF(INDEX(Listado!M:M,N246)="No",IF(INDEX(Listado!N:N,N246)=0,"",INDEX(Listado!N:N,N246)),IF(INDEX(Listado!I:I,N246)=0,"",INDEX(Listado!I:I,N246)))),"")</f>
        <v/>
      </c>
      <c r="P246" s="17">
        <f t="shared" ca="1" si="10"/>
        <v/>
      </c>
      <c r="Q246" s="17">
        <f>IFERROR(IF(AND(N246&lt;&gt;"",ISNUMBER(O246),O246&gt;0,O246&gt;=TODAY()-90),1,0),0)</f>
        <v/>
      </c>
      <c r="R246" s="17" t="str">
        <f t="shared" si="12"/>
        <v/>
      </c>
      <c r="S246" s="17" t="str">
        <f>IF(INDEX(Listado!A:A,ROW())="","",INDEX(Listado!A:A,ROW()))</f>
        <v/>
      </c>
      <c r="T246" s="17" t="str">
        <f ca="1">IF(INDEX(Listado!G:G,ROW())="","",INDEX(Listado!G:G,ROW()))</f>
        <v/>
      </c>
      <c r="U246" s="17" t="str">
        <f>IF(INDEX(Listado!F:F,ROW())="","",INDEX(Listado!F:F,ROW()))</f>
        <v/>
      </c>
      <c r="V246" s="17">
        <f>IF(COUNTA(INDEX(Listado!B:B,ROW()):INDEX(Listado!F:F,ROW()))&gt;0,1,0)</f>
        <v/>
      </c>
      <c r="W246" s="17" t="str">
        <f>IF(INDEX(Listado!L:L,ROW())="","",INDEX(Listado!L:L,ROW()))</f>
        <v/>
      </c>
      <c r="X246" s="17">
        <f>IF(N246="","",IF(INDEX(Listado!$M:$M,N246)="No","No","Sí"))</f>
        <v/>
      </c>
    </row>
    <row r="247" spans="2:24" ht="14.25">
      <c r="N247" s="17" t="str">
        <f>IF(V247=0,"",IFERROR(LOOKUP(2,1/(INDEX(Listado!A:A,2):INDEX(Listado!A:A,ROW())&lt;&gt;""),ROW(INDEX(Listado!A:A,2):INDEX(Listado!A:A,ROW()))),""))</f>
        <v/>
      </c>
      <c r="O247" s="17" t="str">
        <f>IFERROR(IF(N247="","",IF(INDEX(Listado!M:M,N247)="No",IF(INDEX(Listado!N:N,N247)=0,"",INDEX(Listado!N:N,N247)),IF(INDEX(Listado!I:I,N247)=0,"",INDEX(Listado!I:I,N247)))),"")</f>
        <v/>
      </c>
      <c r="P247" s="17">
        <f t="shared" ca="1" si="10"/>
        <v/>
      </c>
      <c r="Q247" s="17">
        <f>IFERROR(IF(AND(N247&lt;&gt;"",ISNUMBER(O247),O247&gt;0,O247&gt;=TODAY()-90),1,0),0)</f>
        <v/>
      </c>
      <c r="R247" s="17" t="str">
        <f t="shared" si="12"/>
        <v/>
      </c>
      <c r="S247" s="17" t="str">
        <f>IF(INDEX(Listado!A:A,ROW())="","",INDEX(Listado!A:A,ROW()))</f>
        <v/>
      </c>
      <c r="T247" s="17" t="str">
        <f ca="1">IF(INDEX(Listado!G:G,ROW())="","",INDEX(Listado!G:G,ROW()))</f>
        <v/>
      </c>
      <c r="U247" s="17" t="str">
        <f>IF(INDEX(Listado!F:F,ROW())="","",INDEX(Listado!F:F,ROW()))</f>
        <v/>
      </c>
      <c r="V247" s="17">
        <f>IF(COUNTA(INDEX(Listado!B:B,ROW()):INDEX(Listado!F:F,ROW()))&gt;0,1,0)</f>
        <v/>
      </c>
      <c r="W247" s="17" t="str">
        <f>IF(INDEX(Listado!L:L,ROW())="","",INDEX(Listado!L:L,ROW()))</f>
        <v/>
      </c>
      <c r="X247" s="17">
        <f>IF(N247="","",IF(INDEX(Listado!$M:$M,N247)="No","No","Sí"))</f>
        <v/>
      </c>
    </row>
    <row r="248" spans="2:24" ht="14.25">
      <c r="N248" s="17" t="str">
        <f>IF(V248=0,"",IFERROR(LOOKUP(2,1/(INDEX(Listado!A:A,2):INDEX(Listado!A:A,ROW())&lt;&gt;""),ROW(INDEX(Listado!A:A,2):INDEX(Listado!A:A,ROW()))),""))</f>
        <v/>
      </c>
      <c r="O248" s="17" t="str">
        <f>IFERROR(IF(N248="","",IF(INDEX(Listado!M:M,N248)="No",IF(INDEX(Listado!N:N,N248)=0,"",INDEX(Listado!N:N,N248)),IF(INDEX(Listado!I:I,N248)=0,"",INDEX(Listado!I:I,N248)))),"")</f>
        <v/>
      </c>
      <c r="P248" s="17">
        <f t="shared" ca="1" si="10"/>
        <v/>
      </c>
      <c r="Q248" s="17">
        <f>IFERROR(IF(AND(N248&lt;&gt;"",ISNUMBER(O248),O248&gt;0,O248&gt;=TODAY()-90),1,0),0)</f>
        <v/>
      </c>
      <c r="R248" s="17" t="str">
        <f t="shared" si="12"/>
        <v/>
      </c>
      <c r="S248" s="17" t="str">
        <f>IF(INDEX(Listado!A:A,ROW())="","",INDEX(Listado!A:A,ROW()))</f>
        <v/>
      </c>
      <c r="T248" s="17" t="str">
        <f ca="1">IF(INDEX(Listado!G:G,ROW())="","",INDEX(Listado!G:G,ROW()))</f>
        <v/>
      </c>
      <c r="U248" s="17" t="str">
        <f>IF(INDEX(Listado!F:F,ROW())="","",INDEX(Listado!F:F,ROW()))</f>
        <v/>
      </c>
      <c r="V248" s="17">
        <f>IF(COUNTA(INDEX(Listado!B:B,ROW()):INDEX(Listado!F:F,ROW()))&gt;0,1,0)</f>
        <v/>
      </c>
      <c r="W248" s="17" t="str">
        <f>IF(INDEX(Listado!L:L,ROW())="","",INDEX(Listado!L:L,ROW()))</f>
        <v/>
      </c>
      <c r="X248" s="17">
        <f>IF(N248="","",IF(INDEX(Listado!$M:$M,N248)="No","No","Sí"))</f>
        <v/>
      </c>
    </row>
    <row r="249" spans="2:24" ht="14.25">
      <c r="N249" s="17" t="str">
        <f>IF(V249=0,"",IFERROR(LOOKUP(2,1/(INDEX(Listado!A:A,2):INDEX(Listado!A:A,ROW())&lt;&gt;""),ROW(INDEX(Listado!A:A,2):INDEX(Listado!A:A,ROW()))),""))</f>
        <v/>
      </c>
      <c r="O249" s="17" t="str">
        <f>IFERROR(IF(N249="","",IF(INDEX(Listado!M:M,N249)="No",IF(INDEX(Listado!N:N,N249)=0,"",INDEX(Listado!N:N,N249)),IF(INDEX(Listado!I:I,N249)=0,"",INDEX(Listado!I:I,N249)))),"")</f>
        <v/>
      </c>
      <c r="P249" s="17">
        <f t="shared" ca="1" si="10"/>
        <v/>
      </c>
      <c r="Q249" s="17">
        <f>IFERROR(IF(AND(N249&lt;&gt;"",ISNUMBER(O249),O249&gt;0,O249&gt;=TODAY()-90),1,0),0)</f>
        <v/>
      </c>
      <c r="R249" s="17" t="str">
        <f t="shared" si="12"/>
        <v/>
      </c>
      <c r="S249" s="17" t="str">
        <f>IF(INDEX(Listado!A:A,ROW())="","",INDEX(Listado!A:A,ROW()))</f>
        <v/>
      </c>
      <c r="T249" s="17" t="str">
        <f ca="1">IF(INDEX(Listado!G:G,ROW())="","",INDEX(Listado!G:G,ROW()))</f>
        <v/>
      </c>
      <c r="U249" s="17" t="str">
        <f>IF(INDEX(Listado!F:F,ROW())="","",INDEX(Listado!F:F,ROW()))</f>
        <v/>
      </c>
      <c r="V249" s="17">
        <f>IF(COUNTA(INDEX(Listado!B:B,ROW()):INDEX(Listado!F:F,ROW()))&gt;0,1,0)</f>
        <v/>
      </c>
      <c r="W249" s="17" t="str">
        <f>IF(INDEX(Listado!L:L,ROW())="","",INDEX(Listado!L:L,ROW()))</f>
        <v/>
      </c>
      <c r="X249" s="17">
        <f>IF(N249="","",IF(INDEX(Listado!$M:$M,N249)="No","No","Sí"))</f>
        <v/>
      </c>
    </row>
    <row r="250" spans="2:24" ht="14.25">
      <c r="N250" s="17" t="str">
        <f>IF(V250=0,"",IFERROR(LOOKUP(2,1/(INDEX(Listado!A:A,2):INDEX(Listado!A:A,ROW())&lt;&gt;""),ROW(INDEX(Listado!A:A,2):INDEX(Listado!A:A,ROW()))),""))</f>
        <v/>
      </c>
      <c r="O250" s="17" t="str">
        <f>IFERROR(IF(N250="","",IF(INDEX(Listado!M:M,N250)="No",IF(INDEX(Listado!N:N,N250)=0,"",INDEX(Listado!N:N,N250)),IF(INDEX(Listado!I:I,N250)=0,"",INDEX(Listado!I:I,N250)))),"")</f>
        <v/>
      </c>
      <c r="P250" s="17">
        <f t="shared" ca="1" si="10"/>
        <v/>
      </c>
      <c r="Q250" s="17">
        <f>IFERROR(IF(AND(N250&lt;&gt;"",ISNUMBER(O250),O250&gt;0,O250&gt;=TODAY()-90),1,0),0)</f>
        <v/>
      </c>
      <c r="R250" s="17" t="str">
        <f t="shared" si="12"/>
        <v/>
      </c>
      <c r="S250" s="17" t="str">
        <f>IF(INDEX(Listado!A:A,ROW())="","",INDEX(Listado!A:A,ROW()))</f>
        <v/>
      </c>
      <c r="T250" s="17" t="str">
        <f ca="1">IF(INDEX(Listado!G:G,ROW())="","",INDEX(Listado!G:G,ROW()))</f>
        <v/>
      </c>
      <c r="U250" s="17" t="str">
        <f>IF(INDEX(Listado!F:F,ROW())="","",INDEX(Listado!F:F,ROW()))</f>
        <v/>
      </c>
      <c r="V250" s="17">
        <f>IF(COUNTA(INDEX(Listado!B:B,ROW()):INDEX(Listado!F:F,ROW()))&gt;0,1,0)</f>
        <v/>
      </c>
      <c r="W250" s="17" t="str">
        <f>IF(INDEX(Listado!L:L,ROW())="","",INDEX(Listado!L:L,ROW()))</f>
        <v/>
      </c>
      <c r="X250" s="17">
        <f>IF(N250="","",IF(INDEX(Listado!$M:$M,N250)="No","No","Sí"))</f>
        <v/>
      </c>
    </row>
    <row r="251" spans="2:24" ht="14.25">
      <c r="N251" s="17" t="str">
        <f>IF(V251=0,"",IFERROR(LOOKUP(2,1/(INDEX(Listado!A:A,2):INDEX(Listado!A:A,ROW())&lt;&gt;""),ROW(INDEX(Listado!A:A,2):INDEX(Listado!A:A,ROW()))),""))</f>
        <v/>
      </c>
      <c r="O251" s="17" t="str">
        <f>IFERROR(IF(N251="","",IF(INDEX(Listado!M:M,N251)="No",IF(INDEX(Listado!N:N,N251)=0,"",INDEX(Listado!N:N,N251)),IF(INDEX(Listado!I:I,N251)=0,"",INDEX(Listado!I:I,N251)))),"")</f>
        <v/>
      </c>
      <c r="P251" s="17">
        <f t="shared" ca="1" si="10"/>
        <v/>
      </c>
      <c r="Q251" s="17">
        <f>IFERROR(IF(AND(N251&lt;&gt;"",ISNUMBER(O251),O251&gt;0,O251&gt;=TODAY()-90),1,0),0)</f>
        <v/>
      </c>
      <c r="R251" s="17" t="str">
        <f t="shared" si="12"/>
        <v/>
      </c>
      <c r="S251" s="17" t="str">
        <f>IF(INDEX(Listado!A:A,ROW())="","",INDEX(Listado!A:A,ROW()))</f>
        <v/>
      </c>
      <c r="T251" s="17" t="str">
        <f ca="1">IF(INDEX(Listado!G:G,ROW())="","",INDEX(Listado!G:G,ROW()))</f>
        <v/>
      </c>
      <c r="U251" s="17" t="str">
        <f>IF(INDEX(Listado!F:F,ROW())="","",INDEX(Listado!F:F,ROW()))</f>
        <v/>
      </c>
      <c r="V251" s="17">
        <f>IF(COUNTA(INDEX(Listado!B:B,ROW()):INDEX(Listado!F:F,ROW()))&gt;0,1,0)</f>
        <v/>
      </c>
      <c r="W251" s="17" t="str">
        <f>IF(INDEX(Listado!L:L,ROW())="","",INDEX(Listado!L:L,ROW()))</f>
        <v/>
      </c>
      <c r="X251" s="17">
        <f>IF(N251="","",IF(INDEX(Listado!$M:$M,N251)="No","No","Sí"))</f>
        <v/>
      </c>
    </row>
    <row r="252" spans="2:24" ht="14.25">
      <c r="N252" s="17" t="str">
        <f>IF(V252=0,"",IFERROR(LOOKUP(2,1/(INDEX(Listado!A:A,2):INDEX(Listado!A:A,ROW())&lt;&gt;""),ROW(INDEX(Listado!A:A,2):INDEX(Listado!A:A,ROW()))),""))</f>
        <v/>
      </c>
      <c r="O252" s="17" t="str">
        <f>IFERROR(IF(N252="","",IF(INDEX(Listado!M:M,N252)="No",IF(INDEX(Listado!N:N,N252)=0,"",INDEX(Listado!N:N,N252)),IF(INDEX(Listado!I:I,N252)=0,"",INDEX(Listado!I:I,N252)))),"")</f>
        <v/>
      </c>
      <c r="P252" s="17">
        <f t="shared" ca="1" si="10"/>
        <v/>
      </c>
      <c r="Q252" s="17">
        <f>IFERROR(IF(AND(N252&lt;&gt;"",ISNUMBER(O252),O252&gt;0,O252&gt;=TODAY()-90),1,0),0)</f>
        <v/>
      </c>
      <c r="R252" s="17" t="str">
        <f t="shared" si="12"/>
        <v/>
      </c>
      <c r="S252" s="17" t="str">
        <f>IF(INDEX(Listado!A:A,ROW())="","",INDEX(Listado!A:A,ROW()))</f>
        <v/>
      </c>
      <c r="T252" s="17" t="str">
        <f ca="1">IF(INDEX(Listado!G:G,ROW())="","",INDEX(Listado!G:G,ROW()))</f>
        <v/>
      </c>
      <c r="U252" s="17" t="str">
        <f>IF(INDEX(Listado!F:F,ROW())="","",INDEX(Listado!F:F,ROW()))</f>
        <v/>
      </c>
      <c r="V252" s="17">
        <f>IF(COUNTA(INDEX(Listado!B:B,ROW()):INDEX(Listado!F:F,ROW()))&gt;0,1,0)</f>
        <v/>
      </c>
      <c r="W252" s="17" t="str">
        <f>IF(INDEX(Listado!L:L,ROW())="","",INDEX(Listado!L:L,ROW()))</f>
        <v/>
      </c>
      <c r="X252" s="17">
        <f>IF(N252="","",IF(INDEX(Listado!$M:$M,N252)="No","No","Sí"))</f>
        <v/>
      </c>
    </row>
    <row r="253" spans="2:24" ht="14.25">
      <c r="N253" s="17" t="str">
        <f>IF(V253=0,"",IFERROR(LOOKUP(2,1/(INDEX(Listado!A:A,2):INDEX(Listado!A:A,ROW())&lt;&gt;""),ROW(INDEX(Listado!A:A,2):INDEX(Listado!A:A,ROW()))),""))</f>
        <v/>
      </c>
      <c r="O253" s="17" t="str">
        <f>IFERROR(IF(N253="","",IF(INDEX(Listado!M:M,N253)="No",IF(INDEX(Listado!N:N,N253)=0,"",INDEX(Listado!N:N,N253)),IF(INDEX(Listado!I:I,N253)=0,"",INDEX(Listado!I:I,N253)))),"")</f>
        <v/>
      </c>
      <c r="P253" s="17">
        <f t="shared" ca="1" si="10"/>
        <v/>
      </c>
      <c r="Q253" s="17">
        <f>IFERROR(IF(AND(N253&lt;&gt;"",ISNUMBER(O253),O253&gt;0,O253&gt;=TODAY()-90),1,0),0)</f>
        <v/>
      </c>
      <c r="R253" s="17" t="str">
        <f t="shared" si="12"/>
        <v/>
      </c>
      <c r="S253" s="17" t="str">
        <f>IF(INDEX(Listado!A:A,ROW())="","",INDEX(Listado!A:A,ROW()))</f>
        <v/>
      </c>
      <c r="T253" s="17" t="str">
        <f ca="1">IF(INDEX(Listado!G:G,ROW())="","",INDEX(Listado!G:G,ROW()))</f>
        <v/>
      </c>
      <c r="U253" s="17" t="str">
        <f>IF(INDEX(Listado!F:F,ROW())="","",INDEX(Listado!F:F,ROW()))</f>
        <v/>
      </c>
      <c r="V253" s="17">
        <f>IF(COUNTA(INDEX(Listado!B:B,ROW()):INDEX(Listado!F:F,ROW()))&gt;0,1,0)</f>
        <v/>
      </c>
      <c r="W253" s="17" t="str">
        <f>IF(INDEX(Listado!L:L,ROW())="","",INDEX(Listado!L:L,ROW()))</f>
        <v/>
      </c>
      <c r="X253" s="17">
        <f>IF(N253="","",IF(INDEX(Listado!$M:$M,N253)="No","No","Sí"))</f>
        <v/>
      </c>
    </row>
    <row r="254" spans="2:24" ht="14.25">
      <c r="N254" s="17" t="str">
        <f>IF(V254=0,"",IFERROR(LOOKUP(2,1/(INDEX(Listado!A:A,2):INDEX(Listado!A:A,ROW())&lt;&gt;""),ROW(INDEX(Listado!A:A,2):INDEX(Listado!A:A,ROW()))),""))</f>
        <v/>
      </c>
      <c r="O254" s="17" t="str">
        <f>IFERROR(IF(N254="","",IF(INDEX(Listado!M:M,N254)="No",IF(INDEX(Listado!N:N,N254)=0,"",INDEX(Listado!N:N,N254)),IF(INDEX(Listado!I:I,N254)=0,"",INDEX(Listado!I:I,N254)))),"")</f>
        <v/>
      </c>
      <c r="P254" s="17">
        <f t="shared" ca="1" si="10"/>
        <v/>
      </c>
      <c r="Q254" s="17">
        <f>IFERROR(IF(AND(N254&lt;&gt;"",ISNUMBER(O254),O254&gt;0,O254&gt;=TODAY()-90),1,0),0)</f>
        <v/>
      </c>
      <c r="R254" s="17" t="str">
        <f t="shared" si="12"/>
        <v/>
      </c>
      <c r="S254" s="17" t="str">
        <f>IF(INDEX(Listado!A:A,ROW())="","",INDEX(Listado!A:A,ROW()))</f>
        <v/>
      </c>
      <c r="T254" s="17" t="str">
        <f ca="1">IF(INDEX(Listado!G:G,ROW())="","",INDEX(Listado!G:G,ROW()))</f>
        <v/>
      </c>
      <c r="U254" s="17" t="str">
        <f>IF(INDEX(Listado!F:F,ROW())="","",INDEX(Listado!F:F,ROW()))</f>
        <v/>
      </c>
      <c r="V254" s="17">
        <f>IF(COUNTA(INDEX(Listado!B:B,ROW()):INDEX(Listado!F:F,ROW()))&gt;0,1,0)</f>
        <v/>
      </c>
      <c r="W254" s="17" t="str">
        <f>IF(INDEX(Listado!L:L,ROW())="","",INDEX(Listado!L:L,ROW()))</f>
        <v/>
      </c>
      <c r="X254" s="17">
        <f>IF(N254="","",IF(INDEX(Listado!$M:$M,N254)="No","No","Sí"))</f>
        <v/>
      </c>
    </row>
    <row r="255" spans="2:24" ht="14.25">
      <c r="N255" s="17" t="str">
        <f>IF(V255=0,"",IFERROR(LOOKUP(2,1/(INDEX(Listado!A:A,2):INDEX(Listado!A:A,ROW())&lt;&gt;""),ROW(INDEX(Listado!A:A,2):INDEX(Listado!A:A,ROW()))),""))</f>
        <v/>
      </c>
      <c r="O255" s="17" t="str">
        <f>IFERROR(IF(N255="","",IF(INDEX(Listado!M:M,N255)="No",IF(INDEX(Listado!N:N,N255)=0,"",INDEX(Listado!N:N,N255)),IF(INDEX(Listado!I:I,N255)=0,"",INDEX(Listado!I:I,N255)))),"")</f>
        <v/>
      </c>
      <c r="P255" s="17">
        <f t="shared" ca="1" si="10"/>
        <v/>
      </c>
      <c r="Q255" s="17">
        <f>IFERROR(IF(AND(N255&lt;&gt;"",ISNUMBER(O255),O255&gt;0,O255&gt;=TODAY()-90),1,0),0)</f>
        <v/>
      </c>
      <c r="R255" s="17" t="str">
        <f t="shared" si="12"/>
        <v/>
      </c>
      <c r="S255" s="17" t="str">
        <f>IF(INDEX(Listado!A:A,ROW())="","",INDEX(Listado!A:A,ROW()))</f>
        <v/>
      </c>
      <c r="T255" s="17" t="str">
        <f ca="1">IF(INDEX(Listado!G:G,ROW())="","",INDEX(Listado!G:G,ROW()))</f>
        <v/>
      </c>
      <c r="U255" s="17" t="str">
        <f>IF(INDEX(Listado!F:F,ROW())="","",INDEX(Listado!F:F,ROW()))</f>
        <v/>
      </c>
      <c r="V255" s="17">
        <f>IF(COUNTA(INDEX(Listado!B:B,ROW()):INDEX(Listado!F:F,ROW()))&gt;0,1,0)</f>
        <v/>
      </c>
      <c r="W255" s="17" t="str">
        <f>IF(INDEX(Listado!L:L,ROW())="","",INDEX(Listado!L:L,ROW()))</f>
        <v/>
      </c>
      <c r="X255" s="17">
        <f>IF(N255="","",IF(INDEX(Listado!$M:$M,N255)="No","No","Sí"))</f>
        <v/>
      </c>
    </row>
    <row r="256" spans="2:24" ht="14.25">
      <c r="N256" s="17" t="str">
        <f>IF(V256=0,"",IFERROR(LOOKUP(2,1/(INDEX(Listado!A:A,2):INDEX(Listado!A:A,ROW())&lt;&gt;""),ROW(INDEX(Listado!A:A,2):INDEX(Listado!A:A,ROW()))),""))</f>
        <v/>
      </c>
      <c r="O256" s="17" t="str">
        <f>IFERROR(IF(N256="","",IF(INDEX(Listado!M:M,N256)="No",IF(INDEX(Listado!N:N,N256)=0,"",INDEX(Listado!N:N,N256)),IF(INDEX(Listado!I:I,N256)=0,"",INDEX(Listado!I:I,N256)))),"")</f>
        <v/>
      </c>
      <c r="P256" s="17">
        <f t="shared" ca="1" si="10"/>
        <v/>
      </c>
      <c r="Q256" s="17">
        <f>IFERROR(IF(AND(N256&lt;&gt;"",ISNUMBER(O256),O256&gt;0,O256&gt;=TODAY()-90),1,0),0)</f>
        <v/>
      </c>
      <c r="R256" s="17" t="str">
        <f t="shared" si="12"/>
        <v/>
      </c>
      <c r="S256" s="17" t="str">
        <f>IF(INDEX(Listado!A:A,ROW())="","",INDEX(Listado!A:A,ROW()))</f>
        <v/>
      </c>
      <c r="T256" s="17" t="str">
        <f ca="1">IF(INDEX(Listado!G:G,ROW())="","",INDEX(Listado!G:G,ROW()))</f>
        <v/>
      </c>
      <c r="U256" s="17" t="str">
        <f>IF(INDEX(Listado!F:F,ROW())="","",INDEX(Listado!F:F,ROW()))</f>
        <v/>
      </c>
      <c r="V256" s="17">
        <f>IF(COUNTA(INDEX(Listado!B:B,ROW()):INDEX(Listado!F:F,ROW()))&gt;0,1,0)</f>
        <v/>
      </c>
      <c r="W256" s="17" t="str">
        <f>IF(INDEX(Listado!L:L,ROW())="","",INDEX(Listado!L:L,ROW()))</f>
        <v/>
      </c>
      <c r="X256" s="17">
        <f>IF(N256="","",IF(INDEX(Listado!$M:$M,N256)="No","No","Sí"))</f>
        <v/>
      </c>
    </row>
    <row r="257" spans="2:24" ht="14.25">
      <c r="N257" s="17" t="str">
        <f>IF(V257=0,"",IFERROR(LOOKUP(2,1/(INDEX(Listado!A:A,2):INDEX(Listado!A:A,ROW())&lt;&gt;""),ROW(INDEX(Listado!A:A,2):INDEX(Listado!A:A,ROW()))),""))</f>
        <v/>
      </c>
      <c r="O257" s="17" t="str">
        <f>IFERROR(IF(N257="","",IF(INDEX(Listado!M:M,N257)="No",IF(INDEX(Listado!N:N,N257)=0,"",INDEX(Listado!N:N,N257)),IF(INDEX(Listado!I:I,N257)=0,"",INDEX(Listado!I:I,N257)))),"")</f>
        <v/>
      </c>
      <c r="P257" s="17">
        <f t="shared" ca="1" si="10"/>
        <v/>
      </c>
      <c r="Q257" s="17">
        <f>IFERROR(IF(AND(N257&lt;&gt;"",ISNUMBER(O257),O257&gt;0,O257&gt;=TODAY()-90),1,0),0)</f>
        <v/>
      </c>
      <c r="R257" s="17" t="str">
        <f t="shared" si="12"/>
        <v/>
      </c>
      <c r="S257" s="17" t="str">
        <f>IF(INDEX(Listado!A:A,ROW())="","",INDEX(Listado!A:A,ROW()))</f>
        <v/>
      </c>
      <c r="T257" s="17" t="str">
        <f ca="1">IF(INDEX(Listado!G:G,ROW())="","",INDEX(Listado!G:G,ROW()))</f>
        <v/>
      </c>
      <c r="U257" s="17" t="str">
        <f>IF(INDEX(Listado!F:F,ROW())="","",INDEX(Listado!F:F,ROW()))</f>
        <v/>
      </c>
      <c r="V257" s="17">
        <f>IF(COUNTA(INDEX(Listado!B:B,ROW()):INDEX(Listado!F:F,ROW()))&gt;0,1,0)</f>
        <v/>
      </c>
      <c r="W257" s="17" t="str">
        <f>IF(INDEX(Listado!L:L,ROW())="","",INDEX(Listado!L:L,ROW()))</f>
        <v/>
      </c>
      <c r="X257" s="17">
        <f>IF(N257="","",IF(INDEX(Listado!$M:$M,N257)="No","No","Sí"))</f>
        <v/>
      </c>
    </row>
    <row r="258" spans="2:24" ht="14.25">
      <c r="N258" s="17" t="str">
        <f>IF(V258=0,"",IFERROR(LOOKUP(2,1/(INDEX(Listado!A:A,2):INDEX(Listado!A:A,ROW())&lt;&gt;""),ROW(INDEX(Listado!A:A,2):INDEX(Listado!A:A,ROW()))),""))</f>
        <v/>
      </c>
      <c r="O258" s="17" t="str">
        <f>IFERROR(IF(N258="","",IF(INDEX(Listado!M:M,N258)="No",IF(INDEX(Listado!N:N,N258)=0,"",INDEX(Listado!N:N,N258)),IF(INDEX(Listado!I:I,N258)=0,"",INDEX(Listado!I:I,N258)))),"")</f>
        <v/>
      </c>
      <c r="P258" s="17">
        <f t="shared" ref="P258:P321" ca="1" si="13">IF(W258="",0,IFERROR(IF(AND(ISNUMBER(W258),W258=INT(W258),ISNUMBER(O258),O258&gt;0,W258&gt;=TODAY(),W258&lt;=O258+90),0,1),1))</f>
        <v/>
      </c>
      <c r="Q258" s="17">
        <f>IFERROR(IF(AND(N258&lt;&gt;"",ISNUMBER(O258),O258&gt;0,O258&gt;=TODAY()-90),1,0),0)</f>
        <v/>
      </c>
      <c r="R258" s="17" t="str">
        <f t="shared" ref="R258:R321" si="15">IF(S258="","",COUNTIFS($N$2:$N$2999,ROW(),$Q$2:$Q$2999,1))</f>
        <v/>
      </c>
      <c r="S258" s="17" t="str">
        <f>IF(INDEX(Listado!A:A,ROW())="","",INDEX(Listado!A:A,ROW()))</f>
        <v/>
      </c>
      <c r="T258" s="17" t="str">
        <f ca="1">IF(INDEX(Listado!G:G,ROW())="","",INDEX(Listado!G:G,ROW()))</f>
        <v/>
      </c>
      <c r="U258" s="17" t="str">
        <f>IF(INDEX(Listado!F:F,ROW())="","",INDEX(Listado!F:F,ROW()))</f>
        <v/>
      </c>
      <c r="V258" s="17">
        <f>IF(COUNTA(INDEX(Listado!B:B,ROW()):INDEX(Listado!F:F,ROW()))&gt;0,1,0)</f>
        <v/>
      </c>
      <c r="W258" s="17" t="str">
        <f>IF(INDEX(Listado!L:L,ROW())="","",INDEX(Listado!L:L,ROW()))</f>
        <v/>
      </c>
      <c r="X258" s="17">
        <f>IF(N258="","",IF(INDEX(Listado!$M:$M,N258)="No","No","Sí"))</f>
        <v/>
      </c>
    </row>
    <row r="259" spans="2:24" ht="14.25">
      <c r="N259" s="17" t="str">
        <f>IF(V259=0,"",IFERROR(LOOKUP(2,1/(INDEX(Listado!A:A,2):INDEX(Listado!A:A,ROW())&lt;&gt;""),ROW(INDEX(Listado!A:A,2):INDEX(Listado!A:A,ROW()))),""))</f>
        <v/>
      </c>
      <c r="O259" s="17" t="str">
        <f>IFERROR(IF(N259="","",IF(INDEX(Listado!M:M,N259)="No",IF(INDEX(Listado!N:N,N259)=0,"",INDEX(Listado!N:N,N259)),IF(INDEX(Listado!I:I,N259)=0,"",INDEX(Listado!I:I,N259)))),"")</f>
        <v/>
      </c>
      <c r="P259" s="17">
        <f t="shared" ca="1" si="13"/>
        <v/>
      </c>
      <c r="Q259" s="17">
        <f>IFERROR(IF(AND(N259&lt;&gt;"",ISNUMBER(O259),O259&gt;0,O259&gt;=TODAY()-90),1,0),0)</f>
        <v/>
      </c>
      <c r="R259" s="17" t="str">
        <f t="shared" si="15"/>
        <v/>
      </c>
      <c r="S259" s="17" t="str">
        <f>IF(INDEX(Listado!A:A,ROW())="","",INDEX(Listado!A:A,ROW()))</f>
        <v/>
      </c>
      <c r="T259" s="17" t="str">
        <f ca="1">IF(INDEX(Listado!G:G,ROW())="","",INDEX(Listado!G:G,ROW()))</f>
        <v/>
      </c>
      <c r="U259" s="17" t="str">
        <f>IF(INDEX(Listado!F:F,ROW())="","",INDEX(Listado!F:F,ROW()))</f>
        <v/>
      </c>
      <c r="V259" s="17">
        <f>IF(COUNTA(INDEX(Listado!B:B,ROW()):INDEX(Listado!F:F,ROW()))&gt;0,1,0)</f>
        <v/>
      </c>
      <c r="W259" s="17" t="str">
        <f>IF(INDEX(Listado!L:L,ROW())="","",INDEX(Listado!L:L,ROW()))</f>
        <v/>
      </c>
      <c r="X259" s="17">
        <f>IF(N259="","",IF(INDEX(Listado!$M:$M,N259)="No","No","Sí"))</f>
        <v/>
      </c>
    </row>
    <row r="260" spans="2:24" ht="14.25">
      <c r="N260" s="17" t="str">
        <f>IF(V260=0,"",IFERROR(LOOKUP(2,1/(INDEX(Listado!A:A,2):INDEX(Listado!A:A,ROW())&lt;&gt;""),ROW(INDEX(Listado!A:A,2):INDEX(Listado!A:A,ROW()))),""))</f>
        <v/>
      </c>
      <c r="O260" s="17" t="str">
        <f>IFERROR(IF(N260="","",IF(INDEX(Listado!M:M,N260)="No",IF(INDEX(Listado!N:N,N260)=0,"",INDEX(Listado!N:N,N260)),IF(INDEX(Listado!I:I,N260)=0,"",INDEX(Listado!I:I,N260)))),"")</f>
        <v/>
      </c>
      <c r="P260" s="17">
        <f t="shared" ca="1" si="13"/>
        <v/>
      </c>
      <c r="Q260" s="17">
        <f>IFERROR(IF(AND(N260&lt;&gt;"",ISNUMBER(O260),O260&gt;0,O260&gt;=TODAY()-90),1,0),0)</f>
        <v/>
      </c>
      <c r="R260" s="17" t="str">
        <f t="shared" si="15"/>
        <v/>
      </c>
      <c r="S260" s="17" t="str">
        <f>IF(INDEX(Listado!A:A,ROW())="","",INDEX(Listado!A:A,ROW()))</f>
        <v/>
      </c>
      <c r="T260" s="17" t="str">
        <f ca="1">IF(INDEX(Listado!G:G,ROW())="","",INDEX(Listado!G:G,ROW()))</f>
        <v/>
      </c>
      <c r="U260" s="17" t="str">
        <f>IF(INDEX(Listado!F:F,ROW())="","",INDEX(Listado!F:F,ROW()))</f>
        <v/>
      </c>
      <c r="V260" s="17">
        <f>IF(COUNTA(INDEX(Listado!B:B,ROW()):INDEX(Listado!F:F,ROW()))&gt;0,1,0)</f>
        <v/>
      </c>
      <c r="W260" s="17" t="str">
        <f>IF(INDEX(Listado!L:L,ROW())="","",INDEX(Listado!L:L,ROW()))</f>
        <v/>
      </c>
      <c r="X260" s="17">
        <f>IF(N260="","",IF(INDEX(Listado!$M:$M,N260)="No","No","Sí"))</f>
        <v/>
      </c>
    </row>
    <row r="261" spans="2:24" ht="14.25">
      <c r="N261" s="17" t="str">
        <f>IF(V261=0,"",IFERROR(LOOKUP(2,1/(INDEX(Listado!A:A,2):INDEX(Listado!A:A,ROW())&lt;&gt;""),ROW(INDEX(Listado!A:A,2):INDEX(Listado!A:A,ROW()))),""))</f>
        <v/>
      </c>
      <c r="O261" s="17" t="str">
        <f>IFERROR(IF(N261="","",IF(INDEX(Listado!M:M,N261)="No",IF(INDEX(Listado!N:N,N261)=0,"",INDEX(Listado!N:N,N261)),IF(INDEX(Listado!I:I,N261)=0,"",INDEX(Listado!I:I,N261)))),"")</f>
        <v/>
      </c>
      <c r="P261" s="17">
        <f t="shared" ca="1" si="13"/>
        <v/>
      </c>
      <c r="Q261" s="17">
        <f>IFERROR(IF(AND(N261&lt;&gt;"",ISNUMBER(O261),O261&gt;0,O261&gt;=TODAY()-90),1,0),0)</f>
        <v/>
      </c>
      <c r="R261" s="17" t="str">
        <f t="shared" si="15"/>
        <v/>
      </c>
      <c r="S261" s="17" t="str">
        <f>IF(INDEX(Listado!A:A,ROW())="","",INDEX(Listado!A:A,ROW()))</f>
        <v/>
      </c>
      <c r="T261" s="17" t="str">
        <f ca="1">IF(INDEX(Listado!G:G,ROW())="","",INDEX(Listado!G:G,ROW()))</f>
        <v/>
      </c>
      <c r="U261" s="17" t="str">
        <f>IF(INDEX(Listado!F:F,ROW())="","",INDEX(Listado!F:F,ROW()))</f>
        <v/>
      </c>
      <c r="V261" s="17">
        <f>IF(COUNTA(INDEX(Listado!B:B,ROW()):INDEX(Listado!F:F,ROW()))&gt;0,1,0)</f>
        <v/>
      </c>
      <c r="W261" s="17" t="str">
        <f>IF(INDEX(Listado!L:L,ROW())="","",INDEX(Listado!L:L,ROW()))</f>
        <v/>
      </c>
      <c r="X261" s="17">
        <f>IF(N261="","",IF(INDEX(Listado!$M:$M,N261)="No","No","Sí"))</f>
        <v/>
      </c>
    </row>
    <row r="262" spans="2:24" ht="14.25">
      <c r="N262" s="17" t="str">
        <f>IF(V262=0,"",IFERROR(LOOKUP(2,1/(INDEX(Listado!A:A,2):INDEX(Listado!A:A,ROW())&lt;&gt;""),ROW(INDEX(Listado!A:A,2):INDEX(Listado!A:A,ROW()))),""))</f>
        <v/>
      </c>
      <c r="O262" s="17" t="str">
        <f>IFERROR(IF(N262="","",IF(INDEX(Listado!M:M,N262)="No",IF(INDEX(Listado!N:N,N262)=0,"",INDEX(Listado!N:N,N262)),IF(INDEX(Listado!I:I,N262)=0,"",INDEX(Listado!I:I,N262)))),"")</f>
        <v/>
      </c>
      <c r="P262" s="17">
        <f t="shared" ca="1" si="13"/>
        <v/>
      </c>
      <c r="Q262" s="17">
        <f>IFERROR(IF(AND(N262&lt;&gt;"",ISNUMBER(O262),O262&gt;0,O262&gt;=TODAY()-90),1,0),0)</f>
        <v/>
      </c>
      <c r="R262" s="17" t="str">
        <f t="shared" si="15"/>
        <v/>
      </c>
      <c r="S262" s="17" t="str">
        <f>IF(INDEX(Listado!A:A,ROW())="","",INDEX(Listado!A:A,ROW()))</f>
        <v/>
      </c>
      <c r="T262" s="17" t="str">
        <f ca="1">IF(INDEX(Listado!G:G,ROW())="","",INDEX(Listado!G:G,ROW()))</f>
        <v/>
      </c>
      <c r="U262" s="17" t="str">
        <f>IF(INDEX(Listado!F:F,ROW())="","",INDEX(Listado!F:F,ROW()))</f>
        <v/>
      </c>
      <c r="V262" s="17">
        <f>IF(COUNTA(INDEX(Listado!B:B,ROW()):INDEX(Listado!F:F,ROW()))&gt;0,1,0)</f>
        <v/>
      </c>
      <c r="W262" s="17" t="str">
        <f>IF(INDEX(Listado!L:L,ROW())="","",INDEX(Listado!L:L,ROW()))</f>
        <v/>
      </c>
      <c r="X262" s="17">
        <f>IF(N262="","",IF(INDEX(Listado!$M:$M,N262)="No","No","Sí"))</f>
        <v/>
      </c>
    </row>
    <row r="263" spans="2:24" ht="14.25">
      <c r="N263" s="17" t="str">
        <f>IF(V263=0,"",IFERROR(LOOKUP(2,1/(INDEX(Listado!A:A,2):INDEX(Listado!A:A,ROW())&lt;&gt;""),ROW(INDEX(Listado!A:A,2):INDEX(Listado!A:A,ROW()))),""))</f>
        <v/>
      </c>
      <c r="O263" s="17" t="str">
        <f>IFERROR(IF(N263="","",IF(INDEX(Listado!M:M,N263)="No",IF(INDEX(Listado!N:N,N263)=0,"",INDEX(Listado!N:N,N263)),IF(INDEX(Listado!I:I,N263)=0,"",INDEX(Listado!I:I,N263)))),"")</f>
        <v/>
      </c>
      <c r="P263" s="17">
        <f t="shared" ca="1" si="13"/>
        <v/>
      </c>
      <c r="Q263" s="17">
        <f>IFERROR(IF(AND(N263&lt;&gt;"",ISNUMBER(O263),O263&gt;0,O263&gt;=TODAY()-90),1,0),0)</f>
        <v/>
      </c>
      <c r="R263" s="17" t="str">
        <f t="shared" si="15"/>
        <v/>
      </c>
      <c r="S263" s="17" t="str">
        <f>IF(INDEX(Listado!A:A,ROW())="","",INDEX(Listado!A:A,ROW()))</f>
        <v/>
      </c>
      <c r="T263" s="17" t="str">
        <f ca="1">IF(INDEX(Listado!G:G,ROW())="","",INDEX(Listado!G:G,ROW()))</f>
        <v/>
      </c>
      <c r="U263" s="17" t="str">
        <f>IF(INDEX(Listado!F:F,ROW())="","",INDEX(Listado!F:F,ROW()))</f>
        <v/>
      </c>
      <c r="V263" s="17">
        <f>IF(COUNTA(INDEX(Listado!B:B,ROW()):INDEX(Listado!F:F,ROW()))&gt;0,1,0)</f>
        <v/>
      </c>
      <c r="W263" s="17" t="str">
        <f>IF(INDEX(Listado!L:L,ROW())="","",INDEX(Listado!L:L,ROW()))</f>
        <v/>
      </c>
      <c r="X263" s="17">
        <f>IF(N263="","",IF(INDEX(Listado!$M:$M,N263)="No","No","Sí"))</f>
        <v/>
      </c>
    </row>
    <row r="264" spans="2:24" ht="14.25">
      <c r="N264" s="17" t="str">
        <f>IF(V264=0,"",IFERROR(LOOKUP(2,1/(INDEX(Listado!A:A,2):INDEX(Listado!A:A,ROW())&lt;&gt;""),ROW(INDEX(Listado!A:A,2):INDEX(Listado!A:A,ROW()))),""))</f>
        <v/>
      </c>
      <c r="O264" s="17" t="str">
        <f>IFERROR(IF(N264="","",IF(INDEX(Listado!M:M,N264)="No",IF(INDEX(Listado!N:N,N264)=0,"",INDEX(Listado!N:N,N264)),IF(INDEX(Listado!I:I,N264)=0,"",INDEX(Listado!I:I,N264)))),"")</f>
        <v/>
      </c>
      <c r="P264" s="17">
        <f t="shared" ca="1" si="13"/>
        <v/>
      </c>
      <c r="Q264" s="17">
        <f>IFERROR(IF(AND(N264&lt;&gt;"",ISNUMBER(O264),O264&gt;0,O264&gt;=TODAY()-90),1,0),0)</f>
        <v/>
      </c>
      <c r="R264" s="17" t="str">
        <f t="shared" si="15"/>
        <v/>
      </c>
      <c r="S264" s="17" t="str">
        <f>IF(INDEX(Listado!A:A,ROW())="","",INDEX(Listado!A:A,ROW()))</f>
        <v/>
      </c>
      <c r="T264" s="17" t="str">
        <f ca="1">IF(INDEX(Listado!G:G,ROW())="","",INDEX(Listado!G:G,ROW()))</f>
        <v/>
      </c>
      <c r="U264" s="17" t="str">
        <f>IF(INDEX(Listado!F:F,ROW())="","",INDEX(Listado!F:F,ROW()))</f>
        <v/>
      </c>
      <c r="V264" s="17">
        <f>IF(COUNTA(INDEX(Listado!B:B,ROW()):INDEX(Listado!F:F,ROW()))&gt;0,1,0)</f>
        <v/>
      </c>
      <c r="W264" s="17" t="str">
        <f>IF(INDEX(Listado!L:L,ROW())="","",INDEX(Listado!L:L,ROW()))</f>
        <v/>
      </c>
      <c r="X264" s="17">
        <f>IF(N264="","",IF(INDEX(Listado!$M:$M,N264)="No","No","Sí"))</f>
        <v/>
      </c>
    </row>
    <row r="265" spans="2:24" ht="14.25">
      <c r="N265" s="17" t="str">
        <f>IF(V265=0,"",IFERROR(LOOKUP(2,1/(INDEX(Listado!A:A,2):INDEX(Listado!A:A,ROW())&lt;&gt;""),ROW(INDEX(Listado!A:A,2):INDEX(Listado!A:A,ROW()))),""))</f>
        <v/>
      </c>
      <c r="O265" s="17" t="str">
        <f>IFERROR(IF(N265="","",IF(INDEX(Listado!M:M,N265)="No",IF(INDEX(Listado!N:N,N265)=0,"",INDEX(Listado!N:N,N265)),IF(INDEX(Listado!I:I,N265)=0,"",INDEX(Listado!I:I,N265)))),"")</f>
        <v/>
      </c>
      <c r="P265" s="17">
        <f t="shared" ca="1" si="13"/>
        <v/>
      </c>
      <c r="Q265" s="17">
        <f>IFERROR(IF(AND(N265&lt;&gt;"",ISNUMBER(O265),O265&gt;0,O265&gt;=TODAY()-90),1,0),0)</f>
        <v/>
      </c>
      <c r="R265" s="17" t="str">
        <f t="shared" si="15"/>
        <v/>
      </c>
      <c r="S265" s="17" t="str">
        <f>IF(INDEX(Listado!A:A,ROW())="","",INDEX(Listado!A:A,ROW()))</f>
        <v/>
      </c>
      <c r="T265" s="17" t="str">
        <f ca="1">IF(INDEX(Listado!G:G,ROW())="","",INDEX(Listado!G:G,ROW()))</f>
        <v/>
      </c>
      <c r="U265" s="17" t="str">
        <f>IF(INDEX(Listado!F:F,ROW())="","",INDEX(Listado!F:F,ROW()))</f>
        <v/>
      </c>
      <c r="V265" s="17">
        <f>IF(COUNTA(INDEX(Listado!B:B,ROW()):INDEX(Listado!F:F,ROW()))&gt;0,1,0)</f>
        <v/>
      </c>
      <c r="W265" s="17" t="str">
        <f>IF(INDEX(Listado!L:L,ROW())="","",INDEX(Listado!L:L,ROW()))</f>
        <v/>
      </c>
      <c r="X265" s="17">
        <f>IF(N265="","",IF(INDEX(Listado!$M:$M,N265)="No","No","Sí"))</f>
        <v/>
      </c>
    </row>
    <row r="266" spans="2:24" ht="14.25">
      <c r="N266" s="17" t="str">
        <f>IF(V266=0,"",IFERROR(LOOKUP(2,1/(INDEX(Listado!A:A,2):INDEX(Listado!A:A,ROW())&lt;&gt;""),ROW(INDEX(Listado!A:A,2):INDEX(Listado!A:A,ROW()))),""))</f>
        <v/>
      </c>
      <c r="O266" s="17" t="str">
        <f>IFERROR(IF(N266="","",IF(INDEX(Listado!M:M,N266)="No",IF(INDEX(Listado!N:N,N266)=0,"",INDEX(Listado!N:N,N266)),IF(INDEX(Listado!I:I,N266)=0,"",INDEX(Listado!I:I,N266)))),"")</f>
        <v/>
      </c>
      <c r="P266" s="17">
        <f t="shared" ca="1" si="13"/>
        <v/>
      </c>
      <c r="Q266" s="17">
        <f>IFERROR(IF(AND(N266&lt;&gt;"",ISNUMBER(O266),O266&gt;0,O266&gt;=TODAY()-90),1,0),0)</f>
        <v/>
      </c>
      <c r="R266" s="17" t="str">
        <f t="shared" si="15"/>
        <v/>
      </c>
      <c r="S266" s="17" t="str">
        <f>IF(INDEX(Listado!A:A,ROW())="","",INDEX(Listado!A:A,ROW()))</f>
        <v/>
      </c>
      <c r="T266" s="17" t="str">
        <f ca="1">IF(INDEX(Listado!G:G,ROW())="","",INDEX(Listado!G:G,ROW()))</f>
        <v/>
      </c>
      <c r="U266" s="17" t="str">
        <f>IF(INDEX(Listado!F:F,ROW())="","",INDEX(Listado!F:F,ROW()))</f>
        <v/>
      </c>
      <c r="V266" s="17">
        <f>IF(COUNTA(INDEX(Listado!B:B,ROW()):INDEX(Listado!F:F,ROW()))&gt;0,1,0)</f>
        <v/>
      </c>
      <c r="W266" s="17" t="str">
        <f>IF(INDEX(Listado!L:L,ROW())="","",INDEX(Listado!L:L,ROW()))</f>
        <v/>
      </c>
      <c r="X266" s="17">
        <f>IF(N266="","",IF(INDEX(Listado!$M:$M,N266)="No","No","Sí"))</f>
        <v/>
      </c>
    </row>
    <row r="267" spans="2:24" ht="14.25">
      <c r="N267" s="17" t="str">
        <f>IF(V267=0,"",IFERROR(LOOKUP(2,1/(INDEX(Listado!A:A,2):INDEX(Listado!A:A,ROW())&lt;&gt;""),ROW(INDEX(Listado!A:A,2):INDEX(Listado!A:A,ROW()))),""))</f>
        <v/>
      </c>
      <c r="O267" s="17" t="str">
        <f>IFERROR(IF(N267="","",IF(INDEX(Listado!M:M,N267)="No",IF(INDEX(Listado!N:N,N267)=0,"",INDEX(Listado!N:N,N267)),IF(INDEX(Listado!I:I,N267)=0,"",INDEX(Listado!I:I,N267)))),"")</f>
        <v/>
      </c>
      <c r="P267" s="17">
        <f t="shared" ca="1" si="13"/>
        <v/>
      </c>
      <c r="Q267" s="17">
        <f>IFERROR(IF(AND(N267&lt;&gt;"",ISNUMBER(O267),O267&gt;0,O267&gt;=TODAY()-90),1,0),0)</f>
        <v/>
      </c>
      <c r="R267" s="17" t="str">
        <f t="shared" si="15"/>
        <v/>
      </c>
      <c r="S267" s="17" t="str">
        <f>IF(INDEX(Listado!A:A,ROW())="","",INDEX(Listado!A:A,ROW()))</f>
        <v/>
      </c>
      <c r="T267" s="17" t="str">
        <f ca="1">IF(INDEX(Listado!G:G,ROW())="","",INDEX(Listado!G:G,ROW()))</f>
        <v/>
      </c>
      <c r="U267" s="17" t="str">
        <f>IF(INDEX(Listado!F:F,ROW())="","",INDEX(Listado!F:F,ROW()))</f>
        <v/>
      </c>
      <c r="V267" s="17">
        <f>IF(COUNTA(INDEX(Listado!B:B,ROW()):INDEX(Listado!F:F,ROW()))&gt;0,1,0)</f>
        <v/>
      </c>
      <c r="W267" s="17" t="str">
        <f>IF(INDEX(Listado!L:L,ROW())="","",INDEX(Listado!L:L,ROW()))</f>
        <v/>
      </c>
      <c r="X267" s="17">
        <f>IF(N267="","",IF(INDEX(Listado!$M:$M,N267)="No","No","Sí"))</f>
        <v/>
      </c>
    </row>
    <row r="268" spans="2:24" ht="14.25">
      <c r="N268" s="17" t="str">
        <f>IF(V268=0,"",IFERROR(LOOKUP(2,1/(INDEX(Listado!A:A,2):INDEX(Listado!A:A,ROW())&lt;&gt;""),ROW(INDEX(Listado!A:A,2):INDEX(Listado!A:A,ROW()))),""))</f>
        <v/>
      </c>
      <c r="O268" s="17" t="str">
        <f>IFERROR(IF(N268="","",IF(INDEX(Listado!M:M,N268)="No",IF(INDEX(Listado!N:N,N268)=0,"",INDEX(Listado!N:N,N268)),IF(INDEX(Listado!I:I,N268)=0,"",INDEX(Listado!I:I,N268)))),"")</f>
        <v/>
      </c>
      <c r="P268" s="17">
        <f t="shared" ca="1" si="13"/>
        <v/>
      </c>
      <c r="Q268" s="17">
        <f>IFERROR(IF(AND(N268&lt;&gt;"",ISNUMBER(O268),O268&gt;0,O268&gt;=TODAY()-90),1,0),0)</f>
        <v/>
      </c>
      <c r="R268" s="17" t="str">
        <f t="shared" si="15"/>
        <v/>
      </c>
      <c r="S268" s="17" t="str">
        <f>IF(INDEX(Listado!A:A,ROW())="","",INDEX(Listado!A:A,ROW()))</f>
        <v/>
      </c>
      <c r="T268" s="17" t="str">
        <f ca="1">IF(INDEX(Listado!G:G,ROW())="","",INDEX(Listado!G:G,ROW()))</f>
        <v/>
      </c>
      <c r="U268" s="17" t="str">
        <f>IF(INDEX(Listado!F:F,ROW())="","",INDEX(Listado!F:F,ROW()))</f>
        <v/>
      </c>
      <c r="V268" s="17">
        <f>IF(COUNTA(INDEX(Listado!B:B,ROW()):INDEX(Listado!F:F,ROW()))&gt;0,1,0)</f>
        <v/>
      </c>
      <c r="W268" s="17" t="str">
        <f>IF(INDEX(Listado!L:L,ROW())="","",INDEX(Listado!L:L,ROW()))</f>
        <v/>
      </c>
      <c r="X268" s="17">
        <f>IF(N268="","",IF(INDEX(Listado!$M:$M,N268)="No","No","Sí"))</f>
        <v/>
      </c>
    </row>
    <row r="269" spans="2:24" ht="14.25">
      <c r="N269" s="17" t="str">
        <f>IF(V269=0,"",IFERROR(LOOKUP(2,1/(INDEX(Listado!A:A,2):INDEX(Listado!A:A,ROW())&lt;&gt;""),ROW(INDEX(Listado!A:A,2):INDEX(Listado!A:A,ROW()))),""))</f>
        <v/>
      </c>
      <c r="O269" s="17" t="str">
        <f>IFERROR(IF(N269="","",IF(INDEX(Listado!M:M,N269)="No",IF(INDEX(Listado!N:N,N269)=0,"",INDEX(Listado!N:N,N269)),IF(INDEX(Listado!I:I,N269)=0,"",INDEX(Listado!I:I,N269)))),"")</f>
        <v/>
      </c>
      <c r="P269" s="17">
        <f t="shared" ca="1" si="13"/>
        <v/>
      </c>
      <c r="Q269" s="17">
        <f>IFERROR(IF(AND(N269&lt;&gt;"",ISNUMBER(O269),O269&gt;0,O269&gt;=TODAY()-90),1,0),0)</f>
        <v/>
      </c>
      <c r="R269" s="17" t="str">
        <f t="shared" si="15"/>
        <v/>
      </c>
      <c r="S269" s="17" t="str">
        <f>IF(INDEX(Listado!A:A,ROW())="","",INDEX(Listado!A:A,ROW()))</f>
        <v/>
      </c>
      <c r="T269" s="17" t="str">
        <f ca="1">IF(INDEX(Listado!G:G,ROW())="","",INDEX(Listado!G:G,ROW()))</f>
        <v/>
      </c>
      <c r="U269" s="17" t="str">
        <f>IF(INDEX(Listado!F:F,ROW())="","",INDEX(Listado!F:F,ROW()))</f>
        <v/>
      </c>
      <c r="V269" s="17">
        <f>IF(COUNTA(INDEX(Listado!B:B,ROW()):INDEX(Listado!F:F,ROW()))&gt;0,1,0)</f>
        <v/>
      </c>
      <c r="W269" s="17" t="str">
        <f>IF(INDEX(Listado!L:L,ROW())="","",INDEX(Listado!L:L,ROW()))</f>
        <v/>
      </c>
      <c r="X269" s="17">
        <f>IF(N269="","",IF(INDEX(Listado!$M:$M,N269)="No","No","Sí"))</f>
        <v/>
      </c>
    </row>
    <row r="270" spans="2:24" ht="14.25">
      <c r="N270" s="17" t="str">
        <f>IF(V270=0,"",IFERROR(LOOKUP(2,1/(INDEX(Listado!A:A,2):INDEX(Listado!A:A,ROW())&lt;&gt;""),ROW(INDEX(Listado!A:A,2):INDEX(Listado!A:A,ROW()))),""))</f>
        <v/>
      </c>
      <c r="O270" s="17" t="str">
        <f>IFERROR(IF(N270="","",IF(INDEX(Listado!M:M,N270)="No",IF(INDEX(Listado!N:N,N270)=0,"",INDEX(Listado!N:N,N270)),IF(INDEX(Listado!I:I,N270)=0,"",INDEX(Listado!I:I,N270)))),"")</f>
        <v/>
      </c>
      <c r="P270" s="17">
        <f t="shared" ca="1" si="13"/>
        <v/>
      </c>
      <c r="Q270" s="17">
        <f>IFERROR(IF(AND(N270&lt;&gt;"",ISNUMBER(O270),O270&gt;0,O270&gt;=TODAY()-90),1,0),0)</f>
        <v/>
      </c>
      <c r="R270" s="17" t="str">
        <f t="shared" si="15"/>
        <v/>
      </c>
      <c r="S270" s="17" t="str">
        <f>IF(INDEX(Listado!A:A,ROW())="","",INDEX(Listado!A:A,ROW()))</f>
        <v/>
      </c>
      <c r="T270" s="17" t="str">
        <f ca="1">IF(INDEX(Listado!G:G,ROW())="","",INDEX(Listado!G:G,ROW()))</f>
        <v/>
      </c>
      <c r="U270" s="17" t="str">
        <f>IF(INDEX(Listado!F:F,ROW())="","",INDEX(Listado!F:F,ROW()))</f>
        <v/>
      </c>
      <c r="V270" s="17">
        <f>IF(COUNTA(INDEX(Listado!B:B,ROW()):INDEX(Listado!F:F,ROW()))&gt;0,1,0)</f>
        <v/>
      </c>
      <c r="W270" s="17" t="str">
        <f>IF(INDEX(Listado!L:L,ROW())="","",INDEX(Listado!L:L,ROW()))</f>
        <v/>
      </c>
      <c r="X270" s="17">
        <f>IF(N270="","",IF(INDEX(Listado!$M:$M,N270)="No","No","Sí"))</f>
        <v/>
      </c>
    </row>
    <row r="271" spans="2:24" ht="14.25">
      <c r="N271" s="17" t="str">
        <f>IF(V271=0,"",IFERROR(LOOKUP(2,1/(INDEX(Listado!A:A,2):INDEX(Listado!A:A,ROW())&lt;&gt;""),ROW(INDEX(Listado!A:A,2):INDEX(Listado!A:A,ROW()))),""))</f>
        <v/>
      </c>
      <c r="O271" s="17" t="str">
        <f>IFERROR(IF(N271="","",IF(INDEX(Listado!M:M,N271)="No",IF(INDEX(Listado!N:N,N271)=0,"",INDEX(Listado!N:N,N271)),IF(INDEX(Listado!I:I,N271)=0,"",INDEX(Listado!I:I,N271)))),"")</f>
        <v/>
      </c>
      <c r="P271" s="17">
        <f t="shared" ca="1" si="13"/>
        <v/>
      </c>
      <c r="Q271" s="17">
        <f>IFERROR(IF(AND(N271&lt;&gt;"",ISNUMBER(O271),O271&gt;0,O271&gt;=TODAY()-90),1,0),0)</f>
        <v/>
      </c>
      <c r="R271" s="17" t="str">
        <f t="shared" si="15"/>
        <v/>
      </c>
      <c r="S271" s="17" t="str">
        <f>IF(INDEX(Listado!A:A,ROW())="","",INDEX(Listado!A:A,ROW()))</f>
        <v/>
      </c>
      <c r="T271" s="17" t="str">
        <f ca="1">IF(INDEX(Listado!G:G,ROW())="","",INDEX(Listado!G:G,ROW()))</f>
        <v/>
      </c>
      <c r="U271" s="17" t="str">
        <f>IF(INDEX(Listado!F:F,ROW())="","",INDEX(Listado!F:F,ROW()))</f>
        <v/>
      </c>
      <c r="V271" s="17">
        <f>IF(COUNTA(INDEX(Listado!B:B,ROW()):INDEX(Listado!F:F,ROW()))&gt;0,1,0)</f>
        <v/>
      </c>
      <c r="W271" s="17" t="str">
        <f>IF(INDEX(Listado!L:L,ROW())="","",INDEX(Listado!L:L,ROW()))</f>
        <v/>
      </c>
      <c r="X271" s="17">
        <f>IF(N271="","",IF(INDEX(Listado!$M:$M,N271)="No","No","Sí"))</f>
        <v/>
      </c>
    </row>
    <row r="272" spans="2:24" ht="14.25">
      <c r="N272" s="17" t="str">
        <f>IF(V272=0,"",IFERROR(LOOKUP(2,1/(INDEX(Listado!A:A,2):INDEX(Listado!A:A,ROW())&lt;&gt;""),ROW(INDEX(Listado!A:A,2):INDEX(Listado!A:A,ROW()))),""))</f>
        <v/>
      </c>
      <c r="O272" s="17" t="str">
        <f>IFERROR(IF(N272="","",IF(INDEX(Listado!M:M,N272)="No",IF(INDEX(Listado!N:N,N272)=0,"",INDEX(Listado!N:N,N272)),IF(INDEX(Listado!I:I,N272)=0,"",INDEX(Listado!I:I,N272)))),"")</f>
        <v/>
      </c>
      <c r="P272" s="17">
        <f t="shared" ca="1" si="13"/>
        <v/>
      </c>
      <c r="Q272" s="17">
        <f>IFERROR(IF(AND(N272&lt;&gt;"",ISNUMBER(O272),O272&gt;0,O272&gt;=TODAY()-90),1,0),0)</f>
        <v/>
      </c>
      <c r="R272" s="17" t="str">
        <f t="shared" si="15"/>
        <v/>
      </c>
      <c r="S272" s="17" t="str">
        <f>IF(INDEX(Listado!A:A,ROW())="","",INDEX(Listado!A:A,ROW()))</f>
        <v/>
      </c>
      <c r="T272" s="17" t="str">
        <f ca="1">IF(INDEX(Listado!G:G,ROW())="","",INDEX(Listado!G:G,ROW()))</f>
        <v/>
      </c>
      <c r="U272" s="17" t="str">
        <f>IF(INDEX(Listado!F:F,ROW())="","",INDEX(Listado!F:F,ROW()))</f>
        <v/>
      </c>
      <c r="V272" s="17">
        <f>IF(COUNTA(INDEX(Listado!B:B,ROW()):INDEX(Listado!F:F,ROW()))&gt;0,1,0)</f>
        <v/>
      </c>
      <c r="W272" s="17" t="str">
        <f>IF(INDEX(Listado!L:L,ROW())="","",INDEX(Listado!L:L,ROW()))</f>
        <v/>
      </c>
      <c r="X272" s="17">
        <f>IF(N272="","",IF(INDEX(Listado!$M:$M,N272)="No","No","Sí"))</f>
        <v/>
      </c>
    </row>
    <row r="273" spans="2:24" ht="14.25">
      <c r="N273" s="17" t="str">
        <f>IF(V273=0,"",IFERROR(LOOKUP(2,1/(INDEX(Listado!A:A,2):INDEX(Listado!A:A,ROW())&lt;&gt;""),ROW(INDEX(Listado!A:A,2):INDEX(Listado!A:A,ROW()))),""))</f>
        <v/>
      </c>
      <c r="O273" s="17" t="str">
        <f>IFERROR(IF(N273="","",IF(INDEX(Listado!M:M,N273)="No",IF(INDEX(Listado!N:N,N273)=0,"",INDEX(Listado!N:N,N273)),IF(INDEX(Listado!I:I,N273)=0,"",INDEX(Listado!I:I,N273)))),"")</f>
        <v/>
      </c>
      <c r="P273" s="17">
        <f t="shared" ca="1" si="13"/>
        <v/>
      </c>
      <c r="Q273" s="17">
        <f>IFERROR(IF(AND(N273&lt;&gt;"",ISNUMBER(O273),O273&gt;0,O273&gt;=TODAY()-90),1,0),0)</f>
        <v/>
      </c>
      <c r="R273" s="17" t="str">
        <f t="shared" si="15"/>
        <v/>
      </c>
      <c r="S273" s="17" t="str">
        <f>IF(INDEX(Listado!A:A,ROW())="","",INDEX(Listado!A:A,ROW()))</f>
        <v/>
      </c>
      <c r="T273" s="17" t="str">
        <f ca="1">IF(INDEX(Listado!G:G,ROW())="","",INDEX(Listado!G:G,ROW()))</f>
        <v/>
      </c>
      <c r="U273" s="17" t="str">
        <f>IF(INDEX(Listado!F:F,ROW())="","",INDEX(Listado!F:F,ROW()))</f>
        <v/>
      </c>
      <c r="V273" s="17">
        <f>IF(COUNTA(INDEX(Listado!B:B,ROW()):INDEX(Listado!F:F,ROW()))&gt;0,1,0)</f>
        <v/>
      </c>
      <c r="W273" s="17" t="str">
        <f>IF(INDEX(Listado!L:L,ROW())="","",INDEX(Listado!L:L,ROW()))</f>
        <v/>
      </c>
      <c r="X273" s="17">
        <f>IF(N273="","",IF(INDEX(Listado!$M:$M,N273)="No","No","Sí"))</f>
        <v/>
      </c>
    </row>
    <row r="274" spans="2:24" ht="14.25">
      <c r="N274" s="17" t="str">
        <f>IF(V274=0,"",IFERROR(LOOKUP(2,1/(INDEX(Listado!A:A,2):INDEX(Listado!A:A,ROW())&lt;&gt;""),ROW(INDEX(Listado!A:A,2):INDEX(Listado!A:A,ROW()))),""))</f>
        <v/>
      </c>
      <c r="O274" s="17" t="str">
        <f>IFERROR(IF(N274="","",IF(INDEX(Listado!M:M,N274)="No",IF(INDEX(Listado!N:N,N274)=0,"",INDEX(Listado!N:N,N274)),IF(INDEX(Listado!I:I,N274)=0,"",INDEX(Listado!I:I,N274)))),"")</f>
        <v/>
      </c>
      <c r="P274" s="17">
        <f t="shared" ca="1" si="13"/>
        <v/>
      </c>
      <c r="Q274" s="17">
        <f>IFERROR(IF(AND(N274&lt;&gt;"",ISNUMBER(O274),O274&gt;0,O274&gt;=TODAY()-90),1,0),0)</f>
        <v/>
      </c>
      <c r="R274" s="17" t="str">
        <f t="shared" si="15"/>
        <v/>
      </c>
      <c r="S274" s="17" t="str">
        <f>IF(INDEX(Listado!A:A,ROW())="","",INDEX(Listado!A:A,ROW()))</f>
        <v/>
      </c>
      <c r="T274" s="17" t="str">
        <f ca="1">IF(INDEX(Listado!G:G,ROW())="","",INDEX(Listado!G:G,ROW()))</f>
        <v/>
      </c>
      <c r="U274" s="17" t="str">
        <f>IF(INDEX(Listado!F:F,ROW())="","",INDEX(Listado!F:F,ROW()))</f>
        <v/>
      </c>
      <c r="V274" s="17">
        <f>IF(COUNTA(INDEX(Listado!B:B,ROW()):INDEX(Listado!F:F,ROW()))&gt;0,1,0)</f>
        <v/>
      </c>
      <c r="W274" s="17" t="str">
        <f>IF(INDEX(Listado!L:L,ROW())="","",INDEX(Listado!L:L,ROW()))</f>
        <v/>
      </c>
      <c r="X274" s="17">
        <f>IF(N274="","",IF(INDEX(Listado!$M:$M,N274)="No","No","Sí"))</f>
        <v/>
      </c>
    </row>
    <row r="275" spans="2:24" ht="14.25">
      <c r="N275" s="17" t="str">
        <f>IF(V275=0,"",IFERROR(LOOKUP(2,1/(INDEX(Listado!A:A,2):INDEX(Listado!A:A,ROW())&lt;&gt;""),ROW(INDEX(Listado!A:A,2):INDEX(Listado!A:A,ROW()))),""))</f>
        <v/>
      </c>
      <c r="O275" s="17" t="str">
        <f>IFERROR(IF(N275="","",IF(INDEX(Listado!M:M,N275)="No",IF(INDEX(Listado!N:N,N275)=0,"",INDEX(Listado!N:N,N275)),IF(INDEX(Listado!I:I,N275)=0,"",INDEX(Listado!I:I,N275)))),"")</f>
        <v/>
      </c>
      <c r="P275" s="17">
        <f t="shared" ca="1" si="13"/>
        <v/>
      </c>
      <c r="Q275" s="17">
        <f>IFERROR(IF(AND(N275&lt;&gt;"",ISNUMBER(O275),O275&gt;0,O275&gt;=TODAY()-90),1,0),0)</f>
        <v/>
      </c>
      <c r="R275" s="17" t="str">
        <f t="shared" si="15"/>
        <v/>
      </c>
      <c r="S275" s="17" t="str">
        <f>IF(INDEX(Listado!A:A,ROW())="","",INDEX(Listado!A:A,ROW()))</f>
        <v/>
      </c>
      <c r="T275" s="17" t="str">
        <f ca="1">IF(INDEX(Listado!G:G,ROW())="","",INDEX(Listado!G:G,ROW()))</f>
        <v/>
      </c>
      <c r="U275" s="17" t="str">
        <f>IF(INDEX(Listado!F:F,ROW())="","",INDEX(Listado!F:F,ROW()))</f>
        <v/>
      </c>
      <c r="V275" s="17">
        <f>IF(COUNTA(INDEX(Listado!B:B,ROW()):INDEX(Listado!F:F,ROW()))&gt;0,1,0)</f>
        <v/>
      </c>
      <c r="W275" s="17" t="str">
        <f>IF(INDEX(Listado!L:L,ROW())="","",INDEX(Listado!L:L,ROW()))</f>
        <v/>
      </c>
      <c r="X275" s="17">
        <f>IF(N275="","",IF(INDEX(Listado!$M:$M,N275)="No","No","Sí"))</f>
        <v/>
      </c>
    </row>
    <row r="276" spans="2:24" ht="14.25">
      <c r="N276" s="17" t="str">
        <f>IF(V276=0,"",IFERROR(LOOKUP(2,1/(INDEX(Listado!A:A,2):INDEX(Listado!A:A,ROW())&lt;&gt;""),ROW(INDEX(Listado!A:A,2):INDEX(Listado!A:A,ROW()))),""))</f>
        <v/>
      </c>
      <c r="O276" s="17" t="str">
        <f>IFERROR(IF(N276="","",IF(INDEX(Listado!M:M,N276)="No",IF(INDEX(Listado!N:N,N276)=0,"",INDEX(Listado!N:N,N276)),IF(INDEX(Listado!I:I,N276)=0,"",INDEX(Listado!I:I,N276)))),"")</f>
        <v/>
      </c>
      <c r="P276" s="17">
        <f t="shared" ca="1" si="13"/>
        <v/>
      </c>
      <c r="Q276" s="17">
        <f>IFERROR(IF(AND(N276&lt;&gt;"",ISNUMBER(O276),O276&gt;0,O276&gt;=TODAY()-90),1,0),0)</f>
        <v/>
      </c>
      <c r="R276" s="17" t="str">
        <f t="shared" si="15"/>
        <v/>
      </c>
      <c r="S276" s="17" t="str">
        <f>IF(INDEX(Listado!A:A,ROW())="","",INDEX(Listado!A:A,ROW()))</f>
        <v/>
      </c>
      <c r="T276" s="17" t="str">
        <f ca="1">IF(INDEX(Listado!G:G,ROW())="","",INDEX(Listado!G:G,ROW()))</f>
        <v/>
      </c>
      <c r="U276" s="17" t="str">
        <f>IF(INDEX(Listado!F:F,ROW())="","",INDEX(Listado!F:F,ROW()))</f>
        <v/>
      </c>
      <c r="V276" s="17">
        <f>IF(COUNTA(INDEX(Listado!B:B,ROW()):INDEX(Listado!F:F,ROW()))&gt;0,1,0)</f>
        <v/>
      </c>
      <c r="W276" s="17" t="str">
        <f>IF(INDEX(Listado!L:L,ROW())="","",INDEX(Listado!L:L,ROW()))</f>
        <v/>
      </c>
      <c r="X276" s="17">
        <f>IF(N276="","",IF(INDEX(Listado!$M:$M,N276)="No","No","Sí"))</f>
        <v/>
      </c>
    </row>
    <row r="277" spans="2:24" ht="14.25">
      <c r="N277" s="17" t="str">
        <f>IF(V277=0,"",IFERROR(LOOKUP(2,1/(INDEX(Listado!A:A,2):INDEX(Listado!A:A,ROW())&lt;&gt;""),ROW(INDEX(Listado!A:A,2):INDEX(Listado!A:A,ROW()))),""))</f>
        <v/>
      </c>
      <c r="O277" s="17" t="str">
        <f>IFERROR(IF(N277="","",IF(INDEX(Listado!M:M,N277)="No",IF(INDEX(Listado!N:N,N277)=0,"",INDEX(Listado!N:N,N277)),IF(INDEX(Listado!I:I,N277)=0,"",INDEX(Listado!I:I,N277)))),"")</f>
        <v/>
      </c>
      <c r="P277" s="17">
        <f t="shared" ca="1" si="13"/>
        <v/>
      </c>
      <c r="Q277" s="17">
        <f>IFERROR(IF(AND(N277&lt;&gt;"",ISNUMBER(O277),O277&gt;0,O277&gt;=TODAY()-90),1,0),0)</f>
        <v/>
      </c>
      <c r="R277" s="17" t="str">
        <f t="shared" si="15"/>
        <v/>
      </c>
      <c r="S277" s="17" t="str">
        <f>IF(INDEX(Listado!A:A,ROW())="","",INDEX(Listado!A:A,ROW()))</f>
        <v/>
      </c>
      <c r="T277" s="17" t="str">
        <f ca="1">IF(INDEX(Listado!G:G,ROW())="","",INDEX(Listado!G:G,ROW()))</f>
        <v/>
      </c>
      <c r="U277" s="17" t="str">
        <f>IF(INDEX(Listado!F:F,ROW())="","",INDEX(Listado!F:F,ROW()))</f>
        <v/>
      </c>
      <c r="V277" s="17">
        <f>IF(COUNTA(INDEX(Listado!B:B,ROW()):INDEX(Listado!F:F,ROW()))&gt;0,1,0)</f>
        <v/>
      </c>
      <c r="W277" s="17" t="str">
        <f>IF(INDEX(Listado!L:L,ROW())="","",INDEX(Listado!L:L,ROW()))</f>
        <v/>
      </c>
      <c r="X277" s="17">
        <f>IF(N277="","",IF(INDEX(Listado!$M:$M,N277)="No","No","Sí"))</f>
        <v/>
      </c>
    </row>
    <row r="278" spans="2:24" ht="14.25">
      <c r="N278" s="17" t="str">
        <f>IF(V278=0,"",IFERROR(LOOKUP(2,1/(INDEX(Listado!A:A,2):INDEX(Listado!A:A,ROW())&lt;&gt;""),ROW(INDEX(Listado!A:A,2):INDEX(Listado!A:A,ROW()))),""))</f>
        <v/>
      </c>
      <c r="O278" s="17" t="str">
        <f>IFERROR(IF(N278="","",IF(INDEX(Listado!M:M,N278)="No",IF(INDEX(Listado!N:N,N278)=0,"",INDEX(Listado!N:N,N278)),IF(INDEX(Listado!I:I,N278)=0,"",INDEX(Listado!I:I,N278)))),"")</f>
        <v/>
      </c>
      <c r="P278" s="17">
        <f t="shared" ca="1" si="13"/>
        <v/>
      </c>
      <c r="Q278" s="17">
        <f>IFERROR(IF(AND(N278&lt;&gt;"",ISNUMBER(O278),O278&gt;0,O278&gt;=TODAY()-90),1,0),0)</f>
        <v/>
      </c>
      <c r="R278" s="17" t="str">
        <f t="shared" si="15"/>
        <v/>
      </c>
      <c r="S278" s="17" t="str">
        <f>IF(INDEX(Listado!A:A,ROW())="","",INDEX(Listado!A:A,ROW()))</f>
        <v/>
      </c>
      <c r="T278" s="17" t="str">
        <f ca="1">IF(INDEX(Listado!G:G,ROW())="","",INDEX(Listado!G:G,ROW()))</f>
        <v/>
      </c>
      <c r="U278" s="17" t="str">
        <f>IF(INDEX(Listado!F:F,ROW())="","",INDEX(Listado!F:F,ROW()))</f>
        <v/>
      </c>
      <c r="V278" s="17">
        <f>IF(COUNTA(INDEX(Listado!B:B,ROW()):INDEX(Listado!F:F,ROW()))&gt;0,1,0)</f>
        <v/>
      </c>
      <c r="W278" s="17" t="str">
        <f>IF(INDEX(Listado!L:L,ROW())="","",INDEX(Listado!L:L,ROW()))</f>
        <v/>
      </c>
      <c r="X278" s="17">
        <f>IF(N278="","",IF(INDEX(Listado!$M:$M,N278)="No","No","Sí"))</f>
        <v/>
      </c>
    </row>
    <row r="279" spans="2:24" ht="14.25">
      <c r="N279" s="17" t="str">
        <f>IF(V279=0,"",IFERROR(LOOKUP(2,1/(INDEX(Listado!A:A,2):INDEX(Listado!A:A,ROW())&lt;&gt;""),ROW(INDEX(Listado!A:A,2):INDEX(Listado!A:A,ROW()))),""))</f>
        <v/>
      </c>
      <c r="O279" s="17" t="str">
        <f>IFERROR(IF(N279="","",IF(INDEX(Listado!M:M,N279)="No",IF(INDEX(Listado!N:N,N279)=0,"",INDEX(Listado!N:N,N279)),IF(INDEX(Listado!I:I,N279)=0,"",INDEX(Listado!I:I,N279)))),"")</f>
        <v/>
      </c>
      <c r="P279" s="17">
        <f t="shared" ca="1" si="13"/>
        <v/>
      </c>
      <c r="Q279" s="17">
        <f>IFERROR(IF(AND(N279&lt;&gt;"",ISNUMBER(O279),O279&gt;0,O279&gt;=TODAY()-90),1,0),0)</f>
        <v/>
      </c>
      <c r="R279" s="17" t="str">
        <f t="shared" si="15"/>
        <v/>
      </c>
      <c r="S279" s="17" t="str">
        <f>IF(INDEX(Listado!A:A,ROW())="","",INDEX(Listado!A:A,ROW()))</f>
        <v/>
      </c>
      <c r="T279" s="17" t="str">
        <f ca="1">IF(INDEX(Listado!G:G,ROW())="","",INDEX(Listado!G:G,ROW()))</f>
        <v/>
      </c>
      <c r="U279" s="17" t="str">
        <f>IF(INDEX(Listado!F:F,ROW())="","",INDEX(Listado!F:F,ROW()))</f>
        <v/>
      </c>
      <c r="V279" s="17">
        <f>IF(COUNTA(INDEX(Listado!B:B,ROW()):INDEX(Listado!F:F,ROW()))&gt;0,1,0)</f>
        <v/>
      </c>
      <c r="W279" s="17" t="str">
        <f>IF(INDEX(Listado!L:L,ROW())="","",INDEX(Listado!L:L,ROW()))</f>
        <v/>
      </c>
      <c r="X279" s="17">
        <f>IF(N279="","",IF(INDEX(Listado!$M:$M,N279)="No","No","Sí"))</f>
        <v/>
      </c>
    </row>
    <row r="280" spans="2:24" ht="14.25">
      <c r="N280" s="17" t="str">
        <f>IF(V280=0,"",IFERROR(LOOKUP(2,1/(INDEX(Listado!A:A,2):INDEX(Listado!A:A,ROW())&lt;&gt;""),ROW(INDEX(Listado!A:A,2):INDEX(Listado!A:A,ROW()))),""))</f>
        <v/>
      </c>
      <c r="O280" s="17" t="str">
        <f>IFERROR(IF(N280="","",IF(INDEX(Listado!M:M,N280)="No",IF(INDEX(Listado!N:N,N280)=0,"",INDEX(Listado!N:N,N280)),IF(INDEX(Listado!I:I,N280)=0,"",INDEX(Listado!I:I,N280)))),"")</f>
        <v/>
      </c>
      <c r="P280" s="17">
        <f t="shared" ca="1" si="13"/>
        <v/>
      </c>
      <c r="Q280" s="17">
        <f>IFERROR(IF(AND(N280&lt;&gt;"",ISNUMBER(O280),O280&gt;0,O280&gt;=TODAY()-90),1,0),0)</f>
        <v/>
      </c>
      <c r="R280" s="17" t="str">
        <f t="shared" si="15"/>
        <v/>
      </c>
      <c r="S280" s="17" t="str">
        <f>IF(INDEX(Listado!A:A,ROW())="","",INDEX(Listado!A:A,ROW()))</f>
        <v/>
      </c>
      <c r="T280" s="17" t="str">
        <f ca="1">IF(INDEX(Listado!G:G,ROW())="","",INDEX(Listado!G:G,ROW()))</f>
        <v/>
      </c>
      <c r="U280" s="17" t="str">
        <f>IF(INDEX(Listado!F:F,ROW())="","",INDEX(Listado!F:F,ROW()))</f>
        <v/>
      </c>
      <c r="V280" s="17">
        <f>IF(COUNTA(INDEX(Listado!B:B,ROW()):INDEX(Listado!F:F,ROW()))&gt;0,1,0)</f>
        <v/>
      </c>
      <c r="W280" s="17" t="str">
        <f>IF(INDEX(Listado!L:L,ROW())="","",INDEX(Listado!L:L,ROW()))</f>
        <v/>
      </c>
      <c r="X280" s="17">
        <f>IF(N280="","",IF(INDEX(Listado!$M:$M,N280)="No","No","Sí"))</f>
        <v/>
      </c>
    </row>
    <row r="281" spans="2:24" ht="14.25">
      <c r="N281" s="17" t="str">
        <f>IF(V281=0,"",IFERROR(LOOKUP(2,1/(INDEX(Listado!A:A,2):INDEX(Listado!A:A,ROW())&lt;&gt;""),ROW(INDEX(Listado!A:A,2):INDEX(Listado!A:A,ROW()))),""))</f>
        <v/>
      </c>
      <c r="O281" s="17" t="str">
        <f>IFERROR(IF(N281="","",IF(INDEX(Listado!M:M,N281)="No",IF(INDEX(Listado!N:N,N281)=0,"",INDEX(Listado!N:N,N281)),IF(INDEX(Listado!I:I,N281)=0,"",INDEX(Listado!I:I,N281)))),"")</f>
        <v/>
      </c>
      <c r="P281" s="17">
        <f t="shared" ca="1" si="13"/>
        <v/>
      </c>
      <c r="Q281" s="17">
        <f>IFERROR(IF(AND(N281&lt;&gt;"",ISNUMBER(O281),O281&gt;0,O281&gt;=TODAY()-90),1,0),0)</f>
        <v/>
      </c>
      <c r="R281" s="17" t="str">
        <f t="shared" si="15"/>
        <v/>
      </c>
      <c r="S281" s="17" t="str">
        <f>IF(INDEX(Listado!A:A,ROW())="","",INDEX(Listado!A:A,ROW()))</f>
        <v/>
      </c>
      <c r="T281" s="17" t="str">
        <f ca="1">IF(INDEX(Listado!G:G,ROW())="","",INDEX(Listado!G:G,ROW()))</f>
        <v/>
      </c>
      <c r="U281" s="17" t="str">
        <f>IF(INDEX(Listado!F:F,ROW())="","",INDEX(Listado!F:F,ROW()))</f>
        <v/>
      </c>
      <c r="V281" s="17">
        <f>IF(COUNTA(INDEX(Listado!B:B,ROW()):INDEX(Listado!F:F,ROW()))&gt;0,1,0)</f>
        <v/>
      </c>
      <c r="W281" s="17" t="str">
        <f>IF(INDEX(Listado!L:L,ROW())="","",INDEX(Listado!L:L,ROW()))</f>
        <v/>
      </c>
      <c r="X281" s="17">
        <f>IF(N281="","",IF(INDEX(Listado!$M:$M,N281)="No","No","Sí"))</f>
        <v/>
      </c>
    </row>
    <row r="282" spans="2:24" ht="14.25">
      <c r="N282" s="17" t="str">
        <f>IF(V282=0,"",IFERROR(LOOKUP(2,1/(INDEX(Listado!A:A,2):INDEX(Listado!A:A,ROW())&lt;&gt;""),ROW(INDEX(Listado!A:A,2):INDEX(Listado!A:A,ROW()))),""))</f>
        <v/>
      </c>
      <c r="O282" s="17" t="str">
        <f>IFERROR(IF(N282="","",IF(INDEX(Listado!M:M,N282)="No",IF(INDEX(Listado!N:N,N282)=0,"",INDEX(Listado!N:N,N282)),IF(INDEX(Listado!I:I,N282)=0,"",INDEX(Listado!I:I,N282)))),"")</f>
        <v/>
      </c>
      <c r="P282" s="17">
        <f t="shared" ca="1" si="13"/>
        <v/>
      </c>
      <c r="Q282" s="17">
        <f>IFERROR(IF(AND(N282&lt;&gt;"",ISNUMBER(O282),O282&gt;0,O282&gt;=TODAY()-90),1,0),0)</f>
        <v/>
      </c>
      <c r="R282" s="17" t="str">
        <f t="shared" si="15"/>
        <v/>
      </c>
      <c r="S282" s="17" t="str">
        <f>IF(INDEX(Listado!A:A,ROW())="","",INDEX(Listado!A:A,ROW()))</f>
        <v/>
      </c>
      <c r="T282" s="17" t="str">
        <f ca="1">IF(INDEX(Listado!G:G,ROW())="","",INDEX(Listado!G:G,ROW()))</f>
        <v/>
      </c>
      <c r="U282" s="17" t="str">
        <f>IF(INDEX(Listado!F:F,ROW())="","",INDEX(Listado!F:F,ROW()))</f>
        <v/>
      </c>
      <c r="V282" s="17">
        <f>IF(COUNTA(INDEX(Listado!B:B,ROW()):INDEX(Listado!F:F,ROW()))&gt;0,1,0)</f>
        <v/>
      </c>
      <c r="W282" s="17" t="str">
        <f>IF(INDEX(Listado!L:L,ROW())="","",INDEX(Listado!L:L,ROW()))</f>
        <v/>
      </c>
      <c r="X282" s="17">
        <f>IF(N282="","",IF(INDEX(Listado!$M:$M,N282)="No","No","Sí"))</f>
        <v/>
      </c>
    </row>
    <row r="283" spans="2:24" ht="14.25">
      <c r="N283" s="17" t="str">
        <f>IF(V283=0,"",IFERROR(LOOKUP(2,1/(INDEX(Listado!A:A,2):INDEX(Listado!A:A,ROW())&lt;&gt;""),ROW(INDEX(Listado!A:A,2):INDEX(Listado!A:A,ROW()))),""))</f>
        <v/>
      </c>
      <c r="O283" s="17" t="str">
        <f>IFERROR(IF(N283="","",IF(INDEX(Listado!M:M,N283)="No",IF(INDEX(Listado!N:N,N283)=0,"",INDEX(Listado!N:N,N283)),IF(INDEX(Listado!I:I,N283)=0,"",INDEX(Listado!I:I,N283)))),"")</f>
        <v/>
      </c>
      <c r="P283" s="17">
        <f t="shared" ca="1" si="13"/>
        <v/>
      </c>
      <c r="Q283" s="17">
        <f>IFERROR(IF(AND(N283&lt;&gt;"",ISNUMBER(O283),O283&gt;0,O283&gt;=TODAY()-90),1,0),0)</f>
        <v/>
      </c>
      <c r="R283" s="17" t="str">
        <f t="shared" si="15"/>
        <v/>
      </c>
      <c r="S283" s="17" t="str">
        <f>IF(INDEX(Listado!A:A,ROW())="","",INDEX(Listado!A:A,ROW()))</f>
        <v/>
      </c>
      <c r="T283" s="17" t="str">
        <f ca="1">IF(INDEX(Listado!G:G,ROW())="","",INDEX(Listado!G:G,ROW()))</f>
        <v/>
      </c>
      <c r="U283" s="17" t="str">
        <f>IF(INDEX(Listado!F:F,ROW())="","",INDEX(Listado!F:F,ROW()))</f>
        <v/>
      </c>
      <c r="V283" s="17">
        <f>IF(COUNTA(INDEX(Listado!B:B,ROW()):INDEX(Listado!F:F,ROW()))&gt;0,1,0)</f>
        <v/>
      </c>
      <c r="W283" s="17" t="str">
        <f>IF(INDEX(Listado!L:L,ROW())="","",INDEX(Listado!L:L,ROW()))</f>
        <v/>
      </c>
      <c r="X283" s="17">
        <f>IF(N283="","",IF(INDEX(Listado!$M:$M,N283)="No","No","Sí"))</f>
        <v/>
      </c>
    </row>
    <row r="284" spans="2:24" ht="14.25">
      <c r="N284" s="17" t="str">
        <f>IF(V284=0,"",IFERROR(LOOKUP(2,1/(INDEX(Listado!A:A,2):INDEX(Listado!A:A,ROW())&lt;&gt;""),ROW(INDEX(Listado!A:A,2):INDEX(Listado!A:A,ROW()))),""))</f>
        <v/>
      </c>
      <c r="O284" s="17" t="str">
        <f>IFERROR(IF(N284="","",IF(INDEX(Listado!M:M,N284)="No",IF(INDEX(Listado!N:N,N284)=0,"",INDEX(Listado!N:N,N284)),IF(INDEX(Listado!I:I,N284)=0,"",INDEX(Listado!I:I,N284)))),"")</f>
        <v/>
      </c>
      <c r="P284" s="17">
        <f t="shared" ca="1" si="13"/>
        <v/>
      </c>
      <c r="Q284" s="17">
        <f>IFERROR(IF(AND(N284&lt;&gt;"",ISNUMBER(O284),O284&gt;0,O284&gt;=TODAY()-90),1,0),0)</f>
        <v/>
      </c>
      <c r="R284" s="17" t="str">
        <f t="shared" si="15"/>
        <v/>
      </c>
      <c r="S284" s="17" t="str">
        <f>IF(INDEX(Listado!A:A,ROW())="","",INDEX(Listado!A:A,ROW()))</f>
        <v/>
      </c>
      <c r="T284" s="17" t="str">
        <f ca="1">IF(INDEX(Listado!G:G,ROW())="","",INDEX(Listado!G:G,ROW()))</f>
        <v/>
      </c>
      <c r="U284" s="17" t="str">
        <f>IF(INDEX(Listado!F:F,ROW())="","",INDEX(Listado!F:F,ROW()))</f>
        <v/>
      </c>
      <c r="V284" s="17">
        <f>IF(COUNTA(INDEX(Listado!B:B,ROW()):INDEX(Listado!F:F,ROW()))&gt;0,1,0)</f>
        <v/>
      </c>
      <c r="W284" s="17" t="str">
        <f>IF(INDEX(Listado!L:L,ROW())="","",INDEX(Listado!L:L,ROW()))</f>
        <v/>
      </c>
      <c r="X284" s="17">
        <f>IF(N284="","",IF(INDEX(Listado!$M:$M,N284)="No","No","Sí"))</f>
        <v/>
      </c>
    </row>
    <row r="285" spans="2:24" ht="14.25">
      <c r="N285" s="17" t="str">
        <f>IF(V285=0,"",IFERROR(LOOKUP(2,1/(INDEX(Listado!A:A,2):INDEX(Listado!A:A,ROW())&lt;&gt;""),ROW(INDEX(Listado!A:A,2):INDEX(Listado!A:A,ROW()))),""))</f>
        <v/>
      </c>
      <c r="O285" s="17" t="str">
        <f>IFERROR(IF(N285="","",IF(INDEX(Listado!M:M,N285)="No",IF(INDEX(Listado!N:N,N285)=0,"",INDEX(Listado!N:N,N285)),IF(INDEX(Listado!I:I,N285)=0,"",INDEX(Listado!I:I,N285)))),"")</f>
        <v/>
      </c>
      <c r="P285" s="17">
        <f t="shared" ca="1" si="13"/>
        <v/>
      </c>
      <c r="Q285" s="17">
        <f>IFERROR(IF(AND(N285&lt;&gt;"",ISNUMBER(O285),O285&gt;0,O285&gt;=TODAY()-90),1,0),0)</f>
        <v/>
      </c>
      <c r="R285" s="17" t="str">
        <f t="shared" si="15"/>
        <v/>
      </c>
      <c r="S285" s="17" t="str">
        <f>IF(INDEX(Listado!A:A,ROW())="","",INDEX(Listado!A:A,ROW()))</f>
        <v/>
      </c>
      <c r="T285" s="17" t="str">
        <f ca="1">IF(INDEX(Listado!G:G,ROW())="","",INDEX(Listado!G:G,ROW()))</f>
        <v/>
      </c>
      <c r="U285" s="17" t="str">
        <f>IF(INDEX(Listado!F:F,ROW())="","",INDEX(Listado!F:F,ROW()))</f>
        <v/>
      </c>
      <c r="V285" s="17">
        <f>IF(COUNTA(INDEX(Listado!B:B,ROW()):INDEX(Listado!F:F,ROW()))&gt;0,1,0)</f>
        <v/>
      </c>
      <c r="W285" s="17" t="str">
        <f>IF(INDEX(Listado!L:L,ROW())="","",INDEX(Listado!L:L,ROW()))</f>
        <v/>
      </c>
      <c r="X285" s="17">
        <f>IF(N285="","",IF(INDEX(Listado!$M:$M,N285)="No","No","Sí"))</f>
        <v/>
      </c>
    </row>
    <row r="286" spans="2:24" ht="14.25">
      <c r="N286" s="17" t="str">
        <f>IF(V286=0,"",IFERROR(LOOKUP(2,1/(INDEX(Listado!A:A,2):INDEX(Listado!A:A,ROW())&lt;&gt;""),ROW(INDEX(Listado!A:A,2):INDEX(Listado!A:A,ROW()))),""))</f>
        <v/>
      </c>
      <c r="O286" s="17" t="str">
        <f>IFERROR(IF(N286="","",IF(INDEX(Listado!M:M,N286)="No",IF(INDEX(Listado!N:N,N286)=0,"",INDEX(Listado!N:N,N286)),IF(INDEX(Listado!I:I,N286)=0,"",INDEX(Listado!I:I,N286)))),"")</f>
        <v/>
      </c>
      <c r="P286" s="17">
        <f t="shared" ca="1" si="13"/>
        <v/>
      </c>
      <c r="Q286" s="17">
        <f>IFERROR(IF(AND(N286&lt;&gt;"",ISNUMBER(O286),O286&gt;0,O286&gt;=TODAY()-90),1,0),0)</f>
        <v/>
      </c>
      <c r="R286" s="17" t="str">
        <f t="shared" si="15"/>
        <v/>
      </c>
      <c r="S286" s="17" t="str">
        <f>IF(INDEX(Listado!A:A,ROW())="","",INDEX(Listado!A:A,ROW()))</f>
        <v/>
      </c>
      <c r="T286" s="17" t="str">
        <f ca="1">IF(INDEX(Listado!G:G,ROW())="","",INDEX(Listado!G:G,ROW()))</f>
        <v/>
      </c>
      <c r="U286" s="17" t="str">
        <f>IF(INDEX(Listado!F:F,ROW())="","",INDEX(Listado!F:F,ROW()))</f>
        <v/>
      </c>
      <c r="V286" s="17">
        <f>IF(COUNTA(INDEX(Listado!B:B,ROW()):INDEX(Listado!F:F,ROW()))&gt;0,1,0)</f>
        <v/>
      </c>
      <c r="W286" s="17" t="str">
        <f>IF(INDEX(Listado!L:L,ROW())="","",INDEX(Listado!L:L,ROW()))</f>
        <v/>
      </c>
      <c r="X286" s="17">
        <f>IF(N286="","",IF(INDEX(Listado!$M:$M,N286)="No","No","Sí"))</f>
        <v/>
      </c>
    </row>
    <row r="287" spans="2:24" ht="14.25">
      <c r="N287" s="17" t="str">
        <f>IF(V287=0,"",IFERROR(LOOKUP(2,1/(INDEX(Listado!A:A,2):INDEX(Listado!A:A,ROW())&lt;&gt;""),ROW(INDEX(Listado!A:A,2):INDEX(Listado!A:A,ROW()))),""))</f>
        <v/>
      </c>
      <c r="O287" s="17" t="str">
        <f>IFERROR(IF(N287="","",IF(INDEX(Listado!M:M,N287)="No",IF(INDEX(Listado!N:N,N287)=0,"",INDEX(Listado!N:N,N287)),IF(INDEX(Listado!I:I,N287)=0,"",INDEX(Listado!I:I,N287)))),"")</f>
        <v/>
      </c>
      <c r="P287" s="17">
        <f t="shared" ca="1" si="13"/>
        <v/>
      </c>
      <c r="Q287" s="17">
        <f>IFERROR(IF(AND(N287&lt;&gt;"",ISNUMBER(O287),O287&gt;0,O287&gt;=TODAY()-90),1,0),0)</f>
        <v/>
      </c>
      <c r="R287" s="17" t="str">
        <f t="shared" si="15"/>
        <v/>
      </c>
      <c r="S287" s="17" t="str">
        <f>IF(INDEX(Listado!A:A,ROW())="","",INDEX(Listado!A:A,ROW()))</f>
        <v/>
      </c>
      <c r="T287" s="17" t="str">
        <f ca="1">IF(INDEX(Listado!G:G,ROW())="","",INDEX(Listado!G:G,ROW()))</f>
        <v/>
      </c>
      <c r="U287" s="17" t="str">
        <f>IF(INDEX(Listado!F:F,ROW())="","",INDEX(Listado!F:F,ROW()))</f>
        <v/>
      </c>
      <c r="V287" s="17">
        <f>IF(COUNTA(INDEX(Listado!B:B,ROW()):INDEX(Listado!F:F,ROW()))&gt;0,1,0)</f>
        <v/>
      </c>
      <c r="W287" s="17" t="str">
        <f>IF(INDEX(Listado!L:L,ROW())="","",INDEX(Listado!L:L,ROW()))</f>
        <v/>
      </c>
      <c r="X287" s="17">
        <f>IF(N287="","",IF(INDEX(Listado!$M:$M,N287)="No","No","Sí"))</f>
        <v/>
      </c>
    </row>
    <row r="288" spans="2:24" ht="14.25">
      <c r="N288" s="17" t="str">
        <f>IF(V288=0,"",IFERROR(LOOKUP(2,1/(INDEX(Listado!A:A,2):INDEX(Listado!A:A,ROW())&lt;&gt;""),ROW(INDEX(Listado!A:A,2):INDEX(Listado!A:A,ROW()))),""))</f>
        <v/>
      </c>
      <c r="O288" s="17" t="str">
        <f>IFERROR(IF(N288="","",IF(INDEX(Listado!M:M,N288)="No",IF(INDEX(Listado!N:N,N288)=0,"",INDEX(Listado!N:N,N288)),IF(INDEX(Listado!I:I,N288)=0,"",INDEX(Listado!I:I,N288)))),"")</f>
        <v/>
      </c>
      <c r="P288" s="17">
        <f t="shared" ca="1" si="13"/>
        <v/>
      </c>
      <c r="Q288" s="17">
        <f>IFERROR(IF(AND(N288&lt;&gt;"",ISNUMBER(O288),O288&gt;0,O288&gt;=TODAY()-90),1,0),0)</f>
        <v/>
      </c>
      <c r="R288" s="17" t="str">
        <f t="shared" si="15"/>
        <v/>
      </c>
      <c r="S288" s="17" t="str">
        <f>IF(INDEX(Listado!A:A,ROW())="","",INDEX(Listado!A:A,ROW()))</f>
        <v/>
      </c>
      <c r="T288" s="17" t="str">
        <f ca="1">IF(INDEX(Listado!G:G,ROW())="","",INDEX(Listado!G:G,ROW()))</f>
        <v/>
      </c>
      <c r="U288" s="17" t="str">
        <f>IF(INDEX(Listado!F:F,ROW())="","",INDEX(Listado!F:F,ROW()))</f>
        <v/>
      </c>
      <c r="V288" s="17">
        <f>IF(COUNTA(INDEX(Listado!B:B,ROW()):INDEX(Listado!F:F,ROW()))&gt;0,1,0)</f>
        <v/>
      </c>
      <c r="W288" s="17" t="str">
        <f>IF(INDEX(Listado!L:L,ROW())="","",INDEX(Listado!L:L,ROW()))</f>
        <v/>
      </c>
      <c r="X288" s="17">
        <f>IF(N288="","",IF(INDEX(Listado!$M:$M,N288)="No","No","Sí"))</f>
        <v/>
      </c>
    </row>
    <row r="289" spans="2:24" ht="14.25">
      <c r="N289" s="17" t="str">
        <f>IF(V289=0,"",IFERROR(LOOKUP(2,1/(INDEX(Listado!A:A,2):INDEX(Listado!A:A,ROW())&lt;&gt;""),ROW(INDEX(Listado!A:A,2):INDEX(Listado!A:A,ROW()))),""))</f>
        <v/>
      </c>
      <c r="O289" s="17" t="str">
        <f>IFERROR(IF(N289="","",IF(INDEX(Listado!M:M,N289)="No",IF(INDEX(Listado!N:N,N289)=0,"",INDEX(Listado!N:N,N289)),IF(INDEX(Listado!I:I,N289)=0,"",INDEX(Listado!I:I,N289)))),"")</f>
        <v/>
      </c>
      <c r="P289" s="17">
        <f t="shared" ca="1" si="13"/>
        <v/>
      </c>
      <c r="Q289" s="17">
        <f>IFERROR(IF(AND(N289&lt;&gt;"",ISNUMBER(O289),O289&gt;0,O289&gt;=TODAY()-90),1,0),0)</f>
        <v/>
      </c>
      <c r="R289" s="17" t="str">
        <f t="shared" si="15"/>
        <v/>
      </c>
      <c r="S289" s="17" t="str">
        <f>IF(INDEX(Listado!A:A,ROW())="","",INDEX(Listado!A:A,ROW()))</f>
        <v/>
      </c>
      <c r="T289" s="17" t="str">
        <f ca="1">IF(INDEX(Listado!G:G,ROW())="","",INDEX(Listado!G:G,ROW()))</f>
        <v/>
      </c>
      <c r="U289" s="17" t="str">
        <f>IF(INDEX(Listado!F:F,ROW())="","",INDEX(Listado!F:F,ROW()))</f>
        <v/>
      </c>
      <c r="V289" s="17">
        <f>IF(COUNTA(INDEX(Listado!B:B,ROW()):INDEX(Listado!F:F,ROW()))&gt;0,1,0)</f>
        <v/>
      </c>
      <c r="W289" s="17" t="str">
        <f>IF(INDEX(Listado!L:L,ROW())="","",INDEX(Listado!L:L,ROW()))</f>
        <v/>
      </c>
      <c r="X289" s="17">
        <f>IF(N289="","",IF(INDEX(Listado!$M:$M,N289)="No","No","Sí"))</f>
        <v/>
      </c>
    </row>
    <row r="290" spans="2:24" ht="14.25">
      <c r="N290" s="17" t="str">
        <f>IF(V290=0,"",IFERROR(LOOKUP(2,1/(INDEX(Listado!A:A,2):INDEX(Listado!A:A,ROW())&lt;&gt;""),ROW(INDEX(Listado!A:A,2):INDEX(Listado!A:A,ROW()))),""))</f>
        <v/>
      </c>
      <c r="O290" s="17" t="str">
        <f>IFERROR(IF(N290="","",IF(INDEX(Listado!M:M,N290)="No",IF(INDEX(Listado!N:N,N290)=0,"",INDEX(Listado!N:N,N290)),IF(INDEX(Listado!I:I,N290)=0,"",INDEX(Listado!I:I,N290)))),"")</f>
        <v/>
      </c>
      <c r="P290" s="17">
        <f t="shared" ca="1" si="13"/>
        <v/>
      </c>
      <c r="Q290" s="17">
        <f>IFERROR(IF(AND(N290&lt;&gt;"",ISNUMBER(O290),O290&gt;0,O290&gt;=TODAY()-90),1,0),0)</f>
        <v/>
      </c>
      <c r="R290" s="17" t="str">
        <f t="shared" si="15"/>
        <v/>
      </c>
      <c r="S290" s="17" t="str">
        <f>IF(INDEX(Listado!A:A,ROW())="","",INDEX(Listado!A:A,ROW()))</f>
        <v/>
      </c>
      <c r="T290" s="17" t="str">
        <f ca="1">IF(INDEX(Listado!G:G,ROW())="","",INDEX(Listado!G:G,ROW()))</f>
        <v/>
      </c>
      <c r="U290" s="17" t="str">
        <f>IF(INDEX(Listado!F:F,ROW())="","",INDEX(Listado!F:F,ROW()))</f>
        <v/>
      </c>
      <c r="V290" s="17">
        <f>IF(COUNTA(INDEX(Listado!B:B,ROW()):INDEX(Listado!F:F,ROW()))&gt;0,1,0)</f>
        <v/>
      </c>
      <c r="W290" s="17" t="str">
        <f>IF(INDEX(Listado!L:L,ROW())="","",INDEX(Listado!L:L,ROW()))</f>
        <v/>
      </c>
      <c r="X290" s="17">
        <f>IF(N290="","",IF(INDEX(Listado!$M:$M,N290)="No","No","Sí"))</f>
        <v/>
      </c>
    </row>
    <row r="291" spans="2:24" ht="14.25">
      <c r="N291" s="17" t="str">
        <f>IF(V291=0,"",IFERROR(LOOKUP(2,1/(INDEX(Listado!A:A,2):INDEX(Listado!A:A,ROW())&lt;&gt;""),ROW(INDEX(Listado!A:A,2):INDEX(Listado!A:A,ROW()))),""))</f>
        <v/>
      </c>
      <c r="O291" s="17" t="str">
        <f>IFERROR(IF(N291="","",IF(INDEX(Listado!M:M,N291)="No",IF(INDEX(Listado!N:N,N291)=0,"",INDEX(Listado!N:N,N291)),IF(INDEX(Listado!I:I,N291)=0,"",INDEX(Listado!I:I,N291)))),"")</f>
        <v/>
      </c>
      <c r="P291" s="17">
        <f t="shared" ca="1" si="13"/>
        <v/>
      </c>
      <c r="Q291" s="17">
        <f>IFERROR(IF(AND(N291&lt;&gt;"",ISNUMBER(O291),O291&gt;0,O291&gt;=TODAY()-90),1,0),0)</f>
        <v/>
      </c>
      <c r="R291" s="17" t="str">
        <f t="shared" si="15"/>
        <v/>
      </c>
      <c r="S291" s="17" t="str">
        <f>IF(INDEX(Listado!A:A,ROW())="","",INDEX(Listado!A:A,ROW()))</f>
        <v/>
      </c>
      <c r="T291" s="17" t="str">
        <f ca="1">IF(INDEX(Listado!G:G,ROW())="","",INDEX(Listado!G:G,ROW()))</f>
        <v/>
      </c>
      <c r="U291" s="17" t="str">
        <f>IF(INDEX(Listado!F:F,ROW())="","",INDEX(Listado!F:F,ROW()))</f>
        <v/>
      </c>
      <c r="V291" s="17">
        <f>IF(COUNTA(INDEX(Listado!B:B,ROW()):INDEX(Listado!F:F,ROW()))&gt;0,1,0)</f>
        <v/>
      </c>
      <c r="W291" s="17" t="str">
        <f>IF(INDEX(Listado!L:L,ROW())="","",INDEX(Listado!L:L,ROW()))</f>
        <v/>
      </c>
      <c r="X291" s="17">
        <f>IF(N291="","",IF(INDEX(Listado!$M:$M,N291)="No","No","Sí"))</f>
        <v/>
      </c>
    </row>
    <row r="292" spans="2:24" ht="14.25">
      <c r="N292" s="17" t="str">
        <f>IF(V292=0,"",IFERROR(LOOKUP(2,1/(INDEX(Listado!A:A,2):INDEX(Listado!A:A,ROW())&lt;&gt;""),ROW(INDEX(Listado!A:A,2):INDEX(Listado!A:A,ROW()))),""))</f>
        <v/>
      </c>
      <c r="O292" s="17" t="str">
        <f>IFERROR(IF(N292="","",IF(INDEX(Listado!M:M,N292)="No",IF(INDEX(Listado!N:N,N292)=0,"",INDEX(Listado!N:N,N292)),IF(INDEX(Listado!I:I,N292)=0,"",INDEX(Listado!I:I,N292)))),"")</f>
        <v/>
      </c>
      <c r="P292" s="17">
        <f t="shared" ca="1" si="13"/>
        <v/>
      </c>
      <c r="Q292" s="17">
        <f>IFERROR(IF(AND(N292&lt;&gt;"",ISNUMBER(O292),O292&gt;0,O292&gt;=TODAY()-90),1,0),0)</f>
        <v/>
      </c>
      <c r="R292" s="17" t="str">
        <f t="shared" si="15"/>
        <v/>
      </c>
      <c r="S292" s="17" t="str">
        <f>IF(INDEX(Listado!A:A,ROW())="","",INDEX(Listado!A:A,ROW()))</f>
        <v/>
      </c>
      <c r="T292" s="17" t="str">
        <f ca="1">IF(INDEX(Listado!G:G,ROW())="","",INDEX(Listado!G:G,ROW()))</f>
        <v/>
      </c>
      <c r="U292" s="17" t="str">
        <f>IF(INDEX(Listado!F:F,ROW())="","",INDEX(Listado!F:F,ROW()))</f>
        <v/>
      </c>
      <c r="V292" s="17">
        <f>IF(COUNTA(INDEX(Listado!B:B,ROW()):INDEX(Listado!F:F,ROW()))&gt;0,1,0)</f>
        <v/>
      </c>
      <c r="W292" s="17" t="str">
        <f>IF(INDEX(Listado!L:L,ROW())="","",INDEX(Listado!L:L,ROW()))</f>
        <v/>
      </c>
      <c r="X292" s="17">
        <f>IF(N292="","",IF(INDEX(Listado!$M:$M,N292)="No","No","Sí"))</f>
        <v/>
      </c>
    </row>
    <row r="293" spans="2:24" ht="14.25">
      <c r="N293" s="17" t="str">
        <f>IF(V293=0,"",IFERROR(LOOKUP(2,1/(INDEX(Listado!A:A,2):INDEX(Listado!A:A,ROW())&lt;&gt;""),ROW(INDEX(Listado!A:A,2):INDEX(Listado!A:A,ROW()))),""))</f>
        <v/>
      </c>
      <c r="O293" s="17" t="str">
        <f>IFERROR(IF(N293="","",IF(INDEX(Listado!M:M,N293)="No",IF(INDEX(Listado!N:N,N293)=0,"",INDEX(Listado!N:N,N293)),IF(INDEX(Listado!I:I,N293)=0,"",INDEX(Listado!I:I,N293)))),"")</f>
        <v/>
      </c>
      <c r="P293" s="17">
        <f t="shared" ca="1" si="13"/>
        <v/>
      </c>
      <c r="Q293" s="17">
        <f>IFERROR(IF(AND(N293&lt;&gt;"",ISNUMBER(O293),O293&gt;0,O293&gt;=TODAY()-90),1,0),0)</f>
        <v/>
      </c>
      <c r="R293" s="17" t="str">
        <f t="shared" si="15"/>
        <v/>
      </c>
      <c r="S293" s="17" t="str">
        <f>IF(INDEX(Listado!A:A,ROW())="","",INDEX(Listado!A:A,ROW()))</f>
        <v/>
      </c>
      <c r="T293" s="17" t="str">
        <f ca="1">IF(INDEX(Listado!G:G,ROW())="","",INDEX(Listado!G:G,ROW()))</f>
        <v/>
      </c>
      <c r="U293" s="17" t="str">
        <f>IF(INDEX(Listado!F:F,ROW())="","",INDEX(Listado!F:F,ROW()))</f>
        <v/>
      </c>
      <c r="V293" s="17">
        <f>IF(COUNTA(INDEX(Listado!B:B,ROW()):INDEX(Listado!F:F,ROW()))&gt;0,1,0)</f>
        <v/>
      </c>
      <c r="W293" s="17" t="str">
        <f>IF(INDEX(Listado!L:L,ROW())="","",INDEX(Listado!L:L,ROW()))</f>
        <v/>
      </c>
      <c r="X293" s="17">
        <f>IF(N293="","",IF(INDEX(Listado!$M:$M,N293)="No","No","Sí"))</f>
        <v/>
      </c>
    </row>
    <row r="294" spans="2:24" ht="14.25">
      <c r="N294" s="17" t="str">
        <f>IF(V294=0,"",IFERROR(LOOKUP(2,1/(INDEX(Listado!A:A,2):INDEX(Listado!A:A,ROW())&lt;&gt;""),ROW(INDEX(Listado!A:A,2):INDEX(Listado!A:A,ROW()))),""))</f>
        <v/>
      </c>
      <c r="O294" s="17" t="str">
        <f>IFERROR(IF(N294="","",IF(INDEX(Listado!M:M,N294)="No",IF(INDEX(Listado!N:N,N294)=0,"",INDEX(Listado!N:N,N294)),IF(INDEX(Listado!I:I,N294)=0,"",INDEX(Listado!I:I,N294)))),"")</f>
        <v/>
      </c>
      <c r="P294" s="17">
        <f t="shared" ca="1" si="13"/>
        <v/>
      </c>
      <c r="Q294" s="17">
        <f>IFERROR(IF(AND(N294&lt;&gt;"",ISNUMBER(O294),O294&gt;0,O294&gt;=TODAY()-90),1,0),0)</f>
        <v/>
      </c>
      <c r="R294" s="17" t="str">
        <f t="shared" si="15"/>
        <v/>
      </c>
      <c r="S294" s="17" t="str">
        <f>IF(INDEX(Listado!A:A,ROW())="","",INDEX(Listado!A:A,ROW()))</f>
        <v/>
      </c>
      <c r="T294" s="17" t="str">
        <f ca="1">IF(INDEX(Listado!G:G,ROW())="","",INDEX(Listado!G:G,ROW()))</f>
        <v/>
      </c>
      <c r="U294" s="17" t="str">
        <f>IF(INDEX(Listado!F:F,ROW())="","",INDEX(Listado!F:F,ROW()))</f>
        <v/>
      </c>
      <c r="V294" s="17">
        <f>IF(COUNTA(INDEX(Listado!B:B,ROW()):INDEX(Listado!F:F,ROW()))&gt;0,1,0)</f>
        <v/>
      </c>
      <c r="W294" s="17" t="str">
        <f>IF(INDEX(Listado!L:L,ROW())="","",INDEX(Listado!L:L,ROW()))</f>
        <v/>
      </c>
      <c r="X294" s="17">
        <f>IF(N294="","",IF(INDEX(Listado!$M:$M,N294)="No","No","Sí"))</f>
        <v/>
      </c>
    </row>
    <row r="295" spans="2:24" ht="14.25">
      <c r="N295" s="17" t="str">
        <f>IF(V295=0,"",IFERROR(LOOKUP(2,1/(INDEX(Listado!A:A,2):INDEX(Listado!A:A,ROW())&lt;&gt;""),ROW(INDEX(Listado!A:A,2):INDEX(Listado!A:A,ROW()))),""))</f>
        <v/>
      </c>
      <c r="O295" s="17" t="str">
        <f>IFERROR(IF(N295="","",IF(INDEX(Listado!M:M,N295)="No",IF(INDEX(Listado!N:N,N295)=0,"",INDEX(Listado!N:N,N295)),IF(INDEX(Listado!I:I,N295)=0,"",INDEX(Listado!I:I,N295)))),"")</f>
        <v/>
      </c>
      <c r="P295" s="17">
        <f t="shared" ca="1" si="13"/>
        <v/>
      </c>
      <c r="Q295" s="17">
        <f>IFERROR(IF(AND(N295&lt;&gt;"",ISNUMBER(O295),O295&gt;0,O295&gt;=TODAY()-90),1,0),0)</f>
        <v/>
      </c>
      <c r="R295" s="17" t="str">
        <f t="shared" si="15"/>
        <v/>
      </c>
      <c r="S295" s="17" t="str">
        <f>IF(INDEX(Listado!A:A,ROW())="","",INDEX(Listado!A:A,ROW()))</f>
        <v/>
      </c>
      <c r="T295" s="17" t="str">
        <f ca="1">IF(INDEX(Listado!G:G,ROW())="","",INDEX(Listado!G:G,ROW()))</f>
        <v/>
      </c>
      <c r="U295" s="17" t="str">
        <f>IF(INDEX(Listado!F:F,ROW())="","",INDEX(Listado!F:F,ROW()))</f>
        <v/>
      </c>
      <c r="V295" s="17">
        <f>IF(COUNTA(INDEX(Listado!B:B,ROW()):INDEX(Listado!F:F,ROW()))&gt;0,1,0)</f>
        <v/>
      </c>
      <c r="W295" s="17" t="str">
        <f>IF(INDEX(Listado!L:L,ROW())="","",INDEX(Listado!L:L,ROW()))</f>
        <v/>
      </c>
      <c r="X295" s="17">
        <f>IF(N295="","",IF(INDEX(Listado!$M:$M,N295)="No","No","Sí"))</f>
        <v/>
      </c>
    </row>
    <row r="296" spans="2:24" ht="14.25">
      <c r="N296" s="17" t="str">
        <f>IF(V296=0,"",IFERROR(LOOKUP(2,1/(INDEX(Listado!A:A,2):INDEX(Listado!A:A,ROW())&lt;&gt;""),ROW(INDEX(Listado!A:A,2):INDEX(Listado!A:A,ROW()))),""))</f>
        <v/>
      </c>
      <c r="O296" s="17" t="str">
        <f>IFERROR(IF(N296="","",IF(INDEX(Listado!M:M,N296)="No",IF(INDEX(Listado!N:N,N296)=0,"",INDEX(Listado!N:N,N296)),IF(INDEX(Listado!I:I,N296)=0,"",INDEX(Listado!I:I,N296)))),"")</f>
        <v/>
      </c>
      <c r="P296" s="17">
        <f t="shared" ca="1" si="13"/>
        <v/>
      </c>
      <c r="Q296" s="17">
        <f>IFERROR(IF(AND(N296&lt;&gt;"",ISNUMBER(O296),O296&gt;0,O296&gt;=TODAY()-90),1,0),0)</f>
        <v/>
      </c>
      <c r="R296" s="17" t="str">
        <f t="shared" si="15"/>
        <v/>
      </c>
      <c r="S296" s="17" t="str">
        <f>IF(INDEX(Listado!A:A,ROW())="","",INDEX(Listado!A:A,ROW()))</f>
        <v/>
      </c>
      <c r="T296" s="17" t="str">
        <f ca="1">IF(INDEX(Listado!G:G,ROW())="","",INDEX(Listado!G:G,ROW()))</f>
        <v/>
      </c>
      <c r="U296" s="17" t="str">
        <f>IF(INDEX(Listado!F:F,ROW())="","",INDEX(Listado!F:F,ROW()))</f>
        <v/>
      </c>
      <c r="V296" s="17">
        <f>IF(COUNTA(INDEX(Listado!B:B,ROW()):INDEX(Listado!F:F,ROW()))&gt;0,1,0)</f>
        <v/>
      </c>
      <c r="W296" s="17" t="str">
        <f>IF(INDEX(Listado!L:L,ROW())="","",INDEX(Listado!L:L,ROW()))</f>
        <v/>
      </c>
      <c r="X296" s="17">
        <f>IF(N296="","",IF(INDEX(Listado!$M:$M,N296)="No","No","Sí"))</f>
        <v/>
      </c>
    </row>
    <row r="297" spans="2:24" ht="14.25">
      <c r="N297" s="17" t="str">
        <f>IF(V297=0,"",IFERROR(LOOKUP(2,1/(INDEX(Listado!A:A,2):INDEX(Listado!A:A,ROW())&lt;&gt;""),ROW(INDEX(Listado!A:A,2):INDEX(Listado!A:A,ROW()))),""))</f>
        <v/>
      </c>
      <c r="O297" s="17" t="str">
        <f>IFERROR(IF(N297="","",IF(INDEX(Listado!M:M,N297)="No",IF(INDEX(Listado!N:N,N297)=0,"",INDEX(Listado!N:N,N297)),IF(INDEX(Listado!I:I,N297)=0,"",INDEX(Listado!I:I,N297)))),"")</f>
        <v/>
      </c>
      <c r="P297" s="17">
        <f t="shared" ca="1" si="13"/>
        <v/>
      </c>
      <c r="Q297" s="17">
        <f>IFERROR(IF(AND(N297&lt;&gt;"",ISNUMBER(O297),O297&gt;0,O297&gt;=TODAY()-90),1,0),0)</f>
        <v/>
      </c>
      <c r="R297" s="17" t="str">
        <f t="shared" si="15"/>
        <v/>
      </c>
      <c r="S297" s="17" t="str">
        <f>IF(INDEX(Listado!A:A,ROW())="","",INDEX(Listado!A:A,ROW()))</f>
        <v/>
      </c>
      <c r="T297" s="17" t="str">
        <f ca="1">IF(INDEX(Listado!G:G,ROW())="","",INDEX(Listado!G:G,ROW()))</f>
        <v/>
      </c>
      <c r="U297" s="17" t="str">
        <f>IF(INDEX(Listado!F:F,ROW())="","",INDEX(Listado!F:F,ROW()))</f>
        <v/>
      </c>
      <c r="V297" s="17">
        <f>IF(COUNTA(INDEX(Listado!B:B,ROW()):INDEX(Listado!F:F,ROW()))&gt;0,1,0)</f>
        <v/>
      </c>
      <c r="W297" s="17" t="str">
        <f>IF(INDEX(Listado!L:L,ROW())="","",INDEX(Listado!L:L,ROW()))</f>
        <v/>
      </c>
      <c r="X297" s="17">
        <f>IF(N297="","",IF(INDEX(Listado!$M:$M,N297)="No","No","Sí"))</f>
        <v/>
      </c>
    </row>
    <row r="298" spans="2:24" ht="14.25">
      <c r="N298" s="17" t="str">
        <f>IF(V298=0,"",IFERROR(LOOKUP(2,1/(INDEX(Listado!A:A,2):INDEX(Listado!A:A,ROW())&lt;&gt;""),ROW(INDEX(Listado!A:A,2):INDEX(Listado!A:A,ROW()))),""))</f>
        <v/>
      </c>
      <c r="O298" s="17" t="str">
        <f>IFERROR(IF(N298="","",IF(INDEX(Listado!M:M,N298)="No",IF(INDEX(Listado!N:N,N298)=0,"",INDEX(Listado!N:N,N298)),IF(INDEX(Listado!I:I,N298)=0,"",INDEX(Listado!I:I,N298)))),"")</f>
        <v/>
      </c>
      <c r="P298" s="17">
        <f t="shared" ca="1" si="13"/>
        <v/>
      </c>
      <c r="Q298" s="17">
        <f>IFERROR(IF(AND(N298&lt;&gt;"",ISNUMBER(O298),O298&gt;0,O298&gt;=TODAY()-90),1,0),0)</f>
        <v/>
      </c>
      <c r="R298" s="17" t="str">
        <f t="shared" si="15"/>
        <v/>
      </c>
      <c r="S298" s="17" t="str">
        <f>IF(INDEX(Listado!A:A,ROW())="","",INDEX(Listado!A:A,ROW()))</f>
        <v/>
      </c>
      <c r="T298" s="17" t="str">
        <f ca="1">IF(INDEX(Listado!G:G,ROW())="","",INDEX(Listado!G:G,ROW()))</f>
        <v/>
      </c>
      <c r="U298" s="17" t="str">
        <f>IF(INDEX(Listado!F:F,ROW())="","",INDEX(Listado!F:F,ROW()))</f>
        <v/>
      </c>
      <c r="V298" s="17">
        <f>IF(COUNTA(INDEX(Listado!B:B,ROW()):INDEX(Listado!F:F,ROW()))&gt;0,1,0)</f>
        <v/>
      </c>
      <c r="W298" s="17" t="str">
        <f>IF(INDEX(Listado!L:L,ROW())="","",INDEX(Listado!L:L,ROW()))</f>
        <v/>
      </c>
      <c r="X298" s="17">
        <f>IF(N298="","",IF(INDEX(Listado!$M:$M,N298)="No","No","Sí"))</f>
        <v/>
      </c>
    </row>
    <row r="299" spans="2:24" ht="14.25">
      <c r="N299" s="17" t="str">
        <f>IF(V299=0,"",IFERROR(LOOKUP(2,1/(INDEX(Listado!A:A,2):INDEX(Listado!A:A,ROW())&lt;&gt;""),ROW(INDEX(Listado!A:A,2):INDEX(Listado!A:A,ROW()))),""))</f>
        <v/>
      </c>
      <c r="O299" s="17" t="str">
        <f>IFERROR(IF(N299="","",IF(INDEX(Listado!M:M,N299)="No",IF(INDEX(Listado!N:N,N299)=0,"",INDEX(Listado!N:N,N299)),IF(INDEX(Listado!I:I,N299)=0,"",INDEX(Listado!I:I,N299)))),"")</f>
        <v/>
      </c>
      <c r="P299" s="17">
        <f t="shared" ca="1" si="13"/>
        <v/>
      </c>
      <c r="Q299" s="17">
        <f>IFERROR(IF(AND(N299&lt;&gt;"",ISNUMBER(O299),O299&gt;0,O299&gt;=TODAY()-90),1,0),0)</f>
        <v/>
      </c>
      <c r="R299" s="17" t="str">
        <f t="shared" si="15"/>
        <v/>
      </c>
      <c r="S299" s="17" t="str">
        <f>IF(INDEX(Listado!A:A,ROW())="","",INDEX(Listado!A:A,ROW()))</f>
        <v/>
      </c>
      <c r="T299" s="17" t="str">
        <f ca="1">IF(INDEX(Listado!G:G,ROW())="","",INDEX(Listado!G:G,ROW()))</f>
        <v/>
      </c>
      <c r="U299" s="17" t="str">
        <f>IF(INDEX(Listado!F:F,ROW())="","",INDEX(Listado!F:F,ROW()))</f>
        <v/>
      </c>
      <c r="V299" s="17">
        <f>IF(COUNTA(INDEX(Listado!B:B,ROW()):INDEX(Listado!F:F,ROW()))&gt;0,1,0)</f>
        <v/>
      </c>
      <c r="W299" s="17" t="str">
        <f>IF(INDEX(Listado!L:L,ROW())="","",INDEX(Listado!L:L,ROW()))</f>
        <v/>
      </c>
      <c r="X299" s="17">
        <f>IF(N299="","",IF(INDEX(Listado!$M:$M,N299)="No","No","Sí"))</f>
        <v/>
      </c>
    </row>
    <row r="300" spans="2:24" ht="14.25">
      <c r="N300" s="17" t="str">
        <f>IF(V300=0,"",IFERROR(LOOKUP(2,1/(INDEX(Listado!A:A,2):INDEX(Listado!A:A,ROW())&lt;&gt;""),ROW(INDEX(Listado!A:A,2):INDEX(Listado!A:A,ROW()))),""))</f>
        <v/>
      </c>
      <c r="O300" s="17" t="str">
        <f>IFERROR(IF(N300="","",IF(INDEX(Listado!M:M,N300)="No",IF(INDEX(Listado!N:N,N300)=0,"",INDEX(Listado!N:N,N300)),IF(INDEX(Listado!I:I,N300)=0,"",INDEX(Listado!I:I,N300)))),"")</f>
        <v/>
      </c>
      <c r="P300" s="17">
        <f t="shared" ca="1" si="13"/>
        <v/>
      </c>
      <c r="Q300" s="17">
        <f>IFERROR(IF(AND(N300&lt;&gt;"",ISNUMBER(O300),O300&gt;0,O300&gt;=TODAY()-90),1,0),0)</f>
        <v/>
      </c>
      <c r="R300" s="17" t="str">
        <f t="shared" si="15"/>
        <v/>
      </c>
      <c r="S300" s="17" t="str">
        <f>IF(INDEX(Listado!A:A,ROW())="","",INDEX(Listado!A:A,ROW()))</f>
        <v/>
      </c>
      <c r="T300" s="17" t="str">
        <f ca="1">IF(INDEX(Listado!G:G,ROW())="","",INDEX(Listado!G:G,ROW()))</f>
        <v/>
      </c>
      <c r="U300" s="17" t="str">
        <f>IF(INDEX(Listado!F:F,ROW())="","",INDEX(Listado!F:F,ROW()))</f>
        <v/>
      </c>
      <c r="V300" s="17">
        <f>IF(COUNTA(INDEX(Listado!B:B,ROW()):INDEX(Listado!F:F,ROW()))&gt;0,1,0)</f>
        <v/>
      </c>
      <c r="W300" s="17" t="str">
        <f>IF(INDEX(Listado!L:L,ROW())="","",INDEX(Listado!L:L,ROW()))</f>
        <v/>
      </c>
      <c r="X300" s="17">
        <f>IF(N300="","",IF(INDEX(Listado!$M:$M,N300)="No","No","Sí"))</f>
        <v/>
      </c>
    </row>
    <row r="301" spans="2:24" ht="14.25">
      <c r="N301" s="17" t="str">
        <f>IF(V301=0,"",IFERROR(LOOKUP(2,1/(INDEX(Listado!A:A,2):INDEX(Listado!A:A,ROW())&lt;&gt;""),ROW(INDEX(Listado!A:A,2):INDEX(Listado!A:A,ROW()))),""))</f>
        <v/>
      </c>
      <c r="O301" s="17" t="str">
        <f>IFERROR(IF(N301="","",IF(INDEX(Listado!M:M,N301)="No",IF(INDEX(Listado!N:N,N301)=0,"",INDEX(Listado!N:N,N301)),IF(INDEX(Listado!I:I,N301)=0,"",INDEX(Listado!I:I,N301)))),"")</f>
        <v/>
      </c>
      <c r="P301" s="17">
        <f t="shared" ca="1" si="13"/>
        <v/>
      </c>
      <c r="Q301" s="17">
        <f>IFERROR(IF(AND(N301&lt;&gt;"",ISNUMBER(O301),O301&gt;0,O301&gt;=TODAY()-90),1,0),0)</f>
        <v/>
      </c>
      <c r="R301" s="17" t="str">
        <f t="shared" si="15"/>
        <v/>
      </c>
      <c r="S301" s="17" t="str">
        <f>IF(INDEX(Listado!A:A,ROW())="","",INDEX(Listado!A:A,ROW()))</f>
        <v/>
      </c>
      <c r="T301" s="17" t="str">
        <f ca="1">IF(INDEX(Listado!G:G,ROW())="","",INDEX(Listado!G:G,ROW()))</f>
        <v/>
      </c>
      <c r="U301" s="17" t="str">
        <f>IF(INDEX(Listado!F:F,ROW())="","",INDEX(Listado!F:F,ROW()))</f>
        <v/>
      </c>
      <c r="V301" s="17">
        <f>IF(COUNTA(INDEX(Listado!B:B,ROW()):INDEX(Listado!F:F,ROW()))&gt;0,1,0)</f>
        <v/>
      </c>
      <c r="W301" s="17" t="str">
        <f>IF(INDEX(Listado!L:L,ROW())="","",INDEX(Listado!L:L,ROW()))</f>
        <v/>
      </c>
      <c r="X301" s="17">
        <f>IF(N301="","",IF(INDEX(Listado!$M:$M,N301)="No","No","Sí"))</f>
        <v/>
      </c>
    </row>
    <row r="302" spans="2:24" ht="14.25">
      <c r="N302" s="17" t="str">
        <f>IF(V302=0,"",IFERROR(LOOKUP(2,1/(INDEX(Listado!A:A,2):INDEX(Listado!A:A,ROW())&lt;&gt;""),ROW(INDEX(Listado!A:A,2):INDEX(Listado!A:A,ROW()))),""))</f>
        <v/>
      </c>
      <c r="O302" s="17" t="str">
        <f>IFERROR(IF(N302="","",IF(INDEX(Listado!M:M,N302)="No",IF(INDEX(Listado!N:N,N302)=0,"",INDEX(Listado!N:N,N302)),IF(INDEX(Listado!I:I,N302)=0,"",INDEX(Listado!I:I,N302)))),"")</f>
        <v/>
      </c>
      <c r="P302" s="17">
        <f t="shared" ca="1" si="13"/>
        <v/>
      </c>
      <c r="Q302" s="17">
        <f>IFERROR(IF(AND(N302&lt;&gt;"",ISNUMBER(O302),O302&gt;0,O302&gt;=TODAY()-90),1,0),0)</f>
        <v/>
      </c>
      <c r="R302" s="17" t="str">
        <f t="shared" si="15"/>
        <v/>
      </c>
      <c r="S302" s="17" t="str">
        <f>IF(INDEX(Listado!A:A,ROW())="","",INDEX(Listado!A:A,ROW()))</f>
        <v/>
      </c>
      <c r="T302" s="17" t="str">
        <f ca="1">IF(INDEX(Listado!G:G,ROW())="","",INDEX(Listado!G:G,ROW()))</f>
        <v/>
      </c>
      <c r="U302" s="17" t="str">
        <f>IF(INDEX(Listado!F:F,ROW())="","",INDEX(Listado!F:F,ROW()))</f>
        <v/>
      </c>
      <c r="V302" s="17">
        <f>IF(COUNTA(INDEX(Listado!B:B,ROW()):INDEX(Listado!F:F,ROW()))&gt;0,1,0)</f>
        <v/>
      </c>
      <c r="W302" s="17" t="str">
        <f>IF(INDEX(Listado!L:L,ROW())="","",INDEX(Listado!L:L,ROW()))</f>
        <v/>
      </c>
      <c r="X302" s="17">
        <f>IF(N302="","",IF(INDEX(Listado!$M:$M,N302)="No","No","Sí"))</f>
        <v/>
      </c>
    </row>
    <row r="303" spans="2:24" ht="14.25">
      <c r="N303" s="17" t="str">
        <f>IF(V303=0,"",IFERROR(LOOKUP(2,1/(INDEX(Listado!A:A,2):INDEX(Listado!A:A,ROW())&lt;&gt;""),ROW(INDEX(Listado!A:A,2):INDEX(Listado!A:A,ROW()))),""))</f>
        <v/>
      </c>
      <c r="O303" s="17" t="str">
        <f>IFERROR(IF(N303="","",IF(INDEX(Listado!M:M,N303)="No",IF(INDEX(Listado!N:N,N303)=0,"",INDEX(Listado!N:N,N303)),IF(INDEX(Listado!I:I,N303)=0,"",INDEX(Listado!I:I,N303)))),"")</f>
        <v/>
      </c>
      <c r="P303" s="17">
        <f t="shared" ca="1" si="13"/>
        <v/>
      </c>
      <c r="Q303" s="17">
        <f>IFERROR(IF(AND(N303&lt;&gt;"",ISNUMBER(O303),O303&gt;0,O303&gt;=TODAY()-90),1,0),0)</f>
        <v/>
      </c>
      <c r="R303" s="17" t="str">
        <f t="shared" si="15"/>
        <v/>
      </c>
      <c r="S303" s="17" t="str">
        <f>IF(INDEX(Listado!A:A,ROW())="","",INDEX(Listado!A:A,ROW()))</f>
        <v/>
      </c>
      <c r="T303" s="17" t="str">
        <f ca="1">IF(INDEX(Listado!G:G,ROW())="","",INDEX(Listado!G:G,ROW()))</f>
        <v/>
      </c>
      <c r="U303" s="17" t="str">
        <f>IF(INDEX(Listado!F:F,ROW())="","",INDEX(Listado!F:F,ROW()))</f>
        <v/>
      </c>
      <c r="V303" s="17">
        <f>IF(COUNTA(INDEX(Listado!B:B,ROW()):INDEX(Listado!F:F,ROW()))&gt;0,1,0)</f>
        <v/>
      </c>
      <c r="W303" s="17" t="str">
        <f>IF(INDEX(Listado!L:L,ROW())="","",INDEX(Listado!L:L,ROW()))</f>
        <v/>
      </c>
      <c r="X303" s="17">
        <f>IF(N303="","",IF(INDEX(Listado!$M:$M,N303)="No","No","Sí"))</f>
        <v/>
      </c>
    </row>
    <row r="304" spans="2:24" ht="14.25">
      <c r="N304" s="17" t="str">
        <f>IF(V304=0,"",IFERROR(LOOKUP(2,1/(INDEX(Listado!A:A,2):INDEX(Listado!A:A,ROW())&lt;&gt;""),ROW(INDEX(Listado!A:A,2):INDEX(Listado!A:A,ROW()))),""))</f>
        <v/>
      </c>
      <c r="O304" s="17" t="str">
        <f>IFERROR(IF(N304="","",IF(INDEX(Listado!M:M,N304)="No",IF(INDEX(Listado!N:N,N304)=0,"",INDEX(Listado!N:N,N304)),IF(INDEX(Listado!I:I,N304)=0,"",INDEX(Listado!I:I,N304)))),"")</f>
        <v/>
      </c>
      <c r="P304" s="17">
        <f t="shared" ca="1" si="13"/>
        <v/>
      </c>
      <c r="Q304" s="17">
        <f>IFERROR(IF(AND(N304&lt;&gt;"",ISNUMBER(O304),O304&gt;0,O304&gt;=TODAY()-90),1,0),0)</f>
        <v/>
      </c>
      <c r="R304" s="17" t="str">
        <f t="shared" si="15"/>
        <v/>
      </c>
      <c r="S304" s="17" t="str">
        <f>IF(INDEX(Listado!A:A,ROW())="","",INDEX(Listado!A:A,ROW()))</f>
        <v/>
      </c>
      <c r="T304" s="17" t="str">
        <f ca="1">IF(INDEX(Listado!G:G,ROW())="","",INDEX(Listado!G:G,ROW()))</f>
        <v/>
      </c>
      <c r="U304" s="17" t="str">
        <f>IF(INDEX(Listado!F:F,ROW())="","",INDEX(Listado!F:F,ROW()))</f>
        <v/>
      </c>
      <c r="V304" s="17">
        <f>IF(COUNTA(INDEX(Listado!B:B,ROW()):INDEX(Listado!F:F,ROW()))&gt;0,1,0)</f>
        <v/>
      </c>
      <c r="W304" s="17" t="str">
        <f>IF(INDEX(Listado!L:L,ROW())="","",INDEX(Listado!L:L,ROW()))</f>
        <v/>
      </c>
      <c r="X304" s="17">
        <f>IF(N304="","",IF(INDEX(Listado!$M:$M,N304)="No","No","Sí"))</f>
        <v/>
      </c>
    </row>
    <row r="305" spans="2:24" ht="14.25">
      <c r="N305" s="17" t="str">
        <f>IF(V305=0,"",IFERROR(LOOKUP(2,1/(INDEX(Listado!A:A,2):INDEX(Listado!A:A,ROW())&lt;&gt;""),ROW(INDEX(Listado!A:A,2):INDEX(Listado!A:A,ROW()))),""))</f>
        <v/>
      </c>
      <c r="O305" s="17" t="str">
        <f>IFERROR(IF(N305="","",IF(INDEX(Listado!M:M,N305)="No",IF(INDEX(Listado!N:N,N305)=0,"",INDEX(Listado!N:N,N305)),IF(INDEX(Listado!I:I,N305)=0,"",INDEX(Listado!I:I,N305)))),"")</f>
        <v/>
      </c>
      <c r="P305" s="17">
        <f t="shared" ca="1" si="13"/>
        <v/>
      </c>
      <c r="Q305" s="17">
        <f>IFERROR(IF(AND(N305&lt;&gt;"",ISNUMBER(O305),O305&gt;0,O305&gt;=TODAY()-90),1,0),0)</f>
        <v/>
      </c>
      <c r="R305" s="17" t="str">
        <f t="shared" si="15"/>
        <v/>
      </c>
      <c r="S305" s="17" t="str">
        <f>IF(INDEX(Listado!A:A,ROW())="","",INDEX(Listado!A:A,ROW()))</f>
        <v/>
      </c>
      <c r="T305" s="17" t="str">
        <f ca="1">IF(INDEX(Listado!G:G,ROW())="","",INDEX(Listado!G:G,ROW()))</f>
        <v/>
      </c>
      <c r="U305" s="17" t="str">
        <f>IF(INDEX(Listado!F:F,ROW())="","",INDEX(Listado!F:F,ROW()))</f>
        <v/>
      </c>
      <c r="V305" s="17">
        <f>IF(COUNTA(INDEX(Listado!B:B,ROW()):INDEX(Listado!F:F,ROW()))&gt;0,1,0)</f>
        <v/>
      </c>
      <c r="W305" s="17" t="str">
        <f>IF(INDEX(Listado!L:L,ROW())="","",INDEX(Listado!L:L,ROW()))</f>
        <v/>
      </c>
      <c r="X305" s="17">
        <f>IF(N305="","",IF(INDEX(Listado!$M:$M,N305)="No","No","Sí"))</f>
        <v/>
      </c>
    </row>
    <row r="306" spans="2:24" ht="14.25">
      <c r="N306" s="17" t="str">
        <f>IF(V306=0,"",IFERROR(LOOKUP(2,1/(INDEX(Listado!A:A,2):INDEX(Listado!A:A,ROW())&lt;&gt;""),ROW(INDEX(Listado!A:A,2):INDEX(Listado!A:A,ROW()))),""))</f>
        <v/>
      </c>
      <c r="O306" s="17" t="str">
        <f>IFERROR(IF(N306="","",IF(INDEX(Listado!M:M,N306)="No",IF(INDEX(Listado!N:N,N306)=0,"",INDEX(Listado!N:N,N306)),IF(INDEX(Listado!I:I,N306)=0,"",INDEX(Listado!I:I,N306)))),"")</f>
        <v/>
      </c>
      <c r="P306" s="17">
        <f t="shared" ca="1" si="13"/>
        <v/>
      </c>
      <c r="Q306" s="17">
        <f>IFERROR(IF(AND(N306&lt;&gt;"",ISNUMBER(O306),O306&gt;0,O306&gt;=TODAY()-90),1,0),0)</f>
        <v/>
      </c>
      <c r="R306" s="17" t="str">
        <f t="shared" si="15"/>
        <v/>
      </c>
      <c r="S306" s="17" t="str">
        <f>IF(INDEX(Listado!A:A,ROW())="","",INDEX(Listado!A:A,ROW()))</f>
        <v/>
      </c>
      <c r="T306" s="17" t="str">
        <f ca="1">IF(INDEX(Listado!G:G,ROW())="","",INDEX(Listado!G:G,ROW()))</f>
        <v/>
      </c>
      <c r="U306" s="17" t="str">
        <f>IF(INDEX(Listado!F:F,ROW())="","",INDEX(Listado!F:F,ROW()))</f>
        <v/>
      </c>
      <c r="V306" s="17">
        <f>IF(COUNTA(INDEX(Listado!B:B,ROW()):INDEX(Listado!F:F,ROW()))&gt;0,1,0)</f>
        <v/>
      </c>
      <c r="W306" s="17" t="str">
        <f>IF(INDEX(Listado!L:L,ROW())="","",INDEX(Listado!L:L,ROW()))</f>
        <v/>
      </c>
      <c r="X306" s="17">
        <f>IF(N306="","",IF(INDEX(Listado!$M:$M,N306)="No","No","Sí"))</f>
        <v/>
      </c>
    </row>
    <row r="307" spans="2:24" ht="14.25">
      <c r="N307" s="17" t="str">
        <f>IF(V307=0,"",IFERROR(LOOKUP(2,1/(INDEX(Listado!A:A,2):INDEX(Listado!A:A,ROW())&lt;&gt;""),ROW(INDEX(Listado!A:A,2):INDEX(Listado!A:A,ROW()))),""))</f>
        <v/>
      </c>
      <c r="O307" s="17" t="str">
        <f>IFERROR(IF(N307="","",IF(INDEX(Listado!M:M,N307)="No",IF(INDEX(Listado!N:N,N307)=0,"",INDEX(Listado!N:N,N307)),IF(INDEX(Listado!I:I,N307)=0,"",INDEX(Listado!I:I,N307)))),"")</f>
        <v/>
      </c>
      <c r="P307" s="17">
        <f t="shared" ca="1" si="13"/>
        <v/>
      </c>
      <c r="Q307" s="17">
        <f>IFERROR(IF(AND(N307&lt;&gt;"",ISNUMBER(O307),O307&gt;0,O307&gt;=TODAY()-90),1,0),0)</f>
        <v/>
      </c>
      <c r="R307" s="17" t="str">
        <f t="shared" si="15"/>
        <v/>
      </c>
      <c r="S307" s="17" t="str">
        <f>IF(INDEX(Listado!A:A,ROW())="","",INDEX(Listado!A:A,ROW()))</f>
        <v/>
      </c>
      <c r="T307" s="17" t="str">
        <f ca="1">IF(INDEX(Listado!G:G,ROW())="","",INDEX(Listado!G:G,ROW()))</f>
        <v/>
      </c>
      <c r="U307" s="17" t="str">
        <f>IF(INDEX(Listado!F:F,ROW())="","",INDEX(Listado!F:F,ROW()))</f>
        <v/>
      </c>
      <c r="V307" s="17">
        <f>IF(COUNTA(INDEX(Listado!B:B,ROW()):INDEX(Listado!F:F,ROW()))&gt;0,1,0)</f>
        <v/>
      </c>
      <c r="W307" s="17" t="str">
        <f>IF(INDEX(Listado!L:L,ROW())="","",INDEX(Listado!L:L,ROW()))</f>
        <v/>
      </c>
      <c r="X307" s="17">
        <f>IF(N307="","",IF(INDEX(Listado!$M:$M,N307)="No","No","Sí"))</f>
        <v/>
      </c>
    </row>
    <row r="308" spans="2:24" ht="14.25">
      <c r="N308" s="17" t="str">
        <f>IF(V308=0,"",IFERROR(LOOKUP(2,1/(INDEX(Listado!A:A,2):INDEX(Listado!A:A,ROW())&lt;&gt;""),ROW(INDEX(Listado!A:A,2):INDEX(Listado!A:A,ROW()))),""))</f>
        <v/>
      </c>
      <c r="O308" s="17" t="str">
        <f>IFERROR(IF(N308="","",IF(INDEX(Listado!M:M,N308)="No",IF(INDEX(Listado!N:N,N308)=0,"",INDEX(Listado!N:N,N308)),IF(INDEX(Listado!I:I,N308)=0,"",INDEX(Listado!I:I,N308)))),"")</f>
        <v/>
      </c>
      <c r="P308" s="17">
        <f t="shared" ca="1" si="13"/>
        <v/>
      </c>
      <c r="Q308" s="17">
        <f>IFERROR(IF(AND(N308&lt;&gt;"",ISNUMBER(O308),O308&gt;0,O308&gt;=TODAY()-90),1,0),0)</f>
        <v/>
      </c>
      <c r="R308" s="17" t="str">
        <f t="shared" si="15"/>
        <v/>
      </c>
      <c r="S308" s="17" t="str">
        <f>IF(INDEX(Listado!A:A,ROW())="","",INDEX(Listado!A:A,ROW()))</f>
        <v/>
      </c>
      <c r="T308" s="17" t="str">
        <f ca="1">IF(INDEX(Listado!G:G,ROW())="","",INDEX(Listado!G:G,ROW()))</f>
        <v/>
      </c>
      <c r="U308" s="17" t="str">
        <f>IF(INDEX(Listado!F:F,ROW())="","",INDEX(Listado!F:F,ROW()))</f>
        <v/>
      </c>
      <c r="V308" s="17">
        <f>IF(COUNTA(INDEX(Listado!B:B,ROW()):INDEX(Listado!F:F,ROW()))&gt;0,1,0)</f>
        <v/>
      </c>
      <c r="W308" s="17" t="str">
        <f>IF(INDEX(Listado!L:L,ROW())="","",INDEX(Listado!L:L,ROW()))</f>
        <v/>
      </c>
      <c r="X308" s="17">
        <f>IF(N308="","",IF(INDEX(Listado!$M:$M,N308)="No","No","Sí"))</f>
        <v/>
      </c>
    </row>
    <row r="309" spans="2:24" ht="14.25">
      <c r="N309" s="17" t="str">
        <f>IF(V309=0,"",IFERROR(LOOKUP(2,1/(INDEX(Listado!A:A,2):INDEX(Listado!A:A,ROW())&lt;&gt;""),ROW(INDEX(Listado!A:A,2):INDEX(Listado!A:A,ROW()))),""))</f>
        <v/>
      </c>
      <c r="O309" s="17" t="str">
        <f>IFERROR(IF(N309="","",IF(INDEX(Listado!M:M,N309)="No",IF(INDEX(Listado!N:N,N309)=0,"",INDEX(Listado!N:N,N309)),IF(INDEX(Listado!I:I,N309)=0,"",INDEX(Listado!I:I,N309)))),"")</f>
        <v/>
      </c>
      <c r="P309" s="17">
        <f t="shared" ca="1" si="13"/>
        <v/>
      </c>
      <c r="Q309" s="17">
        <f>IFERROR(IF(AND(N309&lt;&gt;"",ISNUMBER(O309),O309&gt;0,O309&gt;=TODAY()-90),1,0),0)</f>
        <v/>
      </c>
      <c r="R309" s="17" t="str">
        <f t="shared" si="15"/>
        <v/>
      </c>
      <c r="S309" s="17" t="str">
        <f>IF(INDEX(Listado!A:A,ROW())="","",INDEX(Listado!A:A,ROW()))</f>
        <v/>
      </c>
      <c r="T309" s="17" t="str">
        <f ca="1">IF(INDEX(Listado!G:G,ROW())="","",INDEX(Listado!G:G,ROW()))</f>
        <v/>
      </c>
      <c r="U309" s="17" t="str">
        <f>IF(INDEX(Listado!F:F,ROW())="","",INDEX(Listado!F:F,ROW()))</f>
        <v/>
      </c>
      <c r="V309" s="17">
        <f>IF(COUNTA(INDEX(Listado!B:B,ROW()):INDEX(Listado!F:F,ROW()))&gt;0,1,0)</f>
        <v/>
      </c>
      <c r="W309" s="17" t="str">
        <f>IF(INDEX(Listado!L:L,ROW())="","",INDEX(Listado!L:L,ROW()))</f>
        <v/>
      </c>
      <c r="X309" s="17">
        <f>IF(N309="","",IF(INDEX(Listado!$M:$M,N309)="No","No","Sí"))</f>
        <v/>
      </c>
    </row>
    <row r="310" spans="2:24" ht="14.25">
      <c r="N310" s="17" t="str">
        <f>IF(V310=0,"",IFERROR(LOOKUP(2,1/(INDEX(Listado!A:A,2):INDEX(Listado!A:A,ROW())&lt;&gt;""),ROW(INDEX(Listado!A:A,2):INDEX(Listado!A:A,ROW()))),""))</f>
        <v/>
      </c>
      <c r="O310" s="17" t="str">
        <f>IFERROR(IF(N310="","",IF(INDEX(Listado!M:M,N310)="No",IF(INDEX(Listado!N:N,N310)=0,"",INDEX(Listado!N:N,N310)),IF(INDEX(Listado!I:I,N310)=0,"",INDEX(Listado!I:I,N310)))),"")</f>
        <v/>
      </c>
      <c r="P310" s="17">
        <f t="shared" ca="1" si="13"/>
        <v/>
      </c>
      <c r="Q310" s="17">
        <f>IFERROR(IF(AND(N310&lt;&gt;"",ISNUMBER(O310),O310&gt;0,O310&gt;=TODAY()-90),1,0),0)</f>
        <v/>
      </c>
      <c r="R310" s="17" t="str">
        <f t="shared" si="15"/>
        <v/>
      </c>
      <c r="S310" s="17" t="str">
        <f>IF(INDEX(Listado!A:A,ROW())="","",INDEX(Listado!A:A,ROW()))</f>
        <v/>
      </c>
      <c r="T310" s="17" t="str">
        <f ca="1">IF(INDEX(Listado!G:G,ROW())="","",INDEX(Listado!G:G,ROW()))</f>
        <v/>
      </c>
      <c r="U310" s="17" t="str">
        <f>IF(INDEX(Listado!F:F,ROW())="","",INDEX(Listado!F:F,ROW()))</f>
        <v/>
      </c>
      <c r="V310" s="17">
        <f>IF(COUNTA(INDEX(Listado!B:B,ROW()):INDEX(Listado!F:F,ROW()))&gt;0,1,0)</f>
        <v/>
      </c>
      <c r="W310" s="17" t="str">
        <f>IF(INDEX(Listado!L:L,ROW())="","",INDEX(Listado!L:L,ROW()))</f>
        <v/>
      </c>
      <c r="X310" s="17">
        <f>IF(N310="","",IF(INDEX(Listado!$M:$M,N310)="No","No","Sí"))</f>
        <v/>
      </c>
    </row>
    <row r="311" spans="2:24" ht="14.25">
      <c r="N311" s="17" t="str">
        <f>IF(V311=0,"",IFERROR(LOOKUP(2,1/(INDEX(Listado!A:A,2):INDEX(Listado!A:A,ROW())&lt;&gt;""),ROW(INDEX(Listado!A:A,2):INDEX(Listado!A:A,ROW()))),""))</f>
        <v/>
      </c>
      <c r="O311" s="17" t="str">
        <f>IFERROR(IF(N311="","",IF(INDEX(Listado!M:M,N311)="No",IF(INDEX(Listado!N:N,N311)=0,"",INDEX(Listado!N:N,N311)),IF(INDEX(Listado!I:I,N311)=0,"",INDEX(Listado!I:I,N311)))),"")</f>
        <v/>
      </c>
      <c r="P311" s="17">
        <f t="shared" ca="1" si="13"/>
        <v/>
      </c>
      <c r="Q311" s="17">
        <f>IFERROR(IF(AND(N311&lt;&gt;"",ISNUMBER(O311),O311&gt;0,O311&gt;=TODAY()-90),1,0),0)</f>
        <v/>
      </c>
      <c r="R311" s="17" t="str">
        <f t="shared" si="15"/>
        <v/>
      </c>
      <c r="S311" s="17" t="str">
        <f>IF(INDEX(Listado!A:A,ROW())="","",INDEX(Listado!A:A,ROW()))</f>
        <v/>
      </c>
      <c r="T311" s="17" t="str">
        <f ca="1">IF(INDEX(Listado!G:G,ROW())="","",INDEX(Listado!G:G,ROW()))</f>
        <v/>
      </c>
      <c r="U311" s="17" t="str">
        <f>IF(INDEX(Listado!F:F,ROW())="","",INDEX(Listado!F:F,ROW()))</f>
        <v/>
      </c>
      <c r="V311" s="17">
        <f>IF(COUNTA(INDEX(Listado!B:B,ROW()):INDEX(Listado!F:F,ROW()))&gt;0,1,0)</f>
        <v/>
      </c>
      <c r="W311" s="17" t="str">
        <f>IF(INDEX(Listado!L:L,ROW())="","",INDEX(Listado!L:L,ROW()))</f>
        <v/>
      </c>
      <c r="X311" s="17">
        <f>IF(N311="","",IF(INDEX(Listado!$M:$M,N311)="No","No","Sí"))</f>
        <v/>
      </c>
    </row>
    <row r="312" spans="2:24" ht="14.25">
      <c r="N312" s="17" t="str">
        <f>IF(V312=0,"",IFERROR(LOOKUP(2,1/(INDEX(Listado!A:A,2):INDEX(Listado!A:A,ROW())&lt;&gt;""),ROW(INDEX(Listado!A:A,2):INDEX(Listado!A:A,ROW()))),""))</f>
        <v/>
      </c>
      <c r="O312" s="17" t="str">
        <f>IFERROR(IF(N312="","",IF(INDEX(Listado!M:M,N312)="No",IF(INDEX(Listado!N:N,N312)=0,"",INDEX(Listado!N:N,N312)),IF(INDEX(Listado!I:I,N312)=0,"",INDEX(Listado!I:I,N312)))),"")</f>
        <v/>
      </c>
      <c r="P312" s="17">
        <f t="shared" ca="1" si="13"/>
        <v/>
      </c>
      <c r="Q312" s="17">
        <f>IFERROR(IF(AND(N312&lt;&gt;"",ISNUMBER(O312),O312&gt;0,O312&gt;=TODAY()-90),1,0),0)</f>
        <v/>
      </c>
      <c r="R312" s="17" t="str">
        <f t="shared" si="15"/>
        <v/>
      </c>
      <c r="S312" s="17" t="str">
        <f>IF(INDEX(Listado!A:A,ROW())="","",INDEX(Listado!A:A,ROW()))</f>
        <v/>
      </c>
      <c r="T312" s="17" t="str">
        <f ca="1">IF(INDEX(Listado!G:G,ROW())="","",INDEX(Listado!G:G,ROW()))</f>
        <v/>
      </c>
      <c r="U312" s="17" t="str">
        <f>IF(INDEX(Listado!F:F,ROW())="","",INDEX(Listado!F:F,ROW()))</f>
        <v/>
      </c>
      <c r="V312" s="17">
        <f>IF(COUNTA(INDEX(Listado!B:B,ROW()):INDEX(Listado!F:F,ROW()))&gt;0,1,0)</f>
        <v/>
      </c>
      <c r="W312" s="17" t="str">
        <f>IF(INDEX(Listado!L:L,ROW())="","",INDEX(Listado!L:L,ROW()))</f>
        <v/>
      </c>
      <c r="X312" s="17">
        <f>IF(N312="","",IF(INDEX(Listado!$M:$M,N312)="No","No","Sí"))</f>
        <v/>
      </c>
    </row>
    <row r="313" spans="2:24" ht="14.25">
      <c r="N313" s="17" t="str">
        <f>IF(V313=0,"",IFERROR(LOOKUP(2,1/(INDEX(Listado!A:A,2):INDEX(Listado!A:A,ROW())&lt;&gt;""),ROW(INDEX(Listado!A:A,2):INDEX(Listado!A:A,ROW()))),""))</f>
        <v/>
      </c>
      <c r="O313" s="17" t="str">
        <f>IFERROR(IF(N313="","",IF(INDEX(Listado!M:M,N313)="No",IF(INDEX(Listado!N:N,N313)=0,"",INDEX(Listado!N:N,N313)),IF(INDEX(Listado!I:I,N313)=0,"",INDEX(Listado!I:I,N313)))),"")</f>
        <v/>
      </c>
      <c r="P313" s="17">
        <f t="shared" ca="1" si="13"/>
        <v/>
      </c>
      <c r="Q313" s="17">
        <f>IFERROR(IF(AND(N313&lt;&gt;"",ISNUMBER(O313),O313&gt;0,O313&gt;=TODAY()-90),1,0),0)</f>
        <v/>
      </c>
      <c r="R313" s="17" t="str">
        <f t="shared" si="15"/>
        <v/>
      </c>
      <c r="S313" s="17" t="str">
        <f>IF(INDEX(Listado!A:A,ROW())="","",INDEX(Listado!A:A,ROW()))</f>
        <v/>
      </c>
      <c r="T313" s="17" t="str">
        <f ca="1">IF(INDEX(Listado!G:G,ROW())="","",INDEX(Listado!G:G,ROW()))</f>
        <v/>
      </c>
      <c r="U313" s="17" t="str">
        <f>IF(INDEX(Listado!F:F,ROW())="","",INDEX(Listado!F:F,ROW()))</f>
        <v/>
      </c>
      <c r="V313" s="17">
        <f>IF(COUNTA(INDEX(Listado!B:B,ROW()):INDEX(Listado!F:F,ROW()))&gt;0,1,0)</f>
        <v/>
      </c>
      <c r="W313" s="17" t="str">
        <f>IF(INDEX(Listado!L:L,ROW())="","",INDEX(Listado!L:L,ROW()))</f>
        <v/>
      </c>
      <c r="X313" s="17">
        <f>IF(N313="","",IF(INDEX(Listado!$M:$M,N313)="No","No","Sí"))</f>
        <v/>
      </c>
    </row>
    <row r="314" spans="2:24" ht="14.25">
      <c r="N314" s="17" t="str">
        <f>IF(V314=0,"",IFERROR(LOOKUP(2,1/(INDEX(Listado!A:A,2):INDEX(Listado!A:A,ROW())&lt;&gt;""),ROW(INDEX(Listado!A:A,2):INDEX(Listado!A:A,ROW()))),""))</f>
        <v/>
      </c>
      <c r="O314" s="17" t="str">
        <f>IFERROR(IF(N314="","",IF(INDEX(Listado!M:M,N314)="No",IF(INDEX(Listado!N:N,N314)=0,"",INDEX(Listado!N:N,N314)),IF(INDEX(Listado!I:I,N314)=0,"",INDEX(Listado!I:I,N314)))),"")</f>
        <v/>
      </c>
      <c r="P314" s="17">
        <f t="shared" ca="1" si="13"/>
        <v/>
      </c>
      <c r="Q314" s="17">
        <f>IFERROR(IF(AND(N314&lt;&gt;"",ISNUMBER(O314),O314&gt;0,O314&gt;=TODAY()-90),1,0),0)</f>
        <v/>
      </c>
      <c r="R314" s="17" t="str">
        <f t="shared" si="15"/>
        <v/>
      </c>
      <c r="S314" s="17" t="str">
        <f>IF(INDEX(Listado!A:A,ROW())="","",INDEX(Listado!A:A,ROW()))</f>
        <v/>
      </c>
      <c r="T314" s="17" t="str">
        <f ca="1">IF(INDEX(Listado!G:G,ROW())="","",INDEX(Listado!G:G,ROW()))</f>
        <v/>
      </c>
      <c r="U314" s="17" t="str">
        <f>IF(INDEX(Listado!F:F,ROW())="","",INDEX(Listado!F:F,ROW()))</f>
        <v/>
      </c>
      <c r="V314" s="17">
        <f>IF(COUNTA(INDEX(Listado!B:B,ROW()):INDEX(Listado!F:F,ROW()))&gt;0,1,0)</f>
        <v/>
      </c>
      <c r="W314" s="17" t="str">
        <f>IF(INDEX(Listado!L:L,ROW())="","",INDEX(Listado!L:L,ROW()))</f>
        <v/>
      </c>
      <c r="X314" s="17">
        <f>IF(N314="","",IF(INDEX(Listado!$M:$M,N314)="No","No","Sí"))</f>
        <v/>
      </c>
    </row>
    <row r="315" spans="2:24" ht="14.25">
      <c r="N315" s="17" t="str">
        <f>IF(V315=0,"",IFERROR(LOOKUP(2,1/(INDEX(Listado!A:A,2):INDEX(Listado!A:A,ROW())&lt;&gt;""),ROW(INDEX(Listado!A:A,2):INDEX(Listado!A:A,ROW()))),""))</f>
        <v/>
      </c>
      <c r="O315" s="17" t="str">
        <f>IFERROR(IF(N315="","",IF(INDEX(Listado!M:M,N315)="No",IF(INDEX(Listado!N:N,N315)=0,"",INDEX(Listado!N:N,N315)),IF(INDEX(Listado!I:I,N315)=0,"",INDEX(Listado!I:I,N315)))),"")</f>
        <v/>
      </c>
      <c r="P315" s="17">
        <f t="shared" ca="1" si="13"/>
        <v/>
      </c>
      <c r="Q315" s="17">
        <f>IFERROR(IF(AND(N315&lt;&gt;"",ISNUMBER(O315),O315&gt;0,O315&gt;=TODAY()-90),1,0),0)</f>
        <v/>
      </c>
      <c r="R315" s="17" t="str">
        <f t="shared" si="15"/>
        <v/>
      </c>
      <c r="S315" s="17" t="str">
        <f>IF(INDEX(Listado!A:A,ROW())="","",INDEX(Listado!A:A,ROW()))</f>
        <v/>
      </c>
      <c r="T315" s="17" t="str">
        <f ca="1">IF(INDEX(Listado!G:G,ROW())="","",INDEX(Listado!G:G,ROW()))</f>
        <v/>
      </c>
      <c r="U315" s="17" t="str">
        <f>IF(INDEX(Listado!F:F,ROW())="","",INDEX(Listado!F:F,ROW()))</f>
        <v/>
      </c>
      <c r="V315" s="17">
        <f>IF(COUNTA(INDEX(Listado!B:B,ROW()):INDEX(Listado!F:F,ROW()))&gt;0,1,0)</f>
        <v/>
      </c>
      <c r="W315" s="17" t="str">
        <f>IF(INDEX(Listado!L:L,ROW())="","",INDEX(Listado!L:L,ROW()))</f>
        <v/>
      </c>
      <c r="X315" s="17">
        <f>IF(N315="","",IF(INDEX(Listado!$M:$M,N315)="No","No","Sí"))</f>
        <v/>
      </c>
    </row>
    <row r="316" spans="2:24" ht="14.25">
      <c r="N316" s="17" t="str">
        <f>IF(V316=0,"",IFERROR(LOOKUP(2,1/(INDEX(Listado!A:A,2):INDEX(Listado!A:A,ROW())&lt;&gt;""),ROW(INDEX(Listado!A:A,2):INDEX(Listado!A:A,ROW()))),""))</f>
        <v/>
      </c>
      <c r="O316" s="17" t="str">
        <f>IFERROR(IF(N316="","",IF(INDEX(Listado!M:M,N316)="No",IF(INDEX(Listado!N:N,N316)=0,"",INDEX(Listado!N:N,N316)),IF(INDEX(Listado!I:I,N316)=0,"",INDEX(Listado!I:I,N316)))),"")</f>
        <v/>
      </c>
      <c r="P316" s="17">
        <f t="shared" ca="1" si="13"/>
        <v/>
      </c>
      <c r="Q316" s="17">
        <f>IFERROR(IF(AND(N316&lt;&gt;"",ISNUMBER(O316),O316&gt;0,O316&gt;=TODAY()-90),1,0),0)</f>
        <v/>
      </c>
      <c r="R316" s="17" t="str">
        <f t="shared" si="15"/>
        <v/>
      </c>
      <c r="S316" s="17" t="str">
        <f>IF(INDEX(Listado!A:A,ROW())="","",INDEX(Listado!A:A,ROW()))</f>
        <v/>
      </c>
      <c r="T316" s="17" t="str">
        <f ca="1">IF(INDEX(Listado!G:G,ROW())="","",INDEX(Listado!G:G,ROW()))</f>
        <v/>
      </c>
      <c r="U316" s="17" t="str">
        <f>IF(INDEX(Listado!F:F,ROW())="","",INDEX(Listado!F:F,ROW()))</f>
        <v/>
      </c>
      <c r="V316" s="17">
        <f>IF(COUNTA(INDEX(Listado!B:B,ROW()):INDEX(Listado!F:F,ROW()))&gt;0,1,0)</f>
        <v/>
      </c>
      <c r="W316" s="17" t="str">
        <f>IF(INDEX(Listado!L:L,ROW())="","",INDEX(Listado!L:L,ROW()))</f>
        <v/>
      </c>
      <c r="X316" s="17">
        <f>IF(N316="","",IF(INDEX(Listado!$M:$M,N316)="No","No","Sí"))</f>
        <v/>
      </c>
    </row>
    <row r="317" spans="2:24" ht="14.25">
      <c r="N317" s="17" t="str">
        <f>IF(V317=0,"",IFERROR(LOOKUP(2,1/(INDEX(Listado!A:A,2):INDEX(Listado!A:A,ROW())&lt;&gt;""),ROW(INDEX(Listado!A:A,2):INDEX(Listado!A:A,ROW()))),""))</f>
        <v/>
      </c>
      <c r="O317" s="17" t="str">
        <f>IFERROR(IF(N317="","",IF(INDEX(Listado!M:M,N317)="No",IF(INDEX(Listado!N:N,N317)=0,"",INDEX(Listado!N:N,N317)),IF(INDEX(Listado!I:I,N317)=0,"",INDEX(Listado!I:I,N317)))),"")</f>
        <v/>
      </c>
      <c r="P317" s="17">
        <f t="shared" ca="1" si="13"/>
        <v/>
      </c>
      <c r="Q317" s="17">
        <f>IFERROR(IF(AND(N317&lt;&gt;"",ISNUMBER(O317),O317&gt;0,O317&gt;=TODAY()-90),1,0),0)</f>
        <v/>
      </c>
      <c r="R317" s="17" t="str">
        <f t="shared" si="15"/>
        <v/>
      </c>
      <c r="S317" s="17" t="str">
        <f>IF(INDEX(Listado!A:A,ROW())="","",INDEX(Listado!A:A,ROW()))</f>
        <v/>
      </c>
      <c r="T317" s="17" t="str">
        <f ca="1">IF(INDEX(Listado!G:G,ROW())="","",INDEX(Listado!G:G,ROW()))</f>
        <v/>
      </c>
      <c r="U317" s="17" t="str">
        <f>IF(INDEX(Listado!F:F,ROW())="","",INDEX(Listado!F:F,ROW()))</f>
        <v/>
      </c>
      <c r="V317" s="17">
        <f>IF(COUNTA(INDEX(Listado!B:B,ROW()):INDEX(Listado!F:F,ROW()))&gt;0,1,0)</f>
        <v/>
      </c>
      <c r="W317" s="17" t="str">
        <f>IF(INDEX(Listado!L:L,ROW())="","",INDEX(Listado!L:L,ROW()))</f>
        <v/>
      </c>
      <c r="X317" s="17">
        <f>IF(N317="","",IF(INDEX(Listado!$M:$M,N317)="No","No","Sí"))</f>
        <v/>
      </c>
    </row>
    <row r="318" spans="2:24" ht="14.25">
      <c r="N318" s="17" t="str">
        <f>IF(V318=0,"",IFERROR(LOOKUP(2,1/(INDEX(Listado!A:A,2):INDEX(Listado!A:A,ROW())&lt;&gt;""),ROW(INDEX(Listado!A:A,2):INDEX(Listado!A:A,ROW()))),""))</f>
        <v/>
      </c>
      <c r="O318" s="17" t="str">
        <f>IFERROR(IF(N318="","",IF(INDEX(Listado!M:M,N318)="No",IF(INDEX(Listado!N:N,N318)=0,"",INDEX(Listado!N:N,N318)),IF(INDEX(Listado!I:I,N318)=0,"",INDEX(Listado!I:I,N318)))),"")</f>
        <v/>
      </c>
      <c r="P318" s="17">
        <f t="shared" ca="1" si="13"/>
        <v/>
      </c>
      <c r="Q318" s="17">
        <f>IFERROR(IF(AND(N318&lt;&gt;"",ISNUMBER(O318),O318&gt;0,O318&gt;=TODAY()-90),1,0),0)</f>
        <v/>
      </c>
      <c r="R318" s="17" t="str">
        <f t="shared" si="15"/>
        <v/>
      </c>
      <c r="S318" s="17" t="str">
        <f>IF(INDEX(Listado!A:A,ROW())="","",INDEX(Listado!A:A,ROW()))</f>
        <v/>
      </c>
      <c r="T318" s="17" t="str">
        <f ca="1">IF(INDEX(Listado!G:G,ROW())="","",INDEX(Listado!G:G,ROW()))</f>
        <v/>
      </c>
      <c r="U318" s="17" t="str">
        <f>IF(INDEX(Listado!F:F,ROW())="","",INDEX(Listado!F:F,ROW()))</f>
        <v/>
      </c>
      <c r="V318" s="17">
        <f>IF(COUNTA(INDEX(Listado!B:B,ROW()):INDEX(Listado!F:F,ROW()))&gt;0,1,0)</f>
        <v/>
      </c>
      <c r="W318" s="17" t="str">
        <f>IF(INDEX(Listado!L:L,ROW())="","",INDEX(Listado!L:L,ROW()))</f>
        <v/>
      </c>
      <c r="X318" s="17">
        <f>IF(N318="","",IF(INDEX(Listado!$M:$M,N318)="No","No","Sí"))</f>
        <v/>
      </c>
    </row>
    <row r="319" spans="2:24" ht="14.25">
      <c r="N319" s="17" t="str">
        <f>IF(V319=0,"",IFERROR(LOOKUP(2,1/(INDEX(Listado!A:A,2):INDEX(Listado!A:A,ROW())&lt;&gt;""),ROW(INDEX(Listado!A:A,2):INDEX(Listado!A:A,ROW()))),""))</f>
        <v/>
      </c>
      <c r="O319" s="17" t="str">
        <f>IFERROR(IF(N319="","",IF(INDEX(Listado!M:M,N319)="No",IF(INDEX(Listado!N:N,N319)=0,"",INDEX(Listado!N:N,N319)),IF(INDEX(Listado!I:I,N319)=0,"",INDEX(Listado!I:I,N319)))),"")</f>
        <v/>
      </c>
      <c r="P319" s="17">
        <f t="shared" ca="1" si="13"/>
        <v/>
      </c>
      <c r="Q319" s="17">
        <f>IFERROR(IF(AND(N319&lt;&gt;"",ISNUMBER(O319),O319&gt;0,O319&gt;=TODAY()-90),1,0),0)</f>
        <v/>
      </c>
      <c r="R319" s="17" t="str">
        <f t="shared" si="15"/>
        <v/>
      </c>
      <c r="S319" s="17" t="str">
        <f>IF(INDEX(Listado!A:A,ROW())="","",INDEX(Listado!A:A,ROW()))</f>
        <v/>
      </c>
      <c r="T319" s="17" t="str">
        <f ca="1">IF(INDEX(Listado!G:G,ROW())="","",INDEX(Listado!G:G,ROW()))</f>
        <v/>
      </c>
      <c r="U319" s="17" t="str">
        <f>IF(INDEX(Listado!F:F,ROW())="","",INDEX(Listado!F:F,ROW()))</f>
        <v/>
      </c>
      <c r="V319" s="17">
        <f>IF(COUNTA(INDEX(Listado!B:B,ROW()):INDEX(Listado!F:F,ROW()))&gt;0,1,0)</f>
        <v/>
      </c>
      <c r="W319" s="17" t="str">
        <f>IF(INDEX(Listado!L:L,ROW())="","",INDEX(Listado!L:L,ROW()))</f>
        <v/>
      </c>
      <c r="X319" s="17">
        <f>IF(N319="","",IF(INDEX(Listado!$M:$M,N319)="No","No","Sí"))</f>
        <v/>
      </c>
    </row>
    <row r="320" spans="2:24" ht="14.25">
      <c r="N320" s="17" t="str">
        <f>IF(V320=0,"",IFERROR(LOOKUP(2,1/(INDEX(Listado!A:A,2):INDEX(Listado!A:A,ROW())&lt;&gt;""),ROW(INDEX(Listado!A:A,2):INDEX(Listado!A:A,ROW()))),""))</f>
        <v/>
      </c>
      <c r="O320" s="17" t="str">
        <f>IFERROR(IF(N320="","",IF(INDEX(Listado!M:M,N320)="No",IF(INDEX(Listado!N:N,N320)=0,"",INDEX(Listado!N:N,N320)),IF(INDEX(Listado!I:I,N320)=0,"",INDEX(Listado!I:I,N320)))),"")</f>
        <v/>
      </c>
      <c r="P320" s="17">
        <f t="shared" ca="1" si="13"/>
        <v/>
      </c>
      <c r="Q320" s="17">
        <f>IFERROR(IF(AND(N320&lt;&gt;"",ISNUMBER(O320),O320&gt;0,O320&gt;=TODAY()-90),1,0),0)</f>
        <v/>
      </c>
      <c r="R320" s="17" t="str">
        <f t="shared" si="15"/>
        <v/>
      </c>
      <c r="S320" s="17" t="str">
        <f>IF(INDEX(Listado!A:A,ROW())="","",INDEX(Listado!A:A,ROW()))</f>
        <v/>
      </c>
      <c r="T320" s="17" t="str">
        <f ca="1">IF(INDEX(Listado!G:G,ROW())="","",INDEX(Listado!G:G,ROW()))</f>
        <v/>
      </c>
      <c r="U320" s="17" t="str">
        <f>IF(INDEX(Listado!F:F,ROW())="","",INDEX(Listado!F:F,ROW()))</f>
        <v/>
      </c>
      <c r="V320" s="17">
        <f>IF(COUNTA(INDEX(Listado!B:B,ROW()):INDEX(Listado!F:F,ROW()))&gt;0,1,0)</f>
        <v/>
      </c>
      <c r="W320" s="17" t="str">
        <f>IF(INDEX(Listado!L:L,ROW())="","",INDEX(Listado!L:L,ROW()))</f>
        <v/>
      </c>
      <c r="X320" s="17">
        <f>IF(N320="","",IF(INDEX(Listado!$M:$M,N320)="No","No","Sí"))</f>
        <v/>
      </c>
    </row>
    <row r="321" spans="2:24" ht="14.25">
      <c r="N321" s="17" t="str">
        <f>IF(V321=0,"",IFERROR(LOOKUP(2,1/(INDEX(Listado!A:A,2):INDEX(Listado!A:A,ROW())&lt;&gt;""),ROW(INDEX(Listado!A:A,2):INDEX(Listado!A:A,ROW()))),""))</f>
        <v/>
      </c>
      <c r="O321" s="17" t="str">
        <f>IFERROR(IF(N321="","",IF(INDEX(Listado!M:M,N321)="No",IF(INDEX(Listado!N:N,N321)=0,"",INDEX(Listado!N:N,N321)),IF(INDEX(Listado!I:I,N321)=0,"",INDEX(Listado!I:I,N321)))),"")</f>
        <v/>
      </c>
      <c r="P321" s="17">
        <f t="shared" ca="1" si="13"/>
        <v/>
      </c>
      <c r="Q321" s="17">
        <f>IFERROR(IF(AND(N321&lt;&gt;"",ISNUMBER(O321),O321&gt;0,O321&gt;=TODAY()-90),1,0),0)</f>
        <v/>
      </c>
      <c r="R321" s="17" t="str">
        <f t="shared" si="15"/>
        <v/>
      </c>
      <c r="S321" s="17" t="str">
        <f>IF(INDEX(Listado!A:A,ROW())="","",INDEX(Listado!A:A,ROW()))</f>
        <v/>
      </c>
      <c r="T321" s="17" t="str">
        <f ca="1">IF(INDEX(Listado!G:G,ROW())="","",INDEX(Listado!G:G,ROW()))</f>
        <v/>
      </c>
      <c r="U321" s="17" t="str">
        <f>IF(INDEX(Listado!F:F,ROW())="","",INDEX(Listado!F:F,ROW()))</f>
        <v/>
      </c>
      <c r="V321" s="17">
        <f>IF(COUNTA(INDEX(Listado!B:B,ROW()):INDEX(Listado!F:F,ROW()))&gt;0,1,0)</f>
        <v/>
      </c>
      <c r="W321" s="17" t="str">
        <f>IF(INDEX(Listado!L:L,ROW())="","",INDEX(Listado!L:L,ROW()))</f>
        <v/>
      </c>
      <c r="X321" s="17">
        <f>IF(N321="","",IF(INDEX(Listado!$M:$M,N321)="No","No","Sí"))</f>
        <v/>
      </c>
    </row>
    <row r="322" spans="2:24" ht="14.25">
      <c r="N322" s="17" t="str">
        <f>IF(V322=0,"",IFERROR(LOOKUP(2,1/(INDEX(Listado!A:A,2):INDEX(Listado!A:A,ROW())&lt;&gt;""),ROW(INDEX(Listado!A:A,2):INDEX(Listado!A:A,ROW()))),""))</f>
        <v/>
      </c>
      <c r="O322" s="17" t="str">
        <f>IFERROR(IF(N322="","",IF(INDEX(Listado!M:M,N322)="No",IF(INDEX(Listado!N:N,N322)=0,"",INDEX(Listado!N:N,N322)),IF(INDEX(Listado!I:I,N322)=0,"",INDEX(Listado!I:I,N322)))),"")</f>
        <v/>
      </c>
      <c r="P322" s="17">
        <f t="shared" ref="P322:P385" ca="1" si="16">IF(W322="",0,IFERROR(IF(AND(ISNUMBER(W322),W322=INT(W322),ISNUMBER(O322),O322&gt;0,W322&gt;=TODAY(),W322&lt;=O322+90),0,1),1))</f>
        <v/>
      </c>
      <c r="Q322" s="17">
        <f>IFERROR(IF(AND(N322&lt;&gt;"",ISNUMBER(O322),O322&gt;0,O322&gt;=TODAY()-90),1,0),0)</f>
        <v/>
      </c>
      <c r="R322" s="17" t="str">
        <f t="shared" ref="R322:R385" si="18">IF(S322="","",COUNTIFS($N$2:$N$2999,ROW(),$Q$2:$Q$2999,1))</f>
        <v/>
      </c>
      <c r="S322" s="17" t="str">
        <f>IF(INDEX(Listado!A:A,ROW())="","",INDEX(Listado!A:A,ROW()))</f>
        <v/>
      </c>
      <c r="T322" s="17" t="str">
        <f ca="1">IF(INDEX(Listado!G:G,ROW())="","",INDEX(Listado!G:G,ROW()))</f>
        <v/>
      </c>
      <c r="U322" s="17" t="str">
        <f>IF(INDEX(Listado!F:F,ROW())="","",INDEX(Listado!F:F,ROW()))</f>
        <v/>
      </c>
      <c r="V322" s="17">
        <f>IF(COUNTA(INDEX(Listado!B:B,ROW()):INDEX(Listado!F:F,ROW()))&gt;0,1,0)</f>
        <v/>
      </c>
      <c r="W322" s="17" t="str">
        <f>IF(INDEX(Listado!L:L,ROW())="","",INDEX(Listado!L:L,ROW()))</f>
        <v/>
      </c>
      <c r="X322" s="17">
        <f>IF(N322="","",IF(INDEX(Listado!$M:$M,N322)="No","No","Sí"))</f>
        <v/>
      </c>
    </row>
    <row r="323" spans="2:24" ht="14.25">
      <c r="N323" s="17" t="str">
        <f>IF(V323=0,"",IFERROR(LOOKUP(2,1/(INDEX(Listado!A:A,2):INDEX(Listado!A:A,ROW())&lt;&gt;""),ROW(INDEX(Listado!A:A,2):INDEX(Listado!A:A,ROW()))),""))</f>
        <v/>
      </c>
      <c r="O323" s="17" t="str">
        <f>IFERROR(IF(N323="","",IF(INDEX(Listado!M:M,N323)="No",IF(INDEX(Listado!N:N,N323)=0,"",INDEX(Listado!N:N,N323)),IF(INDEX(Listado!I:I,N323)=0,"",INDEX(Listado!I:I,N323)))),"")</f>
        <v/>
      </c>
      <c r="P323" s="17">
        <f t="shared" ca="1" si="16"/>
        <v/>
      </c>
      <c r="Q323" s="17">
        <f>IFERROR(IF(AND(N323&lt;&gt;"",ISNUMBER(O323),O323&gt;0,O323&gt;=TODAY()-90),1,0),0)</f>
        <v/>
      </c>
      <c r="R323" s="17" t="str">
        <f t="shared" si="18"/>
        <v/>
      </c>
      <c r="S323" s="17" t="str">
        <f>IF(INDEX(Listado!A:A,ROW())="","",INDEX(Listado!A:A,ROW()))</f>
        <v/>
      </c>
      <c r="T323" s="17" t="str">
        <f ca="1">IF(INDEX(Listado!G:G,ROW())="","",INDEX(Listado!G:G,ROW()))</f>
        <v/>
      </c>
      <c r="U323" s="17" t="str">
        <f>IF(INDEX(Listado!F:F,ROW())="","",INDEX(Listado!F:F,ROW()))</f>
        <v/>
      </c>
      <c r="V323" s="17">
        <f>IF(COUNTA(INDEX(Listado!B:B,ROW()):INDEX(Listado!F:F,ROW()))&gt;0,1,0)</f>
        <v/>
      </c>
      <c r="W323" s="17" t="str">
        <f>IF(INDEX(Listado!L:L,ROW())="","",INDEX(Listado!L:L,ROW()))</f>
        <v/>
      </c>
      <c r="X323" s="17">
        <f>IF(N323="","",IF(INDEX(Listado!$M:$M,N323)="No","No","Sí"))</f>
        <v/>
      </c>
    </row>
    <row r="324" spans="2:24" ht="14.25">
      <c r="N324" s="17" t="str">
        <f>IF(V324=0,"",IFERROR(LOOKUP(2,1/(INDEX(Listado!A:A,2):INDEX(Listado!A:A,ROW())&lt;&gt;""),ROW(INDEX(Listado!A:A,2):INDEX(Listado!A:A,ROW()))),""))</f>
        <v/>
      </c>
      <c r="O324" s="17" t="str">
        <f>IFERROR(IF(N324="","",IF(INDEX(Listado!M:M,N324)="No",IF(INDEX(Listado!N:N,N324)=0,"",INDEX(Listado!N:N,N324)),IF(INDEX(Listado!I:I,N324)=0,"",INDEX(Listado!I:I,N324)))),"")</f>
        <v/>
      </c>
      <c r="P324" s="17">
        <f t="shared" ca="1" si="16"/>
        <v/>
      </c>
      <c r="Q324" s="17">
        <f>IFERROR(IF(AND(N324&lt;&gt;"",ISNUMBER(O324),O324&gt;0,O324&gt;=TODAY()-90),1,0),0)</f>
        <v/>
      </c>
      <c r="R324" s="17" t="str">
        <f t="shared" si="18"/>
        <v/>
      </c>
      <c r="S324" s="17" t="str">
        <f>IF(INDEX(Listado!A:A,ROW())="","",INDEX(Listado!A:A,ROW()))</f>
        <v/>
      </c>
      <c r="T324" s="17" t="str">
        <f ca="1">IF(INDEX(Listado!G:G,ROW())="","",INDEX(Listado!G:G,ROW()))</f>
        <v/>
      </c>
      <c r="U324" s="17" t="str">
        <f>IF(INDEX(Listado!F:F,ROW())="","",INDEX(Listado!F:F,ROW()))</f>
        <v/>
      </c>
      <c r="V324" s="17">
        <f>IF(COUNTA(INDEX(Listado!B:B,ROW()):INDEX(Listado!F:F,ROW()))&gt;0,1,0)</f>
        <v/>
      </c>
      <c r="W324" s="17" t="str">
        <f>IF(INDEX(Listado!L:L,ROW())="","",INDEX(Listado!L:L,ROW()))</f>
        <v/>
      </c>
      <c r="X324" s="17">
        <f>IF(N324="","",IF(INDEX(Listado!$M:$M,N324)="No","No","Sí"))</f>
        <v/>
      </c>
    </row>
    <row r="325" spans="2:24" ht="14.25">
      <c r="N325" s="17" t="str">
        <f>IF(V325=0,"",IFERROR(LOOKUP(2,1/(INDEX(Listado!A:A,2):INDEX(Listado!A:A,ROW())&lt;&gt;""),ROW(INDEX(Listado!A:A,2):INDEX(Listado!A:A,ROW()))),""))</f>
        <v/>
      </c>
      <c r="O325" s="17" t="str">
        <f>IFERROR(IF(N325="","",IF(INDEX(Listado!M:M,N325)="No",IF(INDEX(Listado!N:N,N325)=0,"",INDEX(Listado!N:N,N325)),IF(INDEX(Listado!I:I,N325)=0,"",INDEX(Listado!I:I,N325)))),"")</f>
        <v/>
      </c>
      <c r="P325" s="17">
        <f t="shared" ca="1" si="16"/>
        <v/>
      </c>
      <c r="Q325" s="17">
        <f>IFERROR(IF(AND(N325&lt;&gt;"",ISNUMBER(O325),O325&gt;0,O325&gt;=TODAY()-90),1,0),0)</f>
        <v/>
      </c>
      <c r="R325" s="17" t="str">
        <f t="shared" si="18"/>
        <v/>
      </c>
      <c r="S325" s="17" t="str">
        <f>IF(INDEX(Listado!A:A,ROW())="","",INDEX(Listado!A:A,ROW()))</f>
        <v/>
      </c>
      <c r="T325" s="17" t="str">
        <f ca="1">IF(INDEX(Listado!G:G,ROW())="","",INDEX(Listado!G:G,ROW()))</f>
        <v/>
      </c>
      <c r="U325" s="17" t="str">
        <f>IF(INDEX(Listado!F:F,ROW())="","",INDEX(Listado!F:F,ROW()))</f>
        <v/>
      </c>
      <c r="V325" s="17">
        <f>IF(COUNTA(INDEX(Listado!B:B,ROW()):INDEX(Listado!F:F,ROW()))&gt;0,1,0)</f>
        <v/>
      </c>
      <c r="W325" s="17" t="str">
        <f>IF(INDEX(Listado!L:L,ROW())="","",INDEX(Listado!L:L,ROW()))</f>
        <v/>
      </c>
      <c r="X325" s="17">
        <f>IF(N325="","",IF(INDEX(Listado!$M:$M,N325)="No","No","Sí"))</f>
        <v/>
      </c>
    </row>
    <row r="326" spans="2:24" ht="14.25">
      <c r="N326" s="17" t="str">
        <f>IF(V326=0,"",IFERROR(LOOKUP(2,1/(INDEX(Listado!A:A,2):INDEX(Listado!A:A,ROW())&lt;&gt;""),ROW(INDEX(Listado!A:A,2):INDEX(Listado!A:A,ROW()))),""))</f>
        <v/>
      </c>
      <c r="O326" s="17" t="str">
        <f>IFERROR(IF(N326="","",IF(INDEX(Listado!M:M,N326)="No",IF(INDEX(Listado!N:N,N326)=0,"",INDEX(Listado!N:N,N326)),IF(INDEX(Listado!I:I,N326)=0,"",INDEX(Listado!I:I,N326)))),"")</f>
        <v/>
      </c>
      <c r="P326" s="17">
        <f t="shared" ca="1" si="16"/>
        <v/>
      </c>
      <c r="Q326" s="17">
        <f>IFERROR(IF(AND(N326&lt;&gt;"",ISNUMBER(O326),O326&gt;0,O326&gt;=TODAY()-90),1,0),0)</f>
        <v/>
      </c>
      <c r="R326" s="17" t="str">
        <f t="shared" si="18"/>
        <v/>
      </c>
      <c r="S326" s="17" t="str">
        <f>IF(INDEX(Listado!A:A,ROW())="","",INDEX(Listado!A:A,ROW()))</f>
        <v/>
      </c>
      <c r="T326" s="17" t="str">
        <f ca="1">IF(INDEX(Listado!G:G,ROW())="","",INDEX(Listado!G:G,ROW()))</f>
        <v/>
      </c>
      <c r="U326" s="17" t="str">
        <f>IF(INDEX(Listado!F:F,ROW())="","",INDEX(Listado!F:F,ROW()))</f>
        <v/>
      </c>
      <c r="V326" s="17">
        <f>IF(COUNTA(INDEX(Listado!B:B,ROW()):INDEX(Listado!F:F,ROW()))&gt;0,1,0)</f>
        <v/>
      </c>
      <c r="W326" s="17" t="str">
        <f>IF(INDEX(Listado!L:L,ROW())="","",INDEX(Listado!L:L,ROW()))</f>
        <v/>
      </c>
      <c r="X326" s="17">
        <f>IF(N326="","",IF(INDEX(Listado!$M:$M,N326)="No","No","Sí"))</f>
        <v/>
      </c>
    </row>
    <row r="327" spans="2:24" ht="14.25">
      <c r="N327" s="17" t="str">
        <f>IF(V327=0,"",IFERROR(LOOKUP(2,1/(INDEX(Listado!A:A,2):INDEX(Listado!A:A,ROW())&lt;&gt;""),ROW(INDEX(Listado!A:A,2):INDEX(Listado!A:A,ROW()))),""))</f>
        <v/>
      </c>
      <c r="O327" s="17" t="str">
        <f>IFERROR(IF(N327="","",IF(INDEX(Listado!M:M,N327)="No",IF(INDEX(Listado!N:N,N327)=0,"",INDEX(Listado!N:N,N327)),IF(INDEX(Listado!I:I,N327)=0,"",INDEX(Listado!I:I,N327)))),"")</f>
        <v/>
      </c>
      <c r="P327" s="17">
        <f t="shared" ca="1" si="16"/>
        <v/>
      </c>
      <c r="Q327" s="17">
        <f>IFERROR(IF(AND(N327&lt;&gt;"",ISNUMBER(O327),O327&gt;0,O327&gt;=TODAY()-90),1,0),0)</f>
        <v/>
      </c>
      <c r="R327" s="17" t="str">
        <f t="shared" si="18"/>
        <v/>
      </c>
      <c r="S327" s="17" t="str">
        <f>IF(INDEX(Listado!A:A,ROW())="","",INDEX(Listado!A:A,ROW()))</f>
        <v/>
      </c>
      <c r="T327" s="17" t="str">
        <f ca="1">IF(INDEX(Listado!G:G,ROW())="","",INDEX(Listado!G:G,ROW()))</f>
        <v/>
      </c>
      <c r="U327" s="17" t="str">
        <f>IF(INDEX(Listado!F:F,ROW())="","",INDEX(Listado!F:F,ROW()))</f>
        <v/>
      </c>
      <c r="V327" s="17">
        <f>IF(COUNTA(INDEX(Listado!B:B,ROW()):INDEX(Listado!F:F,ROW()))&gt;0,1,0)</f>
        <v/>
      </c>
      <c r="W327" s="17" t="str">
        <f>IF(INDEX(Listado!L:L,ROW())="","",INDEX(Listado!L:L,ROW()))</f>
        <v/>
      </c>
      <c r="X327" s="17">
        <f>IF(N327="","",IF(INDEX(Listado!$M:$M,N327)="No","No","Sí"))</f>
        <v/>
      </c>
    </row>
    <row r="328" spans="2:24" ht="14.25">
      <c r="N328" s="17" t="str">
        <f>IF(V328=0,"",IFERROR(LOOKUP(2,1/(INDEX(Listado!A:A,2):INDEX(Listado!A:A,ROW())&lt;&gt;""),ROW(INDEX(Listado!A:A,2):INDEX(Listado!A:A,ROW()))),""))</f>
        <v/>
      </c>
      <c r="O328" s="17" t="str">
        <f>IFERROR(IF(N328="","",IF(INDEX(Listado!M:M,N328)="No",IF(INDEX(Listado!N:N,N328)=0,"",INDEX(Listado!N:N,N328)),IF(INDEX(Listado!I:I,N328)=0,"",INDEX(Listado!I:I,N328)))),"")</f>
        <v/>
      </c>
      <c r="P328" s="17">
        <f t="shared" ca="1" si="16"/>
        <v/>
      </c>
      <c r="Q328" s="17">
        <f>IFERROR(IF(AND(N328&lt;&gt;"",ISNUMBER(O328),O328&gt;0,O328&gt;=TODAY()-90),1,0),0)</f>
        <v/>
      </c>
      <c r="R328" s="17" t="str">
        <f t="shared" si="18"/>
        <v/>
      </c>
      <c r="S328" s="17" t="str">
        <f>IF(INDEX(Listado!A:A,ROW())="","",INDEX(Listado!A:A,ROW()))</f>
        <v/>
      </c>
      <c r="T328" s="17" t="str">
        <f ca="1">IF(INDEX(Listado!G:G,ROW())="","",INDEX(Listado!G:G,ROW()))</f>
        <v/>
      </c>
      <c r="U328" s="17" t="str">
        <f>IF(INDEX(Listado!F:F,ROW())="","",INDEX(Listado!F:F,ROW()))</f>
        <v/>
      </c>
      <c r="V328" s="17">
        <f>IF(COUNTA(INDEX(Listado!B:B,ROW()):INDEX(Listado!F:F,ROW()))&gt;0,1,0)</f>
        <v/>
      </c>
      <c r="W328" s="17" t="str">
        <f>IF(INDEX(Listado!L:L,ROW())="","",INDEX(Listado!L:L,ROW()))</f>
        <v/>
      </c>
      <c r="X328" s="17">
        <f>IF(N328="","",IF(INDEX(Listado!$M:$M,N328)="No","No","Sí"))</f>
        <v/>
      </c>
    </row>
    <row r="329" spans="2:24" ht="14.25">
      <c r="N329" s="17" t="str">
        <f>IF(V329=0,"",IFERROR(LOOKUP(2,1/(INDEX(Listado!A:A,2):INDEX(Listado!A:A,ROW())&lt;&gt;""),ROW(INDEX(Listado!A:A,2):INDEX(Listado!A:A,ROW()))),""))</f>
        <v/>
      </c>
      <c r="O329" s="17" t="str">
        <f>IFERROR(IF(N329="","",IF(INDEX(Listado!M:M,N329)="No",IF(INDEX(Listado!N:N,N329)=0,"",INDEX(Listado!N:N,N329)),IF(INDEX(Listado!I:I,N329)=0,"",INDEX(Listado!I:I,N329)))),"")</f>
        <v/>
      </c>
      <c r="P329" s="17">
        <f t="shared" ca="1" si="16"/>
        <v/>
      </c>
      <c r="Q329" s="17">
        <f>IFERROR(IF(AND(N329&lt;&gt;"",ISNUMBER(O329),O329&gt;0,O329&gt;=TODAY()-90),1,0),0)</f>
        <v/>
      </c>
      <c r="R329" s="17" t="str">
        <f t="shared" si="18"/>
        <v/>
      </c>
      <c r="S329" s="17" t="str">
        <f>IF(INDEX(Listado!A:A,ROW())="","",INDEX(Listado!A:A,ROW()))</f>
        <v/>
      </c>
      <c r="T329" s="17" t="str">
        <f ca="1">IF(INDEX(Listado!G:G,ROW())="","",INDEX(Listado!G:G,ROW()))</f>
        <v/>
      </c>
      <c r="U329" s="17" t="str">
        <f>IF(INDEX(Listado!F:F,ROW())="","",INDEX(Listado!F:F,ROW()))</f>
        <v/>
      </c>
      <c r="V329" s="17">
        <f>IF(COUNTA(INDEX(Listado!B:B,ROW()):INDEX(Listado!F:F,ROW()))&gt;0,1,0)</f>
        <v/>
      </c>
      <c r="W329" s="17" t="str">
        <f>IF(INDEX(Listado!L:L,ROW())="","",INDEX(Listado!L:L,ROW()))</f>
        <v/>
      </c>
      <c r="X329" s="17">
        <f>IF(N329="","",IF(INDEX(Listado!$M:$M,N329)="No","No","Sí"))</f>
        <v/>
      </c>
    </row>
    <row r="330" spans="2:24" ht="14.25">
      <c r="N330" s="17" t="str">
        <f>IF(V330=0,"",IFERROR(LOOKUP(2,1/(INDEX(Listado!A:A,2):INDEX(Listado!A:A,ROW())&lt;&gt;""),ROW(INDEX(Listado!A:A,2):INDEX(Listado!A:A,ROW()))),""))</f>
        <v/>
      </c>
      <c r="O330" s="17" t="str">
        <f>IFERROR(IF(N330="","",IF(INDEX(Listado!M:M,N330)="No",IF(INDEX(Listado!N:N,N330)=0,"",INDEX(Listado!N:N,N330)),IF(INDEX(Listado!I:I,N330)=0,"",INDEX(Listado!I:I,N330)))),"")</f>
        <v/>
      </c>
      <c r="P330" s="17">
        <f t="shared" ca="1" si="16"/>
        <v/>
      </c>
      <c r="Q330" s="17">
        <f>IFERROR(IF(AND(N330&lt;&gt;"",ISNUMBER(O330),O330&gt;0,O330&gt;=TODAY()-90),1,0),0)</f>
        <v/>
      </c>
      <c r="R330" s="17" t="str">
        <f t="shared" si="18"/>
        <v/>
      </c>
      <c r="S330" s="17" t="str">
        <f>IF(INDEX(Listado!A:A,ROW())="","",INDEX(Listado!A:A,ROW()))</f>
        <v/>
      </c>
      <c r="T330" s="17" t="str">
        <f ca="1">IF(INDEX(Listado!G:G,ROW())="","",INDEX(Listado!G:G,ROW()))</f>
        <v/>
      </c>
      <c r="U330" s="17" t="str">
        <f>IF(INDEX(Listado!F:F,ROW())="","",INDEX(Listado!F:F,ROW()))</f>
        <v/>
      </c>
      <c r="V330" s="17">
        <f>IF(COUNTA(INDEX(Listado!B:B,ROW()):INDEX(Listado!F:F,ROW()))&gt;0,1,0)</f>
        <v/>
      </c>
      <c r="W330" s="17" t="str">
        <f>IF(INDEX(Listado!L:L,ROW())="","",INDEX(Listado!L:L,ROW()))</f>
        <v/>
      </c>
      <c r="X330" s="17">
        <f>IF(N330="","",IF(INDEX(Listado!$M:$M,N330)="No","No","Sí"))</f>
        <v/>
      </c>
    </row>
    <row r="331" spans="2:24" ht="14.25">
      <c r="N331" s="17" t="str">
        <f>IF(V331=0,"",IFERROR(LOOKUP(2,1/(INDEX(Listado!A:A,2):INDEX(Listado!A:A,ROW())&lt;&gt;""),ROW(INDEX(Listado!A:A,2):INDEX(Listado!A:A,ROW()))),""))</f>
        <v/>
      </c>
      <c r="O331" s="17" t="str">
        <f>IFERROR(IF(N331="","",IF(INDEX(Listado!M:M,N331)="No",IF(INDEX(Listado!N:N,N331)=0,"",INDEX(Listado!N:N,N331)),IF(INDEX(Listado!I:I,N331)=0,"",INDEX(Listado!I:I,N331)))),"")</f>
        <v/>
      </c>
      <c r="P331" s="17">
        <f t="shared" ca="1" si="16"/>
        <v/>
      </c>
      <c r="Q331" s="17">
        <f>IFERROR(IF(AND(N331&lt;&gt;"",ISNUMBER(O331),O331&gt;0,O331&gt;=TODAY()-90),1,0),0)</f>
        <v/>
      </c>
      <c r="R331" s="17" t="str">
        <f t="shared" si="18"/>
        <v/>
      </c>
      <c r="S331" s="17" t="str">
        <f>IF(INDEX(Listado!A:A,ROW())="","",INDEX(Listado!A:A,ROW()))</f>
        <v/>
      </c>
      <c r="T331" s="17" t="str">
        <f ca="1">IF(INDEX(Listado!G:G,ROW())="","",INDEX(Listado!G:G,ROW()))</f>
        <v/>
      </c>
      <c r="U331" s="17" t="str">
        <f>IF(INDEX(Listado!F:F,ROW())="","",INDEX(Listado!F:F,ROW()))</f>
        <v/>
      </c>
      <c r="V331" s="17">
        <f>IF(COUNTA(INDEX(Listado!B:B,ROW()):INDEX(Listado!F:F,ROW()))&gt;0,1,0)</f>
        <v/>
      </c>
      <c r="W331" s="17" t="str">
        <f>IF(INDEX(Listado!L:L,ROW())="","",INDEX(Listado!L:L,ROW()))</f>
        <v/>
      </c>
      <c r="X331" s="17">
        <f>IF(N331="","",IF(INDEX(Listado!$M:$M,N331)="No","No","Sí"))</f>
        <v/>
      </c>
    </row>
    <row r="332" spans="2:24" ht="14.25">
      <c r="N332" s="17" t="str">
        <f>IF(V332=0,"",IFERROR(LOOKUP(2,1/(INDEX(Listado!A:A,2):INDEX(Listado!A:A,ROW())&lt;&gt;""),ROW(INDEX(Listado!A:A,2):INDEX(Listado!A:A,ROW()))),""))</f>
        <v/>
      </c>
      <c r="O332" s="17" t="str">
        <f>IFERROR(IF(N332="","",IF(INDEX(Listado!M:M,N332)="No",IF(INDEX(Listado!N:N,N332)=0,"",INDEX(Listado!N:N,N332)),IF(INDEX(Listado!I:I,N332)=0,"",INDEX(Listado!I:I,N332)))),"")</f>
        <v/>
      </c>
      <c r="P332" s="17">
        <f t="shared" ca="1" si="16"/>
        <v/>
      </c>
      <c r="Q332" s="17">
        <f>IFERROR(IF(AND(N332&lt;&gt;"",ISNUMBER(O332),O332&gt;0,O332&gt;=TODAY()-90),1,0),0)</f>
        <v/>
      </c>
      <c r="R332" s="17" t="str">
        <f t="shared" si="18"/>
        <v/>
      </c>
      <c r="S332" s="17" t="str">
        <f>IF(INDEX(Listado!A:A,ROW())="","",INDEX(Listado!A:A,ROW()))</f>
        <v/>
      </c>
      <c r="T332" s="17" t="str">
        <f ca="1">IF(INDEX(Listado!G:G,ROW())="","",INDEX(Listado!G:G,ROW()))</f>
        <v/>
      </c>
      <c r="U332" s="17" t="str">
        <f>IF(INDEX(Listado!F:F,ROW())="","",INDEX(Listado!F:F,ROW()))</f>
        <v/>
      </c>
      <c r="V332" s="17">
        <f>IF(COUNTA(INDEX(Listado!B:B,ROW()):INDEX(Listado!F:F,ROW()))&gt;0,1,0)</f>
        <v/>
      </c>
      <c r="W332" s="17" t="str">
        <f>IF(INDEX(Listado!L:L,ROW())="","",INDEX(Listado!L:L,ROW()))</f>
        <v/>
      </c>
      <c r="X332" s="17">
        <f>IF(N332="","",IF(INDEX(Listado!$M:$M,N332)="No","No","Sí"))</f>
        <v/>
      </c>
    </row>
    <row r="333" spans="2:24" ht="14.25">
      <c r="N333" s="17" t="str">
        <f>IF(V333=0,"",IFERROR(LOOKUP(2,1/(INDEX(Listado!A:A,2):INDEX(Listado!A:A,ROW())&lt;&gt;""),ROW(INDEX(Listado!A:A,2):INDEX(Listado!A:A,ROW()))),""))</f>
        <v/>
      </c>
      <c r="O333" s="17" t="str">
        <f>IFERROR(IF(N333="","",IF(INDEX(Listado!M:M,N333)="No",IF(INDEX(Listado!N:N,N333)=0,"",INDEX(Listado!N:N,N333)),IF(INDEX(Listado!I:I,N333)=0,"",INDEX(Listado!I:I,N333)))),"")</f>
        <v/>
      </c>
      <c r="P333" s="17">
        <f t="shared" ca="1" si="16"/>
        <v/>
      </c>
      <c r="Q333" s="17">
        <f>IFERROR(IF(AND(N333&lt;&gt;"",ISNUMBER(O333),O333&gt;0,O333&gt;=TODAY()-90),1,0),0)</f>
        <v/>
      </c>
      <c r="R333" s="17" t="str">
        <f t="shared" si="18"/>
        <v/>
      </c>
      <c r="S333" s="17" t="str">
        <f>IF(INDEX(Listado!A:A,ROW())="","",INDEX(Listado!A:A,ROW()))</f>
        <v/>
      </c>
      <c r="T333" s="17" t="str">
        <f ca="1">IF(INDEX(Listado!G:G,ROW())="","",INDEX(Listado!G:G,ROW()))</f>
        <v/>
      </c>
      <c r="U333" s="17" t="str">
        <f>IF(INDEX(Listado!F:F,ROW())="","",INDEX(Listado!F:F,ROW()))</f>
        <v/>
      </c>
      <c r="V333" s="17">
        <f>IF(COUNTA(INDEX(Listado!B:B,ROW()):INDEX(Listado!F:F,ROW()))&gt;0,1,0)</f>
        <v/>
      </c>
      <c r="W333" s="17" t="str">
        <f>IF(INDEX(Listado!L:L,ROW())="","",INDEX(Listado!L:L,ROW()))</f>
        <v/>
      </c>
      <c r="X333" s="17">
        <f>IF(N333="","",IF(INDEX(Listado!$M:$M,N333)="No","No","Sí"))</f>
        <v/>
      </c>
    </row>
    <row r="334" spans="2:24" ht="14.25">
      <c r="N334" s="17" t="str">
        <f>IF(V334=0,"",IFERROR(LOOKUP(2,1/(INDEX(Listado!A:A,2):INDEX(Listado!A:A,ROW())&lt;&gt;""),ROW(INDEX(Listado!A:A,2):INDEX(Listado!A:A,ROW()))),""))</f>
        <v/>
      </c>
      <c r="O334" s="17" t="str">
        <f>IFERROR(IF(N334="","",IF(INDEX(Listado!M:M,N334)="No",IF(INDEX(Listado!N:N,N334)=0,"",INDEX(Listado!N:N,N334)),IF(INDEX(Listado!I:I,N334)=0,"",INDEX(Listado!I:I,N334)))),"")</f>
        <v/>
      </c>
      <c r="P334" s="17">
        <f t="shared" ca="1" si="16"/>
        <v/>
      </c>
      <c r="Q334" s="17">
        <f>IFERROR(IF(AND(N334&lt;&gt;"",ISNUMBER(O334),O334&gt;0,O334&gt;=TODAY()-90),1,0),0)</f>
        <v/>
      </c>
      <c r="R334" s="17" t="str">
        <f t="shared" si="18"/>
        <v/>
      </c>
      <c r="S334" s="17" t="str">
        <f>IF(INDEX(Listado!A:A,ROW())="","",INDEX(Listado!A:A,ROW()))</f>
        <v/>
      </c>
      <c r="T334" s="17" t="str">
        <f ca="1">IF(INDEX(Listado!G:G,ROW())="","",INDEX(Listado!G:G,ROW()))</f>
        <v/>
      </c>
      <c r="U334" s="17" t="str">
        <f>IF(INDEX(Listado!F:F,ROW())="","",INDEX(Listado!F:F,ROW()))</f>
        <v/>
      </c>
      <c r="V334" s="17">
        <f>IF(COUNTA(INDEX(Listado!B:B,ROW()):INDEX(Listado!F:F,ROW()))&gt;0,1,0)</f>
        <v/>
      </c>
      <c r="W334" s="17" t="str">
        <f>IF(INDEX(Listado!L:L,ROW())="","",INDEX(Listado!L:L,ROW()))</f>
        <v/>
      </c>
      <c r="X334" s="17">
        <f>IF(N334="","",IF(INDEX(Listado!$M:$M,N334)="No","No","Sí"))</f>
        <v/>
      </c>
    </row>
    <row r="335" spans="2:24" ht="14.25">
      <c r="N335" s="17" t="str">
        <f>IF(V335=0,"",IFERROR(LOOKUP(2,1/(INDEX(Listado!A:A,2):INDEX(Listado!A:A,ROW())&lt;&gt;""),ROW(INDEX(Listado!A:A,2):INDEX(Listado!A:A,ROW()))),""))</f>
        <v/>
      </c>
      <c r="O335" s="17" t="str">
        <f>IFERROR(IF(N335="","",IF(INDEX(Listado!M:M,N335)="No",IF(INDEX(Listado!N:N,N335)=0,"",INDEX(Listado!N:N,N335)),IF(INDEX(Listado!I:I,N335)=0,"",INDEX(Listado!I:I,N335)))),"")</f>
        <v/>
      </c>
      <c r="P335" s="17">
        <f t="shared" ca="1" si="16"/>
        <v/>
      </c>
      <c r="Q335" s="17">
        <f>IFERROR(IF(AND(N335&lt;&gt;"",ISNUMBER(O335),O335&gt;0,O335&gt;=TODAY()-90),1,0),0)</f>
        <v/>
      </c>
      <c r="R335" s="17" t="str">
        <f t="shared" si="18"/>
        <v/>
      </c>
      <c r="S335" s="17" t="str">
        <f>IF(INDEX(Listado!A:A,ROW())="","",INDEX(Listado!A:A,ROW()))</f>
        <v/>
      </c>
      <c r="T335" s="17" t="str">
        <f ca="1">IF(INDEX(Listado!G:G,ROW())="","",INDEX(Listado!G:G,ROW()))</f>
        <v/>
      </c>
      <c r="U335" s="17" t="str">
        <f>IF(INDEX(Listado!F:F,ROW())="","",INDEX(Listado!F:F,ROW()))</f>
        <v/>
      </c>
      <c r="V335" s="17">
        <f>IF(COUNTA(INDEX(Listado!B:B,ROW()):INDEX(Listado!F:F,ROW()))&gt;0,1,0)</f>
        <v/>
      </c>
      <c r="W335" s="17" t="str">
        <f>IF(INDEX(Listado!L:L,ROW())="","",INDEX(Listado!L:L,ROW()))</f>
        <v/>
      </c>
      <c r="X335" s="17">
        <f>IF(N335="","",IF(INDEX(Listado!$M:$M,N335)="No","No","Sí"))</f>
        <v/>
      </c>
    </row>
    <row r="336" spans="2:24" ht="14.25">
      <c r="N336" s="17" t="str">
        <f>IF(V336=0,"",IFERROR(LOOKUP(2,1/(INDEX(Listado!A:A,2):INDEX(Listado!A:A,ROW())&lt;&gt;""),ROW(INDEX(Listado!A:A,2):INDEX(Listado!A:A,ROW()))),""))</f>
        <v/>
      </c>
      <c r="O336" s="17" t="str">
        <f>IFERROR(IF(N336="","",IF(INDEX(Listado!M:M,N336)="No",IF(INDEX(Listado!N:N,N336)=0,"",INDEX(Listado!N:N,N336)),IF(INDEX(Listado!I:I,N336)=0,"",INDEX(Listado!I:I,N336)))),"")</f>
        <v/>
      </c>
      <c r="P336" s="17">
        <f t="shared" ca="1" si="16"/>
        <v/>
      </c>
      <c r="Q336" s="17">
        <f>IFERROR(IF(AND(N336&lt;&gt;"",ISNUMBER(O336),O336&gt;0,O336&gt;=TODAY()-90),1,0),0)</f>
        <v/>
      </c>
      <c r="R336" s="17" t="str">
        <f t="shared" si="18"/>
        <v/>
      </c>
      <c r="S336" s="17" t="str">
        <f>IF(INDEX(Listado!A:A,ROW())="","",INDEX(Listado!A:A,ROW()))</f>
        <v/>
      </c>
      <c r="T336" s="17" t="str">
        <f ca="1">IF(INDEX(Listado!G:G,ROW())="","",INDEX(Listado!G:G,ROW()))</f>
        <v/>
      </c>
      <c r="U336" s="17" t="str">
        <f>IF(INDEX(Listado!F:F,ROW())="","",INDEX(Listado!F:F,ROW()))</f>
        <v/>
      </c>
      <c r="V336" s="17">
        <f>IF(COUNTA(INDEX(Listado!B:B,ROW()):INDEX(Listado!F:F,ROW()))&gt;0,1,0)</f>
        <v/>
      </c>
      <c r="W336" s="17" t="str">
        <f>IF(INDEX(Listado!L:L,ROW())="","",INDEX(Listado!L:L,ROW()))</f>
        <v/>
      </c>
      <c r="X336" s="17">
        <f>IF(N336="","",IF(INDEX(Listado!$M:$M,N336)="No","No","Sí"))</f>
        <v/>
      </c>
    </row>
    <row r="337" spans="2:24" ht="14.25">
      <c r="N337" s="17" t="str">
        <f>IF(V337=0,"",IFERROR(LOOKUP(2,1/(INDEX(Listado!A:A,2):INDEX(Listado!A:A,ROW())&lt;&gt;""),ROW(INDEX(Listado!A:A,2):INDEX(Listado!A:A,ROW()))),""))</f>
        <v/>
      </c>
      <c r="O337" s="17" t="str">
        <f>IFERROR(IF(N337="","",IF(INDEX(Listado!M:M,N337)="No",IF(INDEX(Listado!N:N,N337)=0,"",INDEX(Listado!N:N,N337)),IF(INDEX(Listado!I:I,N337)=0,"",INDEX(Listado!I:I,N337)))),"")</f>
        <v/>
      </c>
      <c r="P337" s="17">
        <f t="shared" ca="1" si="16"/>
        <v/>
      </c>
      <c r="Q337" s="17">
        <f>IFERROR(IF(AND(N337&lt;&gt;"",ISNUMBER(O337),O337&gt;0,O337&gt;=TODAY()-90),1,0),0)</f>
        <v/>
      </c>
      <c r="R337" s="17" t="str">
        <f t="shared" si="18"/>
        <v/>
      </c>
      <c r="S337" s="17" t="str">
        <f>IF(INDEX(Listado!A:A,ROW())="","",INDEX(Listado!A:A,ROW()))</f>
        <v/>
      </c>
      <c r="T337" s="17" t="str">
        <f ca="1">IF(INDEX(Listado!G:G,ROW())="","",INDEX(Listado!G:G,ROW()))</f>
        <v/>
      </c>
      <c r="U337" s="17" t="str">
        <f>IF(INDEX(Listado!F:F,ROW())="","",INDEX(Listado!F:F,ROW()))</f>
        <v/>
      </c>
      <c r="V337" s="17">
        <f>IF(COUNTA(INDEX(Listado!B:B,ROW()):INDEX(Listado!F:F,ROW()))&gt;0,1,0)</f>
        <v/>
      </c>
      <c r="W337" s="17" t="str">
        <f>IF(INDEX(Listado!L:L,ROW())="","",INDEX(Listado!L:L,ROW()))</f>
        <v/>
      </c>
      <c r="X337" s="17">
        <f>IF(N337="","",IF(INDEX(Listado!$M:$M,N337)="No","No","Sí"))</f>
        <v/>
      </c>
    </row>
    <row r="338" spans="2:24" ht="14.25">
      <c r="N338" s="17" t="str">
        <f>IF(V338=0,"",IFERROR(LOOKUP(2,1/(INDEX(Listado!A:A,2):INDEX(Listado!A:A,ROW())&lt;&gt;""),ROW(INDEX(Listado!A:A,2):INDEX(Listado!A:A,ROW()))),""))</f>
        <v/>
      </c>
      <c r="O338" s="17" t="str">
        <f>IFERROR(IF(N338="","",IF(INDEX(Listado!M:M,N338)="No",IF(INDEX(Listado!N:N,N338)=0,"",INDEX(Listado!N:N,N338)),IF(INDEX(Listado!I:I,N338)=0,"",INDEX(Listado!I:I,N338)))),"")</f>
        <v/>
      </c>
      <c r="P338" s="17">
        <f t="shared" ca="1" si="16"/>
        <v/>
      </c>
      <c r="Q338" s="17">
        <f>IFERROR(IF(AND(N338&lt;&gt;"",ISNUMBER(O338),O338&gt;0,O338&gt;=TODAY()-90),1,0),0)</f>
        <v/>
      </c>
      <c r="R338" s="17" t="str">
        <f t="shared" si="18"/>
        <v/>
      </c>
      <c r="S338" s="17" t="str">
        <f>IF(INDEX(Listado!A:A,ROW())="","",INDEX(Listado!A:A,ROW()))</f>
        <v/>
      </c>
      <c r="T338" s="17" t="str">
        <f ca="1">IF(INDEX(Listado!G:G,ROW())="","",INDEX(Listado!G:G,ROW()))</f>
        <v/>
      </c>
      <c r="U338" s="17" t="str">
        <f>IF(INDEX(Listado!F:F,ROW())="","",INDEX(Listado!F:F,ROW()))</f>
        <v/>
      </c>
      <c r="V338" s="17">
        <f>IF(COUNTA(INDEX(Listado!B:B,ROW()):INDEX(Listado!F:F,ROW()))&gt;0,1,0)</f>
        <v/>
      </c>
      <c r="W338" s="17" t="str">
        <f>IF(INDEX(Listado!L:L,ROW())="","",INDEX(Listado!L:L,ROW()))</f>
        <v/>
      </c>
      <c r="X338" s="17">
        <f>IF(N338="","",IF(INDEX(Listado!$M:$M,N338)="No","No","Sí"))</f>
        <v/>
      </c>
    </row>
    <row r="339" spans="2:24" ht="14.25">
      <c r="N339" s="17" t="str">
        <f>IF(V339=0,"",IFERROR(LOOKUP(2,1/(INDEX(Listado!A:A,2):INDEX(Listado!A:A,ROW())&lt;&gt;""),ROW(INDEX(Listado!A:A,2):INDEX(Listado!A:A,ROW()))),""))</f>
        <v/>
      </c>
      <c r="O339" s="17" t="str">
        <f>IFERROR(IF(N339="","",IF(INDEX(Listado!M:M,N339)="No",IF(INDEX(Listado!N:N,N339)=0,"",INDEX(Listado!N:N,N339)),IF(INDEX(Listado!I:I,N339)=0,"",INDEX(Listado!I:I,N339)))),"")</f>
        <v/>
      </c>
      <c r="P339" s="17">
        <f t="shared" ca="1" si="16"/>
        <v/>
      </c>
      <c r="Q339" s="17">
        <f>IFERROR(IF(AND(N339&lt;&gt;"",ISNUMBER(O339),O339&gt;0,O339&gt;=TODAY()-90),1,0),0)</f>
        <v/>
      </c>
      <c r="R339" s="17" t="str">
        <f t="shared" si="18"/>
        <v/>
      </c>
      <c r="S339" s="17" t="str">
        <f>IF(INDEX(Listado!A:A,ROW())="","",INDEX(Listado!A:A,ROW()))</f>
        <v/>
      </c>
      <c r="T339" s="17" t="str">
        <f ca="1">IF(INDEX(Listado!G:G,ROW())="","",INDEX(Listado!G:G,ROW()))</f>
        <v/>
      </c>
      <c r="U339" s="17" t="str">
        <f>IF(INDEX(Listado!F:F,ROW())="","",INDEX(Listado!F:F,ROW()))</f>
        <v/>
      </c>
      <c r="V339" s="17">
        <f>IF(COUNTA(INDEX(Listado!B:B,ROW()):INDEX(Listado!F:F,ROW()))&gt;0,1,0)</f>
        <v/>
      </c>
      <c r="W339" s="17" t="str">
        <f>IF(INDEX(Listado!L:L,ROW())="","",INDEX(Listado!L:L,ROW()))</f>
        <v/>
      </c>
      <c r="X339" s="17">
        <f>IF(N339="","",IF(INDEX(Listado!$M:$M,N339)="No","No","Sí"))</f>
        <v/>
      </c>
    </row>
    <row r="340" spans="2:24" ht="14.25">
      <c r="N340" s="17" t="str">
        <f>IF(V340=0,"",IFERROR(LOOKUP(2,1/(INDEX(Listado!A:A,2):INDEX(Listado!A:A,ROW())&lt;&gt;""),ROW(INDEX(Listado!A:A,2):INDEX(Listado!A:A,ROW()))),""))</f>
        <v/>
      </c>
      <c r="O340" s="17" t="str">
        <f>IFERROR(IF(N340="","",IF(INDEX(Listado!M:M,N340)="No",IF(INDEX(Listado!N:N,N340)=0,"",INDEX(Listado!N:N,N340)),IF(INDEX(Listado!I:I,N340)=0,"",INDEX(Listado!I:I,N340)))),"")</f>
        <v/>
      </c>
      <c r="P340" s="17">
        <f t="shared" ca="1" si="16"/>
        <v/>
      </c>
      <c r="Q340" s="17">
        <f>IFERROR(IF(AND(N340&lt;&gt;"",ISNUMBER(O340),O340&gt;0,O340&gt;=TODAY()-90),1,0),0)</f>
        <v/>
      </c>
      <c r="R340" s="17" t="str">
        <f t="shared" si="18"/>
        <v/>
      </c>
      <c r="S340" s="17" t="str">
        <f>IF(INDEX(Listado!A:A,ROW())="","",INDEX(Listado!A:A,ROW()))</f>
        <v/>
      </c>
      <c r="T340" s="17" t="str">
        <f ca="1">IF(INDEX(Listado!G:G,ROW())="","",INDEX(Listado!G:G,ROW()))</f>
        <v/>
      </c>
      <c r="U340" s="17" t="str">
        <f>IF(INDEX(Listado!F:F,ROW())="","",INDEX(Listado!F:F,ROW()))</f>
        <v/>
      </c>
      <c r="V340" s="17">
        <f>IF(COUNTA(INDEX(Listado!B:B,ROW()):INDEX(Listado!F:F,ROW()))&gt;0,1,0)</f>
        <v/>
      </c>
      <c r="W340" s="17" t="str">
        <f>IF(INDEX(Listado!L:L,ROW())="","",INDEX(Listado!L:L,ROW()))</f>
        <v/>
      </c>
      <c r="X340" s="17">
        <f>IF(N340="","",IF(INDEX(Listado!$M:$M,N340)="No","No","Sí"))</f>
        <v/>
      </c>
    </row>
    <row r="341" spans="2:24" ht="14.25">
      <c r="N341" s="17" t="str">
        <f>IF(V341=0,"",IFERROR(LOOKUP(2,1/(INDEX(Listado!A:A,2):INDEX(Listado!A:A,ROW())&lt;&gt;""),ROW(INDEX(Listado!A:A,2):INDEX(Listado!A:A,ROW()))),""))</f>
        <v/>
      </c>
      <c r="O341" s="17" t="str">
        <f>IFERROR(IF(N341="","",IF(INDEX(Listado!M:M,N341)="No",IF(INDEX(Listado!N:N,N341)=0,"",INDEX(Listado!N:N,N341)),IF(INDEX(Listado!I:I,N341)=0,"",INDEX(Listado!I:I,N341)))),"")</f>
        <v/>
      </c>
      <c r="P341" s="17">
        <f t="shared" ca="1" si="16"/>
        <v/>
      </c>
      <c r="Q341" s="17">
        <f>IFERROR(IF(AND(N341&lt;&gt;"",ISNUMBER(O341),O341&gt;0,O341&gt;=TODAY()-90),1,0),0)</f>
        <v/>
      </c>
      <c r="R341" s="17" t="str">
        <f t="shared" si="18"/>
        <v/>
      </c>
      <c r="S341" s="17" t="str">
        <f>IF(INDEX(Listado!A:A,ROW())="","",INDEX(Listado!A:A,ROW()))</f>
        <v/>
      </c>
      <c r="T341" s="17" t="str">
        <f ca="1">IF(INDEX(Listado!G:G,ROW())="","",INDEX(Listado!G:G,ROW()))</f>
        <v/>
      </c>
      <c r="U341" s="17" t="str">
        <f>IF(INDEX(Listado!F:F,ROW())="","",INDEX(Listado!F:F,ROW()))</f>
        <v/>
      </c>
      <c r="V341" s="17">
        <f>IF(COUNTA(INDEX(Listado!B:B,ROW()):INDEX(Listado!F:F,ROW()))&gt;0,1,0)</f>
        <v/>
      </c>
      <c r="W341" s="17" t="str">
        <f>IF(INDEX(Listado!L:L,ROW())="","",INDEX(Listado!L:L,ROW()))</f>
        <v/>
      </c>
      <c r="X341" s="17">
        <f>IF(N341="","",IF(INDEX(Listado!$M:$M,N341)="No","No","Sí"))</f>
        <v/>
      </c>
    </row>
    <row r="342" spans="2:24" ht="14.25">
      <c r="N342" s="17" t="str">
        <f>IF(V342=0,"",IFERROR(LOOKUP(2,1/(INDEX(Listado!A:A,2):INDEX(Listado!A:A,ROW())&lt;&gt;""),ROW(INDEX(Listado!A:A,2):INDEX(Listado!A:A,ROW()))),""))</f>
        <v/>
      </c>
      <c r="O342" s="17" t="str">
        <f>IFERROR(IF(N342="","",IF(INDEX(Listado!M:M,N342)="No",IF(INDEX(Listado!N:N,N342)=0,"",INDEX(Listado!N:N,N342)),IF(INDEX(Listado!I:I,N342)=0,"",INDEX(Listado!I:I,N342)))),"")</f>
        <v/>
      </c>
      <c r="P342" s="17">
        <f t="shared" ca="1" si="16"/>
        <v/>
      </c>
      <c r="Q342" s="17">
        <f>IFERROR(IF(AND(N342&lt;&gt;"",ISNUMBER(O342),O342&gt;0,O342&gt;=TODAY()-90),1,0),0)</f>
        <v/>
      </c>
      <c r="R342" s="17" t="str">
        <f t="shared" si="18"/>
        <v/>
      </c>
      <c r="S342" s="17" t="str">
        <f>IF(INDEX(Listado!A:A,ROW())="","",INDEX(Listado!A:A,ROW()))</f>
        <v/>
      </c>
      <c r="T342" s="17" t="str">
        <f ca="1">IF(INDEX(Listado!G:G,ROW())="","",INDEX(Listado!G:G,ROW()))</f>
        <v/>
      </c>
      <c r="U342" s="17" t="str">
        <f>IF(INDEX(Listado!F:F,ROW())="","",INDEX(Listado!F:F,ROW()))</f>
        <v/>
      </c>
      <c r="V342" s="17">
        <f>IF(COUNTA(INDEX(Listado!B:B,ROW()):INDEX(Listado!F:F,ROW()))&gt;0,1,0)</f>
        <v/>
      </c>
      <c r="W342" s="17" t="str">
        <f>IF(INDEX(Listado!L:L,ROW())="","",INDEX(Listado!L:L,ROW()))</f>
        <v/>
      </c>
      <c r="X342" s="17">
        <f>IF(N342="","",IF(INDEX(Listado!$M:$M,N342)="No","No","Sí"))</f>
        <v/>
      </c>
    </row>
    <row r="343" spans="2:24" ht="14.25">
      <c r="N343" s="17" t="str">
        <f>IF(V343=0,"",IFERROR(LOOKUP(2,1/(INDEX(Listado!A:A,2):INDEX(Listado!A:A,ROW())&lt;&gt;""),ROW(INDEX(Listado!A:A,2):INDEX(Listado!A:A,ROW()))),""))</f>
        <v/>
      </c>
      <c r="O343" s="17" t="str">
        <f>IFERROR(IF(N343="","",IF(INDEX(Listado!M:M,N343)="No",IF(INDEX(Listado!N:N,N343)=0,"",INDEX(Listado!N:N,N343)),IF(INDEX(Listado!I:I,N343)=0,"",INDEX(Listado!I:I,N343)))),"")</f>
        <v/>
      </c>
      <c r="P343" s="17">
        <f t="shared" ca="1" si="16"/>
        <v/>
      </c>
      <c r="Q343" s="17">
        <f>IFERROR(IF(AND(N343&lt;&gt;"",ISNUMBER(O343),O343&gt;0,O343&gt;=TODAY()-90),1,0),0)</f>
        <v/>
      </c>
      <c r="R343" s="17" t="str">
        <f t="shared" si="18"/>
        <v/>
      </c>
      <c r="S343" s="17" t="str">
        <f>IF(INDEX(Listado!A:A,ROW())="","",INDEX(Listado!A:A,ROW()))</f>
        <v/>
      </c>
      <c r="T343" s="17" t="str">
        <f ca="1">IF(INDEX(Listado!G:G,ROW())="","",INDEX(Listado!G:G,ROW()))</f>
        <v/>
      </c>
      <c r="U343" s="17" t="str">
        <f>IF(INDEX(Listado!F:F,ROW())="","",INDEX(Listado!F:F,ROW()))</f>
        <v/>
      </c>
      <c r="V343" s="17">
        <f>IF(COUNTA(INDEX(Listado!B:B,ROW()):INDEX(Listado!F:F,ROW()))&gt;0,1,0)</f>
        <v/>
      </c>
      <c r="W343" s="17" t="str">
        <f>IF(INDEX(Listado!L:L,ROW())="","",INDEX(Listado!L:L,ROW()))</f>
        <v/>
      </c>
      <c r="X343" s="17">
        <f>IF(N343="","",IF(INDEX(Listado!$M:$M,N343)="No","No","Sí"))</f>
        <v/>
      </c>
    </row>
    <row r="344" spans="2:24" ht="14.25">
      <c r="N344" s="17" t="str">
        <f>IF(V344=0,"",IFERROR(LOOKUP(2,1/(INDEX(Listado!A:A,2):INDEX(Listado!A:A,ROW())&lt;&gt;""),ROW(INDEX(Listado!A:A,2):INDEX(Listado!A:A,ROW()))),""))</f>
        <v/>
      </c>
      <c r="O344" s="17" t="str">
        <f>IFERROR(IF(N344="","",IF(INDEX(Listado!M:M,N344)="No",IF(INDEX(Listado!N:N,N344)=0,"",INDEX(Listado!N:N,N344)),IF(INDEX(Listado!I:I,N344)=0,"",INDEX(Listado!I:I,N344)))),"")</f>
        <v/>
      </c>
      <c r="P344" s="17">
        <f t="shared" ca="1" si="16"/>
        <v/>
      </c>
      <c r="Q344" s="17">
        <f>IFERROR(IF(AND(N344&lt;&gt;"",ISNUMBER(O344),O344&gt;0,O344&gt;=TODAY()-90),1,0),0)</f>
        <v/>
      </c>
      <c r="R344" s="17" t="str">
        <f t="shared" si="18"/>
        <v/>
      </c>
      <c r="S344" s="17" t="str">
        <f>IF(INDEX(Listado!A:A,ROW())="","",INDEX(Listado!A:A,ROW()))</f>
        <v/>
      </c>
      <c r="T344" s="17" t="str">
        <f ca="1">IF(INDEX(Listado!G:G,ROW())="","",INDEX(Listado!G:G,ROW()))</f>
        <v/>
      </c>
      <c r="U344" s="17" t="str">
        <f>IF(INDEX(Listado!F:F,ROW())="","",INDEX(Listado!F:F,ROW()))</f>
        <v/>
      </c>
      <c r="V344" s="17">
        <f>IF(COUNTA(INDEX(Listado!B:B,ROW()):INDEX(Listado!F:F,ROW()))&gt;0,1,0)</f>
        <v/>
      </c>
      <c r="W344" s="17" t="str">
        <f>IF(INDEX(Listado!L:L,ROW())="","",INDEX(Listado!L:L,ROW()))</f>
        <v/>
      </c>
      <c r="X344" s="17">
        <f>IF(N344="","",IF(INDEX(Listado!$M:$M,N344)="No","No","Sí"))</f>
        <v/>
      </c>
    </row>
    <row r="345" spans="2:24" ht="14.25">
      <c r="N345" s="17" t="str">
        <f>IF(V345=0,"",IFERROR(LOOKUP(2,1/(INDEX(Listado!A:A,2):INDEX(Listado!A:A,ROW())&lt;&gt;""),ROW(INDEX(Listado!A:A,2):INDEX(Listado!A:A,ROW()))),""))</f>
        <v/>
      </c>
      <c r="O345" s="17" t="str">
        <f>IFERROR(IF(N345="","",IF(INDEX(Listado!M:M,N345)="No",IF(INDEX(Listado!N:N,N345)=0,"",INDEX(Listado!N:N,N345)),IF(INDEX(Listado!I:I,N345)=0,"",INDEX(Listado!I:I,N345)))),"")</f>
        <v/>
      </c>
      <c r="P345" s="17">
        <f t="shared" ca="1" si="16"/>
        <v/>
      </c>
      <c r="Q345" s="17">
        <f>IFERROR(IF(AND(N345&lt;&gt;"",ISNUMBER(O345),O345&gt;0,O345&gt;=TODAY()-90),1,0),0)</f>
        <v/>
      </c>
      <c r="R345" s="17" t="str">
        <f t="shared" si="18"/>
        <v/>
      </c>
      <c r="S345" s="17" t="str">
        <f>IF(INDEX(Listado!A:A,ROW())="","",INDEX(Listado!A:A,ROW()))</f>
        <v/>
      </c>
      <c r="T345" s="17" t="str">
        <f ca="1">IF(INDEX(Listado!G:G,ROW())="","",INDEX(Listado!G:G,ROW()))</f>
        <v/>
      </c>
      <c r="U345" s="17" t="str">
        <f>IF(INDEX(Listado!F:F,ROW())="","",INDEX(Listado!F:F,ROW()))</f>
        <v/>
      </c>
      <c r="V345" s="17">
        <f>IF(COUNTA(INDEX(Listado!B:B,ROW()):INDEX(Listado!F:F,ROW()))&gt;0,1,0)</f>
        <v/>
      </c>
      <c r="W345" s="17" t="str">
        <f>IF(INDEX(Listado!L:L,ROW())="","",INDEX(Listado!L:L,ROW()))</f>
        <v/>
      </c>
      <c r="X345" s="17">
        <f>IF(N345="","",IF(INDEX(Listado!$M:$M,N345)="No","No","Sí"))</f>
        <v/>
      </c>
    </row>
    <row r="346" spans="2:24" ht="14.25">
      <c r="N346" s="17" t="str">
        <f>IF(V346=0,"",IFERROR(LOOKUP(2,1/(INDEX(Listado!A:A,2):INDEX(Listado!A:A,ROW())&lt;&gt;""),ROW(INDEX(Listado!A:A,2):INDEX(Listado!A:A,ROW()))),""))</f>
        <v/>
      </c>
      <c r="O346" s="17" t="str">
        <f>IFERROR(IF(N346="","",IF(INDEX(Listado!M:M,N346)="No",IF(INDEX(Listado!N:N,N346)=0,"",INDEX(Listado!N:N,N346)),IF(INDEX(Listado!I:I,N346)=0,"",INDEX(Listado!I:I,N346)))),"")</f>
        <v/>
      </c>
      <c r="P346" s="17">
        <f t="shared" ca="1" si="16"/>
        <v/>
      </c>
      <c r="Q346" s="17">
        <f>IFERROR(IF(AND(N346&lt;&gt;"",ISNUMBER(O346),O346&gt;0,O346&gt;=TODAY()-90),1,0),0)</f>
        <v/>
      </c>
      <c r="R346" s="17" t="str">
        <f t="shared" si="18"/>
        <v/>
      </c>
      <c r="S346" s="17" t="str">
        <f>IF(INDEX(Listado!A:A,ROW())="","",INDEX(Listado!A:A,ROW()))</f>
        <v/>
      </c>
      <c r="T346" s="17" t="str">
        <f ca="1">IF(INDEX(Listado!G:G,ROW())="","",INDEX(Listado!G:G,ROW()))</f>
        <v/>
      </c>
      <c r="U346" s="17" t="str">
        <f>IF(INDEX(Listado!F:F,ROW())="","",INDEX(Listado!F:F,ROW()))</f>
        <v/>
      </c>
      <c r="V346" s="17">
        <f>IF(COUNTA(INDEX(Listado!B:B,ROW()):INDEX(Listado!F:F,ROW()))&gt;0,1,0)</f>
        <v/>
      </c>
      <c r="W346" s="17" t="str">
        <f>IF(INDEX(Listado!L:L,ROW())="","",INDEX(Listado!L:L,ROW()))</f>
        <v/>
      </c>
      <c r="X346" s="17">
        <f>IF(N346="","",IF(INDEX(Listado!$M:$M,N346)="No","No","Sí"))</f>
        <v/>
      </c>
    </row>
    <row r="347" spans="2:24" ht="14.25">
      <c r="N347" s="17" t="str">
        <f>IF(V347=0,"",IFERROR(LOOKUP(2,1/(INDEX(Listado!A:A,2):INDEX(Listado!A:A,ROW())&lt;&gt;""),ROW(INDEX(Listado!A:A,2):INDEX(Listado!A:A,ROW()))),""))</f>
        <v/>
      </c>
      <c r="O347" s="17" t="str">
        <f>IFERROR(IF(N347="","",IF(INDEX(Listado!M:M,N347)="No",IF(INDEX(Listado!N:N,N347)=0,"",INDEX(Listado!N:N,N347)),IF(INDEX(Listado!I:I,N347)=0,"",INDEX(Listado!I:I,N347)))),"")</f>
        <v/>
      </c>
      <c r="P347" s="17">
        <f t="shared" ca="1" si="16"/>
        <v/>
      </c>
      <c r="Q347" s="17">
        <f>IFERROR(IF(AND(N347&lt;&gt;"",ISNUMBER(O347),O347&gt;0,O347&gt;=TODAY()-90),1,0),0)</f>
        <v/>
      </c>
      <c r="R347" s="17" t="str">
        <f t="shared" si="18"/>
        <v/>
      </c>
      <c r="S347" s="17" t="str">
        <f>IF(INDEX(Listado!A:A,ROW())="","",INDEX(Listado!A:A,ROW()))</f>
        <v/>
      </c>
      <c r="T347" s="17" t="str">
        <f ca="1">IF(INDEX(Listado!G:G,ROW())="","",INDEX(Listado!G:G,ROW()))</f>
        <v/>
      </c>
      <c r="U347" s="17" t="str">
        <f>IF(INDEX(Listado!F:F,ROW())="","",INDEX(Listado!F:F,ROW()))</f>
        <v/>
      </c>
      <c r="V347" s="17">
        <f>IF(COUNTA(INDEX(Listado!B:B,ROW()):INDEX(Listado!F:F,ROW()))&gt;0,1,0)</f>
        <v/>
      </c>
      <c r="W347" s="17" t="str">
        <f>IF(INDEX(Listado!L:L,ROW())="","",INDEX(Listado!L:L,ROW()))</f>
        <v/>
      </c>
      <c r="X347" s="17">
        <f>IF(N347="","",IF(INDEX(Listado!$M:$M,N347)="No","No","Sí"))</f>
        <v/>
      </c>
    </row>
    <row r="348" spans="2:24" ht="14.25">
      <c r="N348" s="17" t="str">
        <f>IF(V348=0,"",IFERROR(LOOKUP(2,1/(INDEX(Listado!A:A,2):INDEX(Listado!A:A,ROW())&lt;&gt;""),ROW(INDEX(Listado!A:A,2):INDEX(Listado!A:A,ROW()))),""))</f>
        <v/>
      </c>
      <c r="O348" s="17" t="str">
        <f>IFERROR(IF(N348="","",IF(INDEX(Listado!M:M,N348)="No",IF(INDEX(Listado!N:N,N348)=0,"",INDEX(Listado!N:N,N348)),IF(INDEX(Listado!I:I,N348)=0,"",INDEX(Listado!I:I,N348)))),"")</f>
        <v/>
      </c>
      <c r="P348" s="17">
        <f t="shared" ca="1" si="16"/>
        <v/>
      </c>
      <c r="Q348" s="17">
        <f>IFERROR(IF(AND(N348&lt;&gt;"",ISNUMBER(O348),O348&gt;0,O348&gt;=TODAY()-90),1,0),0)</f>
        <v/>
      </c>
      <c r="R348" s="17" t="str">
        <f t="shared" si="18"/>
        <v/>
      </c>
      <c r="S348" s="17" t="str">
        <f>IF(INDEX(Listado!A:A,ROW())="","",INDEX(Listado!A:A,ROW()))</f>
        <v/>
      </c>
      <c r="T348" s="17" t="str">
        <f ca="1">IF(INDEX(Listado!G:G,ROW())="","",INDEX(Listado!G:G,ROW()))</f>
        <v/>
      </c>
      <c r="U348" s="17" t="str">
        <f>IF(INDEX(Listado!F:F,ROW())="","",INDEX(Listado!F:F,ROW()))</f>
        <v/>
      </c>
      <c r="V348" s="17">
        <f>IF(COUNTA(INDEX(Listado!B:B,ROW()):INDEX(Listado!F:F,ROW()))&gt;0,1,0)</f>
        <v/>
      </c>
      <c r="W348" s="17" t="str">
        <f>IF(INDEX(Listado!L:L,ROW())="","",INDEX(Listado!L:L,ROW()))</f>
        <v/>
      </c>
      <c r="X348" s="17">
        <f>IF(N348="","",IF(INDEX(Listado!$M:$M,N348)="No","No","Sí"))</f>
        <v/>
      </c>
    </row>
    <row r="349" spans="2:24" ht="14.25">
      <c r="N349" s="17" t="str">
        <f>IF(V349=0,"",IFERROR(LOOKUP(2,1/(INDEX(Listado!A:A,2):INDEX(Listado!A:A,ROW())&lt;&gt;""),ROW(INDEX(Listado!A:A,2):INDEX(Listado!A:A,ROW()))),""))</f>
        <v/>
      </c>
      <c r="O349" s="17" t="str">
        <f>IFERROR(IF(N349="","",IF(INDEX(Listado!M:M,N349)="No",IF(INDEX(Listado!N:N,N349)=0,"",INDEX(Listado!N:N,N349)),IF(INDEX(Listado!I:I,N349)=0,"",INDEX(Listado!I:I,N349)))),"")</f>
        <v/>
      </c>
      <c r="P349" s="17">
        <f t="shared" ca="1" si="16"/>
        <v/>
      </c>
      <c r="Q349" s="17">
        <f>IFERROR(IF(AND(N349&lt;&gt;"",ISNUMBER(O349),O349&gt;0,O349&gt;=TODAY()-90),1,0),0)</f>
        <v/>
      </c>
      <c r="R349" s="17" t="str">
        <f t="shared" si="18"/>
        <v/>
      </c>
      <c r="S349" s="17" t="str">
        <f>IF(INDEX(Listado!A:A,ROW())="","",INDEX(Listado!A:A,ROW()))</f>
        <v/>
      </c>
      <c r="T349" s="17" t="str">
        <f ca="1">IF(INDEX(Listado!G:G,ROW())="","",INDEX(Listado!G:G,ROW()))</f>
        <v/>
      </c>
      <c r="U349" s="17" t="str">
        <f>IF(INDEX(Listado!F:F,ROW())="","",INDEX(Listado!F:F,ROW()))</f>
        <v/>
      </c>
      <c r="V349" s="17">
        <f>IF(COUNTA(INDEX(Listado!B:B,ROW()):INDEX(Listado!F:F,ROW()))&gt;0,1,0)</f>
        <v/>
      </c>
      <c r="W349" s="17" t="str">
        <f>IF(INDEX(Listado!L:L,ROW())="","",INDEX(Listado!L:L,ROW()))</f>
        <v/>
      </c>
      <c r="X349" s="17">
        <f>IF(N349="","",IF(INDEX(Listado!$M:$M,N349)="No","No","Sí"))</f>
        <v/>
      </c>
    </row>
    <row r="350" spans="2:24" ht="14.25">
      <c r="N350" s="17" t="str">
        <f>IF(V350=0,"",IFERROR(LOOKUP(2,1/(INDEX(Listado!A:A,2):INDEX(Listado!A:A,ROW())&lt;&gt;""),ROW(INDEX(Listado!A:A,2):INDEX(Listado!A:A,ROW()))),""))</f>
        <v/>
      </c>
      <c r="O350" s="17" t="str">
        <f>IFERROR(IF(N350="","",IF(INDEX(Listado!M:M,N350)="No",IF(INDEX(Listado!N:N,N350)=0,"",INDEX(Listado!N:N,N350)),IF(INDEX(Listado!I:I,N350)=0,"",INDEX(Listado!I:I,N350)))),"")</f>
        <v/>
      </c>
      <c r="P350" s="17">
        <f t="shared" ca="1" si="16"/>
        <v/>
      </c>
      <c r="Q350" s="17">
        <f>IFERROR(IF(AND(N350&lt;&gt;"",ISNUMBER(O350),O350&gt;0,O350&gt;=TODAY()-90),1,0),0)</f>
        <v/>
      </c>
      <c r="R350" s="17" t="str">
        <f t="shared" si="18"/>
        <v/>
      </c>
      <c r="S350" s="17" t="str">
        <f>IF(INDEX(Listado!A:A,ROW())="","",INDEX(Listado!A:A,ROW()))</f>
        <v/>
      </c>
      <c r="T350" s="17" t="str">
        <f ca="1">IF(INDEX(Listado!G:G,ROW())="","",INDEX(Listado!G:G,ROW()))</f>
        <v/>
      </c>
      <c r="U350" s="17" t="str">
        <f>IF(INDEX(Listado!F:F,ROW())="","",INDEX(Listado!F:F,ROW()))</f>
        <v/>
      </c>
      <c r="V350" s="17">
        <f>IF(COUNTA(INDEX(Listado!B:B,ROW()):INDEX(Listado!F:F,ROW()))&gt;0,1,0)</f>
        <v/>
      </c>
      <c r="W350" s="17" t="str">
        <f>IF(INDEX(Listado!L:L,ROW())="","",INDEX(Listado!L:L,ROW()))</f>
        <v/>
      </c>
      <c r="X350" s="17">
        <f>IF(N350="","",IF(INDEX(Listado!$M:$M,N350)="No","No","Sí"))</f>
        <v/>
      </c>
    </row>
    <row r="351" spans="2:24" ht="14.25">
      <c r="N351" s="17" t="str">
        <f>IF(V351=0,"",IFERROR(LOOKUP(2,1/(INDEX(Listado!A:A,2):INDEX(Listado!A:A,ROW())&lt;&gt;""),ROW(INDEX(Listado!A:A,2):INDEX(Listado!A:A,ROW()))),""))</f>
        <v/>
      </c>
      <c r="O351" s="17" t="str">
        <f>IFERROR(IF(N351="","",IF(INDEX(Listado!M:M,N351)="No",IF(INDEX(Listado!N:N,N351)=0,"",INDEX(Listado!N:N,N351)),IF(INDEX(Listado!I:I,N351)=0,"",INDEX(Listado!I:I,N351)))),"")</f>
        <v/>
      </c>
      <c r="P351" s="17">
        <f t="shared" ca="1" si="16"/>
        <v/>
      </c>
      <c r="Q351" s="17">
        <f>IFERROR(IF(AND(N351&lt;&gt;"",ISNUMBER(O351),O351&gt;0,O351&gt;=TODAY()-90),1,0),0)</f>
        <v/>
      </c>
      <c r="R351" s="17" t="str">
        <f t="shared" si="18"/>
        <v/>
      </c>
      <c r="S351" s="17" t="str">
        <f>IF(INDEX(Listado!A:A,ROW())="","",INDEX(Listado!A:A,ROW()))</f>
        <v/>
      </c>
      <c r="T351" s="17" t="str">
        <f ca="1">IF(INDEX(Listado!G:G,ROW())="","",INDEX(Listado!G:G,ROW()))</f>
        <v/>
      </c>
      <c r="U351" s="17" t="str">
        <f>IF(INDEX(Listado!F:F,ROW())="","",INDEX(Listado!F:F,ROW()))</f>
        <v/>
      </c>
      <c r="V351" s="17">
        <f>IF(COUNTA(INDEX(Listado!B:B,ROW()):INDEX(Listado!F:F,ROW()))&gt;0,1,0)</f>
        <v/>
      </c>
      <c r="W351" s="17" t="str">
        <f>IF(INDEX(Listado!L:L,ROW())="","",INDEX(Listado!L:L,ROW()))</f>
        <v/>
      </c>
      <c r="X351" s="17">
        <f>IF(N351="","",IF(INDEX(Listado!$M:$M,N351)="No","No","Sí"))</f>
        <v/>
      </c>
    </row>
    <row r="352" spans="2:24" ht="14.25">
      <c r="N352" s="17" t="str">
        <f>IF(V352=0,"",IFERROR(LOOKUP(2,1/(INDEX(Listado!A:A,2):INDEX(Listado!A:A,ROW())&lt;&gt;""),ROW(INDEX(Listado!A:A,2):INDEX(Listado!A:A,ROW()))),""))</f>
        <v/>
      </c>
      <c r="O352" s="17" t="str">
        <f>IFERROR(IF(N352="","",IF(INDEX(Listado!M:M,N352)="No",IF(INDEX(Listado!N:N,N352)=0,"",INDEX(Listado!N:N,N352)),IF(INDEX(Listado!I:I,N352)=0,"",INDEX(Listado!I:I,N352)))),"")</f>
        <v/>
      </c>
      <c r="P352" s="17">
        <f t="shared" ca="1" si="16"/>
        <v/>
      </c>
      <c r="Q352" s="17">
        <f>IFERROR(IF(AND(N352&lt;&gt;"",ISNUMBER(O352),O352&gt;0,O352&gt;=TODAY()-90),1,0),0)</f>
        <v/>
      </c>
      <c r="R352" s="17" t="str">
        <f t="shared" si="18"/>
        <v/>
      </c>
      <c r="S352" s="17" t="str">
        <f>IF(INDEX(Listado!A:A,ROW())="","",INDEX(Listado!A:A,ROW()))</f>
        <v/>
      </c>
      <c r="T352" s="17" t="str">
        <f ca="1">IF(INDEX(Listado!G:G,ROW())="","",INDEX(Listado!G:G,ROW()))</f>
        <v/>
      </c>
      <c r="U352" s="17" t="str">
        <f>IF(INDEX(Listado!F:F,ROW())="","",INDEX(Listado!F:F,ROW()))</f>
        <v/>
      </c>
      <c r="V352" s="17">
        <f>IF(COUNTA(INDEX(Listado!B:B,ROW()):INDEX(Listado!F:F,ROW()))&gt;0,1,0)</f>
        <v/>
      </c>
      <c r="W352" s="17" t="str">
        <f>IF(INDEX(Listado!L:L,ROW())="","",INDEX(Listado!L:L,ROW()))</f>
        <v/>
      </c>
      <c r="X352" s="17">
        <f>IF(N352="","",IF(INDEX(Listado!$M:$M,N352)="No","No","Sí"))</f>
        <v/>
      </c>
    </row>
    <row r="353" spans="2:24" ht="14.25">
      <c r="N353" s="17" t="str">
        <f>IF(V353=0,"",IFERROR(LOOKUP(2,1/(INDEX(Listado!A:A,2):INDEX(Listado!A:A,ROW())&lt;&gt;""),ROW(INDEX(Listado!A:A,2):INDEX(Listado!A:A,ROW()))),""))</f>
        <v/>
      </c>
      <c r="O353" s="17" t="str">
        <f>IFERROR(IF(N353="","",IF(INDEX(Listado!M:M,N353)="No",IF(INDEX(Listado!N:N,N353)=0,"",INDEX(Listado!N:N,N353)),IF(INDEX(Listado!I:I,N353)=0,"",INDEX(Listado!I:I,N353)))),"")</f>
        <v/>
      </c>
      <c r="P353" s="17">
        <f t="shared" ca="1" si="16"/>
        <v/>
      </c>
      <c r="Q353" s="17">
        <f>IFERROR(IF(AND(N353&lt;&gt;"",ISNUMBER(O353),O353&gt;0,O353&gt;=TODAY()-90),1,0),0)</f>
        <v/>
      </c>
      <c r="R353" s="17" t="str">
        <f t="shared" si="18"/>
        <v/>
      </c>
      <c r="S353" s="17" t="str">
        <f>IF(INDEX(Listado!A:A,ROW())="","",INDEX(Listado!A:A,ROW()))</f>
        <v/>
      </c>
      <c r="T353" s="17" t="str">
        <f ca="1">IF(INDEX(Listado!G:G,ROW())="","",INDEX(Listado!G:G,ROW()))</f>
        <v/>
      </c>
      <c r="U353" s="17" t="str">
        <f>IF(INDEX(Listado!F:F,ROW())="","",INDEX(Listado!F:F,ROW()))</f>
        <v/>
      </c>
      <c r="V353" s="17">
        <f>IF(COUNTA(INDEX(Listado!B:B,ROW()):INDEX(Listado!F:F,ROW()))&gt;0,1,0)</f>
        <v/>
      </c>
      <c r="W353" s="17" t="str">
        <f>IF(INDEX(Listado!L:L,ROW())="","",INDEX(Listado!L:L,ROW()))</f>
        <v/>
      </c>
      <c r="X353" s="17">
        <f>IF(N353="","",IF(INDEX(Listado!$M:$M,N353)="No","No","Sí"))</f>
        <v/>
      </c>
    </row>
    <row r="354" spans="2:24" ht="14.25">
      <c r="N354" s="17" t="str">
        <f>IF(V354=0,"",IFERROR(LOOKUP(2,1/(INDEX(Listado!A:A,2):INDEX(Listado!A:A,ROW())&lt;&gt;""),ROW(INDEX(Listado!A:A,2):INDEX(Listado!A:A,ROW()))),""))</f>
        <v/>
      </c>
      <c r="O354" s="17" t="str">
        <f>IFERROR(IF(N354="","",IF(INDEX(Listado!M:M,N354)="No",IF(INDEX(Listado!N:N,N354)=0,"",INDEX(Listado!N:N,N354)),IF(INDEX(Listado!I:I,N354)=0,"",INDEX(Listado!I:I,N354)))),"")</f>
        <v/>
      </c>
      <c r="P354" s="17">
        <f t="shared" ca="1" si="16"/>
        <v/>
      </c>
      <c r="Q354" s="17">
        <f>IFERROR(IF(AND(N354&lt;&gt;"",ISNUMBER(O354),O354&gt;0,O354&gt;=TODAY()-90),1,0),0)</f>
        <v/>
      </c>
      <c r="R354" s="17" t="str">
        <f t="shared" si="18"/>
        <v/>
      </c>
      <c r="S354" s="17" t="str">
        <f>IF(INDEX(Listado!A:A,ROW())="","",INDEX(Listado!A:A,ROW()))</f>
        <v/>
      </c>
      <c r="T354" s="17" t="str">
        <f ca="1">IF(INDEX(Listado!G:G,ROW())="","",INDEX(Listado!G:G,ROW()))</f>
        <v/>
      </c>
      <c r="U354" s="17" t="str">
        <f>IF(INDEX(Listado!F:F,ROW())="","",INDEX(Listado!F:F,ROW()))</f>
        <v/>
      </c>
      <c r="V354" s="17">
        <f>IF(COUNTA(INDEX(Listado!B:B,ROW()):INDEX(Listado!F:F,ROW()))&gt;0,1,0)</f>
        <v/>
      </c>
      <c r="W354" s="17" t="str">
        <f>IF(INDEX(Listado!L:L,ROW())="","",INDEX(Listado!L:L,ROW()))</f>
        <v/>
      </c>
      <c r="X354" s="17">
        <f>IF(N354="","",IF(INDEX(Listado!$M:$M,N354)="No","No","Sí"))</f>
        <v/>
      </c>
    </row>
    <row r="355" spans="2:24" ht="14.25">
      <c r="N355" s="17" t="str">
        <f>IF(V355=0,"",IFERROR(LOOKUP(2,1/(INDEX(Listado!A:A,2):INDEX(Listado!A:A,ROW())&lt;&gt;""),ROW(INDEX(Listado!A:A,2):INDEX(Listado!A:A,ROW()))),""))</f>
        <v/>
      </c>
      <c r="O355" s="17" t="str">
        <f>IFERROR(IF(N355="","",IF(INDEX(Listado!M:M,N355)="No",IF(INDEX(Listado!N:N,N355)=0,"",INDEX(Listado!N:N,N355)),IF(INDEX(Listado!I:I,N355)=0,"",INDEX(Listado!I:I,N355)))),"")</f>
        <v/>
      </c>
      <c r="P355" s="17">
        <f t="shared" ca="1" si="16"/>
        <v/>
      </c>
      <c r="Q355" s="17">
        <f>IFERROR(IF(AND(N355&lt;&gt;"",ISNUMBER(O355),O355&gt;0,O355&gt;=TODAY()-90),1,0),0)</f>
        <v/>
      </c>
      <c r="R355" s="17" t="str">
        <f t="shared" si="18"/>
        <v/>
      </c>
      <c r="S355" s="17" t="str">
        <f>IF(INDEX(Listado!A:A,ROW())="","",INDEX(Listado!A:A,ROW()))</f>
        <v/>
      </c>
      <c r="T355" s="17" t="str">
        <f ca="1">IF(INDEX(Listado!G:G,ROW())="","",INDEX(Listado!G:G,ROW()))</f>
        <v/>
      </c>
      <c r="U355" s="17" t="str">
        <f>IF(INDEX(Listado!F:F,ROW())="","",INDEX(Listado!F:F,ROW()))</f>
        <v/>
      </c>
      <c r="V355" s="17">
        <f>IF(COUNTA(INDEX(Listado!B:B,ROW()):INDEX(Listado!F:F,ROW()))&gt;0,1,0)</f>
        <v/>
      </c>
      <c r="W355" s="17" t="str">
        <f>IF(INDEX(Listado!L:L,ROW())="","",INDEX(Listado!L:L,ROW()))</f>
        <v/>
      </c>
      <c r="X355" s="17">
        <f>IF(N355="","",IF(INDEX(Listado!$M:$M,N355)="No","No","Sí"))</f>
        <v/>
      </c>
    </row>
    <row r="356" spans="2:24" ht="14.25">
      <c r="N356" s="17" t="str">
        <f>IF(V356=0,"",IFERROR(LOOKUP(2,1/(INDEX(Listado!A:A,2):INDEX(Listado!A:A,ROW())&lt;&gt;""),ROW(INDEX(Listado!A:A,2):INDEX(Listado!A:A,ROW()))),""))</f>
        <v/>
      </c>
      <c r="O356" s="17" t="str">
        <f>IFERROR(IF(N356="","",IF(INDEX(Listado!M:M,N356)="No",IF(INDEX(Listado!N:N,N356)=0,"",INDEX(Listado!N:N,N356)),IF(INDEX(Listado!I:I,N356)=0,"",INDEX(Listado!I:I,N356)))),"")</f>
        <v/>
      </c>
      <c r="P356" s="17">
        <f t="shared" ca="1" si="16"/>
        <v/>
      </c>
      <c r="Q356" s="17">
        <f>IFERROR(IF(AND(N356&lt;&gt;"",ISNUMBER(O356),O356&gt;0,O356&gt;=TODAY()-90),1,0),0)</f>
        <v/>
      </c>
      <c r="R356" s="17" t="str">
        <f t="shared" si="18"/>
        <v/>
      </c>
      <c r="S356" s="17" t="str">
        <f>IF(INDEX(Listado!A:A,ROW())="","",INDEX(Listado!A:A,ROW()))</f>
        <v/>
      </c>
      <c r="T356" s="17" t="str">
        <f ca="1">IF(INDEX(Listado!G:G,ROW())="","",INDEX(Listado!G:G,ROW()))</f>
        <v/>
      </c>
      <c r="U356" s="17" t="str">
        <f>IF(INDEX(Listado!F:F,ROW())="","",INDEX(Listado!F:F,ROW()))</f>
        <v/>
      </c>
      <c r="V356" s="17">
        <f>IF(COUNTA(INDEX(Listado!B:B,ROW()):INDEX(Listado!F:F,ROW()))&gt;0,1,0)</f>
        <v/>
      </c>
      <c r="W356" s="17" t="str">
        <f>IF(INDEX(Listado!L:L,ROW())="","",INDEX(Listado!L:L,ROW()))</f>
        <v/>
      </c>
      <c r="X356" s="17">
        <f>IF(N356="","",IF(INDEX(Listado!$M:$M,N356)="No","No","Sí"))</f>
        <v/>
      </c>
    </row>
    <row r="357" spans="2:24" ht="14.25">
      <c r="N357" s="17" t="str">
        <f>IF(V357=0,"",IFERROR(LOOKUP(2,1/(INDEX(Listado!A:A,2):INDEX(Listado!A:A,ROW())&lt;&gt;""),ROW(INDEX(Listado!A:A,2):INDEX(Listado!A:A,ROW()))),""))</f>
        <v/>
      </c>
      <c r="O357" s="17" t="str">
        <f>IFERROR(IF(N357="","",IF(INDEX(Listado!M:M,N357)="No",IF(INDEX(Listado!N:N,N357)=0,"",INDEX(Listado!N:N,N357)),IF(INDEX(Listado!I:I,N357)=0,"",INDEX(Listado!I:I,N357)))),"")</f>
        <v/>
      </c>
      <c r="P357" s="17">
        <f t="shared" ca="1" si="16"/>
        <v/>
      </c>
      <c r="Q357" s="17">
        <f>IFERROR(IF(AND(N357&lt;&gt;"",ISNUMBER(O357),O357&gt;0,O357&gt;=TODAY()-90),1,0),0)</f>
        <v/>
      </c>
      <c r="R357" s="17" t="str">
        <f t="shared" si="18"/>
        <v/>
      </c>
      <c r="S357" s="17" t="str">
        <f>IF(INDEX(Listado!A:A,ROW())="","",INDEX(Listado!A:A,ROW()))</f>
        <v/>
      </c>
      <c r="T357" s="17" t="str">
        <f ca="1">IF(INDEX(Listado!G:G,ROW())="","",INDEX(Listado!G:G,ROW()))</f>
        <v/>
      </c>
      <c r="U357" s="17" t="str">
        <f>IF(INDEX(Listado!F:F,ROW())="","",INDEX(Listado!F:F,ROW()))</f>
        <v/>
      </c>
      <c r="V357" s="17">
        <f>IF(COUNTA(INDEX(Listado!B:B,ROW()):INDEX(Listado!F:F,ROW()))&gt;0,1,0)</f>
        <v/>
      </c>
      <c r="W357" s="17" t="str">
        <f>IF(INDEX(Listado!L:L,ROW())="","",INDEX(Listado!L:L,ROW()))</f>
        <v/>
      </c>
      <c r="X357" s="17">
        <f>IF(N357="","",IF(INDEX(Listado!$M:$M,N357)="No","No","Sí"))</f>
        <v/>
      </c>
    </row>
    <row r="358" spans="2:24" ht="14.25">
      <c r="N358" s="17" t="str">
        <f>IF(V358=0,"",IFERROR(LOOKUP(2,1/(INDEX(Listado!A:A,2):INDEX(Listado!A:A,ROW())&lt;&gt;""),ROW(INDEX(Listado!A:A,2):INDEX(Listado!A:A,ROW()))),""))</f>
        <v/>
      </c>
      <c r="O358" s="17" t="str">
        <f>IFERROR(IF(N358="","",IF(INDEX(Listado!M:M,N358)="No",IF(INDEX(Listado!N:N,N358)=0,"",INDEX(Listado!N:N,N358)),IF(INDEX(Listado!I:I,N358)=0,"",INDEX(Listado!I:I,N358)))),"")</f>
        <v/>
      </c>
      <c r="P358" s="17">
        <f t="shared" ca="1" si="16"/>
        <v/>
      </c>
      <c r="Q358" s="17">
        <f>IFERROR(IF(AND(N358&lt;&gt;"",ISNUMBER(O358),O358&gt;0,O358&gt;=TODAY()-90),1,0),0)</f>
        <v/>
      </c>
      <c r="R358" s="17" t="str">
        <f t="shared" si="18"/>
        <v/>
      </c>
      <c r="S358" s="17" t="str">
        <f>IF(INDEX(Listado!A:A,ROW())="","",INDEX(Listado!A:A,ROW()))</f>
        <v/>
      </c>
      <c r="T358" s="17" t="str">
        <f ca="1">IF(INDEX(Listado!G:G,ROW())="","",INDEX(Listado!G:G,ROW()))</f>
        <v/>
      </c>
      <c r="U358" s="17" t="str">
        <f>IF(INDEX(Listado!F:F,ROW())="","",INDEX(Listado!F:F,ROW()))</f>
        <v/>
      </c>
      <c r="V358" s="17">
        <f>IF(COUNTA(INDEX(Listado!B:B,ROW()):INDEX(Listado!F:F,ROW()))&gt;0,1,0)</f>
        <v/>
      </c>
      <c r="W358" s="17" t="str">
        <f>IF(INDEX(Listado!L:L,ROW())="","",INDEX(Listado!L:L,ROW()))</f>
        <v/>
      </c>
      <c r="X358" s="17">
        <f>IF(N358="","",IF(INDEX(Listado!$M:$M,N358)="No","No","Sí"))</f>
        <v/>
      </c>
    </row>
    <row r="359" spans="2:24" ht="14.25">
      <c r="N359" s="17" t="str">
        <f>IF(V359=0,"",IFERROR(LOOKUP(2,1/(INDEX(Listado!A:A,2):INDEX(Listado!A:A,ROW())&lt;&gt;""),ROW(INDEX(Listado!A:A,2):INDEX(Listado!A:A,ROW()))),""))</f>
        <v/>
      </c>
      <c r="O359" s="17" t="str">
        <f>IFERROR(IF(N359="","",IF(INDEX(Listado!M:M,N359)="No",IF(INDEX(Listado!N:N,N359)=0,"",INDEX(Listado!N:N,N359)),IF(INDEX(Listado!I:I,N359)=0,"",INDEX(Listado!I:I,N359)))),"")</f>
        <v/>
      </c>
      <c r="P359" s="17">
        <f t="shared" ca="1" si="16"/>
        <v/>
      </c>
      <c r="Q359" s="17">
        <f>IFERROR(IF(AND(N359&lt;&gt;"",ISNUMBER(O359),O359&gt;0,O359&gt;=TODAY()-90),1,0),0)</f>
        <v/>
      </c>
      <c r="R359" s="17" t="str">
        <f t="shared" si="18"/>
        <v/>
      </c>
      <c r="S359" s="17" t="str">
        <f>IF(INDEX(Listado!A:A,ROW())="","",INDEX(Listado!A:A,ROW()))</f>
        <v/>
      </c>
      <c r="T359" s="17" t="str">
        <f ca="1">IF(INDEX(Listado!G:G,ROW())="","",INDEX(Listado!G:G,ROW()))</f>
        <v/>
      </c>
      <c r="U359" s="17" t="str">
        <f>IF(INDEX(Listado!F:F,ROW())="","",INDEX(Listado!F:F,ROW()))</f>
        <v/>
      </c>
      <c r="V359" s="17">
        <f>IF(COUNTA(INDEX(Listado!B:B,ROW()):INDEX(Listado!F:F,ROW()))&gt;0,1,0)</f>
        <v/>
      </c>
      <c r="W359" s="17" t="str">
        <f>IF(INDEX(Listado!L:L,ROW())="","",INDEX(Listado!L:L,ROW()))</f>
        <v/>
      </c>
      <c r="X359" s="17">
        <f>IF(N359="","",IF(INDEX(Listado!$M:$M,N359)="No","No","Sí"))</f>
        <v/>
      </c>
    </row>
    <row r="360" spans="2:24" ht="14.25">
      <c r="N360" s="17" t="str">
        <f>IF(V360=0,"",IFERROR(LOOKUP(2,1/(INDEX(Listado!A:A,2):INDEX(Listado!A:A,ROW())&lt;&gt;""),ROW(INDEX(Listado!A:A,2):INDEX(Listado!A:A,ROW()))),""))</f>
        <v/>
      </c>
      <c r="O360" s="17" t="str">
        <f>IFERROR(IF(N360="","",IF(INDEX(Listado!M:M,N360)="No",IF(INDEX(Listado!N:N,N360)=0,"",INDEX(Listado!N:N,N360)),IF(INDEX(Listado!I:I,N360)=0,"",INDEX(Listado!I:I,N360)))),"")</f>
        <v/>
      </c>
      <c r="P360" s="17">
        <f t="shared" ca="1" si="16"/>
        <v/>
      </c>
      <c r="Q360" s="17">
        <f>IFERROR(IF(AND(N360&lt;&gt;"",ISNUMBER(O360),O360&gt;0,O360&gt;=TODAY()-90),1,0),0)</f>
        <v/>
      </c>
      <c r="R360" s="17" t="str">
        <f t="shared" si="18"/>
        <v/>
      </c>
      <c r="S360" s="17" t="str">
        <f>IF(INDEX(Listado!A:A,ROW())="","",INDEX(Listado!A:A,ROW()))</f>
        <v/>
      </c>
      <c r="T360" s="17" t="str">
        <f ca="1">IF(INDEX(Listado!G:G,ROW())="","",INDEX(Listado!G:G,ROW()))</f>
        <v/>
      </c>
      <c r="U360" s="17" t="str">
        <f>IF(INDEX(Listado!F:F,ROW())="","",INDEX(Listado!F:F,ROW()))</f>
        <v/>
      </c>
      <c r="V360" s="17">
        <f>IF(COUNTA(INDEX(Listado!B:B,ROW()):INDEX(Listado!F:F,ROW()))&gt;0,1,0)</f>
        <v/>
      </c>
      <c r="W360" s="17" t="str">
        <f>IF(INDEX(Listado!L:L,ROW())="","",INDEX(Listado!L:L,ROW()))</f>
        <v/>
      </c>
      <c r="X360" s="17">
        <f>IF(N360="","",IF(INDEX(Listado!$M:$M,N360)="No","No","Sí"))</f>
        <v/>
      </c>
    </row>
    <row r="361" spans="2:24" ht="14.25">
      <c r="N361" s="17" t="str">
        <f>IF(V361=0,"",IFERROR(LOOKUP(2,1/(INDEX(Listado!A:A,2):INDEX(Listado!A:A,ROW())&lt;&gt;""),ROW(INDEX(Listado!A:A,2):INDEX(Listado!A:A,ROW()))),""))</f>
        <v/>
      </c>
      <c r="O361" s="17" t="str">
        <f>IFERROR(IF(N361="","",IF(INDEX(Listado!M:M,N361)="No",IF(INDEX(Listado!N:N,N361)=0,"",INDEX(Listado!N:N,N361)),IF(INDEX(Listado!I:I,N361)=0,"",INDEX(Listado!I:I,N361)))),"")</f>
        <v/>
      </c>
      <c r="P361" s="17">
        <f t="shared" ca="1" si="16"/>
        <v/>
      </c>
      <c r="Q361" s="17">
        <f>IFERROR(IF(AND(N361&lt;&gt;"",ISNUMBER(O361),O361&gt;0,O361&gt;=TODAY()-90),1,0),0)</f>
        <v/>
      </c>
      <c r="R361" s="17" t="str">
        <f t="shared" si="18"/>
        <v/>
      </c>
      <c r="S361" s="17" t="str">
        <f>IF(INDEX(Listado!A:A,ROW())="","",INDEX(Listado!A:A,ROW()))</f>
        <v/>
      </c>
      <c r="T361" s="17" t="str">
        <f ca="1">IF(INDEX(Listado!G:G,ROW())="","",INDEX(Listado!G:G,ROW()))</f>
        <v/>
      </c>
      <c r="U361" s="17" t="str">
        <f>IF(INDEX(Listado!F:F,ROW())="","",INDEX(Listado!F:F,ROW()))</f>
        <v/>
      </c>
      <c r="V361" s="17">
        <f>IF(COUNTA(INDEX(Listado!B:B,ROW()):INDEX(Listado!F:F,ROW()))&gt;0,1,0)</f>
        <v/>
      </c>
      <c r="W361" s="17" t="str">
        <f>IF(INDEX(Listado!L:L,ROW())="","",INDEX(Listado!L:L,ROW()))</f>
        <v/>
      </c>
      <c r="X361" s="17">
        <f>IF(N361="","",IF(INDEX(Listado!$M:$M,N361)="No","No","Sí"))</f>
        <v/>
      </c>
    </row>
    <row r="362" spans="2:24" ht="14.25">
      <c r="N362" s="17" t="str">
        <f>IF(V362=0,"",IFERROR(LOOKUP(2,1/(INDEX(Listado!A:A,2):INDEX(Listado!A:A,ROW())&lt;&gt;""),ROW(INDEX(Listado!A:A,2):INDEX(Listado!A:A,ROW()))),""))</f>
        <v/>
      </c>
      <c r="O362" s="17" t="str">
        <f>IFERROR(IF(N362="","",IF(INDEX(Listado!M:M,N362)="No",IF(INDEX(Listado!N:N,N362)=0,"",INDEX(Listado!N:N,N362)),IF(INDEX(Listado!I:I,N362)=0,"",INDEX(Listado!I:I,N362)))),"")</f>
        <v/>
      </c>
      <c r="P362" s="17">
        <f t="shared" ca="1" si="16"/>
        <v/>
      </c>
      <c r="Q362" s="17">
        <f>IFERROR(IF(AND(N362&lt;&gt;"",ISNUMBER(O362),O362&gt;0,O362&gt;=TODAY()-90),1,0),0)</f>
        <v/>
      </c>
      <c r="R362" s="17" t="str">
        <f t="shared" si="18"/>
        <v/>
      </c>
      <c r="S362" s="17" t="str">
        <f>IF(INDEX(Listado!A:A,ROW())="","",INDEX(Listado!A:A,ROW()))</f>
        <v/>
      </c>
      <c r="T362" s="17" t="str">
        <f ca="1">IF(INDEX(Listado!G:G,ROW())="","",INDEX(Listado!G:G,ROW()))</f>
        <v/>
      </c>
      <c r="U362" s="17" t="str">
        <f>IF(INDEX(Listado!F:F,ROW())="","",INDEX(Listado!F:F,ROW()))</f>
        <v/>
      </c>
      <c r="V362" s="17">
        <f>IF(COUNTA(INDEX(Listado!B:B,ROW()):INDEX(Listado!F:F,ROW()))&gt;0,1,0)</f>
        <v/>
      </c>
      <c r="W362" s="17" t="str">
        <f>IF(INDEX(Listado!L:L,ROW())="","",INDEX(Listado!L:L,ROW()))</f>
        <v/>
      </c>
      <c r="X362" s="17">
        <f>IF(N362="","",IF(INDEX(Listado!$M:$M,N362)="No","No","Sí"))</f>
        <v/>
      </c>
    </row>
    <row r="363" spans="2:24" ht="14.25">
      <c r="N363" s="17" t="str">
        <f>IF(V363=0,"",IFERROR(LOOKUP(2,1/(INDEX(Listado!A:A,2):INDEX(Listado!A:A,ROW())&lt;&gt;""),ROW(INDEX(Listado!A:A,2):INDEX(Listado!A:A,ROW()))),""))</f>
        <v/>
      </c>
      <c r="O363" s="17" t="str">
        <f>IFERROR(IF(N363="","",IF(INDEX(Listado!M:M,N363)="No",IF(INDEX(Listado!N:N,N363)=0,"",INDEX(Listado!N:N,N363)),IF(INDEX(Listado!I:I,N363)=0,"",INDEX(Listado!I:I,N363)))),"")</f>
        <v/>
      </c>
      <c r="P363" s="17">
        <f t="shared" ca="1" si="16"/>
        <v/>
      </c>
      <c r="Q363" s="17">
        <f>IFERROR(IF(AND(N363&lt;&gt;"",ISNUMBER(O363),O363&gt;0,O363&gt;=TODAY()-90),1,0),0)</f>
        <v/>
      </c>
      <c r="R363" s="17" t="str">
        <f t="shared" si="18"/>
        <v/>
      </c>
      <c r="S363" s="17" t="str">
        <f>IF(INDEX(Listado!A:A,ROW())="","",INDEX(Listado!A:A,ROW()))</f>
        <v/>
      </c>
      <c r="T363" s="17" t="str">
        <f ca="1">IF(INDEX(Listado!G:G,ROW())="","",INDEX(Listado!G:G,ROW()))</f>
        <v/>
      </c>
      <c r="U363" s="17" t="str">
        <f>IF(INDEX(Listado!F:F,ROW())="","",INDEX(Listado!F:F,ROW()))</f>
        <v/>
      </c>
      <c r="V363" s="17">
        <f>IF(COUNTA(INDEX(Listado!B:B,ROW()):INDEX(Listado!F:F,ROW()))&gt;0,1,0)</f>
        <v/>
      </c>
      <c r="W363" s="17" t="str">
        <f>IF(INDEX(Listado!L:L,ROW())="","",INDEX(Listado!L:L,ROW()))</f>
        <v/>
      </c>
      <c r="X363" s="17">
        <f>IF(N363="","",IF(INDEX(Listado!$M:$M,N363)="No","No","Sí"))</f>
        <v/>
      </c>
    </row>
    <row r="364" spans="2:24" ht="14.25">
      <c r="N364" s="17" t="str">
        <f>IF(V364=0,"",IFERROR(LOOKUP(2,1/(INDEX(Listado!A:A,2):INDEX(Listado!A:A,ROW())&lt;&gt;""),ROW(INDEX(Listado!A:A,2):INDEX(Listado!A:A,ROW()))),""))</f>
        <v/>
      </c>
      <c r="O364" s="17" t="str">
        <f>IFERROR(IF(N364="","",IF(INDEX(Listado!M:M,N364)="No",IF(INDEX(Listado!N:N,N364)=0,"",INDEX(Listado!N:N,N364)),IF(INDEX(Listado!I:I,N364)=0,"",INDEX(Listado!I:I,N364)))),"")</f>
        <v/>
      </c>
      <c r="P364" s="17">
        <f t="shared" ca="1" si="16"/>
        <v/>
      </c>
      <c r="Q364" s="17">
        <f>IFERROR(IF(AND(N364&lt;&gt;"",ISNUMBER(O364),O364&gt;0,O364&gt;=TODAY()-90),1,0),0)</f>
        <v/>
      </c>
      <c r="R364" s="17" t="str">
        <f t="shared" si="18"/>
        <v/>
      </c>
      <c r="S364" s="17" t="str">
        <f>IF(INDEX(Listado!A:A,ROW())="","",INDEX(Listado!A:A,ROW()))</f>
        <v/>
      </c>
      <c r="T364" s="17" t="str">
        <f ca="1">IF(INDEX(Listado!G:G,ROW())="","",INDEX(Listado!G:G,ROW()))</f>
        <v/>
      </c>
      <c r="U364" s="17" t="str">
        <f>IF(INDEX(Listado!F:F,ROW())="","",INDEX(Listado!F:F,ROW()))</f>
        <v/>
      </c>
      <c r="V364" s="17">
        <f>IF(COUNTA(INDEX(Listado!B:B,ROW()):INDEX(Listado!F:F,ROW()))&gt;0,1,0)</f>
        <v/>
      </c>
      <c r="W364" s="17" t="str">
        <f>IF(INDEX(Listado!L:L,ROW())="","",INDEX(Listado!L:L,ROW()))</f>
        <v/>
      </c>
      <c r="X364" s="17">
        <f>IF(N364="","",IF(INDEX(Listado!$M:$M,N364)="No","No","Sí"))</f>
        <v/>
      </c>
    </row>
    <row r="365" spans="2:24" ht="14.25">
      <c r="N365" s="17" t="str">
        <f>IF(V365=0,"",IFERROR(LOOKUP(2,1/(INDEX(Listado!A:A,2):INDEX(Listado!A:A,ROW())&lt;&gt;""),ROW(INDEX(Listado!A:A,2):INDEX(Listado!A:A,ROW()))),""))</f>
        <v/>
      </c>
      <c r="O365" s="17" t="str">
        <f>IFERROR(IF(N365="","",IF(INDEX(Listado!M:M,N365)="No",IF(INDEX(Listado!N:N,N365)=0,"",INDEX(Listado!N:N,N365)),IF(INDEX(Listado!I:I,N365)=0,"",INDEX(Listado!I:I,N365)))),"")</f>
        <v/>
      </c>
      <c r="P365" s="17">
        <f t="shared" ca="1" si="16"/>
        <v/>
      </c>
      <c r="Q365" s="17">
        <f>IFERROR(IF(AND(N365&lt;&gt;"",ISNUMBER(O365),O365&gt;0,O365&gt;=TODAY()-90),1,0),0)</f>
        <v/>
      </c>
      <c r="R365" s="17" t="str">
        <f t="shared" si="18"/>
        <v/>
      </c>
      <c r="S365" s="17" t="str">
        <f>IF(INDEX(Listado!A:A,ROW())="","",INDEX(Listado!A:A,ROW()))</f>
        <v/>
      </c>
      <c r="T365" s="17" t="str">
        <f ca="1">IF(INDEX(Listado!G:G,ROW())="","",INDEX(Listado!G:G,ROW()))</f>
        <v/>
      </c>
      <c r="U365" s="17" t="str">
        <f>IF(INDEX(Listado!F:F,ROW())="","",INDEX(Listado!F:F,ROW()))</f>
        <v/>
      </c>
      <c r="V365" s="17">
        <f>IF(COUNTA(INDEX(Listado!B:B,ROW()):INDEX(Listado!F:F,ROW()))&gt;0,1,0)</f>
        <v/>
      </c>
      <c r="W365" s="17" t="str">
        <f>IF(INDEX(Listado!L:L,ROW())="","",INDEX(Listado!L:L,ROW()))</f>
        <v/>
      </c>
      <c r="X365" s="17">
        <f>IF(N365="","",IF(INDEX(Listado!$M:$M,N365)="No","No","Sí"))</f>
        <v/>
      </c>
    </row>
    <row r="366" spans="2:24" ht="14.25">
      <c r="N366" s="17" t="str">
        <f>IF(V366=0,"",IFERROR(LOOKUP(2,1/(INDEX(Listado!A:A,2):INDEX(Listado!A:A,ROW())&lt;&gt;""),ROW(INDEX(Listado!A:A,2):INDEX(Listado!A:A,ROW()))),""))</f>
        <v/>
      </c>
      <c r="O366" s="17" t="str">
        <f>IFERROR(IF(N366="","",IF(INDEX(Listado!M:M,N366)="No",IF(INDEX(Listado!N:N,N366)=0,"",INDEX(Listado!N:N,N366)),IF(INDEX(Listado!I:I,N366)=0,"",INDEX(Listado!I:I,N366)))),"")</f>
        <v/>
      </c>
      <c r="P366" s="17">
        <f t="shared" ca="1" si="16"/>
        <v/>
      </c>
      <c r="Q366" s="17">
        <f>IFERROR(IF(AND(N366&lt;&gt;"",ISNUMBER(O366),O366&gt;0,O366&gt;=TODAY()-90),1,0),0)</f>
        <v/>
      </c>
      <c r="R366" s="17" t="str">
        <f t="shared" si="18"/>
        <v/>
      </c>
      <c r="S366" s="17" t="str">
        <f>IF(INDEX(Listado!A:A,ROW())="","",INDEX(Listado!A:A,ROW()))</f>
        <v/>
      </c>
      <c r="T366" s="17" t="str">
        <f ca="1">IF(INDEX(Listado!G:G,ROW())="","",INDEX(Listado!G:G,ROW()))</f>
        <v/>
      </c>
      <c r="U366" s="17" t="str">
        <f>IF(INDEX(Listado!F:F,ROW())="","",INDEX(Listado!F:F,ROW()))</f>
        <v/>
      </c>
      <c r="V366" s="17">
        <f>IF(COUNTA(INDEX(Listado!B:B,ROW()):INDEX(Listado!F:F,ROW()))&gt;0,1,0)</f>
        <v/>
      </c>
      <c r="W366" s="17" t="str">
        <f>IF(INDEX(Listado!L:L,ROW())="","",INDEX(Listado!L:L,ROW()))</f>
        <v/>
      </c>
      <c r="X366" s="17">
        <f>IF(N366="","",IF(INDEX(Listado!$M:$M,N366)="No","No","Sí"))</f>
        <v/>
      </c>
    </row>
    <row r="367" spans="2:24" ht="14.25">
      <c r="N367" s="17" t="str">
        <f>IF(V367=0,"",IFERROR(LOOKUP(2,1/(INDEX(Listado!A:A,2):INDEX(Listado!A:A,ROW())&lt;&gt;""),ROW(INDEX(Listado!A:A,2):INDEX(Listado!A:A,ROW()))),""))</f>
        <v/>
      </c>
      <c r="O367" s="17" t="str">
        <f>IFERROR(IF(N367="","",IF(INDEX(Listado!M:M,N367)="No",IF(INDEX(Listado!N:N,N367)=0,"",INDEX(Listado!N:N,N367)),IF(INDEX(Listado!I:I,N367)=0,"",INDEX(Listado!I:I,N367)))),"")</f>
        <v/>
      </c>
      <c r="P367" s="17">
        <f t="shared" ca="1" si="16"/>
        <v/>
      </c>
      <c r="Q367" s="17">
        <f>IFERROR(IF(AND(N367&lt;&gt;"",ISNUMBER(O367),O367&gt;0,O367&gt;=TODAY()-90),1,0),0)</f>
        <v/>
      </c>
      <c r="R367" s="17" t="str">
        <f t="shared" si="18"/>
        <v/>
      </c>
      <c r="S367" s="17" t="str">
        <f>IF(INDEX(Listado!A:A,ROW())="","",INDEX(Listado!A:A,ROW()))</f>
        <v/>
      </c>
      <c r="T367" s="17" t="str">
        <f ca="1">IF(INDEX(Listado!G:G,ROW())="","",INDEX(Listado!G:G,ROW()))</f>
        <v/>
      </c>
      <c r="U367" s="17" t="str">
        <f>IF(INDEX(Listado!F:F,ROW())="","",INDEX(Listado!F:F,ROW()))</f>
        <v/>
      </c>
      <c r="V367" s="17">
        <f>IF(COUNTA(INDEX(Listado!B:B,ROW()):INDEX(Listado!F:F,ROW()))&gt;0,1,0)</f>
        <v/>
      </c>
      <c r="W367" s="17" t="str">
        <f>IF(INDEX(Listado!L:L,ROW())="","",INDEX(Listado!L:L,ROW()))</f>
        <v/>
      </c>
      <c r="X367" s="17">
        <f>IF(N367="","",IF(INDEX(Listado!$M:$M,N367)="No","No","Sí"))</f>
        <v/>
      </c>
    </row>
    <row r="368" spans="2:24" ht="14.25">
      <c r="N368" s="17" t="str">
        <f>IF(V368=0,"",IFERROR(LOOKUP(2,1/(INDEX(Listado!A:A,2):INDEX(Listado!A:A,ROW())&lt;&gt;""),ROW(INDEX(Listado!A:A,2):INDEX(Listado!A:A,ROW()))),""))</f>
        <v/>
      </c>
      <c r="O368" s="17" t="str">
        <f>IFERROR(IF(N368="","",IF(INDEX(Listado!M:M,N368)="No",IF(INDEX(Listado!N:N,N368)=0,"",INDEX(Listado!N:N,N368)),IF(INDEX(Listado!I:I,N368)=0,"",INDEX(Listado!I:I,N368)))),"")</f>
        <v/>
      </c>
      <c r="P368" s="17">
        <f t="shared" ca="1" si="16"/>
        <v/>
      </c>
      <c r="Q368" s="17">
        <f>IFERROR(IF(AND(N368&lt;&gt;"",ISNUMBER(O368),O368&gt;0,O368&gt;=TODAY()-90),1,0),0)</f>
        <v/>
      </c>
      <c r="R368" s="17" t="str">
        <f t="shared" si="18"/>
        <v/>
      </c>
      <c r="S368" s="17" t="str">
        <f>IF(INDEX(Listado!A:A,ROW())="","",INDEX(Listado!A:A,ROW()))</f>
        <v/>
      </c>
      <c r="T368" s="17" t="str">
        <f ca="1">IF(INDEX(Listado!G:G,ROW())="","",INDEX(Listado!G:G,ROW()))</f>
        <v/>
      </c>
      <c r="U368" s="17" t="str">
        <f>IF(INDEX(Listado!F:F,ROW())="","",INDEX(Listado!F:F,ROW()))</f>
        <v/>
      </c>
      <c r="V368" s="17">
        <f>IF(COUNTA(INDEX(Listado!B:B,ROW()):INDEX(Listado!F:F,ROW()))&gt;0,1,0)</f>
        <v/>
      </c>
      <c r="W368" s="17" t="str">
        <f>IF(INDEX(Listado!L:L,ROW())="","",INDEX(Listado!L:L,ROW()))</f>
        <v/>
      </c>
      <c r="X368" s="17">
        <f>IF(N368="","",IF(INDEX(Listado!$M:$M,N368)="No","No","Sí"))</f>
        <v/>
      </c>
    </row>
    <row r="369" spans="2:24" ht="14.25">
      <c r="N369" s="17" t="str">
        <f>IF(V369=0,"",IFERROR(LOOKUP(2,1/(INDEX(Listado!A:A,2):INDEX(Listado!A:A,ROW())&lt;&gt;""),ROW(INDEX(Listado!A:A,2):INDEX(Listado!A:A,ROW()))),""))</f>
        <v/>
      </c>
      <c r="O369" s="17" t="str">
        <f>IFERROR(IF(N369="","",IF(INDEX(Listado!M:M,N369)="No",IF(INDEX(Listado!N:N,N369)=0,"",INDEX(Listado!N:N,N369)),IF(INDEX(Listado!I:I,N369)=0,"",INDEX(Listado!I:I,N369)))),"")</f>
        <v/>
      </c>
      <c r="P369" s="17">
        <f t="shared" ca="1" si="16"/>
        <v/>
      </c>
      <c r="Q369" s="17">
        <f>IFERROR(IF(AND(N369&lt;&gt;"",ISNUMBER(O369),O369&gt;0,O369&gt;=TODAY()-90),1,0),0)</f>
        <v/>
      </c>
      <c r="R369" s="17" t="str">
        <f t="shared" si="18"/>
        <v/>
      </c>
      <c r="S369" s="17" t="str">
        <f>IF(INDEX(Listado!A:A,ROW())="","",INDEX(Listado!A:A,ROW()))</f>
        <v/>
      </c>
      <c r="T369" s="17" t="str">
        <f ca="1">IF(INDEX(Listado!G:G,ROW())="","",INDEX(Listado!G:G,ROW()))</f>
        <v/>
      </c>
      <c r="U369" s="17" t="str">
        <f>IF(INDEX(Listado!F:F,ROW())="","",INDEX(Listado!F:F,ROW()))</f>
        <v/>
      </c>
      <c r="V369" s="17">
        <f>IF(COUNTA(INDEX(Listado!B:B,ROW()):INDEX(Listado!F:F,ROW()))&gt;0,1,0)</f>
        <v/>
      </c>
      <c r="W369" s="17" t="str">
        <f>IF(INDEX(Listado!L:L,ROW())="","",INDEX(Listado!L:L,ROW()))</f>
        <v/>
      </c>
      <c r="X369" s="17">
        <f>IF(N369="","",IF(INDEX(Listado!$M:$M,N369)="No","No","Sí"))</f>
        <v/>
      </c>
    </row>
    <row r="370" spans="2:24" ht="14.25">
      <c r="N370" s="17" t="str">
        <f>IF(V370=0,"",IFERROR(LOOKUP(2,1/(INDEX(Listado!A:A,2):INDEX(Listado!A:A,ROW())&lt;&gt;""),ROW(INDEX(Listado!A:A,2):INDEX(Listado!A:A,ROW()))),""))</f>
        <v/>
      </c>
      <c r="O370" s="17" t="str">
        <f>IFERROR(IF(N370="","",IF(INDEX(Listado!M:M,N370)="No",IF(INDEX(Listado!N:N,N370)=0,"",INDEX(Listado!N:N,N370)),IF(INDEX(Listado!I:I,N370)=0,"",INDEX(Listado!I:I,N370)))),"")</f>
        <v/>
      </c>
      <c r="P370" s="17">
        <f t="shared" ca="1" si="16"/>
        <v/>
      </c>
      <c r="Q370" s="17">
        <f>IFERROR(IF(AND(N370&lt;&gt;"",ISNUMBER(O370),O370&gt;0,O370&gt;=TODAY()-90),1,0),0)</f>
        <v/>
      </c>
      <c r="R370" s="17" t="str">
        <f t="shared" si="18"/>
        <v/>
      </c>
      <c r="S370" s="17" t="str">
        <f>IF(INDEX(Listado!A:A,ROW())="","",INDEX(Listado!A:A,ROW()))</f>
        <v/>
      </c>
      <c r="T370" s="17" t="str">
        <f ca="1">IF(INDEX(Listado!G:G,ROW())="","",INDEX(Listado!G:G,ROW()))</f>
        <v/>
      </c>
      <c r="U370" s="17" t="str">
        <f>IF(INDEX(Listado!F:F,ROW())="","",INDEX(Listado!F:F,ROW()))</f>
        <v/>
      </c>
      <c r="V370" s="17">
        <f>IF(COUNTA(INDEX(Listado!B:B,ROW()):INDEX(Listado!F:F,ROW()))&gt;0,1,0)</f>
        <v/>
      </c>
      <c r="W370" s="17" t="str">
        <f>IF(INDEX(Listado!L:L,ROW())="","",INDEX(Listado!L:L,ROW()))</f>
        <v/>
      </c>
      <c r="X370" s="17">
        <f>IF(N370="","",IF(INDEX(Listado!$M:$M,N370)="No","No","Sí"))</f>
        <v/>
      </c>
    </row>
    <row r="371" spans="2:24" ht="14.25">
      <c r="N371" s="17" t="str">
        <f>IF(V371=0,"",IFERROR(LOOKUP(2,1/(INDEX(Listado!A:A,2):INDEX(Listado!A:A,ROW())&lt;&gt;""),ROW(INDEX(Listado!A:A,2):INDEX(Listado!A:A,ROW()))),""))</f>
        <v/>
      </c>
      <c r="O371" s="17" t="str">
        <f>IFERROR(IF(N371="","",IF(INDEX(Listado!M:M,N371)="No",IF(INDEX(Listado!N:N,N371)=0,"",INDEX(Listado!N:N,N371)),IF(INDEX(Listado!I:I,N371)=0,"",INDEX(Listado!I:I,N371)))),"")</f>
        <v/>
      </c>
      <c r="P371" s="17">
        <f t="shared" ca="1" si="16"/>
        <v/>
      </c>
      <c r="Q371" s="17">
        <f>IFERROR(IF(AND(N371&lt;&gt;"",ISNUMBER(O371),O371&gt;0,O371&gt;=TODAY()-90),1,0),0)</f>
        <v/>
      </c>
      <c r="R371" s="17" t="str">
        <f t="shared" si="18"/>
        <v/>
      </c>
      <c r="S371" s="17" t="str">
        <f>IF(INDEX(Listado!A:A,ROW())="","",INDEX(Listado!A:A,ROW()))</f>
        <v/>
      </c>
      <c r="T371" s="17" t="str">
        <f ca="1">IF(INDEX(Listado!G:G,ROW())="","",INDEX(Listado!G:G,ROW()))</f>
        <v/>
      </c>
      <c r="U371" s="17" t="str">
        <f>IF(INDEX(Listado!F:F,ROW())="","",INDEX(Listado!F:F,ROW()))</f>
        <v/>
      </c>
      <c r="V371" s="17">
        <f>IF(COUNTA(INDEX(Listado!B:B,ROW()):INDEX(Listado!F:F,ROW()))&gt;0,1,0)</f>
        <v/>
      </c>
      <c r="W371" s="17" t="str">
        <f>IF(INDEX(Listado!L:L,ROW())="","",INDEX(Listado!L:L,ROW()))</f>
        <v/>
      </c>
      <c r="X371" s="17">
        <f>IF(N371="","",IF(INDEX(Listado!$M:$M,N371)="No","No","Sí"))</f>
        <v/>
      </c>
    </row>
    <row r="372" spans="2:24" ht="14.25">
      <c r="N372" s="17" t="str">
        <f>IF(V372=0,"",IFERROR(LOOKUP(2,1/(INDEX(Listado!A:A,2):INDEX(Listado!A:A,ROW())&lt;&gt;""),ROW(INDEX(Listado!A:A,2):INDEX(Listado!A:A,ROW()))),""))</f>
        <v/>
      </c>
      <c r="O372" s="17" t="str">
        <f>IFERROR(IF(N372="","",IF(INDEX(Listado!M:M,N372)="No",IF(INDEX(Listado!N:N,N372)=0,"",INDEX(Listado!N:N,N372)),IF(INDEX(Listado!I:I,N372)=0,"",INDEX(Listado!I:I,N372)))),"")</f>
        <v/>
      </c>
      <c r="P372" s="17">
        <f t="shared" ca="1" si="16"/>
        <v/>
      </c>
      <c r="Q372" s="17">
        <f>IFERROR(IF(AND(N372&lt;&gt;"",ISNUMBER(O372),O372&gt;0,O372&gt;=TODAY()-90),1,0),0)</f>
        <v/>
      </c>
      <c r="R372" s="17" t="str">
        <f t="shared" si="18"/>
        <v/>
      </c>
      <c r="S372" s="17" t="str">
        <f>IF(INDEX(Listado!A:A,ROW())="","",INDEX(Listado!A:A,ROW()))</f>
        <v/>
      </c>
      <c r="T372" s="17" t="str">
        <f ca="1">IF(INDEX(Listado!G:G,ROW())="","",INDEX(Listado!G:G,ROW()))</f>
        <v/>
      </c>
      <c r="U372" s="17" t="str">
        <f>IF(INDEX(Listado!F:F,ROW())="","",INDEX(Listado!F:F,ROW()))</f>
        <v/>
      </c>
      <c r="V372" s="17">
        <f>IF(COUNTA(INDEX(Listado!B:B,ROW()):INDEX(Listado!F:F,ROW()))&gt;0,1,0)</f>
        <v/>
      </c>
      <c r="W372" s="17" t="str">
        <f>IF(INDEX(Listado!L:L,ROW())="","",INDEX(Listado!L:L,ROW()))</f>
        <v/>
      </c>
      <c r="X372" s="17">
        <f>IF(N372="","",IF(INDEX(Listado!$M:$M,N372)="No","No","Sí"))</f>
        <v/>
      </c>
    </row>
    <row r="373" spans="2:24" ht="14.25">
      <c r="N373" s="17" t="str">
        <f>IF(V373=0,"",IFERROR(LOOKUP(2,1/(INDEX(Listado!A:A,2):INDEX(Listado!A:A,ROW())&lt;&gt;""),ROW(INDEX(Listado!A:A,2):INDEX(Listado!A:A,ROW()))),""))</f>
        <v/>
      </c>
      <c r="O373" s="17" t="str">
        <f>IFERROR(IF(N373="","",IF(INDEX(Listado!M:M,N373)="No",IF(INDEX(Listado!N:N,N373)=0,"",INDEX(Listado!N:N,N373)),IF(INDEX(Listado!I:I,N373)=0,"",INDEX(Listado!I:I,N373)))),"")</f>
        <v/>
      </c>
      <c r="P373" s="17">
        <f t="shared" ca="1" si="16"/>
        <v/>
      </c>
      <c r="Q373" s="17">
        <f>IFERROR(IF(AND(N373&lt;&gt;"",ISNUMBER(O373),O373&gt;0,O373&gt;=TODAY()-90),1,0),0)</f>
        <v/>
      </c>
      <c r="R373" s="17" t="str">
        <f t="shared" si="18"/>
        <v/>
      </c>
      <c r="S373" s="17" t="str">
        <f>IF(INDEX(Listado!A:A,ROW())="","",INDEX(Listado!A:A,ROW()))</f>
        <v/>
      </c>
      <c r="T373" s="17" t="str">
        <f ca="1">IF(INDEX(Listado!G:G,ROW())="","",INDEX(Listado!G:G,ROW()))</f>
        <v/>
      </c>
      <c r="U373" s="17" t="str">
        <f>IF(INDEX(Listado!F:F,ROW())="","",INDEX(Listado!F:F,ROW()))</f>
        <v/>
      </c>
      <c r="V373" s="17">
        <f>IF(COUNTA(INDEX(Listado!B:B,ROW()):INDEX(Listado!F:F,ROW()))&gt;0,1,0)</f>
        <v/>
      </c>
      <c r="W373" s="17" t="str">
        <f>IF(INDEX(Listado!L:L,ROW())="","",INDEX(Listado!L:L,ROW()))</f>
        <v/>
      </c>
      <c r="X373" s="17">
        <f>IF(N373="","",IF(INDEX(Listado!$M:$M,N373)="No","No","Sí"))</f>
        <v/>
      </c>
    </row>
    <row r="374" spans="2:24" ht="14.25">
      <c r="N374" s="17" t="str">
        <f>IF(V374=0,"",IFERROR(LOOKUP(2,1/(INDEX(Listado!A:A,2):INDEX(Listado!A:A,ROW())&lt;&gt;""),ROW(INDEX(Listado!A:A,2):INDEX(Listado!A:A,ROW()))),""))</f>
        <v/>
      </c>
      <c r="O374" s="17" t="str">
        <f>IFERROR(IF(N374="","",IF(INDEX(Listado!M:M,N374)="No",IF(INDEX(Listado!N:N,N374)=0,"",INDEX(Listado!N:N,N374)),IF(INDEX(Listado!I:I,N374)=0,"",INDEX(Listado!I:I,N374)))),"")</f>
        <v/>
      </c>
      <c r="P374" s="17">
        <f t="shared" ca="1" si="16"/>
        <v/>
      </c>
      <c r="Q374" s="17">
        <f>IFERROR(IF(AND(N374&lt;&gt;"",ISNUMBER(O374),O374&gt;0,O374&gt;=TODAY()-90),1,0),0)</f>
        <v/>
      </c>
      <c r="R374" s="17" t="str">
        <f t="shared" si="18"/>
        <v/>
      </c>
      <c r="S374" s="17" t="str">
        <f>IF(INDEX(Listado!A:A,ROW())="","",INDEX(Listado!A:A,ROW()))</f>
        <v/>
      </c>
      <c r="T374" s="17" t="str">
        <f ca="1">IF(INDEX(Listado!G:G,ROW())="","",INDEX(Listado!G:G,ROW()))</f>
        <v/>
      </c>
      <c r="U374" s="17" t="str">
        <f>IF(INDEX(Listado!F:F,ROW())="","",INDEX(Listado!F:F,ROW()))</f>
        <v/>
      </c>
      <c r="V374" s="17">
        <f>IF(COUNTA(INDEX(Listado!B:B,ROW()):INDEX(Listado!F:F,ROW()))&gt;0,1,0)</f>
        <v/>
      </c>
      <c r="W374" s="17" t="str">
        <f>IF(INDEX(Listado!L:L,ROW())="","",INDEX(Listado!L:L,ROW()))</f>
        <v/>
      </c>
      <c r="X374" s="17">
        <f>IF(N374="","",IF(INDEX(Listado!$M:$M,N374)="No","No","Sí"))</f>
        <v/>
      </c>
    </row>
    <row r="375" spans="2:24" ht="14.25">
      <c r="N375" s="17" t="str">
        <f>IF(V375=0,"",IFERROR(LOOKUP(2,1/(INDEX(Listado!A:A,2):INDEX(Listado!A:A,ROW())&lt;&gt;""),ROW(INDEX(Listado!A:A,2):INDEX(Listado!A:A,ROW()))),""))</f>
        <v/>
      </c>
      <c r="O375" s="17" t="str">
        <f>IFERROR(IF(N375="","",IF(INDEX(Listado!M:M,N375)="No",IF(INDEX(Listado!N:N,N375)=0,"",INDEX(Listado!N:N,N375)),IF(INDEX(Listado!I:I,N375)=0,"",INDEX(Listado!I:I,N375)))),"")</f>
        <v/>
      </c>
      <c r="P375" s="17">
        <f t="shared" ca="1" si="16"/>
        <v/>
      </c>
      <c r="Q375" s="17">
        <f>IFERROR(IF(AND(N375&lt;&gt;"",ISNUMBER(O375),O375&gt;0,O375&gt;=TODAY()-90),1,0),0)</f>
        <v/>
      </c>
      <c r="R375" s="17" t="str">
        <f t="shared" si="18"/>
        <v/>
      </c>
      <c r="S375" s="17" t="str">
        <f>IF(INDEX(Listado!A:A,ROW())="","",INDEX(Listado!A:A,ROW()))</f>
        <v/>
      </c>
      <c r="T375" s="17" t="str">
        <f ca="1">IF(INDEX(Listado!G:G,ROW())="","",INDEX(Listado!G:G,ROW()))</f>
        <v/>
      </c>
      <c r="U375" s="17" t="str">
        <f>IF(INDEX(Listado!F:F,ROW())="","",INDEX(Listado!F:F,ROW()))</f>
        <v/>
      </c>
      <c r="V375" s="17">
        <f>IF(COUNTA(INDEX(Listado!B:B,ROW()):INDEX(Listado!F:F,ROW()))&gt;0,1,0)</f>
        <v/>
      </c>
      <c r="W375" s="17" t="str">
        <f>IF(INDEX(Listado!L:L,ROW())="","",INDEX(Listado!L:L,ROW()))</f>
        <v/>
      </c>
      <c r="X375" s="17">
        <f>IF(N375="","",IF(INDEX(Listado!$M:$M,N375)="No","No","Sí"))</f>
        <v/>
      </c>
    </row>
    <row r="376" spans="2:24" ht="14.25">
      <c r="N376" s="17" t="str">
        <f>IF(V376=0,"",IFERROR(LOOKUP(2,1/(INDEX(Listado!A:A,2):INDEX(Listado!A:A,ROW())&lt;&gt;""),ROW(INDEX(Listado!A:A,2):INDEX(Listado!A:A,ROW()))),""))</f>
        <v/>
      </c>
      <c r="O376" s="17" t="str">
        <f>IFERROR(IF(N376="","",IF(INDEX(Listado!M:M,N376)="No",IF(INDEX(Listado!N:N,N376)=0,"",INDEX(Listado!N:N,N376)),IF(INDEX(Listado!I:I,N376)=0,"",INDEX(Listado!I:I,N376)))),"")</f>
        <v/>
      </c>
      <c r="P376" s="17">
        <f t="shared" ca="1" si="16"/>
        <v/>
      </c>
      <c r="Q376" s="17">
        <f>IFERROR(IF(AND(N376&lt;&gt;"",ISNUMBER(O376),O376&gt;0,O376&gt;=TODAY()-90),1,0),0)</f>
        <v/>
      </c>
      <c r="R376" s="17" t="str">
        <f t="shared" si="18"/>
        <v/>
      </c>
      <c r="S376" s="17" t="str">
        <f>IF(INDEX(Listado!A:A,ROW())="","",INDEX(Listado!A:A,ROW()))</f>
        <v/>
      </c>
      <c r="T376" s="17" t="str">
        <f ca="1">IF(INDEX(Listado!G:G,ROW())="","",INDEX(Listado!G:G,ROW()))</f>
        <v/>
      </c>
      <c r="U376" s="17" t="str">
        <f>IF(INDEX(Listado!F:F,ROW())="","",INDEX(Listado!F:F,ROW()))</f>
        <v/>
      </c>
      <c r="V376" s="17">
        <f>IF(COUNTA(INDEX(Listado!B:B,ROW()):INDEX(Listado!F:F,ROW()))&gt;0,1,0)</f>
        <v/>
      </c>
      <c r="W376" s="17" t="str">
        <f>IF(INDEX(Listado!L:L,ROW())="","",INDEX(Listado!L:L,ROW()))</f>
        <v/>
      </c>
      <c r="X376" s="17">
        <f>IF(N376="","",IF(INDEX(Listado!$M:$M,N376)="No","No","Sí"))</f>
        <v/>
      </c>
    </row>
    <row r="377" spans="2:24" ht="14.25">
      <c r="N377" s="17" t="str">
        <f>IF(V377=0,"",IFERROR(LOOKUP(2,1/(INDEX(Listado!A:A,2):INDEX(Listado!A:A,ROW())&lt;&gt;""),ROW(INDEX(Listado!A:A,2):INDEX(Listado!A:A,ROW()))),""))</f>
        <v/>
      </c>
      <c r="O377" s="17" t="str">
        <f>IFERROR(IF(N377="","",IF(INDEX(Listado!M:M,N377)="No",IF(INDEX(Listado!N:N,N377)=0,"",INDEX(Listado!N:N,N377)),IF(INDEX(Listado!I:I,N377)=0,"",INDEX(Listado!I:I,N377)))),"")</f>
        <v/>
      </c>
      <c r="P377" s="17">
        <f t="shared" ca="1" si="16"/>
        <v/>
      </c>
      <c r="Q377" s="17">
        <f>IFERROR(IF(AND(N377&lt;&gt;"",ISNUMBER(O377),O377&gt;0,O377&gt;=TODAY()-90),1,0),0)</f>
        <v/>
      </c>
      <c r="R377" s="17" t="str">
        <f t="shared" si="18"/>
        <v/>
      </c>
      <c r="S377" s="17" t="str">
        <f>IF(INDEX(Listado!A:A,ROW())="","",INDEX(Listado!A:A,ROW()))</f>
        <v/>
      </c>
      <c r="T377" s="17" t="str">
        <f ca="1">IF(INDEX(Listado!G:G,ROW())="","",INDEX(Listado!G:G,ROW()))</f>
        <v/>
      </c>
      <c r="U377" s="17" t="str">
        <f>IF(INDEX(Listado!F:F,ROW())="","",INDEX(Listado!F:F,ROW()))</f>
        <v/>
      </c>
      <c r="V377" s="17">
        <f>IF(COUNTA(INDEX(Listado!B:B,ROW()):INDEX(Listado!F:F,ROW()))&gt;0,1,0)</f>
        <v/>
      </c>
      <c r="W377" s="17" t="str">
        <f>IF(INDEX(Listado!L:L,ROW())="","",INDEX(Listado!L:L,ROW()))</f>
        <v/>
      </c>
      <c r="X377" s="17">
        <f>IF(N377="","",IF(INDEX(Listado!$M:$M,N377)="No","No","Sí"))</f>
        <v/>
      </c>
    </row>
    <row r="378" spans="2:24" ht="14.25">
      <c r="N378" s="17" t="str">
        <f>IF(V378=0,"",IFERROR(LOOKUP(2,1/(INDEX(Listado!A:A,2):INDEX(Listado!A:A,ROW())&lt;&gt;""),ROW(INDEX(Listado!A:A,2):INDEX(Listado!A:A,ROW()))),""))</f>
        <v/>
      </c>
      <c r="O378" s="17" t="str">
        <f>IFERROR(IF(N378="","",IF(INDEX(Listado!M:M,N378)="No",IF(INDEX(Listado!N:N,N378)=0,"",INDEX(Listado!N:N,N378)),IF(INDEX(Listado!I:I,N378)=0,"",INDEX(Listado!I:I,N378)))),"")</f>
        <v/>
      </c>
      <c r="P378" s="17">
        <f t="shared" ca="1" si="16"/>
        <v/>
      </c>
      <c r="Q378" s="17">
        <f>IFERROR(IF(AND(N378&lt;&gt;"",ISNUMBER(O378),O378&gt;0,O378&gt;=TODAY()-90),1,0),0)</f>
        <v/>
      </c>
      <c r="R378" s="17" t="str">
        <f t="shared" si="18"/>
        <v/>
      </c>
      <c r="S378" s="17" t="str">
        <f>IF(INDEX(Listado!A:A,ROW())="","",INDEX(Listado!A:A,ROW()))</f>
        <v/>
      </c>
      <c r="T378" s="17" t="str">
        <f ca="1">IF(INDEX(Listado!G:G,ROW())="","",INDEX(Listado!G:G,ROW()))</f>
        <v/>
      </c>
      <c r="U378" s="17" t="str">
        <f>IF(INDEX(Listado!F:F,ROW())="","",INDEX(Listado!F:F,ROW()))</f>
        <v/>
      </c>
      <c r="V378" s="17">
        <f>IF(COUNTA(INDEX(Listado!B:B,ROW()):INDEX(Listado!F:F,ROW()))&gt;0,1,0)</f>
        <v/>
      </c>
      <c r="W378" s="17" t="str">
        <f>IF(INDEX(Listado!L:L,ROW())="","",INDEX(Listado!L:L,ROW()))</f>
        <v/>
      </c>
      <c r="X378" s="17">
        <f>IF(N378="","",IF(INDEX(Listado!$M:$M,N378)="No","No","Sí"))</f>
        <v/>
      </c>
    </row>
    <row r="379" spans="2:24" ht="14.25">
      <c r="N379" s="17" t="str">
        <f>IF(V379=0,"",IFERROR(LOOKUP(2,1/(INDEX(Listado!A:A,2):INDEX(Listado!A:A,ROW())&lt;&gt;""),ROW(INDEX(Listado!A:A,2):INDEX(Listado!A:A,ROW()))),""))</f>
        <v/>
      </c>
      <c r="O379" s="17" t="str">
        <f>IFERROR(IF(N379="","",IF(INDEX(Listado!M:M,N379)="No",IF(INDEX(Listado!N:N,N379)=0,"",INDEX(Listado!N:N,N379)),IF(INDEX(Listado!I:I,N379)=0,"",INDEX(Listado!I:I,N379)))),"")</f>
        <v/>
      </c>
      <c r="P379" s="17">
        <f t="shared" ca="1" si="16"/>
        <v/>
      </c>
      <c r="Q379" s="17">
        <f>IFERROR(IF(AND(N379&lt;&gt;"",ISNUMBER(O379),O379&gt;0,O379&gt;=TODAY()-90),1,0),0)</f>
        <v/>
      </c>
      <c r="R379" s="17" t="str">
        <f t="shared" si="18"/>
        <v/>
      </c>
      <c r="S379" s="17" t="str">
        <f>IF(INDEX(Listado!A:A,ROW())="","",INDEX(Listado!A:A,ROW()))</f>
        <v/>
      </c>
      <c r="T379" s="17" t="str">
        <f ca="1">IF(INDEX(Listado!G:G,ROW())="","",INDEX(Listado!G:G,ROW()))</f>
        <v/>
      </c>
      <c r="U379" s="17" t="str">
        <f>IF(INDEX(Listado!F:F,ROW())="","",INDEX(Listado!F:F,ROW()))</f>
        <v/>
      </c>
      <c r="V379" s="17">
        <f>IF(COUNTA(INDEX(Listado!B:B,ROW()):INDEX(Listado!F:F,ROW()))&gt;0,1,0)</f>
        <v/>
      </c>
      <c r="W379" s="17" t="str">
        <f>IF(INDEX(Listado!L:L,ROW())="","",INDEX(Listado!L:L,ROW()))</f>
        <v/>
      </c>
      <c r="X379" s="17">
        <f>IF(N379="","",IF(INDEX(Listado!$M:$M,N379)="No","No","Sí"))</f>
        <v/>
      </c>
    </row>
    <row r="380" spans="2:24" ht="14.25">
      <c r="N380" s="17" t="str">
        <f>IF(V380=0,"",IFERROR(LOOKUP(2,1/(INDEX(Listado!A:A,2):INDEX(Listado!A:A,ROW())&lt;&gt;""),ROW(INDEX(Listado!A:A,2):INDEX(Listado!A:A,ROW()))),""))</f>
        <v/>
      </c>
      <c r="O380" s="17" t="str">
        <f>IFERROR(IF(N380="","",IF(INDEX(Listado!M:M,N380)="No",IF(INDEX(Listado!N:N,N380)=0,"",INDEX(Listado!N:N,N380)),IF(INDEX(Listado!I:I,N380)=0,"",INDEX(Listado!I:I,N380)))),"")</f>
        <v/>
      </c>
      <c r="P380" s="17">
        <f t="shared" ca="1" si="16"/>
        <v/>
      </c>
      <c r="Q380" s="17">
        <f>IFERROR(IF(AND(N380&lt;&gt;"",ISNUMBER(O380),O380&gt;0,O380&gt;=TODAY()-90),1,0),0)</f>
        <v/>
      </c>
      <c r="R380" s="17" t="str">
        <f t="shared" si="18"/>
        <v/>
      </c>
      <c r="S380" s="17" t="str">
        <f>IF(INDEX(Listado!A:A,ROW())="","",INDEX(Listado!A:A,ROW()))</f>
        <v/>
      </c>
      <c r="T380" s="17" t="str">
        <f ca="1">IF(INDEX(Listado!G:G,ROW())="","",INDEX(Listado!G:G,ROW()))</f>
        <v/>
      </c>
      <c r="U380" s="17" t="str">
        <f>IF(INDEX(Listado!F:F,ROW())="","",INDEX(Listado!F:F,ROW()))</f>
        <v/>
      </c>
      <c r="V380" s="17">
        <f>IF(COUNTA(INDEX(Listado!B:B,ROW()):INDEX(Listado!F:F,ROW()))&gt;0,1,0)</f>
        <v/>
      </c>
      <c r="W380" s="17" t="str">
        <f>IF(INDEX(Listado!L:L,ROW())="","",INDEX(Listado!L:L,ROW()))</f>
        <v/>
      </c>
      <c r="X380" s="17">
        <f>IF(N380="","",IF(INDEX(Listado!$M:$M,N380)="No","No","Sí"))</f>
        <v/>
      </c>
    </row>
    <row r="381" spans="2:24" ht="14.25">
      <c r="N381" s="17" t="str">
        <f>IF(V381=0,"",IFERROR(LOOKUP(2,1/(INDEX(Listado!A:A,2):INDEX(Listado!A:A,ROW())&lt;&gt;""),ROW(INDEX(Listado!A:A,2):INDEX(Listado!A:A,ROW()))),""))</f>
        <v/>
      </c>
      <c r="O381" s="17" t="str">
        <f>IFERROR(IF(N381="","",IF(INDEX(Listado!M:M,N381)="No",IF(INDEX(Listado!N:N,N381)=0,"",INDEX(Listado!N:N,N381)),IF(INDEX(Listado!I:I,N381)=0,"",INDEX(Listado!I:I,N381)))),"")</f>
        <v/>
      </c>
      <c r="P381" s="17">
        <f t="shared" ca="1" si="16"/>
        <v/>
      </c>
      <c r="Q381" s="17">
        <f>IFERROR(IF(AND(N381&lt;&gt;"",ISNUMBER(O381),O381&gt;0,O381&gt;=TODAY()-90),1,0),0)</f>
        <v/>
      </c>
      <c r="R381" s="17" t="str">
        <f t="shared" si="18"/>
        <v/>
      </c>
      <c r="S381" s="17" t="str">
        <f>IF(INDEX(Listado!A:A,ROW())="","",INDEX(Listado!A:A,ROW()))</f>
        <v/>
      </c>
      <c r="T381" s="17" t="str">
        <f ca="1">IF(INDEX(Listado!G:G,ROW())="","",INDEX(Listado!G:G,ROW()))</f>
        <v/>
      </c>
      <c r="U381" s="17" t="str">
        <f>IF(INDEX(Listado!F:F,ROW())="","",INDEX(Listado!F:F,ROW()))</f>
        <v/>
      </c>
      <c r="V381" s="17">
        <f>IF(COUNTA(INDEX(Listado!B:B,ROW()):INDEX(Listado!F:F,ROW()))&gt;0,1,0)</f>
        <v/>
      </c>
      <c r="W381" s="17" t="str">
        <f>IF(INDEX(Listado!L:L,ROW())="","",INDEX(Listado!L:L,ROW()))</f>
        <v/>
      </c>
      <c r="X381" s="17">
        <f>IF(N381="","",IF(INDEX(Listado!$M:$M,N381)="No","No","Sí"))</f>
        <v/>
      </c>
    </row>
    <row r="382" spans="2:24" ht="14.25">
      <c r="N382" s="17" t="str">
        <f>IF(V382=0,"",IFERROR(LOOKUP(2,1/(INDEX(Listado!A:A,2):INDEX(Listado!A:A,ROW())&lt;&gt;""),ROW(INDEX(Listado!A:A,2):INDEX(Listado!A:A,ROW()))),""))</f>
        <v/>
      </c>
      <c r="O382" s="17" t="str">
        <f>IFERROR(IF(N382="","",IF(INDEX(Listado!M:M,N382)="No",IF(INDEX(Listado!N:N,N382)=0,"",INDEX(Listado!N:N,N382)),IF(INDEX(Listado!I:I,N382)=0,"",INDEX(Listado!I:I,N382)))),"")</f>
        <v/>
      </c>
      <c r="P382" s="17">
        <f t="shared" ca="1" si="16"/>
        <v/>
      </c>
      <c r="Q382" s="17">
        <f>IFERROR(IF(AND(N382&lt;&gt;"",ISNUMBER(O382),O382&gt;0,O382&gt;=TODAY()-90),1,0),0)</f>
        <v/>
      </c>
      <c r="R382" s="17" t="str">
        <f t="shared" si="18"/>
        <v/>
      </c>
      <c r="S382" s="17" t="str">
        <f>IF(INDEX(Listado!A:A,ROW())="","",INDEX(Listado!A:A,ROW()))</f>
        <v/>
      </c>
      <c r="T382" s="17" t="str">
        <f ca="1">IF(INDEX(Listado!G:G,ROW())="","",INDEX(Listado!G:G,ROW()))</f>
        <v/>
      </c>
      <c r="U382" s="17" t="str">
        <f>IF(INDEX(Listado!F:F,ROW())="","",INDEX(Listado!F:F,ROW()))</f>
        <v/>
      </c>
      <c r="V382" s="17">
        <f>IF(COUNTA(INDEX(Listado!B:B,ROW()):INDEX(Listado!F:F,ROW()))&gt;0,1,0)</f>
        <v/>
      </c>
      <c r="W382" s="17" t="str">
        <f>IF(INDEX(Listado!L:L,ROW())="","",INDEX(Listado!L:L,ROW()))</f>
        <v/>
      </c>
      <c r="X382" s="17">
        <f>IF(N382="","",IF(INDEX(Listado!$M:$M,N382)="No","No","Sí"))</f>
        <v/>
      </c>
    </row>
    <row r="383" spans="2:24" ht="14.25">
      <c r="N383" s="17" t="str">
        <f>IF(V383=0,"",IFERROR(LOOKUP(2,1/(INDEX(Listado!A:A,2):INDEX(Listado!A:A,ROW())&lt;&gt;""),ROW(INDEX(Listado!A:A,2):INDEX(Listado!A:A,ROW()))),""))</f>
        <v/>
      </c>
      <c r="O383" s="17" t="str">
        <f>IFERROR(IF(N383="","",IF(INDEX(Listado!M:M,N383)="No",IF(INDEX(Listado!N:N,N383)=0,"",INDEX(Listado!N:N,N383)),IF(INDEX(Listado!I:I,N383)=0,"",INDEX(Listado!I:I,N383)))),"")</f>
        <v/>
      </c>
      <c r="P383" s="17">
        <f t="shared" ca="1" si="16"/>
        <v/>
      </c>
      <c r="Q383" s="17">
        <f>IFERROR(IF(AND(N383&lt;&gt;"",ISNUMBER(O383),O383&gt;0,O383&gt;=TODAY()-90),1,0),0)</f>
        <v/>
      </c>
      <c r="R383" s="17" t="str">
        <f t="shared" si="18"/>
        <v/>
      </c>
      <c r="S383" s="17" t="str">
        <f>IF(INDEX(Listado!A:A,ROW())="","",INDEX(Listado!A:A,ROW()))</f>
        <v/>
      </c>
      <c r="T383" s="17" t="str">
        <f ca="1">IF(INDEX(Listado!G:G,ROW())="","",INDEX(Listado!G:G,ROW()))</f>
        <v/>
      </c>
      <c r="U383" s="17" t="str">
        <f>IF(INDEX(Listado!F:F,ROW())="","",INDEX(Listado!F:F,ROW()))</f>
        <v/>
      </c>
      <c r="V383" s="17">
        <f>IF(COUNTA(INDEX(Listado!B:B,ROW()):INDEX(Listado!F:F,ROW()))&gt;0,1,0)</f>
        <v/>
      </c>
      <c r="W383" s="17" t="str">
        <f>IF(INDEX(Listado!L:L,ROW())="","",INDEX(Listado!L:L,ROW()))</f>
        <v/>
      </c>
      <c r="X383" s="17">
        <f>IF(N383="","",IF(INDEX(Listado!$M:$M,N383)="No","No","Sí"))</f>
        <v/>
      </c>
    </row>
    <row r="384" spans="2:24" ht="14.25">
      <c r="N384" s="17" t="str">
        <f>IF(V384=0,"",IFERROR(LOOKUP(2,1/(INDEX(Listado!A:A,2):INDEX(Listado!A:A,ROW())&lt;&gt;""),ROW(INDEX(Listado!A:A,2):INDEX(Listado!A:A,ROW()))),""))</f>
        <v/>
      </c>
      <c r="O384" s="17" t="str">
        <f>IFERROR(IF(N384="","",IF(INDEX(Listado!M:M,N384)="No",IF(INDEX(Listado!N:N,N384)=0,"",INDEX(Listado!N:N,N384)),IF(INDEX(Listado!I:I,N384)=0,"",INDEX(Listado!I:I,N384)))),"")</f>
        <v/>
      </c>
      <c r="P384" s="17">
        <f t="shared" ca="1" si="16"/>
        <v/>
      </c>
      <c r="Q384" s="17">
        <f>IFERROR(IF(AND(N384&lt;&gt;"",ISNUMBER(O384),O384&gt;0,O384&gt;=TODAY()-90),1,0),0)</f>
        <v/>
      </c>
      <c r="R384" s="17" t="str">
        <f t="shared" si="18"/>
        <v/>
      </c>
      <c r="S384" s="17" t="str">
        <f>IF(INDEX(Listado!A:A,ROW())="","",INDEX(Listado!A:A,ROW()))</f>
        <v/>
      </c>
      <c r="T384" s="17" t="str">
        <f ca="1">IF(INDEX(Listado!G:G,ROW())="","",INDEX(Listado!G:G,ROW()))</f>
        <v/>
      </c>
      <c r="U384" s="17" t="str">
        <f>IF(INDEX(Listado!F:F,ROW())="","",INDEX(Listado!F:F,ROW()))</f>
        <v/>
      </c>
      <c r="V384" s="17">
        <f>IF(COUNTA(INDEX(Listado!B:B,ROW()):INDEX(Listado!F:F,ROW()))&gt;0,1,0)</f>
        <v/>
      </c>
      <c r="W384" s="17" t="str">
        <f>IF(INDEX(Listado!L:L,ROW())="","",INDEX(Listado!L:L,ROW()))</f>
        <v/>
      </c>
      <c r="X384" s="17">
        <f>IF(N384="","",IF(INDEX(Listado!$M:$M,N384)="No","No","Sí"))</f>
        <v/>
      </c>
    </row>
    <row r="385" spans="2:24" ht="14.25">
      <c r="N385" s="17" t="str">
        <f>IF(V385=0,"",IFERROR(LOOKUP(2,1/(INDEX(Listado!A:A,2):INDEX(Listado!A:A,ROW())&lt;&gt;""),ROW(INDEX(Listado!A:A,2):INDEX(Listado!A:A,ROW()))),""))</f>
        <v/>
      </c>
      <c r="O385" s="17" t="str">
        <f>IFERROR(IF(N385="","",IF(INDEX(Listado!M:M,N385)="No",IF(INDEX(Listado!N:N,N385)=0,"",INDEX(Listado!N:N,N385)),IF(INDEX(Listado!I:I,N385)=0,"",INDEX(Listado!I:I,N385)))),"")</f>
        <v/>
      </c>
      <c r="P385" s="17">
        <f t="shared" ca="1" si="16"/>
        <v/>
      </c>
      <c r="Q385" s="17">
        <f>IFERROR(IF(AND(N385&lt;&gt;"",ISNUMBER(O385),O385&gt;0,O385&gt;=TODAY()-90),1,0),0)</f>
        <v/>
      </c>
      <c r="R385" s="17" t="str">
        <f t="shared" si="18"/>
        <v/>
      </c>
      <c r="S385" s="17" t="str">
        <f>IF(INDEX(Listado!A:A,ROW())="","",INDEX(Listado!A:A,ROW()))</f>
        <v/>
      </c>
      <c r="T385" s="17" t="str">
        <f ca="1">IF(INDEX(Listado!G:G,ROW())="","",INDEX(Listado!G:G,ROW()))</f>
        <v/>
      </c>
      <c r="U385" s="17" t="str">
        <f>IF(INDEX(Listado!F:F,ROW())="","",INDEX(Listado!F:F,ROW()))</f>
        <v/>
      </c>
      <c r="V385" s="17">
        <f>IF(COUNTA(INDEX(Listado!B:B,ROW()):INDEX(Listado!F:F,ROW()))&gt;0,1,0)</f>
        <v/>
      </c>
      <c r="W385" s="17" t="str">
        <f>IF(INDEX(Listado!L:L,ROW())="","",INDEX(Listado!L:L,ROW()))</f>
        <v/>
      </c>
      <c r="X385" s="17">
        <f>IF(N385="","",IF(INDEX(Listado!$M:$M,N385)="No","No","Sí"))</f>
        <v/>
      </c>
    </row>
    <row r="386" spans="2:24" ht="14.25">
      <c r="N386" s="17" t="str">
        <f>IF(V386=0,"",IFERROR(LOOKUP(2,1/(INDEX(Listado!A:A,2):INDEX(Listado!A:A,ROW())&lt;&gt;""),ROW(INDEX(Listado!A:A,2):INDEX(Listado!A:A,ROW()))),""))</f>
        <v/>
      </c>
      <c r="O386" s="17" t="str">
        <f>IFERROR(IF(N386="","",IF(INDEX(Listado!M:M,N386)="No",IF(INDEX(Listado!N:N,N386)=0,"",INDEX(Listado!N:N,N386)),IF(INDEX(Listado!I:I,N386)=0,"",INDEX(Listado!I:I,N386)))),"")</f>
        <v/>
      </c>
      <c r="P386" s="17">
        <f t="shared" ref="P386:P449" ca="1" si="19">IF(W386="",0,IFERROR(IF(AND(ISNUMBER(W386),W386=INT(W386),ISNUMBER(O386),O386&gt;0,W386&gt;=TODAY(),W386&lt;=O386+90),0,1),1))</f>
        <v/>
      </c>
      <c r="Q386" s="17">
        <f>IFERROR(IF(AND(N386&lt;&gt;"",ISNUMBER(O386),O386&gt;0,O386&gt;=TODAY()-90),1,0),0)</f>
        <v/>
      </c>
      <c r="R386" s="17" t="str">
        <f t="shared" ref="R386:R449" si="21">IF(S386="","",COUNTIFS($N$2:$N$2999,ROW(),$Q$2:$Q$2999,1))</f>
        <v/>
      </c>
      <c r="S386" s="17" t="str">
        <f>IF(INDEX(Listado!A:A,ROW())="","",INDEX(Listado!A:A,ROW()))</f>
        <v/>
      </c>
      <c r="T386" s="17" t="str">
        <f ca="1">IF(INDEX(Listado!G:G,ROW())="","",INDEX(Listado!G:G,ROW()))</f>
        <v/>
      </c>
      <c r="U386" s="17" t="str">
        <f>IF(INDEX(Listado!F:F,ROW())="","",INDEX(Listado!F:F,ROW()))</f>
        <v/>
      </c>
      <c r="V386" s="17">
        <f>IF(COUNTA(INDEX(Listado!B:B,ROW()):INDEX(Listado!F:F,ROW()))&gt;0,1,0)</f>
        <v/>
      </c>
      <c r="W386" s="17" t="str">
        <f>IF(INDEX(Listado!L:L,ROW())="","",INDEX(Listado!L:L,ROW()))</f>
        <v/>
      </c>
      <c r="X386" s="17">
        <f>IF(N386="","",IF(INDEX(Listado!$M:$M,N386)="No","No","Sí"))</f>
        <v/>
      </c>
    </row>
    <row r="387" spans="2:24" ht="14.25">
      <c r="N387" s="17" t="str">
        <f>IF(V387=0,"",IFERROR(LOOKUP(2,1/(INDEX(Listado!A:A,2):INDEX(Listado!A:A,ROW())&lt;&gt;""),ROW(INDEX(Listado!A:A,2):INDEX(Listado!A:A,ROW()))),""))</f>
        <v/>
      </c>
      <c r="O387" s="17" t="str">
        <f>IFERROR(IF(N387="","",IF(INDEX(Listado!M:M,N387)="No",IF(INDEX(Listado!N:N,N387)=0,"",INDEX(Listado!N:N,N387)),IF(INDEX(Listado!I:I,N387)=0,"",INDEX(Listado!I:I,N387)))),"")</f>
        <v/>
      </c>
      <c r="P387" s="17">
        <f t="shared" ca="1" si="19"/>
        <v/>
      </c>
      <c r="Q387" s="17">
        <f>IFERROR(IF(AND(N387&lt;&gt;"",ISNUMBER(O387),O387&gt;0,O387&gt;=TODAY()-90),1,0),0)</f>
        <v/>
      </c>
      <c r="R387" s="17" t="str">
        <f t="shared" si="21"/>
        <v/>
      </c>
      <c r="S387" s="17" t="str">
        <f>IF(INDEX(Listado!A:A,ROW())="","",INDEX(Listado!A:A,ROW()))</f>
        <v/>
      </c>
      <c r="T387" s="17" t="str">
        <f ca="1">IF(INDEX(Listado!G:G,ROW())="","",INDEX(Listado!G:G,ROW()))</f>
        <v/>
      </c>
      <c r="U387" s="17" t="str">
        <f>IF(INDEX(Listado!F:F,ROW())="","",INDEX(Listado!F:F,ROW()))</f>
        <v/>
      </c>
      <c r="V387" s="17">
        <f>IF(COUNTA(INDEX(Listado!B:B,ROW()):INDEX(Listado!F:F,ROW()))&gt;0,1,0)</f>
        <v/>
      </c>
      <c r="W387" s="17" t="str">
        <f>IF(INDEX(Listado!L:L,ROW())="","",INDEX(Listado!L:L,ROW()))</f>
        <v/>
      </c>
      <c r="X387" s="17">
        <f>IF(N387="","",IF(INDEX(Listado!$M:$M,N387)="No","No","Sí"))</f>
        <v/>
      </c>
    </row>
    <row r="388" spans="2:24" ht="14.25">
      <c r="N388" s="17" t="str">
        <f>IF(V388=0,"",IFERROR(LOOKUP(2,1/(INDEX(Listado!A:A,2):INDEX(Listado!A:A,ROW())&lt;&gt;""),ROW(INDEX(Listado!A:A,2):INDEX(Listado!A:A,ROW()))),""))</f>
        <v/>
      </c>
      <c r="O388" s="17" t="str">
        <f>IFERROR(IF(N388="","",IF(INDEX(Listado!M:M,N388)="No",IF(INDEX(Listado!N:N,N388)=0,"",INDEX(Listado!N:N,N388)),IF(INDEX(Listado!I:I,N388)=0,"",INDEX(Listado!I:I,N388)))),"")</f>
        <v/>
      </c>
      <c r="P388" s="17">
        <f t="shared" ca="1" si="19"/>
        <v/>
      </c>
      <c r="Q388" s="17">
        <f>IFERROR(IF(AND(N388&lt;&gt;"",ISNUMBER(O388),O388&gt;0,O388&gt;=TODAY()-90),1,0),0)</f>
        <v/>
      </c>
      <c r="R388" s="17" t="str">
        <f t="shared" si="21"/>
        <v/>
      </c>
      <c r="S388" s="17" t="str">
        <f>IF(INDEX(Listado!A:A,ROW())="","",INDEX(Listado!A:A,ROW()))</f>
        <v/>
      </c>
      <c r="T388" s="17" t="str">
        <f ca="1">IF(INDEX(Listado!G:G,ROW())="","",INDEX(Listado!G:G,ROW()))</f>
        <v/>
      </c>
      <c r="U388" s="17" t="str">
        <f>IF(INDEX(Listado!F:F,ROW())="","",INDEX(Listado!F:F,ROW()))</f>
        <v/>
      </c>
      <c r="V388" s="17">
        <f>IF(COUNTA(INDEX(Listado!B:B,ROW()):INDEX(Listado!F:F,ROW()))&gt;0,1,0)</f>
        <v/>
      </c>
      <c r="W388" s="17" t="str">
        <f>IF(INDEX(Listado!L:L,ROW())="","",INDEX(Listado!L:L,ROW()))</f>
        <v/>
      </c>
      <c r="X388" s="17">
        <f>IF(N388="","",IF(INDEX(Listado!$M:$M,N388)="No","No","Sí"))</f>
        <v/>
      </c>
    </row>
    <row r="389" spans="2:24" ht="14.25">
      <c r="N389" s="17" t="str">
        <f>IF(V389=0,"",IFERROR(LOOKUP(2,1/(INDEX(Listado!A:A,2):INDEX(Listado!A:A,ROW())&lt;&gt;""),ROW(INDEX(Listado!A:A,2):INDEX(Listado!A:A,ROW()))),""))</f>
        <v/>
      </c>
      <c r="O389" s="17" t="str">
        <f>IFERROR(IF(N389="","",IF(INDEX(Listado!M:M,N389)="No",IF(INDEX(Listado!N:N,N389)=0,"",INDEX(Listado!N:N,N389)),IF(INDEX(Listado!I:I,N389)=0,"",INDEX(Listado!I:I,N389)))),"")</f>
        <v/>
      </c>
      <c r="P389" s="17">
        <f t="shared" ca="1" si="19"/>
        <v/>
      </c>
      <c r="Q389" s="17">
        <f>IFERROR(IF(AND(N389&lt;&gt;"",ISNUMBER(O389),O389&gt;0,O389&gt;=TODAY()-90),1,0),0)</f>
        <v/>
      </c>
      <c r="R389" s="17" t="str">
        <f t="shared" si="21"/>
        <v/>
      </c>
      <c r="S389" s="17" t="str">
        <f>IF(INDEX(Listado!A:A,ROW())="","",INDEX(Listado!A:A,ROW()))</f>
        <v/>
      </c>
      <c r="T389" s="17" t="str">
        <f ca="1">IF(INDEX(Listado!G:G,ROW())="","",INDEX(Listado!G:G,ROW()))</f>
        <v/>
      </c>
      <c r="U389" s="17" t="str">
        <f>IF(INDEX(Listado!F:F,ROW())="","",INDEX(Listado!F:F,ROW()))</f>
        <v/>
      </c>
      <c r="V389" s="17">
        <f>IF(COUNTA(INDEX(Listado!B:B,ROW()):INDEX(Listado!F:F,ROW()))&gt;0,1,0)</f>
        <v/>
      </c>
      <c r="W389" s="17" t="str">
        <f>IF(INDEX(Listado!L:L,ROW())="","",INDEX(Listado!L:L,ROW()))</f>
        <v/>
      </c>
      <c r="X389" s="17">
        <f>IF(N389="","",IF(INDEX(Listado!$M:$M,N389)="No","No","Sí"))</f>
        <v/>
      </c>
    </row>
    <row r="390" spans="2:24" ht="14.25">
      <c r="N390" s="17" t="str">
        <f>IF(V390=0,"",IFERROR(LOOKUP(2,1/(INDEX(Listado!A:A,2):INDEX(Listado!A:A,ROW())&lt;&gt;""),ROW(INDEX(Listado!A:A,2):INDEX(Listado!A:A,ROW()))),""))</f>
        <v/>
      </c>
      <c r="O390" s="17" t="str">
        <f>IFERROR(IF(N390="","",IF(INDEX(Listado!M:M,N390)="No",IF(INDEX(Listado!N:N,N390)=0,"",INDEX(Listado!N:N,N390)),IF(INDEX(Listado!I:I,N390)=0,"",INDEX(Listado!I:I,N390)))),"")</f>
        <v/>
      </c>
      <c r="P390" s="17">
        <f t="shared" ca="1" si="19"/>
        <v/>
      </c>
      <c r="Q390" s="17">
        <f>IFERROR(IF(AND(N390&lt;&gt;"",ISNUMBER(O390),O390&gt;0,O390&gt;=TODAY()-90),1,0),0)</f>
        <v/>
      </c>
      <c r="R390" s="17" t="str">
        <f t="shared" si="21"/>
        <v/>
      </c>
      <c r="S390" s="17" t="str">
        <f>IF(INDEX(Listado!A:A,ROW())="","",INDEX(Listado!A:A,ROW()))</f>
        <v/>
      </c>
      <c r="T390" s="17" t="str">
        <f ca="1">IF(INDEX(Listado!G:G,ROW())="","",INDEX(Listado!G:G,ROW()))</f>
        <v/>
      </c>
      <c r="U390" s="17" t="str">
        <f>IF(INDEX(Listado!F:F,ROW())="","",INDEX(Listado!F:F,ROW()))</f>
        <v/>
      </c>
      <c r="V390" s="17">
        <f>IF(COUNTA(INDEX(Listado!B:B,ROW()):INDEX(Listado!F:F,ROW()))&gt;0,1,0)</f>
        <v/>
      </c>
      <c r="W390" s="17" t="str">
        <f>IF(INDEX(Listado!L:L,ROW())="","",INDEX(Listado!L:L,ROW()))</f>
        <v/>
      </c>
      <c r="X390" s="17">
        <f>IF(N390="","",IF(INDEX(Listado!$M:$M,N390)="No","No","Sí"))</f>
        <v/>
      </c>
    </row>
    <row r="391" spans="2:24" ht="14.25">
      <c r="N391" s="17" t="str">
        <f>IF(V391=0,"",IFERROR(LOOKUP(2,1/(INDEX(Listado!A:A,2):INDEX(Listado!A:A,ROW())&lt;&gt;""),ROW(INDEX(Listado!A:A,2):INDEX(Listado!A:A,ROW()))),""))</f>
        <v/>
      </c>
      <c r="O391" s="17" t="str">
        <f>IFERROR(IF(N391="","",IF(INDEX(Listado!M:M,N391)="No",IF(INDEX(Listado!N:N,N391)=0,"",INDEX(Listado!N:N,N391)),IF(INDEX(Listado!I:I,N391)=0,"",INDEX(Listado!I:I,N391)))),"")</f>
        <v/>
      </c>
      <c r="P391" s="17">
        <f t="shared" ca="1" si="19"/>
        <v/>
      </c>
      <c r="Q391" s="17">
        <f>IFERROR(IF(AND(N391&lt;&gt;"",ISNUMBER(O391),O391&gt;0,O391&gt;=TODAY()-90),1,0),0)</f>
        <v/>
      </c>
      <c r="R391" s="17" t="str">
        <f t="shared" si="21"/>
        <v/>
      </c>
      <c r="S391" s="17" t="str">
        <f>IF(INDEX(Listado!A:A,ROW())="","",INDEX(Listado!A:A,ROW()))</f>
        <v/>
      </c>
      <c r="T391" s="17" t="str">
        <f ca="1">IF(INDEX(Listado!G:G,ROW())="","",INDEX(Listado!G:G,ROW()))</f>
        <v/>
      </c>
      <c r="U391" s="17" t="str">
        <f>IF(INDEX(Listado!F:F,ROW())="","",INDEX(Listado!F:F,ROW()))</f>
        <v/>
      </c>
      <c r="V391" s="17">
        <f>IF(COUNTA(INDEX(Listado!B:B,ROW()):INDEX(Listado!F:F,ROW()))&gt;0,1,0)</f>
        <v/>
      </c>
      <c r="W391" s="17" t="str">
        <f>IF(INDEX(Listado!L:L,ROW())="","",INDEX(Listado!L:L,ROW()))</f>
        <v/>
      </c>
      <c r="X391" s="17">
        <f>IF(N391="","",IF(INDEX(Listado!$M:$M,N391)="No","No","Sí"))</f>
        <v/>
      </c>
    </row>
    <row r="392" spans="2:24" ht="14.25">
      <c r="N392" s="17" t="str">
        <f>IF(V392=0,"",IFERROR(LOOKUP(2,1/(INDEX(Listado!A:A,2):INDEX(Listado!A:A,ROW())&lt;&gt;""),ROW(INDEX(Listado!A:A,2):INDEX(Listado!A:A,ROW()))),""))</f>
        <v/>
      </c>
      <c r="O392" s="17" t="str">
        <f>IFERROR(IF(N392="","",IF(INDEX(Listado!M:M,N392)="No",IF(INDEX(Listado!N:N,N392)=0,"",INDEX(Listado!N:N,N392)),IF(INDEX(Listado!I:I,N392)=0,"",INDEX(Listado!I:I,N392)))),"")</f>
        <v/>
      </c>
      <c r="P392" s="17">
        <f t="shared" ca="1" si="19"/>
        <v/>
      </c>
      <c r="Q392" s="17">
        <f>IFERROR(IF(AND(N392&lt;&gt;"",ISNUMBER(O392),O392&gt;0,O392&gt;=TODAY()-90),1,0),0)</f>
        <v/>
      </c>
      <c r="R392" s="17" t="str">
        <f t="shared" si="21"/>
        <v/>
      </c>
      <c r="S392" s="17" t="str">
        <f>IF(INDEX(Listado!A:A,ROW())="","",INDEX(Listado!A:A,ROW()))</f>
        <v/>
      </c>
      <c r="T392" s="17" t="str">
        <f ca="1">IF(INDEX(Listado!G:G,ROW())="","",INDEX(Listado!G:G,ROW()))</f>
        <v/>
      </c>
      <c r="U392" s="17" t="str">
        <f>IF(INDEX(Listado!F:F,ROW())="","",INDEX(Listado!F:F,ROW()))</f>
        <v/>
      </c>
      <c r="V392" s="17">
        <f>IF(COUNTA(INDEX(Listado!B:B,ROW()):INDEX(Listado!F:F,ROW()))&gt;0,1,0)</f>
        <v/>
      </c>
      <c r="W392" s="17" t="str">
        <f>IF(INDEX(Listado!L:L,ROW())="","",INDEX(Listado!L:L,ROW()))</f>
        <v/>
      </c>
      <c r="X392" s="17">
        <f>IF(N392="","",IF(INDEX(Listado!$M:$M,N392)="No","No","Sí"))</f>
        <v/>
      </c>
    </row>
    <row r="393" spans="2:24" ht="14.25">
      <c r="N393" s="17" t="str">
        <f>IF(V393=0,"",IFERROR(LOOKUP(2,1/(INDEX(Listado!A:A,2):INDEX(Listado!A:A,ROW())&lt;&gt;""),ROW(INDEX(Listado!A:A,2):INDEX(Listado!A:A,ROW()))),""))</f>
        <v/>
      </c>
      <c r="O393" s="17" t="str">
        <f>IFERROR(IF(N393="","",IF(INDEX(Listado!M:M,N393)="No",IF(INDEX(Listado!N:N,N393)=0,"",INDEX(Listado!N:N,N393)),IF(INDEX(Listado!I:I,N393)=0,"",INDEX(Listado!I:I,N393)))),"")</f>
        <v/>
      </c>
      <c r="P393" s="17">
        <f t="shared" ca="1" si="19"/>
        <v/>
      </c>
      <c r="Q393" s="17">
        <f>IFERROR(IF(AND(N393&lt;&gt;"",ISNUMBER(O393),O393&gt;0,O393&gt;=TODAY()-90),1,0),0)</f>
        <v/>
      </c>
      <c r="R393" s="17" t="str">
        <f t="shared" si="21"/>
        <v/>
      </c>
      <c r="S393" s="17" t="str">
        <f>IF(INDEX(Listado!A:A,ROW())="","",INDEX(Listado!A:A,ROW()))</f>
        <v/>
      </c>
      <c r="T393" s="17" t="str">
        <f ca="1">IF(INDEX(Listado!G:G,ROW())="","",INDEX(Listado!G:G,ROW()))</f>
        <v/>
      </c>
      <c r="U393" s="17" t="str">
        <f>IF(INDEX(Listado!F:F,ROW())="","",INDEX(Listado!F:F,ROW()))</f>
        <v/>
      </c>
      <c r="V393" s="17">
        <f>IF(COUNTA(INDEX(Listado!B:B,ROW()):INDEX(Listado!F:F,ROW()))&gt;0,1,0)</f>
        <v/>
      </c>
      <c r="W393" s="17" t="str">
        <f>IF(INDEX(Listado!L:L,ROW())="","",INDEX(Listado!L:L,ROW()))</f>
        <v/>
      </c>
      <c r="X393" s="17">
        <f>IF(N393="","",IF(INDEX(Listado!$M:$M,N393)="No","No","Sí"))</f>
        <v/>
      </c>
    </row>
    <row r="394" spans="2:24" ht="14.25">
      <c r="N394" s="17" t="str">
        <f>IF(V394=0,"",IFERROR(LOOKUP(2,1/(INDEX(Listado!A:A,2):INDEX(Listado!A:A,ROW())&lt;&gt;""),ROW(INDEX(Listado!A:A,2):INDEX(Listado!A:A,ROW()))),""))</f>
        <v/>
      </c>
      <c r="O394" s="17" t="str">
        <f>IFERROR(IF(N394="","",IF(INDEX(Listado!M:M,N394)="No",IF(INDEX(Listado!N:N,N394)=0,"",INDEX(Listado!N:N,N394)),IF(INDEX(Listado!I:I,N394)=0,"",INDEX(Listado!I:I,N394)))),"")</f>
        <v/>
      </c>
      <c r="P394" s="17">
        <f t="shared" ca="1" si="19"/>
        <v/>
      </c>
      <c r="Q394" s="17">
        <f>IFERROR(IF(AND(N394&lt;&gt;"",ISNUMBER(O394),O394&gt;0,O394&gt;=TODAY()-90),1,0),0)</f>
        <v/>
      </c>
      <c r="R394" s="17" t="str">
        <f t="shared" si="21"/>
        <v/>
      </c>
      <c r="S394" s="17" t="str">
        <f>IF(INDEX(Listado!A:A,ROW())="","",INDEX(Listado!A:A,ROW()))</f>
        <v/>
      </c>
      <c r="T394" s="17" t="str">
        <f ca="1">IF(INDEX(Listado!G:G,ROW())="","",INDEX(Listado!G:G,ROW()))</f>
        <v/>
      </c>
      <c r="U394" s="17" t="str">
        <f>IF(INDEX(Listado!F:F,ROW())="","",INDEX(Listado!F:F,ROW()))</f>
        <v/>
      </c>
      <c r="V394" s="17">
        <f>IF(COUNTA(INDEX(Listado!B:B,ROW()):INDEX(Listado!F:F,ROW()))&gt;0,1,0)</f>
        <v/>
      </c>
      <c r="W394" s="17" t="str">
        <f>IF(INDEX(Listado!L:L,ROW())="","",INDEX(Listado!L:L,ROW()))</f>
        <v/>
      </c>
      <c r="X394" s="17">
        <f>IF(N394="","",IF(INDEX(Listado!$M:$M,N394)="No","No","Sí"))</f>
        <v/>
      </c>
    </row>
    <row r="395" spans="2:24" ht="14.25">
      <c r="N395" s="17" t="str">
        <f>IF(V395=0,"",IFERROR(LOOKUP(2,1/(INDEX(Listado!A:A,2):INDEX(Listado!A:A,ROW())&lt;&gt;""),ROW(INDEX(Listado!A:A,2):INDEX(Listado!A:A,ROW()))),""))</f>
        <v/>
      </c>
      <c r="O395" s="17" t="str">
        <f>IFERROR(IF(N395="","",IF(INDEX(Listado!M:M,N395)="No",IF(INDEX(Listado!N:N,N395)=0,"",INDEX(Listado!N:N,N395)),IF(INDEX(Listado!I:I,N395)=0,"",INDEX(Listado!I:I,N395)))),"")</f>
        <v/>
      </c>
      <c r="P395" s="17">
        <f t="shared" ca="1" si="19"/>
        <v/>
      </c>
      <c r="Q395" s="17">
        <f>IFERROR(IF(AND(N395&lt;&gt;"",ISNUMBER(O395),O395&gt;0,O395&gt;=TODAY()-90),1,0),0)</f>
        <v/>
      </c>
      <c r="R395" s="17" t="str">
        <f t="shared" si="21"/>
        <v/>
      </c>
      <c r="S395" s="17" t="str">
        <f>IF(INDEX(Listado!A:A,ROW())="","",INDEX(Listado!A:A,ROW()))</f>
        <v/>
      </c>
      <c r="T395" s="17" t="str">
        <f ca="1">IF(INDEX(Listado!G:G,ROW())="","",INDEX(Listado!G:G,ROW()))</f>
        <v/>
      </c>
      <c r="U395" s="17" t="str">
        <f>IF(INDEX(Listado!F:F,ROW())="","",INDEX(Listado!F:F,ROW()))</f>
        <v/>
      </c>
      <c r="V395" s="17">
        <f>IF(COUNTA(INDEX(Listado!B:B,ROW()):INDEX(Listado!F:F,ROW()))&gt;0,1,0)</f>
        <v/>
      </c>
      <c r="W395" s="17" t="str">
        <f>IF(INDEX(Listado!L:L,ROW())="","",INDEX(Listado!L:L,ROW()))</f>
        <v/>
      </c>
      <c r="X395" s="17">
        <f>IF(N395="","",IF(INDEX(Listado!$M:$M,N395)="No","No","Sí"))</f>
        <v/>
      </c>
    </row>
    <row r="396" spans="2:24" ht="14.25">
      <c r="N396" s="17" t="str">
        <f>IF(V396=0,"",IFERROR(LOOKUP(2,1/(INDEX(Listado!A:A,2):INDEX(Listado!A:A,ROW())&lt;&gt;""),ROW(INDEX(Listado!A:A,2):INDEX(Listado!A:A,ROW()))),""))</f>
        <v/>
      </c>
      <c r="O396" s="17" t="str">
        <f>IFERROR(IF(N396="","",IF(INDEX(Listado!M:M,N396)="No",IF(INDEX(Listado!N:N,N396)=0,"",INDEX(Listado!N:N,N396)),IF(INDEX(Listado!I:I,N396)=0,"",INDEX(Listado!I:I,N396)))),"")</f>
        <v/>
      </c>
      <c r="P396" s="17">
        <f t="shared" ca="1" si="19"/>
        <v/>
      </c>
      <c r="Q396" s="17">
        <f>IFERROR(IF(AND(N396&lt;&gt;"",ISNUMBER(O396),O396&gt;0,O396&gt;=TODAY()-90),1,0),0)</f>
        <v/>
      </c>
      <c r="R396" s="17" t="str">
        <f t="shared" si="21"/>
        <v/>
      </c>
      <c r="S396" s="17" t="str">
        <f>IF(INDEX(Listado!A:A,ROW())="","",INDEX(Listado!A:A,ROW()))</f>
        <v/>
      </c>
      <c r="T396" s="17" t="str">
        <f ca="1">IF(INDEX(Listado!G:G,ROW())="","",INDEX(Listado!G:G,ROW()))</f>
        <v/>
      </c>
      <c r="U396" s="17" t="str">
        <f>IF(INDEX(Listado!F:F,ROW())="","",INDEX(Listado!F:F,ROW()))</f>
        <v/>
      </c>
      <c r="V396" s="17">
        <f>IF(COUNTA(INDEX(Listado!B:B,ROW()):INDEX(Listado!F:F,ROW()))&gt;0,1,0)</f>
        <v/>
      </c>
      <c r="W396" s="17" t="str">
        <f>IF(INDEX(Listado!L:L,ROW())="","",INDEX(Listado!L:L,ROW()))</f>
        <v/>
      </c>
      <c r="X396" s="17">
        <f>IF(N396="","",IF(INDEX(Listado!$M:$M,N396)="No","No","Sí"))</f>
        <v/>
      </c>
    </row>
    <row r="397" spans="2:24" ht="14.25">
      <c r="N397" s="17" t="str">
        <f>IF(V397=0,"",IFERROR(LOOKUP(2,1/(INDEX(Listado!A:A,2):INDEX(Listado!A:A,ROW())&lt;&gt;""),ROW(INDEX(Listado!A:A,2):INDEX(Listado!A:A,ROW()))),""))</f>
        <v/>
      </c>
      <c r="O397" s="17" t="str">
        <f>IFERROR(IF(N397="","",IF(INDEX(Listado!M:M,N397)="No",IF(INDEX(Listado!N:N,N397)=0,"",INDEX(Listado!N:N,N397)),IF(INDEX(Listado!I:I,N397)=0,"",INDEX(Listado!I:I,N397)))),"")</f>
        <v/>
      </c>
      <c r="P397" s="17">
        <f t="shared" ca="1" si="19"/>
        <v/>
      </c>
      <c r="Q397" s="17">
        <f>IFERROR(IF(AND(N397&lt;&gt;"",ISNUMBER(O397),O397&gt;0,O397&gt;=TODAY()-90),1,0),0)</f>
        <v/>
      </c>
      <c r="R397" s="17" t="str">
        <f t="shared" si="21"/>
        <v/>
      </c>
      <c r="S397" s="17" t="str">
        <f>IF(INDEX(Listado!A:A,ROW())="","",INDEX(Listado!A:A,ROW()))</f>
        <v/>
      </c>
      <c r="T397" s="17" t="str">
        <f ca="1">IF(INDEX(Listado!G:G,ROW())="","",INDEX(Listado!G:G,ROW()))</f>
        <v/>
      </c>
      <c r="U397" s="17" t="str">
        <f>IF(INDEX(Listado!F:F,ROW())="","",INDEX(Listado!F:F,ROW()))</f>
        <v/>
      </c>
      <c r="V397" s="17">
        <f>IF(COUNTA(INDEX(Listado!B:B,ROW()):INDEX(Listado!F:F,ROW()))&gt;0,1,0)</f>
        <v/>
      </c>
      <c r="W397" s="17" t="str">
        <f>IF(INDEX(Listado!L:L,ROW())="","",INDEX(Listado!L:L,ROW()))</f>
        <v/>
      </c>
      <c r="X397" s="17">
        <f>IF(N397="","",IF(INDEX(Listado!$M:$M,N397)="No","No","Sí"))</f>
        <v/>
      </c>
    </row>
    <row r="398" spans="2:24" ht="14.25">
      <c r="N398" s="17" t="str">
        <f>IF(V398=0,"",IFERROR(LOOKUP(2,1/(INDEX(Listado!A:A,2):INDEX(Listado!A:A,ROW())&lt;&gt;""),ROW(INDEX(Listado!A:A,2):INDEX(Listado!A:A,ROW()))),""))</f>
        <v/>
      </c>
      <c r="O398" s="17" t="str">
        <f>IFERROR(IF(N398="","",IF(INDEX(Listado!M:M,N398)="No",IF(INDEX(Listado!N:N,N398)=0,"",INDEX(Listado!N:N,N398)),IF(INDEX(Listado!I:I,N398)=0,"",INDEX(Listado!I:I,N398)))),"")</f>
        <v/>
      </c>
      <c r="P398" s="17">
        <f t="shared" ca="1" si="19"/>
        <v/>
      </c>
      <c r="Q398" s="17">
        <f>IFERROR(IF(AND(N398&lt;&gt;"",ISNUMBER(O398),O398&gt;0,O398&gt;=TODAY()-90),1,0),0)</f>
        <v/>
      </c>
      <c r="R398" s="17" t="str">
        <f t="shared" si="21"/>
        <v/>
      </c>
      <c r="S398" s="17" t="str">
        <f>IF(INDEX(Listado!A:A,ROW())="","",INDEX(Listado!A:A,ROW()))</f>
        <v/>
      </c>
      <c r="T398" s="17" t="str">
        <f ca="1">IF(INDEX(Listado!G:G,ROW())="","",INDEX(Listado!G:G,ROW()))</f>
        <v/>
      </c>
      <c r="U398" s="17" t="str">
        <f>IF(INDEX(Listado!F:F,ROW())="","",INDEX(Listado!F:F,ROW()))</f>
        <v/>
      </c>
      <c r="V398" s="17">
        <f>IF(COUNTA(INDEX(Listado!B:B,ROW()):INDEX(Listado!F:F,ROW()))&gt;0,1,0)</f>
        <v/>
      </c>
      <c r="W398" s="17" t="str">
        <f>IF(INDEX(Listado!L:L,ROW())="","",INDEX(Listado!L:L,ROW()))</f>
        <v/>
      </c>
      <c r="X398" s="17">
        <f>IF(N398="","",IF(INDEX(Listado!$M:$M,N398)="No","No","Sí"))</f>
        <v/>
      </c>
    </row>
    <row r="399" spans="2:24" ht="14.25">
      <c r="N399" s="17" t="str">
        <f>IF(V399=0,"",IFERROR(LOOKUP(2,1/(INDEX(Listado!A:A,2):INDEX(Listado!A:A,ROW())&lt;&gt;""),ROW(INDEX(Listado!A:A,2):INDEX(Listado!A:A,ROW()))),""))</f>
        <v/>
      </c>
      <c r="O399" s="17" t="str">
        <f>IFERROR(IF(N399="","",IF(INDEX(Listado!M:M,N399)="No",IF(INDEX(Listado!N:N,N399)=0,"",INDEX(Listado!N:N,N399)),IF(INDEX(Listado!I:I,N399)=0,"",INDEX(Listado!I:I,N399)))),"")</f>
        <v/>
      </c>
      <c r="P399" s="17">
        <f t="shared" ca="1" si="19"/>
        <v/>
      </c>
      <c r="Q399" s="17">
        <f>IFERROR(IF(AND(N399&lt;&gt;"",ISNUMBER(O399),O399&gt;0,O399&gt;=TODAY()-90),1,0),0)</f>
        <v/>
      </c>
      <c r="R399" s="17" t="str">
        <f t="shared" si="21"/>
        <v/>
      </c>
      <c r="S399" s="17" t="str">
        <f>IF(INDEX(Listado!A:A,ROW())="","",INDEX(Listado!A:A,ROW()))</f>
        <v/>
      </c>
      <c r="T399" s="17" t="str">
        <f ca="1">IF(INDEX(Listado!G:G,ROW())="","",INDEX(Listado!G:G,ROW()))</f>
        <v/>
      </c>
      <c r="U399" s="17" t="str">
        <f>IF(INDEX(Listado!F:F,ROW())="","",INDEX(Listado!F:F,ROW()))</f>
        <v/>
      </c>
      <c r="V399" s="17">
        <f>IF(COUNTA(INDEX(Listado!B:B,ROW()):INDEX(Listado!F:F,ROW()))&gt;0,1,0)</f>
        <v/>
      </c>
      <c r="W399" s="17" t="str">
        <f>IF(INDEX(Listado!L:L,ROW())="","",INDEX(Listado!L:L,ROW()))</f>
        <v/>
      </c>
      <c r="X399" s="17">
        <f>IF(N399="","",IF(INDEX(Listado!$M:$M,N399)="No","No","Sí"))</f>
        <v/>
      </c>
    </row>
    <row r="400" spans="2:24" ht="14.25">
      <c r="N400" s="17" t="str">
        <f>IF(V400=0,"",IFERROR(LOOKUP(2,1/(INDEX(Listado!A:A,2):INDEX(Listado!A:A,ROW())&lt;&gt;""),ROW(INDEX(Listado!A:A,2):INDEX(Listado!A:A,ROW()))),""))</f>
        <v/>
      </c>
      <c r="O400" s="17" t="str">
        <f>IFERROR(IF(N400="","",IF(INDEX(Listado!M:M,N400)="No",IF(INDEX(Listado!N:N,N400)=0,"",INDEX(Listado!N:N,N400)),IF(INDEX(Listado!I:I,N400)=0,"",INDEX(Listado!I:I,N400)))),"")</f>
        <v/>
      </c>
      <c r="P400" s="17">
        <f t="shared" ca="1" si="19"/>
        <v/>
      </c>
      <c r="Q400" s="17">
        <f>IFERROR(IF(AND(N400&lt;&gt;"",ISNUMBER(O400),O400&gt;0,O400&gt;=TODAY()-90),1,0),0)</f>
        <v/>
      </c>
      <c r="R400" s="17" t="str">
        <f t="shared" si="21"/>
        <v/>
      </c>
      <c r="S400" s="17" t="str">
        <f>IF(INDEX(Listado!A:A,ROW())="","",INDEX(Listado!A:A,ROW()))</f>
        <v/>
      </c>
      <c r="T400" s="17" t="str">
        <f ca="1">IF(INDEX(Listado!G:G,ROW())="","",INDEX(Listado!G:G,ROW()))</f>
        <v/>
      </c>
      <c r="U400" s="17" t="str">
        <f>IF(INDEX(Listado!F:F,ROW())="","",INDEX(Listado!F:F,ROW()))</f>
        <v/>
      </c>
      <c r="V400" s="17">
        <f>IF(COUNTA(INDEX(Listado!B:B,ROW()):INDEX(Listado!F:F,ROW()))&gt;0,1,0)</f>
        <v/>
      </c>
      <c r="W400" s="17" t="str">
        <f>IF(INDEX(Listado!L:L,ROW())="","",INDEX(Listado!L:L,ROW()))</f>
        <v/>
      </c>
      <c r="X400" s="17">
        <f>IF(N400="","",IF(INDEX(Listado!$M:$M,N400)="No","No","Sí"))</f>
        <v/>
      </c>
    </row>
    <row r="401" spans="2:24" ht="14.25">
      <c r="N401" s="17" t="str">
        <f>IF(V401=0,"",IFERROR(LOOKUP(2,1/(INDEX(Listado!A:A,2):INDEX(Listado!A:A,ROW())&lt;&gt;""),ROW(INDEX(Listado!A:A,2):INDEX(Listado!A:A,ROW()))),""))</f>
        <v/>
      </c>
      <c r="O401" s="17" t="str">
        <f>IFERROR(IF(N401="","",IF(INDEX(Listado!M:M,N401)="No",IF(INDEX(Listado!N:N,N401)=0,"",INDEX(Listado!N:N,N401)),IF(INDEX(Listado!I:I,N401)=0,"",INDEX(Listado!I:I,N401)))),"")</f>
        <v/>
      </c>
      <c r="P401" s="17">
        <f t="shared" ca="1" si="19"/>
        <v/>
      </c>
      <c r="Q401" s="17">
        <f>IFERROR(IF(AND(N401&lt;&gt;"",ISNUMBER(O401),O401&gt;0,O401&gt;=TODAY()-90),1,0),0)</f>
        <v/>
      </c>
      <c r="R401" s="17" t="str">
        <f t="shared" si="21"/>
        <v/>
      </c>
      <c r="S401" s="17" t="str">
        <f>IF(INDEX(Listado!A:A,ROW())="","",INDEX(Listado!A:A,ROW()))</f>
        <v/>
      </c>
      <c r="T401" s="17" t="str">
        <f ca="1">IF(INDEX(Listado!G:G,ROW())="","",INDEX(Listado!G:G,ROW()))</f>
        <v/>
      </c>
      <c r="U401" s="17" t="str">
        <f>IF(INDEX(Listado!F:F,ROW())="","",INDEX(Listado!F:F,ROW()))</f>
        <v/>
      </c>
      <c r="V401" s="17">
        <f>IF(COUNTA(INDEX(Listado!B:B,ROW()):INDEX(Listado!F:F,ROW()))&gt;0,1,0)</f>
        <v/>
      </c>
      <c r="W401" s="17" t="str">
        <f>IF(INDEX(Listado!L:L,ROW())="","",INDEX(Listado!L:L,ROW()))</f>
        <v/>
      </c>
      <c r="X401" s="17">
        <f>IF(N401="","",IF(INDEX(Listado!$M:$M,N401)="No","No","Sí"))</f>
        <v/>
      </c>
    </row>
    <row r="402" spans="2:24" ht="14.25">
      <c r="N402" s="17" t="str">
        <f>IF(V402=0,"",IFERROR(LOOKUP(2,1/(INDEX(Listado!A:A,2):INDEX(Listado!A:A,ROW())&lt;&gt;""),ROW(INDEX(Listado!A:A,2):INDEX(Listado!A:A,ROW()))),""))</f>
        <v/>
      </c>
      <c r="O402" s="17" t="str">
        <f>IFERROR(IF(N402="","",IF(INDEX(Listado!M:M,N402)="No",IF(INDEX(Listado!N:N,N402)=0,"",INDEX(Listado!N:N,N402)),IF(INDEX(Listado!I:I,N402)=0,"",INDEX(Listado!I:I,N402)))),"")</f>
        <v/>
      </c>
      <c r="P402" s="17">
        <f t="shared" ca="1" si="19"/>
        <v/>
      </c>
      <c r="Q402" s="17">
        <f>IFERROR(IF(AND(N402&lt;&gt;"",ISNUMBER(O402),O402&gt;0,O402&gt;=TODAY()-90),1,0),0)</f>
        <v/>
      </c>
      <c r="R402" s="17" t="str">
        <f t="shared" si="21"/>
        <v/>
      </c>
      <c r="S402" s="17" t="str">
        <f>IF(INDEX(Listado!A:A,ROW())="","",INDEX(Listado!A:A,ROW()))</f>
        <v/>
      </c>
      <c r="T402" s="17" t="str">
        <f ca="1">IF(INDEX(Listado!G:G,ROW())="","",INDEX(Listado!G:G,ROW()))</f>
        <v/>
      </c>
      <c r="U402" s="17" t="str">
        <f>IF(INDEX(Listado!F:F,ROW())="","",INDEX(Listado!F:F,ROW()))</f>
        <v/>
      </c>
      <c r="V402" s="17">
        <f>IF(COUNTA(INDEX(Listado!B:B,ROW()):INDEX(Listado!F:F,ROW()))&gt;0,1,0)</f>
        <v/>
      </c>
      <c r="W402" s="17" t="str">
        <f>IF(INDEX(Listado!L:L,ROW())="","",INDEX(Listado!L:L,ROW()))</f>
        <v/>
      </c>
      <c r="X402" s="17">
        <f>IF(N402="","",IF(INDEX(Listado!$M:$M,N402)="No","No","Sí"))</f>
        <v/>
      </c>
    </row>
    <row r="403" spans="2:24" ht="14.25">
      <c r="N403" s="17" t="str">
        <f>IF(V403=0,"",IFERROR(LOOKUP(2,1/(INDEX(Listado!A:A,2):INDEX(Listado!A:A,ROW())&lt;&gt;""),ROW(INDEX(Listado!A:A,2):INDEX(Listado!A:A,ROW()))),""))</f>
        <v/>
      </c>
      <c r="O403" s="17" t="str">
        <f>IFERROR(IF(N403="","",IF(INDEX(Listado!M:M,N403)="No",IF(INDEX(Listado!N:N,N403)=0,"",INDEX(Listado!N:N,N403)),IF(INDEX(Listado!I:I,N403)=0,"",INDEX(Listado!I:I,N403)))),"")</f>
        <v/>
      </c>
      <c r="P403" s="17">
        <f t="shared" ca="1" si="19"/>
        <v/>
      </c>
      <c r="Q403" s="17">
        <f>IFERROR(IF(AND(N403&lt;&gt;"",ISNUMBER(O403),O403&gt;0,O403&gt;=TODAY()-90),1,0),0)</f>
        <v/>
      </c>
      <c r="R403" s="17" t="str">
        <f t="shared" si="21"/>
        <v/>
      </c>
      <c r="S403" s="17" t="str">
        <f>IF(INDEX(Listado!A:A,ROW())="","",INDEX(Listado!A:A,ROW()))</f>
        <v/>
      </c>
      <c r="T403" s="17" t="str">
        <f ca="1">IF(INDEX(Listado!G:G,ROW())="","",INDEX(Listado!G:G,ROW()))</f>
        <v/>
      </c>
      <c r="U403" s="17" t="str">
        <f>IF(INDEX(Listado!F:F,ROW())="","",INDEX(Listado!F:F,ROW()))</f>
        <v/>
      </c>
      <c r="V403" s="17">
        <f>IF(COUNTA(INDEX(Listado!B:B,ROW()):INDEX(Listado!F:F,ROW()))&gt;0,1,0)</f>
        <v/>
      </c>
      <c r="W403" s="17" t="str">
        <f>IF(INDEX(Listado!L:L,ROW())="","",INDEX(Listado!L:L,ROW()))</f>
        <v/>
      </c>
      <c r="X403" s="17">
        <f>IF(N403="","",IF(INDEX(Listado!$M:$M,N403)="No","No","Sí"))</f>
        <v/>
      </c>
    </row>
    <row r="404" spans="2:24" ht="14.25">
      <c r="N404" s="17" t="str">
        <f>IF(V404=0,"",IFERROR(LOOKUP(2,1/(INDEX(Listado!A:A,2):INDEX(Listado!A:A,ROW())&lt;&gt;""),ROW(INDEX(Listado!A:A,2):INDEX(Listado!A:A,ROW()))),""))</f>
        <v/>
      </c>
      <c r="O404" s="17" t="str">
        <f>IFERROR(IF(N404="","",IF(INDEX(Listado!M:M,N404)="No",IF(INDEX(Listado!N:N,N404)=0,"",INDEX(Listado!N:N,N404)),IF(INDEX(Listado!I:I,N404)=0,"",INDEX(Listado!I:I,N404)))),"")</f>
        <v/>
      </c>
      <c r="P404" s="17">
        <f t="shared" ca="1" si="19"/>
        <v/>
      </c>
      <c r="Q404" s="17">
        <f>IFERROR(IF(AND(N404&lt;&gt;"",ISNUMBER(O404),O404&gt;0,O404&gt;=TODAY()-90),1,0),0)</f>
        <v/>
      </c>
      <c r="R404" s="17" t="str">
        <f t="shared" si="21"/>
        <v/>
      </c>
      <c r="S404" s="17" t="str">
        <f>IF(INDEX(Listado!A:A,ROW())="","",INDEX(Listado!A:A,ROW()))</f>
        <v/>
      </c>
      <c r="T404" s="17" t="str">
        <f ca="1">IF(INDEX(Listado!G:G,ROW())="","",INDEX(Listado!G:G,ROW()))</f>
        <v/>
      </c>
      <c r="U404" s="17" t="str">
        <f>IF(INDEX(Listado!F:F,ROW())="","",INDEX(Listado!F:F,ROW()))</f>
        <v/>
      </c>
      <c r="V404" s="17">
        <f>IF(COUNTA(INDEX(Listado!B:B,ROW()):INDEX(Listado!F:F,ROW()))&gt;0,1,0)</f>
        <v/>
      </c>
      <c r="W404" s="17" t="str">
        <f>IF(INDEX(Listado!L:L,ROW())="","",INDEX(Listado!L:L,ROW()))</f>
        <v/>
      </c>
      <c r="X404" s="17">
        <f>IF(N404="","",IF(INDEX(Listado!$M:$M,N404)="No","No","Sí"))</f>
        <v/>
      </c>
    </row>
    <row r="405" spans="2:24" ht="14.25">
      <c r="N405" s="17" t="str">
        <f>IF(V405=0,"",IFERROR(LOOKUP(2,1/(INDEX(Listado!A:A,2):INDEX(Listado!A:A,ROW())&lt;&gt;""),ROW(INDEX(Listado!A:A,2):INDEX(Listado!A:A,ROW()))),""))</f>
        <v/>
      </c>
      <c r="O405" s="17" t="str">
        <f>IFERROR(IF(N405="","",IF(INDEX(Listado!M:M,N405)="No",IF(INDEX(Listado!N:N,N405)=0,"",INDEX(Listado!N:N,N405)),IF(INDEX(Listado!I:I,N405)=0,"",INDEX(Listado!I:I,N405)))),"")</f>
        <v/>
      </c>
      <c r="P405" s="17">
        <f t="shared" ca="1" si="19"/>
        <v/>
      </c>
      <c r="Q405" s="17">
        <f>IFERROR(IF(AND(N405&lt;&gt;"",ISNUMBER(O405),O405&gt;0,O405&gt;=TODAY()-90),1,0),0)</f>
        <v/>
      </c>
      <c r="R405" s="17" t="str">
        <f t="shared" si="21"/>
        <v/>
      </c>
      <c r="S405" s="17" t="str">
        <f>IF(INDEX(Listado!A:A,ROW())="","",INDEX(Listado!A:A,ROW()))</f>
        <v/>
      </c>
      <c r="T405" s="17" t="str">
        <f ca="1">IF(INDEX(Listado!G:G,ROW())="","",INDEX(Listado!G:G,ROW()))</f>
        <v/>
      </c>
      <c r="U405" s="17" t="str">
        <f>IF(INDEX(Listado!F:F,ROW())="","",INDEX(Listado!F:F,ROW()))</f>
        <v/>
      </c>
      <c r="V405" s="17">
        <f>IF(COUNTA(INDEX(Listado!B:B,ROW()):INDEX(Listado!F:F,ROW()))&gt;0,1,0)</f>
        <v/>
      </c>
      <c r="W405" s="17" t="str">
        <f>IF(INDEX(Listado!L:L,ROW())="","",INDEX(Listado!L:L,ROW()))</f>
        <v/>
      </c>
      <c r="X405" s="17">
        <f>IF(N405="","",IF(INDEX(Listado!$M:$M,N405)="No","No","Sí"))</f>
        <v/>
      </c>
    </row>
    <row r="406" spans="2:24" ht="14.25">
      <c r="N406" s="17" t="str">
        <f>IF(V406=0,"",IFERROR(LOOKUP(2,1/(INDEX(Listado!A:A,2):INDEX(Listado!A:A,ROW())&lt;&gt;""),ROW(INDEX(Listado!A:A,2):INDEX(Listado!A:A,ROW()))),""))</f>
        <v/>
      </c>
      <c r="O406" s="17" t="str">
        <f>IFERROR(IF(N406="","",IF(INDEX(Listado!M:M,N406)="No",IF(INDEX(Listado!N:N,N406)=0,"",INDEX(Listado!N:N,N406)),IF(INDEX(Listado!I:I,N406)=0,"",INDEX(Listado!I:I,N406)))),"")</f>
        <v/>
      </c>
      <c r="P406" s="17">
        <f t="shared" ca="1" si="19"/>
        <v/>
      </c>
      <c r="Q406" s="17">
        <f>IFERROR(IF(AND(N406&lt;&gt;"",ISNUMBER(O406),O406&gt;0,O406&gt;=TODAY()-90),1,0),0)</f>
        <v/>
      </c>
      <c r="R406" s="17" t="str">
        <f t="shared" si="21"/>
        <v/>
      </c>
      <c r="S406" s="17" t="str">
        <f>IF(INDEX(Listado!A:A,ROW())="","",INDEX(Listado!A:A,ROW()))</f>
        <v/>
      </c>
      <c r="T406" s="17" t="str">
        <f ca="1">IF(INDEX(Listado!G:G,ROW())="","",INDEX(Listado!G:G,ROW()))</f>
        <v/>
      </c>
      <c r="U406" s="17" t="str">
        <f>IF(INDEX(Listado!F:F,ROW())="","",INDEX(Listado!F:F,ROW()))</f>
        <v/>
      </c>
      <c r="V406" s="17">
        <f>IF(COUNTA(INDEX(Listado!B:B,ROW()):INDEX(Listado!F:F,ROW()))&gt;0,1,0)</f>
        <v/>
      </c>
      <c r="W406" s="17" t="str">
        <f>IF(INDEX(Listado!L:L,ROW())="","",INDEX(Listado!L:L,ROW()))</f>
        <v/>
      </c>
      <c r="X406" s="17">
        <f>IF(N406="","",IF(INDEX(Listado!$M:$M,N406)="No","No","Sí"))</f>
        <v/>
      </c>
    </row>
    <row r="407" spans="2:24" ht="14.25">
      <c r="N407" s="17" t="str">
        <f>IF(V407=0,"",IFERROR(LOOKUP(2,1/(INDEX(Listado!A:A,2):INDEX(Listado!A:A,ROW())&lt;&gt;""),ROW(INDEX(Listado!A:A,2):INDEX(Listado!A:A,ROW()))),""))</f>
        <v/>
      </c>
      <c r="O407" s="17" t="str">
        <f>IFERROR(IF(N407="","",IF(INDEX(Listado!M:M,N407)="No",IF(INDEX(Listado!N:N,N407)=0,"",INDEX(Listado!N:N,N407)),IF(INDEX(Listado!I:I,N407)=0,"",INDEX(Listado!I:I,N407)))),"")</f>
        <v/>
      </c>
      <c r="P407" s="17">
        <f t="shared" ca="1" si="19"/>
        <v/>
      </c>
      <c r="Q407" s="17">
        <f>IFERROR(IF(AND(N407&lt;&gt;"",ISNUMBER(O407),O407&gt;0,O407&gt;=TODAY()-90),1,0),0)</f>
        <v/>
      </c>
      <c r="R407" s="17" t="str">
        <f t="shared" si="21"/>
        <v/>
      </c>
      <c r="S407" s="17" t="str">
        <f>IF(INDEX(Listado!A:A,ROW())="","",INDEX(Listado!A:A,ROW()))</f>
        <v/>
      </c>
      <c r="T407" s="17" t="str">
        <f ca="1">IF(INDEX(Listado!G:G,ROW())="","",INDEX(Listado!G:G,ROW()))</f>
        <v/>
      </c>
      <c r="U407" s="17" t="str">
        <f>IF(INDEX(Listado!F:F,ROW())="","",INDEX(Listado!F:F,ROW()))</f>
        <v/>
      </c>
      <c r="V407" s="17">
        <f>IF(COUNTA(INDEX(Listado!B:B,ROW()):INDEX(Listado!F:F,ROW()))&gt;0,1,0)</f>
        <v/>
      </c>
      <c r="W407" s="17" t="str">
        <f>IF(INDEX(Listado!L:L,ROW())="","",INDEX(Listado!L:L,ROW()))</f>
        <v/>
      </c>
      <c r="X407" s="17">
        <f>IF(N407="","",IF(INDEX(Listado!$M:$M,N407)="No","No","Sí"))</f>
        <v/>
      </c>
    </row>
    <row r="408" spans="2:24" ht="14.25">
      <c r="N408" s="17" t="str">
        <f>IF(V408=0,"",IFERROR(LOOKUP(2,1/(INDEX(Listado!A:A,2):INDEX(Listado!A:A,ROW())&lt;&gt;""),ROW(INDEX(Listado!A:A,2):INDEX(Listado!A:A,ROW()))),""))</f>
        <v/>
      </c>
      <c r="O408" s="17" t="str">
        <f>IFERROR(IF(N408="","",IF(INDEX(Listado!M:M,N408)="No",IF(INDEX(Listado!N:N,N408)=0,"",INDEX(Listado!N:N,N408)),IF(INDEX(Listado!I:I,N408)=0,"",INDEX(Listado!I:I,N408)))),"")</f>
        <v/>
      </c>
      <c r="P408" s="17">
        <f t="shared" ca="1" si="19"/>
        <v/>
      </c>
      <c r="Q408" s="17">
        <f>IFERROR(IF(AND(N408&lt;&gt;"",ISNUMBER(O408),O408&gt;0,O408&gt;=TODAY()-90),1,0),0)</f>
        <v/>
      </c>
      <c r="R408" s="17" t="str">
        <f t="shared" si="21"/>
        <v/>
      </c>
      <c r="S408" s="17" t="str">
        <f>IF(INDEX(Listado!A:A,ROW())="","",INDEX(Listado!A:A,ROW()))</f>
        <v/>
      </c>
      <c r="T408" s="17" t="str">
        <f ca="1">IF(INDEX(Listado!G:G,ROW())="","",INDEX(Listado!G:G,ROW()))</f>
        <v/>
      </c>
      <c r="U408" s="17" t="str">
        <f>IF(INDEX(Listado!F:F,ROW())="","",INDEX(Listado!F:F,ROW()))</f>
        <v/>
      </c>
      <c r="V408" s="17">
        <f>IF(COUNTA(INDEX(Listado!B:B,ROW()):INDEX(Listado!F:F,ROW()))&gt;0,1,0)</f>
        <v/>
      </c>
      <c r="W408" s="17" t="str">
        <f>IF(INDEX(Listado!L:L,ROW())="","",INDEX(Listado!L:L,ROW()))</f>
        <v/>
      </c>
      <c r="X408" s="17">
        <f>IF(N408="","",IF(INDEX(Listado!$M:$M,N408)="No","No","Sí"))</f>
        <v/>
      </c>
    </row>
    <row r="409" spans="2:24" ht="14.25">
      <c r="N409" s="17" t="str">
        <f>IF(V409=0,"",IFERROR(LOOKUP(2,1/(INDEX(Listado!A:A,2):INDEX(Listado!A:A,ROW())&lt;&gt;""),ROW(INDEX(Listado!A:A,2):INDEX(Listado!A:A,ROW()))),""))</f>
        <v/>
      </c>
      <c r="O409" s="17" t="str">
        <f>IFERROR(IF(N409="","",IF(INDEX(Listado!M:M,N409)="No",IF(INDEX(Listado!N:N,N409)=0,"",INDEX(Listado!N:N,N409)),IF(INDEX(Listado!I:I,N409)=0,"",INDEX(Listado!I:I,N409)))),"")</f>
        <v/>
      </c>
      <c r="P409" s="17">
        <f t="shared" ca="1" si="19"/>
        <v/>
      </c>
      <c r="Q409" s="17">
        <f>IFERROR(IF(AND(N409&lt;&gt;"",ISNUMBER(O409),O409&gt;0,O409&gt;=TODAY()-90),1,0),0)</f>
        <v/>
      </c>
      <c r="R409" s="17" t="str">
        <f t="shared" si="21"/>
        <v/>
      </c>
      <c r="S409" s="17" t="str">
        <f>IF(INDEX(Listado!A:A,ROW())="","",INDEX(Listado!A:A,ROW()))</f>
        <v/>
      </c>
      <c r="T409" s="17" t="str">
        <f ca="1">IF(INDEX(Listado!G:G,ROW())="","",INDEX(Listado!G:G,ROW()))</f>
        <v/>
      </c>
      <c r="U409" s="17" t="str">
        <f>IF(INDEX(Listado!F:F,ROW())="","",INDEX(Listado!F:F,ROW()))</f>
        <v/>
      </c>
      <c r="V409" s="17">
        <f>IF(COUNTA(INDEX(Listado!B:B,ROW()):INDEX(Listado!F:F,ROW()))&gt;0,1,0)</f>
        <v/>
      </c>
      <c r="W409" s="17" t="str">
        <f>IF(INDEX(Listado!L:L,ROW())="","",INDEX(Listado!L:L,ROW()))</f>
        <v/>
      </c>
      <c r="X409" s="17">
        <f>IF(N409="","",IF(INDEX(Listado!$M:$M,N409)="No","No","Sí"))</f>
        <v/>
      </c>
    </row>
    <row r="410" spans="2:24" ht="14.25">
      <c r="N410" s="17" t="str">
        <f>IF(V410=0,"",IFERROR(LOOKUP(2,1/(INDEX(Listado!A:A,2):INDEX(Listado!A:A,ROW())&lt;&gt;""),ROW(INDEX(Listado!A:A,2):INDEX(Listado!A:A,ROW()))),""))</f>
        <v/>
      </c>
      <c r="O410" s="17" t="str">
        <f>IFERROR(IF(N410="","",IF(INDEX(Listado!M:M,N410)="No",IF(INDEX(Listado!N:N,N410)=0,"",INDEX(Listado!N:N,N410)),IF(INDEX(Listado!I:I,N410)=0,"",INDEX(Listado!I:I,N410)))),"")</f>
        <v/>
      </c>
      <c r="P410" s="17">
        <f t="shared" ca="1" si="19"/>
        <v/>
      </c>
      <c r="Q410" s="17">
        <f>IFERROR(IF(AND(N410&lt;&gt;"",ISNUMBER(O410),O410&gt;0,O410&gt;=TODAY()-90),1,0),0)</f>
        <v/>
      </c>
      <c r="R410" s="17" t="str">
        <f t="shared" si="21"/>
        <v/>
      </c>
      <c r="S410" s="17" t="str">
        <f>IF(INDEX(Listado!A:A,ROW())="","",INDEX(Listado!A:A,ROW()))</f>
        <v/>
      </c>
      <c r="T410" s="17" t="str">
        <f ca="1">IF(INDEX(Listado!G:G,ROW())="","",INDEX(Listado!G:G,ROW()))</f>
        <v/>
      </c>
      <c r="U410" s="17" t="str">
        <f>IF(INDEX(Listado!F:F,ROW())="","",INDEX(Listado!F:F,ROW()))</f>
        <v/>
      </c>
      <c r="V410" s="17">
        <f>IF(COUNTA(INDEX(Listado!B:B,ROW()):INDEX(Listado!F:F,ROW()))&gt;0,1,0)</f>
        <v/>
      </c>
      <c r="W410" s="17" t="str">
        <f>IF(INDEX(Listado!L:L,ROW())="","",INDEX(Listado!L:L,ROW()))</f>
        <v/>
      </c>
      <c r="X410" s="17">
        <f>IF(N410="","",IF(INDEX(Listado!$M:$M,N410)="No","No","Sí"))</f>
        <v/>
      </c>
    </row>
    <row r="411" spans="2:24" ht="14.25">
      <c r="N411" s="17" t="str">
        <f>IF(V411=0,"",IFERROR(LOOKUP(2,1/(INDEX(Listado!A:A,2):INDEX(Listado!A:A,ROW())&lt;&gt;""),ROW(INDEX(Listado!A:A,2):INDEX(Listado!A:A,ROW()))),""))</f>
        <v/>
      </c>
      <c r="O411" s="17" t="str">
        <f>IFERROR(IF(N411="","",IF(INDEX(Listado!M:M,N411)="No",IF(INDEX(Listado!N:N,N411)=0,"",INDEX(Listado!N:N,N411)),IF(INDEX(Listado!I:I,N411)=0,"",INDEX(Listado!I:I,N411)))),"")</f>
        <v/>
      </c>
      <c r="P411" s="17">
        <f t="shared" ca="1" si="19"/>
        <v/>
      </c>
      <c r="Q411" s="17">
        <f>IFERROR(IF(AND(N411&lt;&gt;"",ISNUMBER(O411),O411&gt;0,O411&gt;=TODAY()-90),1,0),0)</f>
        <v/>
      </c>
      <c r="R411" s="17" t="str">
        <f t="shared" si="21"/>
        <v/>
      </c>
      <c r="S411" s="17" t="str">
        <f>IF(INDEX(Listado!A:A,ROW())="","",INDEX(Listado!A:A,ROW()))</f>
        <v/>
      </c>
      <c r="T411" s="17" t="str">
        <f ca="1">IF(INDEX(Listado!G:G,ROW())="","",INDEX(Listado!G:G,ROW()))</f>
        <v/>
      </c>
      <c r="U411" s="17" t="str">
        <f>IF(INDEX(Listado!F:F,ROW())="","",INDEX(Listado!F:F,ROW()))</f>
        <v/>
      </c>
      <c r="V411" s="17">
        <f>IF(COUNTA(INDEX(Listado!B:B,ROW()):INDEX(Listado!F:F,ROW()))&gt;0,1,0)</f>
        <v/>
      </c>
      <c r="W411" s="17" t="str">
        <f>IF(INDEX(Listado!L:L,ROW())="","",INDEX(Listado!L:L,ROW()))</f>
        <v/>
      </c>
      <c r="X411" s="17">
        <f>IF(N411="","",IF(INDEX(Listado!$M:$M,N411)="No","No","Sí"))</f>
        <v/>
      </c>
    </row>
    <row r="412" spans="2:24" ht="14.25">
      <c r="N412" s="17" t="str">
        <f>IF(V412=0,"",IFERROR(LOOKUP(2,1/(INDEX(Listado!A:A,2):INDEX(Listado!A:A,ROW())&lt;&gt;""),ROW(INDEX(Listado!A:A,2):INDEX(Listado!A:A,ROW()))),""))</f>
        <v/>
      </c>
      <c r="O412" s="17" t="str">
        <f>IFERROR(IF(N412="","",IF(INDEX(Listado!M:M,N412)="No",IF(INDEX(Listado!N:N,N412)=0,"",INDEX(Listado!N:N,N412)),IF(INDEX(Listado!I:I,N412)=0,"",INDEX(Listado!I:I,N412)))),"")</f>
        <v/>
      </c>
      <c r="P412" s="17">
        <f t="shared" ca="1" si="19"/>
        <v/>
      </c>
      <c r="Q412" s="17">
        <f>IFERROR(IF(AND(N412&lt;&gt;"",ISNUMBER(O412),O412&gt;0,O412&gt;=TODAY()-90),1,0),0)</f>
        <v/>
      </c>
      <c r="R412" s="17" t="str">
        <f t="shared" si="21"/>
        <v/>
      </c>
      <c r="S412" s="17" t="str">
        <f>IF(INDEX(Listado!A:A,ROW())="","",INDEX(Listado!A:A,ROW()))</f>
        <v/>
      </c>
      <c r="T412" s="17" t="str">
        <f ca="1">IF(INDEX(Listado!G:G,ROW())="","",INDEX(Listado!G:G,ROW()))</f>
        <v/>
      </c>
      <c r="U412" s="17" t="str">
        <f>IF(INDEX(Listado!F:F,ROW())="","",INDEX(Listado!F:F,ROW()))</f>
        <v/>
      </c>
      <c r="V412" s="17">
        <f>IF(COUNTA(INDEX(Listado!B:B,ROW()):INDEX(Listado!F:F,ROW()))&gt;0,1,0)</f>
        <v/>
      </c>
      <c r="W412" s="17" t="str">
        <f>IF(INDEX(Listado!L:L,ROW())="","",INDEX(Listado!L:L,ROW()))</f>
        <v/>
      </c>
      <c r="X412" s="17">
        <f>IF(N412="","",IF(INDEX(Listado!$M:$M,N412)="No","No","Sí"))</f>
        <v/>
      </c>
    </row>
    <row r="413" spans="2:24" ht="14.25">
      <c r="N413" s="17" t="str">
        <f>IF(V413=0,"",IFERROR(LOOKUP(2,1/(INDEX(Listado!A:A,2):INDEX(Listado!A:A,ROW())&lt;&gt;""),ROW(INDEX(Listado!A:A,2):INDEX(Listado!A:A,ROW()))),""))</f>
        <v/>
      </c>
      <c r="O413" s="17" t="str">
        <f>IFERROR(IF(N413="","",IF(INDEX(Listado!M:M,N413)="No",IF(INDEX(Listado!N:N,N413)=0,"",INDEX(Listado!N:N,N413)),IF(INDEX(Listado!I:I,N413)=0,"",INDEX(Listado!I:I,N413)))),"")</f>
        <v/>
      </c>
      <c r="P413" s="17">
        <f t="shared" ca="1" si="19"/>
        <v/>
      </c>
      <c r="Q413" s="17">
        <f>IFERROR(IF(AND(N413&lt;&gt;"",ISNUMBER(O413),O413&gt;0,O413&gt;=TODAY()-90),1,0),0)</f>
        <v/>
      </c>
      <c r="R413" s="17" t="str">
        <f t="shared" si="21"/>
        <v/>
      </c>
      <c r="S413" s="17" t="str">
        <f>IF(INDEX(Listado!A:A,ROW())="","",INDEX(Listado!A:A,ROW()))</f>
        <v/>
      </c>
      <c r="T413" s="17" t="str">
        <f ca="1">IF(INDEX(Listado!G:G,ROW())="","",INDEX(Listado!G:G,ROW()))</f>
        <v/>
      </c>
      <c r="U413" s="17" t="str">
        <f>IF(INDEX(Listado!F:F,ROW())="","",INDEX(Listado!F:F,ROW()))</f>
        <v/>
      </c>
      <c r="V413" s="17">
        <f>IF(COUNTA(INDEX(Listado!B:B,ROW()):INDEX(Listado!F:F,ROW()))&gt;0,1,0)</f>
        <v/>
      </c>
      <c r="W413" s="17" t="str">
        <f>IF(INDEX(Listado!L:L,ROW())="","",INDEX(Listado!L:L,ROW()))</f>
        <v/>
      </c>
      <c r="X413" s="17">
        <f>IF(N413="","",IF(INDEX(Listado!$M:$M,N413)="No","No","Sí"))</f>
        <v/>
      </c>
    </row>
    <row r="414" spans="2:24" ht="14.25">
      <c r="N414" s="17" t="str">
        <f>IF(V414=0,"",IFERROR(LOOKUP(2,1/(INDEX(Listado!A:A,2):INDEX(Listado!A:A,ROW())&lt;&gt;""),ROW(INDEX(Listado!A:A,2):INDEX(Listado!A:A,ROW()))),""))</f>
        <v/>
      </c>
      <c r="O414" s="17" t="str">
        <f>IFERROR(IF(N414="","",IF(INDEX(Listado!M:M,N414)="No",IF(INDEX(Listado!N:N,N414)=0,"",INDEX(Listado!N:N,N414)),IF(INDEX(Listado!I:I,N414)=0,"",INDEX(Listado!I:I,N414)))),"")</f>
        <v/>
      </c>
      <c r="P414" s="17">
        <f t="shared" ca="1" si="19"/>
        <v/>
      </c>
      <c r="Q414" s="17">
        <f>IFERROR(IF(AND(N414&lt;&gt;"",ISNUMBER(O414),O414&gt;0,O414&gt;=TODAY()-90),1,0),0)</f>
        <v/>
      </c>
      <c r="R414" s="17" t="str">
        <f t="shared" si="21"/>
        <v/>
      </c>
      <c r="S414" s="17" t="str">
        <f>IF(INDEX(Listado!A:A,ROW())="","",INDEX(Listado!A:A,ROW()))</f>
        <v/>
      </c>
      <c r="T414" s="17" t="str">
        <f ca="1">IF(INDEX(Listado!G:G,ROW())="","",INDEX(Listado!G:G,ROW()))</f>
        <v/>
      </c>
      <c r="U414" s="17" t="str">
        <f>IF(INDEX(Listado!F:F,ROW())="","",INDEX(Listado!F:F,ROW()))</f>
        <v/>
      </c>
      <c r="V414" s="17">
        <f>IF(COUNTA(INDEX(Listado!B:B,ROW()):INDEX(Listado!F:F,ROW()))&gt;0,1,0)</f>
        <v/>
      </c>
      <c r="W414" s="17" t="str">
        <f>IF(INDEX(Listado!L:L,ROW())="","",INDEX(Listado!L:L,ROW()))</f>
        <v/>
      </c>
      <c r="X414" s="17">
        <f>IF(N414="","",IF(INDEX(Listado!$M:$M,N414)="No","No","Sí"))</f>
        <v/>
      </c>
    </row>
    <row r="415" spans="2:24" ht="14.25">
      <c r="N415" s="17" t="str">
        <f>IF(V415=0,"",IFERROR(LOOKUP(2,1/(INDEX(Listado!A:A,2):INDEX(Listado!A:A,ROW())&lt;&gt;""),ROW(INDEX(Listado!A:A,2):INDEX(Listado!A:A,ROW()))),""))</f>
        <v/>
      </c>
      <c r="O415" s="17" t="str">
        <f>IFERROR(IF(N415="","",IF(INDEX(Listado!M:M,N415)="No",IF(INDEX(Listado!N:N,N415)=0,"",INDEX(Listado!N:N,N415)),IF(INDEX(Listado!I:I,N415)=0,"",INDEX(Listado!I:I,N415)))),"")</f>
        <v/>
      </c>
      <c r="P415" s="17">
        <f t="shared" ca="1" si="19"/>
        <v/>
      </c>
      <c r="Q415" s="17">
        <f>IFERROR(IF(AND(N415&lt;&gt;"",ISNUMBER(O415),O415&gt;0,O415&gt;=TODAY()-90),1,0),0)</f>
        <v/>
      </c>
      <c r="R415" s="17" t="str">
        <f t="shared" si="21"/>
        <v/>
      </c>
      <c r="S415" s="17" t="str">
        <f>IF(INDEX(Listado!A:A,ROW())="","",INDEX(Listado!A:A,ROW()))</f>
        <v/>
      </c>
      <c r="T415" s="17" t="str">
        <f ca="1">IF(INDEX(Listado!G:G,ROW())="","",INDEX(Listado!G:G,ROW()))</f>
        <v/>
      </c>
      <c r="U415" s="17" t="str">
        <f>IF(INDEX(Listado!F:F,ROW())="","",INDEX(Listado!F:F,ROW()))</f>
        <v/>
      </c>
      <c r="V415" s="17">
        <f>IF(COUNTA(INDEX(Listado!B:B,ROW()):INDEX(Listado!F:F,ROW()))&gt;0,1,0)</f>
        <v/>
      </c>
      <c r="W415" s="17" t="str">
        <f>IF(INDEX(Listado!L:L,ROW())="","",INDEX(Listado!L:L,ROW()))</f>
        <v/>
      </c>
      <c r="X415" s="17">
        <f>IF(N415="","",IF(INDEX(Listado!$M:$M,N415)="No","No","Sí"))</f>
        <v/>
      </c>
    </row>
    <row r="416" spans="2:24" ht="14.25">
      <c r="N416" s="17" t="str">
        <f>IF(V416=0,"",IFERROR(LOOKUP(2,1/(INDEX(Listado!A:A,2):INDEX(Listado!A:A,ROW())&lt;&gt;""),ROW(INDEX(Listado!A:A,2):INDEX(Listado!A:A,ROW()))),""))</f>
        <v/>
      </c>
      <c r="O416" s="17" t="str">
        <f>IFERROR(IF(N416="","",IF(INDEX(Listado!M:M,N416)="No",IF(INDEX(Listado!N:N,N416)=0,"",INDEX(Listado!N:N,N416)),IF(INDEX(Listado!I:I,N416)=0,"",INDEX(Listado!I:I,N416)))),"")</f>
        <v/>
      </c>
      <c r="P416" s="17">
        <f t="shared" ca="1" si="19"/>
        <v/>
      </c>
      <c r="Q416" s="17">
        <f>IFERROR(IF(AND(N416&lt;&gt;"",ISNUMBER(O416),O416&gt;0,O416&gt;=TODAY()-90),1,0),0)</f>
        <v/>
      </c>
      <c r="R416" s="17" t="str">
        <f t="shared" si="21"/>
        <v/>
      </c>
      <c r="S416" s="17" t="str">
        <f>IF(INDEX(Listado!A:A,ROW())="","",INDEX(Listado!A:A,ROW()))</f>
        <v/>
      </c>
      <c r="T416" s="17" t="str">
        <f ca="1">IF(INDEX(Listado!G:G,ROW())="","",INDEX(Listado!G:G,ROW()))</f>
        <v/>
      </c>
      <c r="U416" s="17" t="str">
        <f>IF(INDEX(Listado!F:F,ROW())="","",INDEX(Listado!F:F,ROW()))</f>
        <v/>
      </c>
      <c r="V416" s="17">
        <f>IF(COUNTA(INDEX(Listado!B:B,ROW()):INDEX(Listado!F:F,ROW()))&gt;0,1,0)</f>
        <v/>
      </c>
      <c r="W416" s="17" t="str">
        <f>IF(INDEX(Listado!L:L,ROW())="","",INDEX(Listado!L:L,ROW()))</f>
        <v/>
      </c>
      <c r="X416" s="17">
        <f>IF(N416="","",IF(INDEX(Listado!$M:$M,N416)="No","No","Sí"))</f>
        <v/>
      </c>
    </row>
    <row r="417" spans="2:24" ht="14.25">
      <c r="N417" s="17" t="str">
        <f>IF(V417=0,"",IFERROR(LOOKUP(2,1/(INDEX(Listado!A:A,2):INDEX(Listado!A:A,ROW())&lt;&gt;""),ROW(INDEX(Listado!A:A,2):INDEX(Listado!A:A,ROW()))),""))</f>
        <v/>
      </c>
      <c r="O417" s="17" t="str">
        <f>IFERROR(IF(N417="","",IF(INDEX(Listado!M:M,N417)="No",IF(INDEX(Listado!N:N,N417)=0,"",INDEX(Listado!N:N,N417)),IF(INDEX(Listado!I:I,N417)=0,"",INDEX(Listado!I:I,N417)))),"")</f>
        <v/>
      </c>
      <c r="P417" s="17">
        <f t="shared" ca="1" si="19"/>
        <v/>
      </c>
      <c r="Q417" s="17">
        <f>IFERROR(IF(AND(N417&lt;&gt;"",ISNUMBER(O417),O417&gt;0,O417&gt;=TODAY()-90),1,0),0)</f>
        <v/>
      </c>
      <c r="R417" s="17" t="str">
        <f t="shared" si="21"/>
        <v/>
      </c>
      <c r="S417" s="17" t="str">
        <f>IF(INDEX(Listado!A:A,ROW())="","",INDEX(Listado!A:A,ROW()))</f>
        <v/>
      </c>
      <c r="T417" s="17" t="str">
        <f ca="1">IF(INDEX(Listado!G:G,ROW())="","",INDEX(Listado!G:G,ROW()))</f>
        <v/>
      </c>
      <c r="U417" s="17" t="str">
        <f>IF(INDEX(Listado!F:F,ROW())="","",INDEX(Listado!F:F,ROW()))</f>
        <v/>
      </c>
      <c r="V417" s="17">
        <f>IF(COUNTA(INDEX(Listado!B:B,ROW()):INDEX(Listado!F:F,ROW()))&gt;0,1,0)</f>
        <v/>
      </c>
      <c r="W417" s="17" t="str">
        <f>IF(INDEX(Listado!L:L,ROW())="","",INDEX(Listado!L:L,ROW()))</f>
        <v/>
      </c>
      <c r="X417" s="17">
        <f>IF(N417="","",IF(INDEX(Listado!$M:$M,N417)="No","No","Sí"))</f>
        <v/>
      </c>
    </row>
    <row r="418" spans="2:24" ht="14.25">
      <c r="N418" s="17" t="str">
        <f>IF(V418=0,"",IFERROR(LOOKUP(2,1/(INDEX(Listado!A:A,2):INDEX(Listado!A:A,ROW())&lt;&gt;""),ROW(INDEX(Listado!A:A,2):INDEX(Listado!A:A,ROW()))),""))</f>
        <v/>
      </c>
      <c r="O418" s="17" t="str">
        <f>IFERROR(IF(N418="","",IF(INDEX(Listado!M:M,N418)="No",IF(INDEX(Listado!N:N,N418)=0,"",INDEX(Listado!N:N,N418)),IF(INDEX(Listado!I:I,N418)=0,"",INDEX(Listado!I:I,N418)))),"")</f>
        <v/>
      </c>
      <c r="P418" s="17">
        <f t="shared" ca="1" si="19"/>
        <v/>
      </c>
      <c r="Q418" s="17">
        <f>IFERROR(IF(AND(N418&lt;&gt;"",ISNUMBER(O418),O418&gt;0,O418&gt;=TODAY()-90),1,0),0)</f>
        <v/>
      </c>
      <c r="R418" s="17" t="str">
        <f t="shared" si="21"/>
        <v/>
      </c>
      <c r="S418" s="17" t="str">
        <f>IF(INDEX(Listado!A:A,ROW())="","",INDEX(Listado!A:A,ROW()))</f>
        <v/>
      </c>
      <c r="T418" s="17" t="str">
        <f ca="1">IF(INDEX(Listado!G:G,ROW())="","",INDEX(Listado!G:G,ROW()))</f>
        <v/>
      </c>
      <c r="U418" s="17" t="str">
        <f>IF(INDEX(Listado!F:F,ROW())="","",INDEX(Listado!F:F,ROW()))</f>
        <v/>
      </c>
      <c r="V418" s="17">
        <f>IF(COUNTA(INDEX(Listado!B:B,ROW()):INDEX(Listado!F:F,ROW()))&gt;0,1,0)</f>
        <v/>
      </c>
      <c r="W418" s="17" t="str">
        <f>IF(INDEX(Listado!L:L,ROW())="","",INDEX(Listado!L:L,ROW()))</f>
        <v/>
      </c>
      <c r="X418" s="17">
        <f>IF(N418="","",IF(INDEX(Listado!$M:$M,N418)="No","No","Sí"))</f>
        <v/>
      </c>
    </row>
    <row r="419" spans="2:24" ht="14.25">
      <c r="N419" s="17" t="str">
        <f>IF(V419=0,"",IFERROR(LOOKUP(2,1/(INDEX(Listado!A:A,2):INDEX(Listado!A:A,ROW())&lt;&gt;""),ROW(INDEX(Listado!A:A,2):INDEX(Listado!A:A,ROW()))),""))</f>
        <v/>
      </c>
      <c r="O419" s="17" t="str">
        <f>IFERROR(IF(N419="","",IF(INDEX(Listado!M:M,N419)="No",IF(INDEX(Listado!N:N,N419)=0,"",INDEX(Listado!N:N,N419)),IF(INDEX(Listado!I:I,N419)=0,"",INDEX(Listado!I:I,N419)))),"")</f>
        <v/>
      </c>
      <c r="P419" s="17">
        <f t="shared" ca="1" si="19"/>
        <v/>
      </c>
      <c r="Q419" s="17">
        <f>IFERROR(IF(AND(N419&lt;&gt;"",ISNUMBER(O419),O419&gt;0,O419&gt;=TODAY()-90),1,0),0)</f>
        <v/>
      </c>
      <c r="R419" s="17" t="str">
        <f t="shared" si="21"/>
        <v/>
      </c>
      <c r="S419" s="17" t="str">
        <f>IF(INDEX(Listado!A:A,ROW())="","",INDEX(Listado!A:A,ROW()))</f>
        <v/>
      </c>
      <c r="T419" s="17" t="str">
        <f ca="1">IF(INDEX(Listado!G:G,ROW())="","",INDEX(Listado!G:G,ROW()))</f>
        <v/>
      </c>
      <c r="U419" s="17" t="str">
        <f>IF(INDEX(Listado!F:F,ROW())="","",INDEX(Listado!F:F,ROW()))</f>
        <v/>
      </c>
      <c r="V419" s="17">
        <f>IF(COUNTA(INDEX(Listado!B:B,ROW()):INDEX(Listado!F:F,ROW()))&gt;0,1,0)</f>
        <v/>
      </c>
      <c r="W419" s="17" t="str">
        <f>IF(INDEX(Listado!L:L,ROW())="","",INDEX(Listado!L:L,ROW()))</f>
        <v/>
      </c>
      <c r="X419" s="17">
        <f>IF(N419="","",IF(INDEX(Listado!$M:$M,N419)="No","No","Sí"))</f>
        <v/>
      </c>
    </row>
    <row r="420" spans="2:24" ht="14.25">
      <c r="N420" s="17" t="str">
        <f>IF(V420=0,"",IFERROR(LOOKUP(2,1/(INDEX(Listado!A:A,2):INDEX(Listado!A:A,ROW())&lt;&gt;""),ROW(INDEX(Listado!A:A,2):INDEX(Listado!A:A,ROW()))),""))</f>
        <v/>
      </c>
      <c r="O420" s="17" t="str">
        <f>IFERROR(IF(N420="","",IF(INDEX(Listado!M:M,N420)="No",IF(INDEX(Listado!N:N,N420)=0,"",INDEX(Listado!N:N,N420)),IF(INDEX(Listado!I:I,N420)=0,"",INDEX(Listado!I:I,N420)))),"")</f>
        <v/>
      </c>
      <c r="P420" s="17">
        <f t="shared" ca="1" si="19"/>
        <v/>
      </c>
      <c r="Q420" s="17">
        <f>IFERROR(IF(AND(N420&lt;&gt;"",ISNUMBER(O420),O420&gt;0,O420&gt;=TODAY()-90),1,0),0)</f>
        <v/>
      </c>
      <c r="R420" s="17" t="str">
        <f t="shared" si="21"/>
        <v/>
      </c>
      <c r="S420" s="17" t="str">
        <f>IF(INDEX(Listado!A:A,ROW())="","",INDEX(Listado!A:A,ROW()))</f>
        <v/>
      </c>
      <c r="T420" s="17" t="str">
        <f ca="1">IF(INDEX(Listado!G:G,ROW())="","",INDEX(Listado!G:G,ROW()))</f>
        <v/>
      </c>
      <c r="U420" s="17" t="str">
        <f>IF(INDEX(Listado!F:F,ROW())="","",INDEX(Listado!F:F,ROW()))</f>
        <v/>
      </c>
      <c r="V420" s="17">
        <f>IF(COUNTA(INDEX(Listado!B:B,ROW()):INDEX(Listado!F:F,ROW()))&gt;0,1,0)</f>
        <v/>
      </c>
      <c r="W420" s="17" t="str">
        <f>IF(INDEX(Listado!L:L,ROW())="","",INDEX(Listado!L:L,ROW()))</f>
        <v/>
      </c>
      <c r="X420" s="17">
        <f>IF(N420="","",IF(INDEX(Listado!$M:$M,N420)="No","No","Sí"))</f>
        <v/>
      </c>
    </row>
    <row r="421" spans="2:24" ht="14.25">
      <c r="N421" s="17" t="str">
        <f>IF(V421=0,"",IFERROR(LOOKUP(2,1/(INDEX(Listado!A:A,2):INDEX(Listado!A:A,ROW())&lt;&gt;""),ROW(INDEX(Listado!A:A,2):INDEX(Listado!A:A,ROW()))),""))</f>
        <v/>
      </c>
      <c r="O421" s="17" t="str">
        <f>IFERROR(IF(N421="","",IF(INDEX(Listado!M:M,N421)="No",IF(INDEX(Listado!N:N,N421)=0,"",INDEX(Listado!N:N,N421)),IF(INDEX(Listado!I:I,N421)=0,"",INDEX(Listado!I:I,N421)))),"")</f>
        <v/>
      </c>
      <c r="P421" s="17">
        <f t="shared" ca="1" si="19"/>
        <v/>
      </c>
      <c r="Q421" s="17">
        <f>IFERROR(IF(AND(N421&lt;&gt;"",ISNUMBER(O421),O421&gt;0,O421&gt;=TODAY()-90),1,0),0)</f>
        <v/>
      </c>
      <c r="R421" s="17" t="str">
        <f t="shared" si="21"/>
        <v/>
      </c>
      <c r="S421" s="17" t="str">
        <f>IF(INDEX(Listado!A:A,ROW())="","",INDEX(Listado!A:A,ROW()))</f>
        <v/>
      </c>
      <c r="T421" s="17" t="str">
        <f ca="1">IF(INDEX(Listado!G:G,ROW())="","",INDEX(Listado!G:G,ROW()))</f>
        <v/>
      </c>
      <c r="U421" s="17" t="str">
        <f>IF(INDEX(Listado!F:F,ROW())="","",INDEX(Listado!F:F,ROW()))</f>
        <v/>
      </c>
      <c r="V421" s="17">
        <f>IF(COUNTA(INDEX(Listado!B:B,ROW()):INDEX(Listado!F:F,ROW()))&gt;0,1,0)</f>
        <v/>
      </c>
      <c r="W421" s="17" t="str">
        <f>IF(INDEX(Listado!L:L,ROW())="","",INDEX(Listado!L:L,ROW()))</f>
        <v/>
      </c>
      <c r="X421" s="17">
        <f>IF(N421="","",IF(INDEX(Listado!$M:$M,N421)="No","No","Sí"))</f>
        <v/>
      </c>
    </row>
    <row r="422" spans="2:24" ht="14.25">
      <c r="N422" s="17" t="str">
        <f>IF(V422=0,"",IFERROR(LOOKUP(2,1/(INDEX(Listado!A:A,2):INDEX(Listado!A:A,ROW())&lt;&gt;""),ROW(INDEX(Listado!A:A,2):INDEX(Listado!A:A,ROW()))),""))</f>
        <v/>
      </c>
      <c r="O422" s="17" t="str">
        <f>IFERROR(IF(N422="","",IF(INDEX(Listado!M:M,N422)="No",IF(INDEX(Listado!N:N,N422)=0,"",INDEX(Listado!N:N,N422)),IF(INDEX(Listado!I:I,N422)=0,"",INDEX(Listado!I:I,N422)))),"")</f>
        <v/>
      </c>
      <c r="P422" s="17">
        <f t="shared" ca="1" si="19"/>
        <v/>
      </c>
      <c r="Q422" s="17">
        <f>IFERROR(IF(AND(N422&lt;&gt;"",ISNUMBER(O422),O422&gt;0,O422&gt;=TODAY()-90),1,0),0)</f>
        <v/>
      </c>
      <c r="R422" s="17" t="str">
        <f t="shared" si="21"/>
        <v/>
      </c>
      <c r="S422" s="17" t="str">
        <f>IF(INDEX(Listado!A:A,ROW())="","",INDEX(Listado!A:A,ROW()))</f>
        <v/>
      </c>
      <c r="T422" s="17" t="str">
        <f ca="1">IF(INDEX(Listado!G:G,ROW())="","",INDEX(Listado!G:G,ROW()))</f>
        <v/>
      </c>
      <c r="U422" s="17" t="str">
        <f>IF(INDEX(Listado!F:F,ROW())="","",INDEX(Listado!F:F,ROW()))</f>
        <v/>
      </c>
      <c r="V422" s="17">
        <f>IF(COUNTA(INDEX(Listado!B:B,ROW()):INDEX(Listado!F:F,ROW()))&gt;0,1,0)</f>
        <v/>
      </c>
      <c r="W422" s="17" t="str">
        <f>IF(INDEX(Listado!L:L,ROW())="","",INDEX(Listado!L:L,ROW()))</f>
        <v/>
      </c>
      <c r="X422" s="17">
        <f>IF(N422="","",IF(INDEX(Listado!$M:$M,N422)="No","No","Sí"))</f>
        <v/>
      </c>
    </row>
    <row r="423" spans="2:24" ht="14.25">
      <c r="N423" s="17" t="str">
        <f>IF(V423=0,"",IFERROR(LOOKUP(2,1/(INDEX(Listado!A:A,2):INDEX(Listado!A:A,ROW())&lt;&gt;""),ROW(INDEX(Listado!A:A,2):INDEX(Listado!A:A,ROW()))),""))</f>
        <v/>
      </c>
      <c r="O423" s="17" t="str">
        <f>IFERROR(IF(N423="","",IF(INDEX(Listado!M:M,N423)="No",IF(INDEX(Listado!N:N,N423)=0,"",INDEX(Listado!N:N,N423)),IF(INDEX(Listado!I:I,N423)=0,"",INDEX(Listado!I:I,N423)))),"")</f>
        <v/>
      </c>
      <c r="P423" s="17">
        <f t="shared" ca="1" si="19"/>
        <v/>
      </c>
      <c r="Q423" s="17">
        <f>IFERROR(IF(AND(N423&lt;&gt;"",ISNUMBER(O423),O423&gt;0,O423&gt;=TODAY()-90),1,0),0)</f>
        <v/>
      </c>
      <c r="R423" s="17" t="str">
        <f t="shared" si="21"/>
        <v/>
      </c>
      <c r="S423" s="17" t="str">
        <f>IF(INDEX(Listado!A:A,ROW())="","",INDEX(Listado!A:A,ROW()))</f>
        <v/>
      </c>
      <c r="T423" s="17" t="str">
        <f ca="1">IF(INDEX(Listado!G:G,ROW())="","",INDEX(Listado!G:G,ROW()))</f>
        <v/>
      </c>
      <c r="U423" s="17" t="str">
        <f>IF(INDEX(Listado!F:F,ROW())="","",INDEX(Listado!F:F,ROW()))</f>
        <v/>
      </c>
      <c r="V423" s="17">
        <f>IF(COUNTA(INDEX(Listado!B:B,ROW()):INDEX(Listado!F:F,ROW()))&gt;0,1,0)</f>
        <v/>
      </c>
      <c r="W423" s="17" t="str">
        <f>IF(INDEX(Listado!L:L,ROW())="","",INDEX(Listado!L:L,ROW()))</f>
        <v/>
      </c>
      <c r="X423" s="17">
        <f>IF(N423="","",IF(INDEX(Listado!$M:$M,N423)="No","No","Sí"))</f>
        <v/>
      </c>
    </row>
    <row r="424" spans="2:24" ht="14.25">
      <c r="N424" s="17" t="str">
        <f>IF(V424=0,"",IFERROR(LOOKUP(2,1/(INDEX(Listado!A:A,2):INDEX(Listado!A:A,ROW())&lt;&gt;""),ROW(INDEX(Listado!A:A,2):INDEX(Listado!A:A,ROW()))),""))</f>
        <v/>
      </c>
      <c r="O424" s="17" t="str">
        <f>IFERROR(IF(N424="","",IF(INDEX(Listado!M:M,N424)="No",IF(INDEX(Listado!N:N,N424)=0,"",INDEX(Listado!N:N,N424)),IF(INDEX(Listado!I:I,N424)=0,"",INDEX(Listado!I:I,N424)))),"")</f>
        <v/>
      </c>
      <c r="P424" s="17">
        <f t="shared" ca="1" si="19"/>
        <v/>
      </c>
      <c r="Q424" s="17">
        <f>IFERROR(IF(AND(N424&lt;&gt;"",ISNUMBER(O424),O424&gt;0,O424&gt;=TODAY()-90),1,0),0)</f>
        <v/>
      </c>
      <c r="R424" s="17" t="str">
        <f t="shared" si="21"/>
        <v/>
      </c>
      <c r="S424" s="17" t="str">
        <f>IF(INDEX(Listado!A:A,ROW())="","",INDEX(Listado!A:A,ROW()))</f>
        <v/>
      </c>
      <c r="T424" s="17" t="str">
        <f ca="1">IF(INDEX(Listado!G:G,ROW())="","",INDEX(Listado!G:G,ROW()))</f>
        <v/>
      </c>
      <c r="U424" s="17" t="str">
        <f>IF(INDEX(Listado!F:F,ROW())="","",INDEX(Listado!F:F,ROW()))</f>
        <v/>
      </c>
      <c r="V424" s="17">
        <f>IF(COUNTA(INDEX(Listado!B:B,ROW()):INDEX(Listado!F:F,ROW()))&gt;0,1,0)</f>
        <v/>
      </c>
      <c r="W424" s="17" t="str">
        <f>IF(INDEX(Listado!L:L,ROW())="","",INDEX(Listado!L:L,ROW()))</f>
        <v/>
      </c>
      <c r="X424" s="17">
        <f>IF(N424="","",IF(INDEX(Listado!$M:$M,N424)="No","No","Sí"))</f>
        <v/>
      </c>
    </row>
    <row r="425" spans="2:24" ht="14.25">
      <c r="N425" s="17" t="str">
        <f>IF(V425=0,"",IFERROR(LOOKUP(2,1/(INDEX(Listado!A:A,2):INDEX(Listado!A:A,ROW())&lt;&gt;""),ROW(INDEX(Listado!A:A,2):INDEX(Listado!A:A,ROW()))),""))</f>
        <v/>
      </c>
      <c r="O425" s="17" t="str">
        <f>IFERROR(IF(N425="","",IF(INDEX(Listado!M:M,N425)="No",IF(INDEX(Listado!N:N,N425)=0,"",INDEX(Listado!N:N,N425)),IF(INDEX(Listado!I:I,N425)=0,"",INDEX(Listado!I:I,N425)))),"")</f>
        <v/>
      </c>
      <c r="P425" s="17">
        <f t="shared" ca="1" si="19"/>
        <v/>
      </c>
      <c r="Q425" s="17">
        <f>IFERROR(IF(AND(N425&lt;&gt;"",ISNUMBER(O425),O425&gt;0,O425&gt;=TODAY()-90),1,0),0)</f>
        <v/>
      </c>
      <c r="R425" s="17" t="str">
        <f t="shared" si="21"/>
        <v/>
      </c>
      <c r="S425" s="17" t="str">
        <f>IF(INDEX(Listado!A:A,ROW())="","",INDEX(Listado!A:A,ROW()))</f>
        <v/>
      </c>
      <c r="T425" s="17" t="str">
        <f ca="1">IF(INDEX(Listado!G:G,ROW())="","",INDEX(Listado!G:G,ROW()))</f>
        <v/>
      </c>
      <c r="U425" s="17" t="str">
        <f>IF(INDEX(Listado!F:F,ROW())="","",INDEX(Listado!F:F,ROW()))</f>
        <v/>
      </c>
      <c r="V425" s="17">
        <f>IF(COUNTA(INDEX(Listado!B:B,ROW()):INDEX(Listado!F:F,ROW()))&gt;0,1,0)</f>
        <v/>
      </c>
      <c r="W425" s="17" t="str">
        <f>IF(INDEX(Listado!L:L,ROW())="","",INDEX(Listado!L:L,ROW()))</f>
        <v/>
      </c>
      <c r="X425" s="17">
        <f>IF(N425="","",IF(INDEX(Listado!$M:$M,N425)="No","No","Sí"))</f>
        <v/>
      </c>
    </row>
    <row r="426" spans="2:24" ht="14.25">
      <c r="N426" s="17" t="str">
        <f>IF(V426=0,"",IFERROR(LOOKUP(2,1/(INDEX(Listado!A:A,2):INDEX(Listado!A:A,ROW())&lt;&gt;""),ROW(INDEX(Listado!A:A,2):INDEX(Listado!A:A,ROW()))),""))</f>
        <v/>
      </c>
      <c r="O426" s="17" t="str">
        <f>IFERROR(IF(N426="","",IF(INDEX(Listado!M:M,N426)="No",IF(INDEX(Listado!N:N,N426)=0,"",INDEX(Listado!N:N,N426)),IF(INDEX(Listado!I:I,N426)=0,"",INDEX(Listado!I:I,N426)))),"")</f>
        <v/>
      </c>
      <c r="P426" s="17">
        <f t="shared" ca="1" si="19"/>
        <v/>
      </c>
      <c r="Q426" s="17">
        <f>IFERROR(IF(AND(N426&lt;&gt;"",ISNUMBER(O426),O426&gt;0,O426&gt;=TODAY()-90),1,0),0)</f>
        <v/>
      </c>
      <c r="R426" s="17" t="str">
        <f t="shared" si="21"/>
        <v/>
      </c>
      <c r="S426" s="17" t="str">
        <f>IF(INDEX(Listado!A:A,ROW())="","",INDEX(Listado!A:A,ROW()))</f>
        <v/>
      </c>
      <c r="T426" s="17" t="str">
        <f ca="1">IF(INDEX(Listado!G:G,ROW())="","",INDEX(Listado!G:G,ROW()))</f>
        <v/>
      </c>
      <c r="U426" s="17" t="str">
        <f>IF(INDEX(Listado!F:F,ROW())="","",INDEX(Listado!F:F,ROW()))</f>
        <v/>
      </c>
      <c r="V426" s="17">
        <f>IF(COUNTA(INDEX(Listado!B:B,ROW()):INDEX(Listado!F:F,ROW()))&gt;0,1,0)</f>
        <v/>
      </c>
      <c r="W426" s="17" t="str">
        <f>IF(INDEX(Listado!L:L,ROW())="","",INDEX(Listado!L:L,ROW()))</f>
        <v/>
      </c>
      <c r="X426" s="17">
        <f>IF(N426="","",IF(INDEX(Listado!$M:$M,N426)="No","No","Sí"))</f>
        <v/>
      </c>
    </row>
    <row r="427" spans="2:24" ht="14.25">
      <c r="N427" s="17" t="str">
        <f>IF(V427=0,"",IFERROR(LOOKUP(2,1/(INDEX(Listado!A:A,2):INDEX(Listado!A:A,ROW())&lt;&gt;""),ROW(INDEX(Listado!A:A,2):INDEX(Listado!A:A,ROW()))),""))</f>
        <v/>
      </c>
      <c r="O427" s="17" t="str">
        <f>IFERROR(IF(N427="","",IF(INDEX(Listado!M:M,N427)="No",IF(INDEX(Listado!N:N,N427)=0,"",INDEX(Listado!N:N,N427)),IF(INDEX(Listado!I:I,N427)=0,"",INDEX(Listado!I:I,N427)))),"")</f>
        <v/>
      </c>
      <c r="P427" s="17">
        <f t="shared" ca="1" si="19"/>
        <v/>
      </c>
      <c r="Q427" s="17">
        <f>IFERROR(IF(AND(N427&lt;&gt;"",ISNUMBER(O427),O427&gt;0,O427&gt;=TODAY()-90),1,0),0)</f>
        <v/>
      </c>
      <c r="R427" s="17" t="str">
        <f t="shared" si="21"/>
        <v/>
      </c>
      <c r="S427" s="17" t="str">
        <f>IF(INDEX(Listado!A:A,ROW())="","",INDEX(Listado!A:A,ROW()))</f>
        <v/>
      </c>
      <c r="T427" s="17" t="str">
        <f ca="1">IF(INDEX(Listado!G:G,ROW())="","",INDEX(Listado!G:G,ROW()))</f>
        <v/>
      </c>
      <c r="U427" s="17" t="str">
        <f>IF(INDEX(Listado!F:F,ROW())="","",INDEX(Listado!F:F,ROW()))</f>
        <v/>
      </c>
      <c r="V427" s="17">
        <f>IF(COUNTA(INDEX(Listado!B:B,ROW()):INDEX(Listado!F:F,ROW()))&gt;0,1,0)</f>
        <v/>
      </c>
      <c r="W427" s="17" t="str">
        <f>IF(INDEX(Listado!L:L,ROW())="","",INDEX(Listado!L:L,ROW()))</f>
        <v/>
      </c>
      <c r="X427" s="17">
        <f>IF(N427="","",IF(INDEX(Listado!$M:$M,N427)="No","No","Sí"))</f>
        <v/>
      </c>
    </row>
    <row r="428" spans="2:24" ht="14.25">
      <c r="N428" s="17" t="str">
        <f>IF(V428=0,"",IFERROR(LOOKUP(2,1/(INDEX(Listado!A:A,2):INDEX(Listado!A:A,ROW())&lt;&gt;""),ROW(INDEX(Listado!A:A,2):INDEX(Listado!A:A,ROW()))),""))</f>
        <v/>
      </c>
      <c r="O428" s="17" t="str">
        <f>IFERROR(IF(N428="","",IF(INDEX(Listado!M:M,N428)="No",IF(INDEX(Listado!N:N,N428)=0,"",INDEX(Listado!N:N,N428)),IF(INDEX(Listado!I:I,N428)=0,"",INDEX(Listado!I:I,N428)))),"")</f>
        <v/>
      </c>
      <c r="P428" s="17">
        <f t="shared" ca="1" si="19"/>
        <v/>
      </c>
      <c r="Q428" s="17">
        <f>IFERROR(IF(AND(N428&lt;&gt;"",ISNUMBER(O428),O428&gt;0,O428&gt;=TODAY()-90),1,0),0)</f>
        <v/>
      </c>
      <c r="R428" s="17" t="str">
        <f t="shared" si="21"/>
        <v/>
      </c>
      <c r="S428" s="17" t="str">
        <f>IF(INDEX(Listado!A:A,ROW())="","",INDEX(Listado!A:A,ROW()))</f>
        <v/>
      </c>
      <c r="T428" s="17" t="str">
        <f ca="1">IF(INDEX(Listado!G:G,ROW())="","",INDEX(Listado!G:G,ROW()))</f>
        <v/>
      </c>
      <c r="U428" s="17" t="str">
        <f>IF(INDEX(Listado!F:F,ROW())="","",INDEX(Listado!F:F,ROW()))</f>
        <v/>
      </c>
      <c r="V428" s="17">
        <f>IF(COUNTA(INDEX(Listado!B:B,ROW()):INDEX(Listado!F:F,ROW()))&gt;0,1,0)</f>
        <v/>
      </c>
      <c r="W428" s="17" t="str">
        <f>IF(INDEX(Listado!L:L,ROW())="","",INDEX(Listado!L:L,ROW()))</f>
        <v/>
      </c>
      <c r="X428" s="17">
        <f>IF(N428="","",IF(INDEX(Listado!$M:$M,N428)="No","No","Sí"))</f>
        <v/>
      </c>
    </row>
    <row r="429" spans="2:24" ht="14.25">
      <c r="N429" s="17" t="str">
        <f>IF(V429=0,"",IFERROR(LOOKUP(2,1/(INDEX(Listado!A:A,2):INDEX(Listado!A:A,ROW())&lt;&gt;""),ROW(INDEX(Listado!A:A,2):INDEX(Listado!A:A,ROW()))),""))</f>
        <v/>
      </c>
      <c r="O429" s="17" t="str">
        <f>IFERROR(IF(N429="","",IF(INDEX(Listado!M:M,N429)="No",IF(INDEX(Listado!N:N,N429)=0,"",INDEX(Listado!N:N,N429)),IF(INDEX(Listado!I:I,N429)=0,"",INDEX(Listado!I:I,N429)))),"")</f>
        <v/>
      </c>
      <c r="P429" s="17">
        <f t="shared" ca="1" si="19"/>
        <v/>
      </c>
      <c r="Q429" s="17">
        <f>IFERROR(IF(AND(N429&lt;&gt;"",ISNUMBER(O429),O429&gt;0,O429&gt;=TODAY()-90),1,0),0)</f>
        <v/>
      </c>
      <c r="R429" s="17" t="str">
        <f t="shared" si="21"/>
        <v/>
      </c>
      <c r="S429" s="17" t="str">
        <f>IF(INDEX(Listado!A:A,ROW())="","",INDEX(Listado!A:A,ROW()))</f>
        <v/>
      </c>
      <c r="T429" s="17" t="str">
        <f ca="1">IF(INDEX(Listado!G:G,ROW())="","",INDEX(Listado!G:G,ROW()))</f>
        <v/>
      </c>
      <c r="U429" s="17" t="str">
        <f>IF(INDEX(Listado!F:F,ROW())="","",INDEX(Listado!F:F,ROW()))</f>
        <v/>
      </c>
      <c r="V429" s="17">
        <f>IF(COUNTA(INDEX(Listado!B:B,ROW()):INDEX(Listado!F:F,ROW()))&gt;0,1,0)</f>
        <v/>
      </c>
      <c r="W429" s="17" t="str">
        <f>IF(INDEX(Listado!L:L,ROW())="","",INDEX(Listado!L:L,ROW()))</f>
        <v/>
      </c>
      <c r="X429" s="17">
        <f>IF(N429="","",IF(INDEX(Listado!$M:$M,N429)="No","No","Sí"))</f>
        <v/>
      </c>
    </row>
    <row r="430" spans="2:24" ht="14.25">
      <c r="N430" s="17" t="str">
        <f>IF(V430=0,"",IFERROR(LOOKUP(2,1/(INDEX(Listado!A:A,2):INDEX(Listado!A:A,ROW())&lt;&gt;""),ROW(INDEX(Listado!A:A,2):INDEX(Listado!A:A,ROW()))),""))</f>
        <v/>
      </c>
      <c r="O430" s="17" t="str">
        <f>IFERROR(IF(N430="","",IF(INDEX(Listado!M:M,N430)="No",IF(INDEX(Listado!N:N,N430)=0,"",INDEX(Listado!N:N,N430)),IF(INDEX(Listado!I:I,N430)=0,"",INDEX(Listado!I:I,N430)))),"")</f>
        <v/>
      </c>
      <c r="P430" s="17">
        <f t="shared" ca="1" si="19"/>
        <v/>
      </c>
      <c r="Q430" s="17">
        <f>IFERROR(IF(AND(N430&lt;&gt;"",ISNUMBER(O430),O430&gt;0,O430&gt;=TODAY()-90),1,0),0)</f>
        <v/>
      </c>
      <c r="R430" s="17" t="str">
        <f t="shared" si="21"/>
        <v/>
      </c>
      <c r="S430" s="17" t="str">
        <f>IF(INDEX(Listado!A:A,ROW())="","",INDEX(Listado!A:A,ROW()))</f>
        <v/>
      </c>
      <c r="T430" s="17" t="str">
        <f ca="1">IF(INDEX(Listado!G:G,ROW())="","",INDEX(Listado!G:G,ROW()))</f>
        <v/>
      </c>
      <c r="U430" s="17" t="str">
        <f>IF(INDEX(Listado!F:F,ROW())="","",INDEX(Listado!F:F,ROW()))</f>
        <v/>
      </c>
      <c r="V430" s="17">
        <f>IF(COUNTA(INDEX(Listado!B:B,ROW()):INDEX(Listado!F:F,ROW()))&gt;0,1,0)</f>
        <v/>
      </c>
      <c r="W430" s="17" t="str">
        <f>IF(INDEX(Listado!L:L,ROW())="","",INDEX(Listado!L:L,ROW()))</f>
        <v/>
      </c>
      <c r="X430" s="17">
        <f>IF(N430="","",IF(INDEX(Listado!$M:$M,N430)="No","No","Sí"))</f>
        <v/>
      </c>
    </row>
    <row r="431" spans="2:24" ht="14.25">
      <c r="N431" s="17" t="str">
        <f>IF(V431=0,"",IFERROR(LOOKUP(2,1/(INDEX(Listado!A:A,2):INDEX(Listado!A:A,ROW())&lt;&gt;""),ROW(INDEX(Listado!A:A,2):INDEX(Listado!A:A,ROW()))),""))</f>
        <v/>
      </c>
      <c r="O431" s="17" t="str">
        <f>IFERROR(IF(N431="","",IF(INDEX(Listado!M:M,N431)="No",IF(INDEX(Listado!N:N,N431)=0,"",INDEX(Listado!N:N,N431)),IF(INDEX(Listado!I:I,N431)=0,"",INDEX(Listado!I:I,N431)))),"")</f>
        <v/>
      </c>
      <c r="P431" s="17">
        <f t="shared" ca="1" si="19"/>
        <v/>
      </c>
      <c r="Q431" s="17">
        <f>IFERROR(IF(AND(N431&lt;&gt;"",ISNUMBER(O431),O431&gt;0,O431&gt;=TODAY()-90),1,0),0)</f>
        <v/>
      </c>
      <c r="R431" s="17" t="str">
        <f t="shared" si="21"/>
        <v/>
      </c>
      <c r="S431" s="17" t="str">
        <f>IF(INDEX(Listado!A:A,ROW())="","",INDEX(Listado!A:A,ROW()))</f>
        <v/>
      </c>
      <c r="T431" s="17" t="str">
        <f ca="1">IF(INDEX(Listado!G:G,ROW())="","",INDEX(Listado!G:G,ROW()))</f>
        <v/>
      </c>
      <c r="U431" s="17" t="str">
        <f>IF(INDEX(Listado!F:F,ROW())="","",INDEX(Listado!F:F,ROW()))</f>
        <v/>
      </c>
      <c r="V431" s="17">
        <f>IF(COUNTA(INDEX(Listado!B:B,ROW()):INDEX(Listado!F:F,ROW()))&gt;0,1,0)</f>
        <v/>
      </c>
      <c r="W431" s="17" t="str">
        <f>IF(INDEX(Listado!L:L,ROW())="","",INDEX(Listado!L:L,ROW()))</f>
        <v/>
      </c>
      <c r="X431" s="17">
        <f>IF(N431="","",IF(INDEX(Listado!$M:$M,N431)="No","No","Sí"))</f>
        <v/>
      </c>
    </row>
    <row r="432" spans="2:24" ht="14.25">
      <c r="N432" s="17" t="str">
        <f>IF(V432=0,"",IFERROR(LOOKUP(2,1/(INDEX(Listado!A:A,2):INDEX(Listado!A:A,ROW())&lt;&gt;""),ROW(INDEX(Listado!A:A,2):INDEX(Listado!A:A,ROW()))),""))</f>
        <v/>
      </c>
      <c r="O432" s="17" t="str">
        <f>IFERROR(IF(N432="","",IF(INDEX(Listado!M:M,N432)="No",IF(INDEX(Listado!N:N,N432)=0,"",INDEX(Listado!N:N,N432)),IF(INDEX(Listado!I:I,N432)=0,"",INDEX(Listado!I:I,N432)))),"")</f>
        <v/>
      </c>
      <c r="P432" s="17">
        <f t="shared" ca="1" si="19"/>
        <v/>
      </c>
      <c r="Q432" s="17">
        <f>IFERROR(IF(AND(N432&lt;&gt;"",ISNUMBER(O432),O432&gt;0,O432&gt;=TODAY()-90),1,0),0)</f>
        <v/>
      </c>
      <c r="R432" s="17" t="str">
        <f t="shared" si="21"/>
        <v/>
      </c>
      <c r="S432" s="17" t="str">
        <f>IF(INDEX(Listado!A:A,ROW())="","",INDEX(Listado!A:A,ROW()))</f>
        <v/>
      </c>
      <c r="T432" s="17" t="str">
        <f ca="1">IF(INDEX(Listado!G:G,ROW())="","",INDEX(Listado!G:G,ROW()))</f>
        <v/>
      </c>
      <c r="U432" s="17" t="str">
        <f>IF(INDEX(Listado!F:F,ROW())="","",INDEX(Listado!F:F,ROW()))</f>
        <v/>
      </c>
      <c r="V432" s="17">
        <f>IF(COUNTA(INDEX(Listado!B:B,ROW()):INDEX(Listado!F:F,ROW()))&gt;0,1,0)</f>
        <v/>
      </c>
      <c r="W432" s="17" t="str">
        <f>IF(INDEX(Listado!L:L,ROW())="","",INDEX(Listado!L:L,ROW()))</f>
        <v/>
      </c>
      <c r="X432" s="17">
        <f>IF(N432="","",IF(INDEX(Listado!$M:$M,N432)="No","No","Sí"))</f>
        <v/>
      </c>
    </row>
    <row r="433" spans="2:24" ht="14.25">
      <c r="N433" s="17" t="str">
        <f>IF(V433=0,"",IFERROR(LOOKUP(2,1/(INDEX(Listado!A:A,2):INDEX(Listado!A:A,ROW())&lt;&gt;""),ROW(INDEX(Listado!A:A,2):INDEX(Listado!A:A,ROW()))),""))</f>
        <v/>
      </c>
      <c r="O433" s="17" t="str">
        <f>IFERROR(IF(N433="","",IF(INDEX(Listado!M:M,N433)="No",IF(INDEX(Listado!N:N,N433)=0,"",INDEX(Listado!N:N,N433)),IF(INDEX(Listado!I:I,N433)=0,"",INDEX(Listado!I:I,N433)))),"")</f>
        <v/>
      </c>
      <c r="P433" s="17">
        <f t="shared" ca="1" si="19"/>
        <v/>
      </c>
      <c r="Q433" s="17">
        <f>IFERROR(IF(AND(N433&lt;&gt;"",ISNUMBER(O433),O433&gt;0,O433&gt;=TODAY()-90),1,0),0)</f>
        <v/>
      </c>
      <c r="R433" s="17" t="str">
        <f t="shared" si="21"/>
        <v/>
      </c>
      <c r="S433" s="17" t="str">
        <f>IF(INDEX(Listado!A:A,ROW())="","",INDEX(Listado!A:A,ROW()))</f>
        <v/>
      </c>
      <c r="T433" s="17" t="str">
        <f ca="1">IF(INDEX(Listado!G:G,ROW())="","",INDEX(Listado!G:G,ROW()))</f>
        <v/>
      </c>
      <c r="U433" s="17" t="str">
        <f>IF(INDEX(Listado!F:F,ROW())="","",INDEX(Listado!F:F,ROW()))</f>
        <v/>
      </c>
      <c r="V433" s="17">
        <f>IF(COUNTA(INDEX(Listado!B:B,ROW()):INDEX(Listado!F:F,ROW()))&gt;0,1,0)</f>
        <v/>
      </c>
      <c r="W433" s="17" t="str">
        <f>IF(INDEX(Listado!L:L,ROW())="","",INDEX(Listado!L:L,ROW()))</f>
        <v/>
      </c>
      <c r="X433" s="17">
        <f>IF(N433="","",IF(INDEX(Listado!$M:$M,N433)="No","No","Sí"))</f>
        <v/>
      </c>
    </row>
    <row r="434" spans="2:24" ht="14.25">
      <c r="N434" s="17" t="str">
        <f>IF(V434=0,"",IFERROR(LOOKUP(2,1/(INDEX(Listado!A:A,2):INDEX(Listado!A:A,ROW())&lt;&gt;""),ROW(INDEX(Listado!A:A,2):INDEX(Listado!A:A,ROW()))),""))</f>
        <v/>
      </c>
      <c r="O434" s="17" t="str">
        <f>IFERROR(IF(N434="","",IF(INDEX(Listado!M:M,N434)="No",IF(INDEX(Listado!N:N,N434)=0,"",INDEX(Listado!N:N,N434)),IF(INDEX(Listado!I:I,N434)=0,"",INDEX(Listado!I:I,N434)))),"")</f>
        <v/>
      </c>
      <c r="P434" s="17">
        <f t="shared" ca="1" si="19"/>
        <v/>
      </c>
      <c r="Q434" s="17">
        <f>IFERROR(IF(AND(N434&lt;&gt;"",ISNUMBER(O434),O434&gt;0,O434&gt;=TODAY()-90),1,0),0)</f>
        <v/>
      </c>
      <c r="R434" s="17" t="str">
        <f t="shared" si="21"/>
        <v/>
      </c>
      <c r="S434" s="17" t="str">
        <f>IF(INDEX(Listado!A:A,ROW())="","",INDEX(Listado!A:A,ROW()))</f>
        <v/>
      </c>
      <c r="T434" s="17" t="str">
        <f ca="1">IF(INDEX(Listado!G:G,ROW())="","",INDEX(Listado!G:G,ROW()))</f>
        <v/>
      </c>
      <c r="U434" s="17" t="str">
        <f>IF(INDEX(Listado!F:F,ROW())="","",INDEX(Listado!F:F,ROW()))</f>
        <v/>
      </c>
      <c r="V434" s="17">
        <f>IF(COUNTA(INDEX(Listado!B:B,ROW()):INDEX(Listado!F:F,ROW()))&gt;0,1,0)</f>
        <v/>
      </c>
      <c r="W434" s="17" t="str">
        <f>IF(INDEX(Listado!L:L,ROW())="","",INDEX(Listado!L:L,ROW()))</f>
        <v/>
      </c>
      <c r="X434" s="17">
        <f>IF(N434="","",IF(INDEX(Listado!$M:$M,N434)="No","No","Sí"))</f>
        <v/>
      </c>
    </row>
    <row r="435" spans="2:24" ht="14.25">
      <c r="N435" s="17" t="str">
        <f>IF(V435=0,"",IFERROR(LOOKUP(2,1/(INDEX(Listado!A:A,2):INDEX(Listado!A:A,ROW())&lt;&gt;""),ROW(INDEX(Listado!A:A,2):INDEX(Listado!A:A,ROW()))),""))</f>
        <v/>
      </c>
      <c r="O435" s="17" t="str">
        <f>IFERROR(IF(N435="","",IF(INDEX(Listado!M:M,N435)="No",IF(INDEX(Listado!N:N,N435)=0,"",INDEX(Listado!N:N,N435)),IF(INDEX(Listado!I:I,N435)=0,"",INDEX(Listado!I:I,N435)))),"")</f>
        <v/>
      </c>
      <c r="P435" s="17">
        <f t="shared" ca="1" si="19"/>
        <v/>
      </c>
      <c r="Q435" s="17">
        <f>IFERROR(IF(AND(N435&lt;&gt;"",ISNUMBER(O435),O435&gt;0,O435&gt;=TODAY()-90),1,0),0)</f>
        <v/>
      </c>
      <c r="R435" s="17" t="str">
        <f t="shared" si="21"/>
        <v/>
      </c>
      <c r="S435" s="17" t="str">
        <f>IF(INDEX(Listado!A:A,ROW())="","",INDEX(Listado!A:A,ROW()))</f>
        <v/>
      </c>
      <c r="T435" s="17" t="str">
        <f ca="1">IF(INDEX(Listado!G:G,ROW())="","",INDEX(Listado!G:G,ROW()))</f>
        <v/>
      </c>
      <c r="U435" s="17" t="str">
        <f>IF(INDEX(Listado!F:F,ROW())="","",INDEX(Listado!F:F,ROW()))</f>
        <v/>
      </c>
      <c r="V435" s="17">
        <f>IF(COUNTA(INDEX(Listado!B:B,ROW()):INDEX(Listado!F:F,ROW()))&gt;0,1,0)</f>
        <v/>
      </c>
      <c r="W435" s="17" t="str">
        <f>IF(INDEX(Listado!L:L,ROW())="","",INDEX(Listado!L:L,ROW()))</f>
        <v/>
      </c>
      <c r="X435" s="17">
        <f>IF(N435="","",IF(INDEX(Listado!$M:$M,N435)="No","No","Sí"))</f>
        <v/>
      </c>
    </row>
    <row r="436" spans="2:24" ht="14.25">
      <c r="N436" s="17" t="str">
        <f>IF(V436=0,"",IFERROR(LOOKUP(2,1/(INDEX(Listado!A:A,2):INDEX(Listado!A:A,ROW())&lt;&gt;""),ROW(INDEX(Listado!A:A,2):INDEX(Listado!A:A,ROW()))),""))</f>
        <v/>
      </c>
      <c r="O436" s="17" t="str">
        <f>IFERROR(IF(N436="","",IF(INDEX(Listado!M:M,N436)="No",IF(INDEX(Listado!N:N,N436)=0,"",INDEX(Listado!N:N,N436)),IF(INDEX(Listado!I:I,N436)=0,"",INDEX(Listado!I:I,N436)))),"")</f>
        <v/>
      </c>
      <c r="P436" s="17">
        <f t="shared" ca="1" si="19"/>
        <v/>
      </c>
      <c r="Q436" s="17">
        <f>IFERROR(IF(AND(N436&lt;&gt;"",ISNUMBER(O436),O436&gt;0,O436&gt;=TODAY()-90),1,0),0)</f>
        <v/>
      </c>
      <c r="R436" s="17" t="str">
        <f t="shared" si="21"/>
        <v/>
      </c>
      <c r="S436" s="17" t="str">
        <f>IF(INDEX(Listado!A:A,ROW())="","",INDEX(Listado!A:A,ROW()))</f>
        <v/>
      </c>
      <c r="T436" s="17" t="str">
        <f ca="1">IF(INDEX(Listado!G:G,ROW())="","",INDEX(Listado!G:G,ROW()))</f>
        <v/>
      </c>
      <c r="U436" s="17" t="str">
        <f>IF(INDEX(Listado!F:F,ROW())="","",INDEX(Listado!F:F,ROW()))</f>
        <v/>
      </c>
      <c r="V436" s="17">
        <f>IF(COUNTA(INDEX(Listado!B:B,ROW()):INDEX(Listado!F:F,ROW()))&gt;0,1,0)</f>
        <v/>
      </c>
      <c r="W436" s="17" t="str">
        <f>IF(INDEX(Listado!L:L,ROW())="","",INDEX(Listado!L:L,ROW()))</f>
        <v/>
      </c>
      <c r="X436" s="17">
        <f>IF(N436="","",IF(INDEX(Listado!$M:$M,N436)="No","No","Sí"))</f>
        <v/>
      </c>
    </row>
    <row r="437" spans="2:24" ht="14.25">
      <c r="N437" s="17" t="str">
        <f>IF(V437=0,"",IFERROR(LOOKUP(2,1/(INDEX(Listado!A:A,2):INDEX(Listado!A:A,ROW())&lt;&gt;""),ROW(INDEX(Listado!A:A,2):INDEX(Listado!A:A,ROW()))),""))</f>
        <v/>
      </c>
      <c r="O437" s="17" t="str">
        <f>IFERROR(IF(N437="","",IF(INDEX(Listado!M:M,N437)="No",IF(INDEX(Listado!N:N,N437)=0,"",INDEX(Listado!N:N,N437)),IF(INDEX(Listado!I:I,N437)=0,"",INDEX(Listado!I:I,N437)))),"")</f>
        <v/>
      </c>
      <c r="P437" s="17">
        <f t="shared" ca="1" si="19"/>
        <v/>
      </c>
      <c r="Q437" s="17">
        <f>IFERROR(IF(AND(N437&lt;&gt;"",ISNUMBER(O437),O437&gt;0,O437&gt;=TODAY()-90),1,0),0)</f>
        <v/>
      </c>
      <c r="R437" s="17" t="str">
        <f t="shared" si="21"/>
        <v/>
      </c>
      <c r="S437" s="17" t="str">
        <f>IF(INDEX(Listado!A:A,ROW())="","",INDEX(Listado!A:A,ROW()))</f>
        <v/>
      </c>
      <c r="T437" s="17" t="str">
        <f ca="1">IF(INDEX(Listado!G:G,ROW())="","",INDEX(Listado!G:G,ROW()))</f>
        <v/>
      </c>
      <c r="U437" s="17" t="str">
        <f>IF(INDEX(Listado!F:F,ROW())="","",INDEX(Listado!F:F,ROW()))</f>
        <v/>
      </c>
      <c r="V437" s="17">
        <f>IF(COUNTA(INDEX(Listado!B:B,ROW()):INDEX(Listado!F:F,ROW()))&gt;0,1,0)</f>
        <v/>
      </c>
      <c r="W437" s="17" t="str">
        <f>IF(INDEX(Listado!L:L,ROW())="","",INDEX(Listado!L:L,ROW()))</f>
        <v/>
      </c>
      <c r="X437" s="17">
        <f>IF(N437="","",IF(INDEX(Listado!$M:$M,N437)="No","No","Sí"))</f>
        <v/>
      </c>
    </row>
    <row r="438" spans="2:24" ht="14.25">
      <c r="N438" s="17" t="str">
        <f>IF(V438=0,"",IFERROR(LOOKUP(2,1/(INDEX(Listado!A:A,2):INDEX(Listado!A:A,ROW())&lt;&gt;""),ROW(INDEX(Listado!A:A,2):INDEX(Listado!A:A,ROW()))),""))</f>
        <v/>
      </c>
      <c r="O438" s="17" t="str">
        <f>IFERROR(IF(N438="","",IF(INDEX(Listado!M:M,N438)="No",IF(INDEX(Listado!N:N,N438)=0,"",INDEX(Listado!N:N,N438)),IF(INDEX(Listado!I:I,N438)=0,"",INDEX(Listado!I:I,N438)))),"")</f>
        <v/>
      </c>
      <c r="P438" s="17">
        <f t="shared" ca="1" si="19"/>
        <v/>
      </c>
      <c r="Q438" s="17">
        <f>IFERROR(IF(AND(N438&lt;&gt;"",ISNUMBER(O438),O438&gt;0,O438&gt;=TODAY()-90),1,0),0)</f>
        <v/>
      </c>
      <c r="R438" s="17" t="str">
        <f t="shared" si="21"/>
        <v/>
      </c>
      <c r="S438" s="17" t="str">
        <f>IF(INDEX(Listado!A:A,ROW())="","",INDEX(Listado!A:A,ROW()))</f>
        <v/>
      </c>
      <c r="T438" s="17" t="str">
        <f ca="1">IF(INDEX(Listado!G:G,ROW())="","",INDEX(Listado!G:G,ROW()))</f>
        <v/>
      </c>
      <c r="U438" s="17" t="str">
        <f>IF(INDEX(Listado!F:F,ROW())="","",INDEX(Listado!F:F,ROW()))</f>
        <v/>
      </c>
      <c r="V438" s="17">
        <f>IF(COUNTA(INDEX(Listado!B:B,ROW()):INDEX(Listado!F:F,ROW()))&gt;0,1,0)</f>
        <v/>
      </c>
      <c r="W438" s="17" t="str">
        <f>IF(INDEX(Listado!L:L,ROW())="","",INDEX(Listado!L:L,ROW()))</f>
        <v/>
      </c>
      <c r="X438" s="17">
        <f>IF(N438="","",IF(INDEX(Listado!$M:$M,N438)="No","No","Sí"))</f>
        <v/>
      </c>
    </row>
    <row r="439" spans="2:24" ht="14.25">
      <c r="N439" s="17" t="str">
        <f>IF(V439=0,"",IFERROR(LOOKUP(2,1/(INDEX(Listado!A:A,2):INDEX(Listado!A:A,ROW())&lt;&gt;""),ROW(INDEX(Listado!A:A,2):INDEX(Listado!A:A,ROW()))),""))</f>
        <v/>
      </c>
      <c r="O439" s="17" t="str">
        <f>IFERROR(IF(N439="","",IF(INDEX(Listado!M:M,N439)="No",IF(INDEX(Listado!N:N,N439)=0,"",INDEX(Listado!N:N,N439)),IF(INDEX(Listado!I:I,N439)=0,"",INDEX(Listado!I:I,N439)))),"")</f>
        <v/>
      </c>
      <c r="P439" s="17">
        <f t="shared" ca="1" si="19"/>
        <v/>
      </c>
      <c r="Q439" s="17">
        <f>IFERROR(IF(AND(N439&lt;&gt;"",ISNUMBER(O439),O439&gt;0,O439&gt;=TODAY()-90),1,0),0)</f>
        <v/>
      </c>
      <c r="R439" s="17" t="str">
        <f t="shared" si="21"/>
        <v/>
      </c>
      <c r="S439" s="17" t="str">
        <f>IF(INDEX(Listado!A:A,ROW())="","",INDEX(Listado!A:A,ROW()))</f>
        <v/>
      </c>
      <c r="T439" s="17" t="str">
        <f ca="1">IF(INDEX(Listado!G:G,ROW())="","",INDEX(Listado!G:G,ROW()))</f>
        <v/>
      </c>
      <c r="U439" s="17" t="str">
        <f>IF(INDEX(Listado!F:F,ROW())="","",INDEX(Listado!F:F,ROW()))</f>
        <v/>
      </c>
      <c r="V439" s="17">
        <f>IF(COUNTA(INDEX(Listado!B:B,ROW()):INDEX(Listado!F:F,ROW()))&gt;0,1,0)</f>
        <v/>
      </c>
      <c r="W439" s="17" t="str">
        <f>IF(INDEX(Listado!L:L,ROW())="","",INDEX(Listado!L:L,ROW()))</f>
        <v/>
      </c>
      <c r="X439" s="17">
        <f>IF(N439="","",IF(INDEX(Listado!$M:$M,N439)="No","No","Sí"))</f>
        <v/>
      </c>
    </row>
    <row r="440" spans="2:24" ht="14.25">
      <c r="N440" s="17" t="str">
        <f>IF(V440=0,"",IFERROR(LOOKUP(2,1/(INDEX(Listado!A:A,2):INDEX(Listado!A:A,ROW())&lt;&gt;""),ROW(INDEX(Listado!A:A,2):INDEX(Listado!A:A,ROW()))),""))</f>
        <v/>
      </c>
      <c r="O440" s="17" t="str">
        <f>IFERROR(IF(N440="","",IF(INDEX(Listado!M:M,N440)="No",IF(INDEX(Listado!N:N,N440)=0,"",INDEX(Listado!N:N,N440)),IF(INDEX(Listado!I:I,N440)=0,"",INDEX(Listado!I:I,N440)))),"")</f>
        <v/>
      </c>
      <c r="P440" s="17">
        <f t="shared" ca="1" si="19"/>
        <v/>
      </c>
      <c r="Q440" s="17">
        <f>IFERROR(IF(AND(N440&lt;&gt;"",ISNUMBER(O440),O440&gt;0,O440&gt;=TODAY()-90),1,0),0)</f>
        <v/>
      </c>
      <c r="R440" s="17" t="str">
        <f t="shared" si="21"/>
        <v/>
      </c>
      <c r="S440" s="17" t="str">
        <f>IF(INDEX(Listado!A:A,ROW())="","",INDEX(Listado!A:A,ROW()))</f>
        <v/>
      </c>
      <c r="T440" s="17" t="str">
        <f ca="1">IF(INDEX(Listado!G:G,ROW())="","",INDEX(Listado!G:G,ROW()))</f>
        <v/>
      </c>
      <c r="U440" s="17" t="str">
        <f>IF(INDEX(Listado!F:F,ROW())="","",INDEX(Listado!F:F,ROW()))</f>
        <v/>
      </c>
      <c r="V440" s="17">
        <f>IF(COUNTA(INDEX(Listado!B:B,ROW()):INDEX(Listado!F:F,ROW()))&gt;0,1,0)</f>
        <v/>
      </c>
      <c r="W440" s="17" t="str">
        <f>IF(INDEX(Listado!L:L,ROW())="","",INDEX(Listado!L:L,ROW()))</f>
        <v/>
      </c>
      <c r="X440" s="17">
        <f>IF(N440="","",IF(INDEX(Listado!$M:$M,N440)="No","No","Sí"))</f>
        <v/>
      </c>
    </row>
    <row r="441" spans="2:24" ht="14.25">
      <c r="N441" s="17" t="str">
        <f>IF(V441=0,"",IFERROR(LOOKUP(2,1/(INDEX(Listado!A:A,2):INDEX(Listado!A:A,ROW())&lt;&gt;""),ROW(INDEX(Listado!A:A,2):INDEX(Listado!A:A,ROW()))),""))</f>
        <v/>
      </c>
      <c r="O441" s="17" t="str">
        <f>IFERROR(IF(N441="","",IF(INDEX(Listado!M:M,N441)="No",IF(INDEX(Listado!N:N,N441)=0,"",INDEX(Listado!N:N,N441)),IF(INDEX(Listado!I:I,N441)=0,"",INDEX(Listado!I:I,N441)))),"")</f>
        <v/>
      </c>
      <c r="P441" s="17">
        <f t="shared" ca="1" si="19"/>
        <v/>
      </c>
      <c r="Q441" s="17">
        <f>IFERROR(IF(AND(N441&lt;&gt;"",ISNUMBER(O441),O441&gt;0,O441&gt;=TODAY()-90),1,0),0)</f>
        <v/>
      </c>
      <c r="R441" s="17" t="str">
        <f t="shared" si="21"/>
        <v/>
      </c>
      <c r="S441" s="17" t="str">
        <f>IF(INDEX(Listado!A:A,ROW())="","",INDEX(Listado!A:A,ROW()))</f>
        <v/>
      </c>
      <c r="T441" s="17" t="str">
        <f ca="1">IF(INDEX(Listado!G:G,ROW())="","",INDEX(Listado!G:G,ROW()))</f>
        <v/>
      </c>
      <c r="U441" s="17" t="str">
        <f>IF(INDEX(Listado!F:F,ROW())="","",INDEX(Listado!F:F,ROW()))</f>
        <v/>
      </c>
      <c r="V441" s="17">
        <f>IF(COUNTA(INDEX(Listado!B:B,ROW()):INDEX(Listado!F:F,ROW()))&gt;0,1,0)</f>
        <v/>
      </c>
      <c r="W441" s="17" t="str">
        <f>IF(INDEX(Listado!L:L,ROW())="","",INDEX(Listado!L:L,ROW()))</f>
        <v/>
      </c>
      <c r="X441" s="17">
        <f>IF(N441="","",IF(INDEX(Listado!$M:$M,N441)="No","No","Sí"))</f>
        <v/>
      </c>
    </row>
    <row r="442" spans="2:24" ht="14.25">
      <c r="N442" s="17" t="str">
        <f>IF(V442=0,"",IFERROR(LOOKUP(2,1/(INDEX(Listado!A:A,2):INDEX(Listado!A:A,ROW())&lt;&gt;""),ROW(INDEX(Listado!A:A,2):INDEX(Listado!A:A,ROW()))),""))</f>
        <v/>
      </c>
      <c r="O442" s="17" t="str">
        <f>IFERROR(IF(N442="","",IF(INDEX(Listado!M:M,N442)="No",IF(INDEX(Listado!N:N,N442)=0,"",INDEX(Listado!N:N,N442)),IF(INDEX(Listado!I:I,N442)=0,"",INDEX(Listado!I:I,N442)))),"")</f>
        <v/>
      </c>
      <c r="P442" s="17">
        <f t="shared" ca="1" si="19"/>
        <v/>
      </c>
      <c r="Q442" s="17">
        <f>IFERROR(IF(AND(N442&lt;&gt;"",ISNUMBER(O442),O442&gt;0,O442&gt;=TODAY()-90),1,0),0)</f>
        <v/>
      </c>
      <c r="R442" s="17" t="str">
        <f t="shared" si="21"/>
        <v/>
      </c>
      <c r="S442" s="17" t="str">
        <f>IF(INDEX(Listado!A:A,ROW())="","",INDEX(Listado!A:A,ROW()))</f>
        <v/>
      </c>
      <c r="T442" s="17" t="str">
        <f ca="1">IF(INDEX(Listado!G:G,ROW())="","",INDEX(Listado!G:G,ROW()))</f>
        <v/>
      </c>
      <c r="U442" s="17" t="str">
        <f>IF(INDEX(Listado!F:F,ROW())="","",INDEX(Listado!F:F,ROW()))</f>
        <v/>
      </c>
      <c r="V442" s="17">
        <f>IF(COUNTA(INDEX(Listado!B:B,ROW()):INDEX(Listado!F:F,ROW()))&gt;0,1,0)</f>
        <v/>
      </c>
      <c r="W442" s="17" t="str">
        <f>IF(INDEX(Listado!L:L,ROW())="","",INDEX(Listado!L:L,ROW()))</f>
        <v/>
      </c>
      <c r="X442" s="17">
        <f>IF(N442="","",IF(INDEX(Listado!$M:$M,N442)="No","No","Sí"))</f>
        <v/>
      </c>
    </row>
    <row r="443" spans="2:24" ht="14.25">
      <c r="N443" s="17" t="str">
        <f>IF(V443=0,"",IFERROR(LOOKUP(2,1/(INDEX(Listado!A:A,2):INDEX(Listado!A:A,ROW())&lt;&gt;""),ROW(INDEX(Listado!A:A,2):INDEX(Listado!A:A,ROW()))),""))</f>
        <v/>
      </c>
      <c r="O443" s="17" t="str">
        <f>IFERROR(IF(N443="","",IF(INDEX(Listado!M:M,N443)="No",IF(INDEX(Listado!N:N,N443)=0,"",INDEX(Listado!N:N,N443)),IF(INDEX(Listado!I:I,N443)=0,"",INDEX(Listado!I:I,N443)))),"")</f>
        <v/>
      </c>
      <c r="P443" s="17">
        <f t="shared" ca="1" si="19"/>
        <v/>
      </c>
      <c r="Q443" s="17">
        <f>IFERROR(IF(AND(N443&lt;&gt;"",ISNUMBER(O443),O443&gt;0,O443&gt;=TODAY()-90),1,0),0)</f>
        <v/>
      </c>
      <c r="R443" s="17" t="str">
        <f t="shared" si="21"/>
        <v/>
      </c>
      <c r="S443" s="17" t="str">
        <f>IF(INDEX(Listado!A:A,ROW())="","",INDEX(Listado!A:A,ROW()))</f>
        <v/>
      </c>
      <c r="T443" s="17" t="str">
        <f ca="1">IF(INDEX(Listado!G:G,ROW())="","",INDEX(Listado!G:G,ROW()))</f>
        <v/>
      </c>
      <c r="U443" s="17" t="str">
        <f>IF(INDEX(Listado!F:F,ROW())="","",INDEX(Listado!F:F,ROW()))</f>
        <v/>
      </c>
      <c r="V443" s="17">
        <f>IF(COUNTA(INDEX(Listado!B:B,ROW()):INDEX(Listado!F:F,ROW()))&gt;0,1,0)</f>
        <v/>
      </c>
      <c r="W443" s="17" t="str">
        <f>IF(INDEX(Listado!L:L,ROW())="","",INDEX(Listado!L:L,ROW()))</f>
        <v/>
      </c>
      <c r="X443" s="17">
        <f>IF(N443="","",IF(INDEX(Listado!$M:$M,N443)="No","No","Sí"))</f>
        <v/>
      </c>
    </row>
    <row r="444" spans="2:24" ht="14.25">
      <c r="N444" s="17" t="str">
        <f>IF(V444=0,"",IFERROR(LOOKUP(2,1/(INDEX(Listado!A:A,2):INDEX(Listado!A:A,ROW())&lt;&gt;""),ROW(INDEX(Listado!A:A,2):INDEX(Listado!A:A,ROW()))),""))</f>
        <v/>
      </c>
      <c r="O444" s="17" t="str">
        <f>IFERROR(IF(N444="","",IF(INDEX(Listado!M:M,N444)="No",IF(INDEX(Listado!N:N,N444)=0,"",INDEX(Listado!N:N,N444)),IF(INDEX(Listado!I:I,N444)=0,"",INDEX(Listado!I:I,N444)))),"")</f>
        <v/>
      </c>
      <c r="P444" s="17">
        <f t="shared" ca="1" si="19"/>
        <v/>
      </c>
      <c r="Q444" s="17">
        <f>IFERROR(IF(AND(N444&lt;&gt;"",ISNUMBER(O444),O444&gt;0,O444&gt;=TODAY()-90),1,0),0)</f>
        <v/>
      </c>
      <c r="R444" s="17" t="str">
        <f t="shared" si="21"/>
        <v/>
      </c>
      <c r="S444" s="17" t="str">
        <f>IF(INDEX(Listado!A:A,ROW())="","",INDEX(Listado!A:A,ROW()))</f>
        <v/>
      </c>
      <c r="T444" s="17" t="str">
        <f ca="1">IF(INDEX(Listado!G:G,ROW())="","",INDEX(Listado!G:G,ROW()))</f>
        <v/>
      </c>
      <c r="U444" s="17" t="str">
        <f>IF(INDEX(Listado!F:F,ROW())="","",INDEX(Listado!F:F,ROW()))</f>
        <v/>
      </c>
      <c r="V444" s="17">
        <f>IF(COUNTA(INDEX(Listado!B:B,ROW()):INDEX(Listado!F:F,ROW()))&gt;0,1,0)</f>
        <v/>
      </c>
      <c r="W444" s="17" t="str">
        <f>IF(INDEX(Listado!L:L,ROW())="","",INDEX(Listado!L:L,ROW()))</f>
        <v/>
      </c>
      <c r="X444" s="17">
        <f>IF(N444="","",IF(INDEX(Listado!$M:$M,N444)="No","No","Sí"))</f>
        <v/>
      </c>
    </row>
    <row r="445" spans="2:24" ht="14.25">
      <c r="N445" s="17" t="str">
        <f>IF(V445=0,"",IFERROR(LOOKUP(2,1/(INDEX(Listado!A:A,2):INDEX(Listado!A:A,ROW())&lt;&gt;""),ROW(INDEX(Listado!A:A,2):INDEX(Listado!A:A,ROW()))),""))</f>
        <v/>
      </c>
      <c r="O445" s="17" t="str">
        <f>IFERROR(IF(N445="","",IF(INDEX(Listado!M:M,N445)="No",IF(INDEX(Listado!N:N,N445)=0,"",INDEX(Listado!N:N,N445)),IF(INDEX(Listado!I:I,N445)=0,"",INDEX(Listado!I:I,N445)))),"")</f>
        <v/>
      </c>
      <c r="P445" s="17">
        <f t="shared" ca="1" si="19"/>
        <v/>
      </c>
      <c r="Q445" s="17">
        <f>IFERROR(IF(AND(N445&lt;&gt;"",ISNUMBER(O445),O445&gt;0,O445&gt;=TODAY()-90),1,0),0)</f>
        <v/>
      </c>
      <c r="R445" s="17" t="str">
        <f t="shared" si="21"/>
        <v/>
      </c>
      <c r="S445" s="17" t="str">
        <f>IF(INDEX(Listado!A:A,ROW())="","",INDEX(Listado!A:A,ROW()))</f>
        <v/>
      </c>
      <c r="T445" s="17" t="str">
        <f ca="1">IF(INDEX(Listado!G:G,ROW())="","",INDEX(Listado!G:G,ROW()))</f>
        <v/>
      </c>
      <c r="U445" s="17" t="str">
        <f>IF(INDEX(Listado!F:F,ROW())="","",INDEX(Listado!F:F,ROW()))</f>
        <v/>
      </c>
      <c r="V445" s="17">
        <f>IF(COUNTA(INDEX(Listado!B:B,ROW()):INDEX(Listado!F:F,ROW()))&gt;0,1,0)</f>
        <v/>
      </c>
      <c r="W445" s="17" t="str">
        <f>IF(INDEX(Listado!L:L,ROW())="","",INDEX(Listado!L:L,ROW()))</f>
        <v/>
      </c>
      <c r="X445" s="17">
        <f>IF(N445="","",IF(INDEX(Listado!$M:$M,N445)="No","No","Sí"))</f>
        <v/>
      </c>
    </row>
    <row r="446" spans="2:24" ht="14.25">
      <c r="N446" s="17" t="str">
        <f>IF(V446=0,"",IFERROR(LOOKUP(2,1/(INDEX(Listado!A:A,2):INDEX(Listado!A:A,ROW())&lt;&gt;""),ROW(INDEX(Listado!A:A,2):INDEX(Listado!A:A,ROW()))),""))</f>
        <v/>
      </c>
      <c r="O446" s="17" t="str">
        <f>IFERROR(IF(N446="","",IF(INDEX(Listado!M:M,N446)="No",IF(INDEX(Listado!N:N,N446)=0,"",INDEX(Listado!N:N,N446)),IF(INDEX(Listado!I:I,N446)=0,"",INDEX(Listado!I:I,N446)))),"")</f>
        <v/>
      </c>
      <c r="P446" s="17">
        <f t="shared" ca="1" si="19"/>
        <v/>
      </c>
      <c r="Q446" s="17">
        <f>IFERROR(IF(AND(N446&lt;&gt;"",ISNUMBER(O446),O446&gt;0,O446&gt;=TODAY()-90),1,0),0)</f>
        <v/>
      </c>
      <c r="R446" s="17" t="str">
        <f t="shared" si="21"/>
        <v/>
      </c>
      <c r="S446" s="17" t="str">
        <f>IF(INDEX(Listado!A:A,ROW())="","",INDEX(Listado!A:A,ROW()))</f>
        <v/>
      </c>
      <c r="T446" s="17" t="str">
        <f ca="1">IF(INDEX(Listado!G:G,ROW())="","",INDEX(Listado!G:G,ROW()))</f>
        <v/>
      </c>
      <c r="U446" s="17" t="str">
        <f>IF(INDEX(Listado!F:F,ROW())="","",INDEX(Listado!F:F,ROW()))</f>
        <v/>
      </c>
      <c r="V446" s="17">
        <f>IF(COUNTA(INDEX(Listado!B:B,ROW()):INDEX(Listado!F:F,ROW()))&gt;0,1,0)</f>
        <v/>
      </c>
      <c r="W446" s="17" t="str">
        <f>IF(INDEX(Listado!L:L,ROW())="","",INDEX(Listado!L:L,ROW()))</f>
        <v/>
      </c>
      <c r="X446" s="17">
        <f>IF(N446="","",IF(INDEX(Listado!$M:$M,N446)="No","No","Sí"))</f>
        <v/>
      </c>
    </row>
    <row r="447" spans="2:24" ht="14.25">
      <c r="N447" s="17" t="str">
        <f>IF(V447=0,"",IFERROR(LOOKUP(2,1/(INDEX(Listado!A:A,2):INDEX(Listado!A:A,ROW())&lt;&gt;""),ROW(INDEX(Listado!A:A,2):INDEX(Listado!A:A,ROW()))),""))</f>
        <v/>
      </c>
      <c r="O447" s="17" t="str">
        <f>IFERROR(IF(N447="","",IF(INDEX(Listado!M:M,N447)="No",IF(INDEX(Listado!N:N,N447)=0,"",INDEX(Listado!N:N,N447)),IF(INDEX(Listado!I:I,N447)=0,"",INDEX(Listado!I:I,N447)))),"")</f>
        <v/>
      </c>
      <c r="P447" s="17">
        <f t="shared" ca="1" si="19"/>
        <v/>
      </c>
      <c r="Q447" s="17">
        <f>IFERROR(IF(AND(N447&lt;&gt;"",ISNUMBER(O447),O447&gt;0,O447&gt;=TODAY()-90),1,0),0)</f>
        <v/>
      </c>
      <c r="R447" s="17" t="str">
        <f t="shared" si="21"/>
        <v/>
      </c>
      <c r="S447" s="17" t="str">
        <f>IF(INDEX(Listado!A:A,ROW())="","",INDEX(Listado!A:A,ROW()))</f>
        <v/>
      </c>
      <c r="T447" s="17" t="str">
        <f ca="1">IF(INDEX(Listado!G:G,ROW())="","",INDEX(Listado!G:G,ROW()))</f>
        <v/>
      </c>
      <c r="U447" s="17" t="str">
        <f>IF(INDEX(Listado!F:F,ROW())="","",INDEX(Listado!F:F,ROW()))</f>
        <v/>
      </c>
      <c r="V447" s="17">
        <f>IF(COUNTA(INDEX(Listado!B:B,ROW()):INDEX(Listado!F:F,ROW()))&gt;0,1,0)</f>
        <v/>
      </c>
      <c r="W447" s="17" t="str">
        <f>IF(INDEX(Listado!L:L,ROW())="","",INDEX(Listado!L:L,ROW()))</f>
        <v/>
      </c>
      <c r="X447" s="17">
        <f>IF(N447="","",IF(INDEX(Listado!$M:$M,N447)="No","No","Sí"))</f>
        <v/>
      </c>
    </row>
    <row r="448" spans="2:24" ht="14.25">
      <c r="N448" s="17" t="str">
        <f>IF(V448=0,"",IFERROR(LOOKUP(2,1/(INDEX(Listado!A:A,2):INDEX(Listado!A:A,ROW())&lt;&gt;""),ROW(INDEX(Listado!A:A,2):INDEX(Listado!A:A,ROW()))),""))</f>
        <v/>
      </c>
      <c r="O448" s="17" t="str">
        <f>IFERROR(IF(N448="","",IF(INDEX(Listado!M:M,N448)="No",IF(INDEX(Listado!N:N,N448)=0,"",INDEX(Listado!N:N,N448)),IF(INDEX(Listado!I:I,N448)=0,"",INDEX(Listado!I:I,N448)))),"")</f>
        <v/>
      </c>
      <c r="P448" s="17">
        <f t="shared" ca="1" si="19"/>
        <v/>
      </c>
      <c r="Q448" s="17">
        <f>IFERROR(IF(AND(N448&lt;&gt;"",ISNUMBER(O448),O448&gt;0,O448&gt;=TODAY()-90),1,0),0)</f>
        <v/>
      </c>
      <c r="R448" s="17" t="str">
        <f t="shared" si="21"/>
        <v/>
      </c>
      <c r="S448" s="17" t="str">
        <f>IF(INDEX(Listado!A:A,ROW())="","",INDEX(Listado!A:A,ROW()))</f>
        <v/>
      </c>
      <c r="T448" s="17" t="str">
        <f ca="1">IF(INDEX(Listado!G:G,ROW())="","",INDEX(Listado!G:G,ROW()))</f>
        <v/>
      </c>
      <c r="U448" s="17" t="str">
        <f>IF(INDEX(Listado!F:F,ROW())="","",INDEX(Listado!F:F,ROW()))</f>
        <v/>
      </c>
      <c r="V448" s="17">
        <f>IF(COUNTA(INDEX(Listado!B:B,ROW()):INDEX(Listado!F:F,ROW()))&gt;0,1,0)</f>
        <v/>
      </c>
      <c r="W448" s="17" t="str">
        <f>IF(INDEX(Listado!L:L,ROW())="","",INDEX(Listado!L:L,ROW()))</f>
        <v/>
      </c>
      <c r="X448" s="17">
        <f>IF(N448="","",IF(INDEX(Listado!$M:$M,N448)="No","No","Sí"))</f>
        <v/>
      </c>
    </row>
    <row r="449" spans="2:24" ht="14.25">
      <c r="N449" s="17" t="str">
        <f>IF(V449=0,"",IFERROR(LOOKUP(2,1/(INDEX(Listado!A:A,2):INDEX(Listado!A:A,ROW())&lt;&gt;""),ROW(INDEX(Listado!A:A,2):INDEX(Listado!A:A,ROW()))),""))</f>
        <v/>
      </c>
      <c r="O449" s="17" t="str">
        <f>IFERROR(IF(N449="","",IF(INDEX(Listado!M:M,N449)="No",IF(INDEX(Listado!N:N,N449)=0,"",INDEX(Listado!N:N,N449)),IF(INDEX(Listado!I:I,N449)=0,"",INDEX(Listado!I:I,N449)))),"")</f>
        <v/>
      </c>
      <c r="P449" s="17">
        <f t="shared" ca="1" si="19"/>
        <v/>
      </c>
      <c r="Q449" s="17">
        <f>IFERROR(IF(AND(N449&lt;&gt;"",ISNUMBER(O449),O449&gt;0,O449&gt;=TODAY()-90),1,0),0)</f>
        <v/>
      </c>
      <c r="R449" s="17" t="str">
        <f t="shared" si="21"/>
        <v/>
      </c>
      <c r="S449" s="17" t="str">
        <f>IF(INDEX(Listado!A:A,ROW())="","",INDEX(Listado!A:A,ROW()))</f>
        <v/>
      </c>
      <c r="T449" s="17" t="str">
        <f ca="1">IF(INDEX(Listado!G:G,ROW())="","",INDEX(Listado!G:G,ROW()))</f>
        <v/>
      </c>
      <c r="U449" s="17" t="str">
        <f>IF(INDEX(Listado!F:F,ROW())="","",INDEX(Listado!F:F,ROW()))</f>
        <v/>
      </c>
      <c r="V449" s="17">
        <f>IF(COUNTA(INDEX(Listado!B:B,ROW()):INDEX(Listado!F:F,ROW()))&gt;0,1,0)</f>
        <v/>
      </c>
      <c r="W449" s="17" t="str">
        <f>IF(INDEX(Listado!L:L,ROW())="","",INDEX(Listado!L:L,ROW()))</f>
        <v/>
      </c>
      <c r="X449" s="17">
        <f>IF(N449="","",IF(INDEX(Listado!$M:$M,N449)="No","No","Sí"))</f>
        <v/>
      </c>
    </row>
    <row r="450" spans="2:24" ht="14.25">
      <c r="N450" s="17" t="str">
        <f>IF(V450=0,"",IFERROR(LOOKUP(2,1/(INDEX(Listado!A:A,2):INDEX(Listado!A:A,ROW())&lt;&gt;""),ROW(INDEX(Listado!A:A,2):INDEX(Listado!A:A,ROW()))),""))</f>
        <v/>
      </c>
      <c r="O450" s="17" t="str">
        <f>IFERROR(IF(N450="","",IF(INDEX(Listado!M:M,N450)="No",IF(INDEX(Listado!N:N,N450)=0,"",INDEX(Listado!N:N,N450)),IF(INDEX(Listado!I:I,N450)=0,"",INDEX(Listado!I:I,N450)))),"")</f>
        <v/>
      </c>
      <c r="P450" s="17">
        <f t="shared" ref="P450:P513" ca="1" si="22">IF(W450="",0,IFERROR(IF(AND(ISNUMBER(W450),W450=INT(W450),ISNUMBER(O450),O450&gt;0,W450&gt;=TODAY(),W450&lt;=O450+90),0,1),1))</f>
        <v/>
      </c>
      <c r="Q450" s="17">
        <f>IFERROR(IF(AND(N450&lt;&gt;"",ISNUMBER(O450),O450&gt;0,O450&gt;=TODAY()-90),1,0),0)</f>
        <v/>
      </c>
      <c r="R450" s="17" t="str">
        <f t="shared" ref="R450:R513" si="24">IF(S450="","",COUNTIFS($N$2:$N$2999,ROW(),$Q$2:$Q$2999,1))</f>
        <v/>
      </c>
      <c r="S450" s="17" t="str">
        <f>IF(INDEX(Listado!A:A,ROW())="","",INDEX(Listado!A:A,ROW()))</f>
        <v/>
      </c>
      <c r="T450" s="17" t="str">
        <f ca="1">IF(INDEX(Listado!G:G,ROW())="","",INDEX(Listado!G:G,ROW()))</f>
        <v/>
      </c>
      <c r="U450" s="17" t="str">
        <f>IF(INDEX(Listado!F:F,ROW())="","",INDEX(Listado!F:F,ROW()))</f>
        <v/>
      </c>
      <c r="V450" s="17">
        <f>IF(COUNTA(INDEX(Listado!B:B,ROW()):INDEX(Listado!F:F,ROW()))&gt;0,1,0)</f>
        <v/>
      </c>
      <c r="W450" s="17" t="str">
        <f>IF(INDEX(Listado!L:L,ROW())="","",INDEX(Listado!L:L,ROW()))</f>
        <v/>
      </c>
      <c r="X450" s="17">
        <f>IF(N450="","",IF(INDEX(Listado!$M:$M,N450)="No","No","Sí"))</f>
        <v/>
      </c>
    </row>
    <row r="451" spans="2:24" ht="14.25">
      <c r="N451" s="17" t="str">
        <f>IF(V451=0,"",IFERROR(LOOKUP(2,1/(INDEX(Listado!A:A,2):INDEX(Listado!A:A,ROW())&lt;&gt;""),ROW(INDEX(Listado!A:A,2):INDEX(Listado!A:A,ROW()))),""))</f>
        <v/>
      </c>
      <c r="O451" s="17" t="str">
        <f>IFERROR(IF(N451="","",IF(INDEX(Listado!M:M,N451)="No",IF(INDEX(Listado!N:N,N451)=0,"",INDEX(Listado!N:N,N451)),IF(INDEX(Listado!I:I,N451)=0,"",INDEX(Listado!I:I,N451)))),"")</f>
        <v/>
      </c>
      <c r="P451" s="17">
        <f t="shared" ca="1" si="22"/>
        <v/>
      </c>
      <c r="Q451" s="17">
        <f>IFERROR(IF(AND(N451&lt;&gt;"",ISNUMBER(O451),O451&gt;0,O451&gt;=TODAY()-90),1,0),0)</f>
        <v/>
      </c>
      <c r="R451" s="17" t="str">
        <f t="shared" si="24"/>
        <v/>
      </c>
      <c r="S451" s="17" t="str">
        <f>IF(INDEX(Listado!A:A,ROW())="","",INDEX(Listado!A:A,ROW()))</f>
        <v/>
      </c>
      <c r="T451" s="17" t="str">
        <f ca="1">IF(INDEX(Listado!G:G,ROW())="","",INDEX(Listado!G:G,ROW()))</f>
        <v/>
      </c>
      <c r="U451" s="17" t="str">
        <f>IF(INDEX(Listado!F:F,ROW())="","",INDEX(Listado!F:F,ROW()))</f>
        <v/>
      </c>
      <c r="V451" s="17">
        <f>IF(COUNTA(INDEX(Listado!B:B,ROW()):INDEX(Listado!F:F,ROW()))&gt;0,1,0)</f>
        <v/>
      </c>
      <c r="W451" s="17" t="str">
        <f>IF(INDEX(Listado!L:L,ROW())="","",INDEX(Listado!L:L,ROW()))</f>
        <v/>
      </c>
      <c r="X451" s="17">
        <f>IF(N451="","",IF(INDEX(Listado!$M:$M,N451)="No","No","Sí"))</f>
        <v/>
      </c>
    </row>
    <row r="452" spans="2:24" ht="14.25">
      <c r="N452" s="17" t="str">
        <f>IF(V452=0,"",IFERROR(LOOKUP(2,1/(INDEX(Listado!A:A,2):INDEX(Listado!A:A,ROW())&lt;&gt;""),ROW(INDEX(Listado!A:A,2):INDEX(Listado!A:A,ROW()))),""))</f>
        <v/>
      </c>
      <c r="O452" s="17" t="str">
        <f>IFERROR(IF(N452="","",IF(INDEX(Listado!M:M,N452)="No",IF(INDEX(Listado!N:N,N452)=0,"",INDEX(Listado!N:N,N452)),IF(INDEX(Listado!I:I,N452)=0,"",INDEX(Listado!I:I,N452)))),"")</f>
        <v/>
      </c>
      <c r="P452" s="17">
        <f t="shared" ca="1" si="22"/>
        <v/>
      </c>
      <c r="Q452" s="17">
        <f>IFERROR(IF(AND(N452&lt;&gt;"",ISNUMBER(O452),O452&gt;0,O452&gt;=TODAY()-90),1,0),0)</f>
        <v/>
      </c>
      <c r="R452" s="17" t="str">
        <f t="shared" si="24"/>
        <v/>
      </c>
      <c r="S452" s="17" t="str">
        <f>IF(INDEX(Listado!A:A,ROW())="","",INDEX(Listado!A:A,ROW()))</f>
        <v/>
      </c>
      <c r="T452" s="17" t="str">
        <f ca="1">IF(INDEX(Listado!G:G,ROW())="","",INDEX(Listado!G:G,ROW()))</f>
        <v/>
      </c>
      <c r="U452" s="17" t="str">
        <f>IF(INDEX(Listado!F:F,ROW())="","",INDEX(Listado!F:F,ROW()))</f>
        <v/>
      </c>
      <c r="V452" s="17">
        <f>IF(COUNTA(INDEX(Listado!B:B,ROW()):INDEX(Listado!F:F,ROW()))&gt;0,1,0)</f>
        <v/>
      </c>
      <c r="W452" s="17" t="str">
        <f>IF(INDEX(Listado!L:L,ROW())="","",INDEX(Listado!L:L,ROW()))</f>
        <v/>
      </c>
      <c r="X452" s="17">
        <f>IF(N452="","",IF(INDEX(Listado!$M:$M,N452)="No","No","Sí"))</f>
        <v/>
      </c>
    </row>
    <row r="453" spans="2:24" ht="14.25">
      <c r="N453" s="17" t="str">
        <f>IF(V453=0,"",IFERROR(LOOKUP(2,1/(INDEX(Listado!A:A,2):INDEX(Listado!A:A,ROW())&lt;&gt;""),ROW(INDEX(Listado!A:A,2):INDEX(Listado!A:A,ROW()))),""))</f>
        <v/>
      </c>
      <c r="O453" s="17" t="str">
        <f>IFERROR(IF(N453="","",IF(INDEX(Listado!M:M,N453)="No",IF(INDEX(Listado!N:N,N453)=0,"",INDEX(Listado!N:N,N453)),IF(INDEX(Listado!I:I,N453)=0,"",INDEX(Listado!I:I,N453)))),"")</f>
        <v/>
      </c>
      <c r="P453" s="17">
        <f t="shared" ca="1" si="22"/>
        <v/>
      </c>
      <c r="Q453" s="17">
        <f>IFERROR(IF(AND(N453&lt;&gt;"",ISNUMBER(O453),O453&gt;0,O453&gt;=TODAY()-90),1,0),0)</f>
        <v/>
      </c>
      <c r="R453" s="17" t="str">
        <f t="shared" si="24"/>
        <v/>
      </c>
      <c r="S453" s="17" t="str">
        <f>IF(INDEX(Listado!A:A,ROW())="","",INDEX(Listado!A:A,ROW()))</f>
        <v/>
      </c>
      <c r="T453" s="17" t="str">
        <f ca="1">IF(INDEX(Listado!G:G,ROW())="","",INDEX(Listado!G:G,ROW()))</f>
        <v/>
      </c>
      <c r="U453" s="17" t="str">
        <f>IF(INDEX(Listado!F:F,ROW())="","",INDEX(Listado!F:F,ROW()))</f>
        <v/>
      </c>
      <c r="V453" s="17">
        <f>IF(COUNTA(INDEX(Listado!B:B,ROW()):INDEX(Listado!F:F,ROW()))&gt;0,1,0)</f>
        <v/>
      </c>
      <c r="W453" s="17" t="str">
        <f>IF(INDEX(Listado!L:L,ROW())="","",INDEX(Listado!L:L,ROW()))</f>
        <v/>
      </c>
      <c r="X453" s="17">
        <f>IF(N453="","",IF(INDEX(Listado!$M:$M,N453)="No","No","Sí"))</f>
        <v/>
      </c>
    </row>
    <row r="454" spans="2:24" ht="14.25">
      <c r="N454" s="17" t="str">
        <f>IF(V454=0,"",IFERROR(LOOKUP(2,1/(INDEX(Listado!A:A,2):INDEX(Listado!A:A,ROW())&lt;&gt;""),ROW(INDEX(Listado!A:A,2):INDEX(Listado!A:A,ROW()))),""))</f>
        <v/>
      </c>
      <c r="O454" s="17" t="str">
        <f>IFERROR(IF(N454="","",IF(INDEX(Listado!M:M,N454)="No",IF(INDEX(Listado!N:N,N454)=0,"",INDEX(Listado!N:N,N454)),IF(INDEX(Listado!I:I,N454)=0,"",INDEX(Listado!I:I,N454)))),"")</f>
        <v/>
      </c>
      <c r="P454" s="17">
        <f t="shared" ca="1" si="22"/>
        <v/>
      </c>
      <c r="Q454" s="17">
        <f>IFERROR(IF(AND(N454&lt;&gt;"",ISNUMBER(O454),O454&gt;0,O454&gt;=TODAY()-90),1,0),0)</f>
        <v/>
      </c>
      <c r="R454" s="17" t="str">
        <f t="shared" si="24"/>
        <v/>
      </c>
      <c r="S454" s="17" t="str">
        <f>IF(INDEX(Listado!A:A,ROW())="","",INDEX(Listado!A:A,ROW()))</f>
        <v/>
      </c>
      <c r="T454" s="17" t="str">
        <f ca="1">IF(INDEX(Listado!G:G,ROW())="","",INDEX(Listado!G:G,ROW()))</f>
        <v/>
      </c>
      <c r="U454" s="17" t="str">
        <f>IF(INDEX(Listado!F:F,ROW())="","",INDEX(Listado!F:F,ROW()))</f>
        <v/>
      </c>
      <c r="V454" s="17">
        <f>IF(COUNTA(INDEX(Listado!B:B,ROW()):INDEX(Listado!F:F,ROW()))&gt;0,1,0)</f>
        <v/>
      </c>
      <c r="W454" s="17" t="str">
        <f>IF(INDEX(Listado!L:L,ROW())="","",INDEX(Listado!L:L,ROW()))</f>
        <v/>
      </c>
      <c r="X454" s="17">
        <f>IF(N454="","",IF(INDEX(Listado!$M:$M,N454)="No","No","Sí"))</f>
        <v/>
      </c>
    </row>
    <row r="455" spans="2:24" ht="14.25">
      <c r="N455" s="17" t="str">
        <f>IF(V455=0,"",IFERROR(LOOKUP(2,1/(INDEX(Listado!A:A,2):INDEX(Listado!A:A,ROW())&lt;&gt;""),ROW(INDEX(Listado!A:A,2):INDEX(Listado!A:A,ROW()))),""))</f>
        <v/>
      </c>
      <c r="O455" s="17" t="str">
        <f>IFERROR(IF(N455="","",IF(INDEX(Listado!M:M,N455)="No",IF(INDEX(Listado!N:N,N455)=0,"",INDEX(Listado!N:N,N455)),IF(INDEX(Listado!I:I,N455)=0,"",INDEX(Listado!I:I,N455)))),"")</f>
        <v/>
      </c>
      <c r="P455" s="17">
        <f t="shared" ca="1" si="22"/>
        <v/>
      </c>
      <c r="Q455" s="17">
        <f>IFERROR(IF(AND(N455&lt;&gt;"",ISNUMBER(O455),O455&gt;0,O455&gt;=TODAY()-90),1,0),0)</f>
        <v/>
      </c>
      <c r="R455" s="17" t="str">
        <f t="shared" si="24"/>
        <v/>
      </c>
      <c r="S455" s="17" t="str">
        <f>IF(INDEX(Listado!A:A,ROW())="","",INDEX(Listado!A:A,ROW()))</f>
        <v/>
      </c>
      <c r="T455" s="17" t="str">
        <f ca="1">IF(INDEX(Listado!G:G,ROW())="","",INDEX(Listado!G:G,ROW()))</f>
        <v/>
      </c>
      <c r="U455" s="17" t="str">
        <f>IF(INDEX(Listado!F:F,ROW())="","",INDEX(Listado!F:F,ROW()))</f>
        <v/>
      </c>
      <c r="V455" s="17">
        <f>IF(COUNTA(INDEX(Listado!B:B,ROW()):INDEX(Listado!F:F,ROW()))&gt;0,1,0)</f>
        <v/>
      </c>
      <c r="W455" s="17" t="str">
        <f>IF(INDEX(Listado!L:L,ROW())="","",INDEX(Listado!L:L,ROW()))</f>
        <v/>
      </c>
      <c r="X455" s="17">
        <f>IF(N455="","",IF(INDEX(Listado!$M:$M,N455)="No","No","Sí"))</f>
        <v/>
      </c>
    </row>
    <row r="456" spans="2:24" ht="14.25">
      <c r="N456" s="17" t="str">
        <f>IF(V456=0,"",IFERROR(LOOKUP(2,1/(INDEX(Listado!A:A,2):INDEX(Listado!A:A,ROW())&lt;&gt;""),ROW(INDEX(Listado!A:A,2):INDEX(Listado!A:A,ROW()))),""))</f>
        <v/>
      </c>
      <c r="O456" s="17" t="str">
        <f>IFERROR(IF(N456="","",IF(INDEX(Listado!M:M,N456)="No",IF(INDEX(Listado!N:N,N456)=0,"",INDEX(Listado!N:N,N456)),IF(INDEX(Listado!I:I,N456)=0,"",INDEX(Listado!I:I,N456)))),"")</f>
        <v/>
      </c>
      <c r="P456" s="17">
        <f t="shared" ca="1" si="22"/>
        <v/>
      </c>
      <c r="Q456" s="17">
        <f>IFERROR(IF(AND(N456&lt;&gt;"",ISNUMBER(O456),O456&gt;0,O456&gt;=TODAY()-90),1,0),0)</f>
        <v/>
      </c>
      <c r="R456" s="17" t="str">
        <f t="shared" si="24"/>
        <v/>
      </c>
      <c r="S456" s="17" t="str">
        <f>IF(INDEX(Listado!A:A,ROW())="","",INDEX(Listado!A:A,ROW()))</f>
        <v/>
      </c>
      <c r="T456" s="17" t="str">
        <f ca="1">IF(INDEX(Listado!G:G,ROW())="","",INDEX(Listado!G:G,ROW()))</f>
        <v/>
      </c>
      <c r="U456" s="17" t="str">
        <f>IF(INDEX(Listado!F:F,ROW())="","",INDEX(Listado!F:F,ROW()))</f>
        <v/>
      </c>
      <c r="V456" s="17">
        <f>IF(COUNTA(INDEX(Listado!B:B,ROW()):INDEX(Listado!F:F,ROW()))&gt;0,1,0)</f>
        <v/>
      </c>
      <c r="W456" s="17" t="str">
        <f>IF(INDEX(Listado!L:L,ROW())="","",INDEX(Listado!L:L,ROW()))</f>
        <v/>
      </c>
      <c r="X456" s="17">
        <f>IF(N456="","",IF(INDEX(Listado!$M:$M,N456)="No","No","Sí"))</f>
        <v/>
      </c>
    </row>
    <row r="457" spans="2:24" ht="14.25">
      <c r="N457" s="17" t="str">
        <f>IF(V457=0,"",IFERROR(LOOKUP(2,1/(INDEX(Listado!A:A,2):INDEX(Listado!A:A,ROW())&lt;&gt;""),ROW(INDEX(Listado!A:A,2):INDEX(Listado!A:A,ROW()))),""))</f>
        <v/>
      </c>
      <c r="O457" s="17" t="str">
        <f>IFERROR(IF(N457="","",IF(INDEX(Listado!M:M,N457)="No",IF(INDEX(Listado!N:N,N457)=0,"",INDEX(Listado!N:N,N457)),IF(INDEX(Listado!I:I,N457)=0,"",INDEX(Listado!I:I,N457)))),"")</f>
        <v/>
      </c>
      <c r="P457" s="17">
        <f t="shared" ca="1" si="22"/>
        <v/>
      </c>
      <c r="Q457" s="17">
        <f>IFERROR(IF(AND(N457&lt;&gt;"",ISNUMBER(O457),O457&gt;0,O457&gt;=TODAY()-90),1,0),0)</f>
        <v/>
      </c>
      <c r="R457" s="17" t="str">
        <f t="shared" si="24"/>
        <v/>
      </c>
      <c r="S457" s="17" t="str">
        <f>IF(INDEX(Listado!A:A,ROW())="","",INDEX(Listado!A:A,ROW()))</f>
        <v/>
      </c>
      <c r="T457" s="17" t="str">
        <f ca="1">IF(INDEX(Listado!G:G,ROW())="","",INDEX(Listado!G:G,ROW()))</f>
        <v/>
      </c>
      <c r="U457" s="17" t="str">
        <f>IF(INDEX(Listado!F:F,ROW())="","",INDEX(Listado!F:F,ROW()))</f>
        <v/>
      </c>
      <c r="V457" s="17">
        <f>IF(COUNTA(INDEX(Listado!B:B,ROW()):INDEX(Listado!F:F,ROW()))&gt;0,1,0)</f>
        <v/>
      </c>
      <c r="W457" s="17" t="str">
        <f>IF(INDEX(Listado!L:L,ROW())="","",INDEX(Listado!L:L,ROW()))</f>
        <v/>
      </c>
      <c r="X457" s="17">
        <f>IF(N457="","",IF(INDEX(Listado!$M:$M,N457)="No","No","Sí"))</f>
        <v/>
      </c>
    </row>
    <row r="458" spans="2:24" ht="14.25">
      <c r="N458" s="17" t="str">
        <f>IF(V458=0,"",IFERROR(LOOKUP(2,1/(INDEX(Listado!A:A,2):INDEX(Listado!A:A,ROW())&lt;&gt;""),ROW(INDEX(Listado!A:A,2):INDEX(Listado!A:A,ROW()))),""))</f>
        <v/>
      </c>
      <c r="O458" s="17" t="str">
        <f>IFERROR(IF(N458="","",IF(INDEX(Listado!M:M,N458)="No",IF(INDEX(Listado!N:N,N458)=0,"",INDEX(Listado!N:N,N458)),IF(INDEX(Listado!I:I,N458)=0,"",INDEX(Listado!I:I,N458)))),"")</f>
        <v/>
      </c>
      <c r="P458" s="17">
        <f t="shared" ca="1" si="22"/>
        <v/>
      </c>
      <c r="Q458" s="17">
        <f>IFERROR(IF(AND(N458&lt;&gt;"",ISNUMBER(O458),O458&gt;0,O458&gt;=TODAY()-90),1,0),0)</f>
        <v/>
      </c>
      <c r="R458" s="17" t="str">
        <f t="shared" si="24"/>
        <v/>
      </c>
      <c r="S458" s="17" t="str">
        <f>IF(INDEX(Listado!A:A,ROW())="","",INDEX(Listado!A:A,ROW()))</f>
        <v/>
      </c>
      <c r="T458" s="17" t="str">
        <f ca="1">IF(INDEX(Listado!G:G,ROW())="","",INDEX(Listado!G:G,ROW()))</f>
        <v/>
      </c>
      <c r="U458" s="17" t="str">
        <f>IF(INDEX(Listado!F:F,ROW())="","",INDEX(Listado!F:F,ROW()))</f>
        <v/>
      </c>
      <c r="V458" s="17">
        <f>IF(COUNTA(INDEX(Listado!B:B,ROW()):INDEX(Listado!F:F,ROW()))&gt;0,1,0)</f>
        <v/>
      </c>
      <c r="W458" s="17" t="str">
        <f>IF(INDEX(Listado!L:L,ROW())="","",INDEX(Listado!L:L,ROW()))</f>
        <v/>
      </c>
      <c r="X458" s="17">
        <f>IF(N458="","",IF(INDEX(Listado!$M:$M,N458)="No","No","Sí"))</f>
        <v/>
      </c>
    </row>
    <row r="459" spans="2:24" ht="14.25">
      <c r="N459" s="17" t="str">
        <f>IF(V459=0,"",IFERROR(LOOKUP(2,1/(INDEX(Listado!A:A,2):INDEX(Listado!A:A,ROW())&lt;&gt;""),ROW(INDEX(Listado!A:A,2):INDEX(Listado!A:A,ROW()))),""))</f>
        <v/>
      </c>
      <c r="O459" s="17" t="str">
        <f>IFERROR(IF(N459="","",IF(INDEX(Listado!M:M,N459)="No",IF(INDEX(Listado!N:N,N459)=0,"",INDEX(Listado!N:N,N459)),IF(INDEX(Listado!I:I,N459)=0,"",INDEX(Listado!I:I,N459)))),"")</f>
        <v/>
      </c>
      <c r="P459" s="17">
        <f t="shared" ca="1" si="22"/>
        <v/>
      </c>
      <c r="Q459" s="17">
        <f>IFERROR(IF(AND(N459&lt;&gt;"",ISNUMBER(O459),O459&gt;0,O459&gt;=TODAY()-90),1,0),0)</f>
        <v/>
      </c>
      <c r="R459" s="17" t="str">
        <f t="shared" si="24"/>
        <v/>
      </c>
      <c r="S459" s="17" t="str">
        <f>IF(INDEX(Listado!A:A,ROW())="","",INDEX(Listado!A:A,ROW()))</f>
        <v/>
      </c>
      <c r="T459" s="17" t="str">
        <f ca="1">IF(INDEX(Listado!G:G,ROW())="","",INDEX(Listado!G:G,ROW()))</f>
        <v/>
      </c>
      <c r="U459" s="17" t="str">
        <f>IF(INDEX(Listado!F:F,ROW())="","",INDEX(Listado!F:F,ROW()))</f>
        <v/>
      </c>
      <c r="V459" s="17">
        <f>IF(COUNTA(INDEX(Listado!B:B,ROW()):INDEX(Listado!F:F,ROW()))&gt;0,1,0)</f>
        <v/>
      </c>
      <c r="W459" s="17" t="str">
        <f>IF(INDEX(Listado!L:L,ROW())="","",INDEX(Listado!L:L,ROW()))</f>
        <v/>
      </c>
      <c r="X459" s="17">
        <f>IF(N459="","",IF(INDEX(Listado!$M:$M,N459)="No","No","Sí"))</f>
        <v/>
      </c>
    </row>
    <row r="460" spans="2:24" ht="14.25">
      <c r="N460" s="17" t="str">
        <f>IF(V460=0,"",IFERROR(LOOKUP(2,1/(INDEX(Listado!A:A,2):INDEX(Listado!A:A,ROW())&lt;&gt;""),ROW(INDEX(Listado!A:A,2):INDEX(Listado!A:A,ROW()))),""))</f>
        <v/>
      </c>
      <c r="O460" s="17" t="str">
        <f>IFERROR(IF(N460="","",IF(INDEX(Listado!M:M,N460)="No",IF(INDEX(Listado!N:N,N460)=0,"",INDEX(Listado!N:N,N460)),IF(INDEX(Listado!I:I,N460)=0,"",INDEX(Listado!I:I,N460)))),"")</f>
        <v/>
      </c>
      <c r="P460" s="17">
        <f t="shared" ca="1" si="22"/>
        <v/>
      </c>
      <c r="Q460" s="17">
        <f>IFERROR(IF(AND(N460&lt;&gt;"",ISNUMBER(O460),O460&gt;0,O460&gt;=TODAY()-90),1,0),0)</f>
        <v/>
      </c>
      <c r="R460" s="17" t="str">
        <f t="shared" si="24"/>
        <v/>
      </c>
      <c r="S460" s="17" t="str">
        <f>IF(INDEX(Listado!A:A,ROW())="","",INDEX(Listado!A:A,ROW()))</f>
        <v/>
      </c>
      <c r="T460" s="17" t="str">
        <f ca="1">IF(INDEX(Listado!G:G,ROW())="","",INDEX(Listado!G:G,ROW()))</f>
        <v/>
      </c>
      <c r="U460" s="17" t="str">
        <f>IF(INDEX(Listado!F:F,ROW())="","",INDEX(Listado!F:F,ROW()))</f>
        <v/>
      </c>
      <c r="V460" s="17">
        <f>IF(COUNTA(INDEX(Listado!B:B,ROW()):INDEX(Listado!F:F,ROW()))&gt;0,1,0)</f>
        <v/>
      </c>
      <c r="W460" s="17" t="str">
        <f>IF(INDEX(Listado!L:L,ROW())="","",INDEX(Listado!L:L,ROW()))</f>
        <v/>
      </c>
      <c r="X460" s="17">
        <f>IF(N460="","",IF(INDEX(Listado!$M:$M,N460)="No","No","Sí"))</f>
        <v/>
      </c>
    </row>
    <row r="461" spans="2:24" ht="14.25">
      <c r="N461" s="17" t="str">
        <f>IF(V461=0,"",IFERROR(LOOKUP(2,1/(INDEX(Listado!A:A,2):INDEX(Listado!A:A,ROW())&lt;&gt;""),ROW(INDEX(Listado!A:A,2):INDEX(Listado!A:A,ROW()))),""))</f>
        <v/>
      </c>
      <c r="O461" s="17" t="str">
        <f>IFERROR(IF(N461="","",IF(INDEX(Listado!M:M,N461)="No",IF(INDEX(Listado!N:N,N461)=0,"",INDEX(Listado!N:N,N461)),IF(INDEX(Listado!I:I,N461)=0,"",INDEX(Listado!I:I,N461)))),"")</f>
        <v/>
      </c>
      <c r="P461" s="17">
        <f t="shared" ca="1" si="22"/>
        <v/>
      </c>
      <c r="Q461" s="17">
        <f>IFERROR(IF(AND(N461&lt;&gt;"",ISNUMBER(O461),O461&gt;0,O461&gt;=TODAY()-90),1,0),0)</f>
        <v/>
      </c>
      <c r="R461" s="17" t="str">
        <f t="shared" si="24"/>
        <v/>
      </c>
      <c r="S461" s="17" t="str">
        <f>IF(INDEX(Listado!A:A,ROW())="","",INDEX(Listado!A:A,ROW()))</f>
        <v/>
      </c>
      <c r="T461" s="17" t="str">
        <f ca="1">IF(INDEX(Listado!G:G,ROW())="","",INDEX(Listado!G:G,ROW()))</f>
        <v/>
      </c>
      <c r="U461" s="17" t="str">
        <f>IF(INDEX(Listado!F:F,ROW())="","",INDEX(Listado!F:F,ROW()))</f>
        <v/>
      </c>
      <c r="V461" s="17">
        <f>IF(COUNTA(INDEX(Listado!B:B,ROW()):INDEX(Listado!F:F,ROW()))&gt;0,1,0)</f>
        <v/>
      </c>
      <c r="W461" s="17" t="str">
        <f>IF(INDEX(Listado!L:L,ROW())="","",INDEX(Listado!L:L,ROW()))</f>
        <v/>
      </c>
      <c r="X461" s="17">
        <f>IF(N461="","",IF(INDEX(Listado!$M:$M,N461)="No","No","Sí"))</f>
        <v/>
      </c>
    </row>
    <row r="462" spans="2:24" ht="14.25">
      <c r="N462" s="17" t="str">
        <f>IF(V462=0,"",IFERROR(LOOKUP(2,1/(INDEX(Listado!A:A,2):INDEX(Listado!A:A,ROW())&lt;&gt;""),ROW(INDEX(Listado!A:A,2):INDEX(Listado!A:A,ROW()))),""))</f>
        <v/>
      </c>
      <c r="O462" s="17" t="str">
        <f>IFERROR(IF(N462="","",IF(INDEX(Listado!M:M,N462)="No",IF(INDEX(Listado!N:N,N462)=0,"",INDEX(Listado!N:N,N462)),IF(INDEX(Listado!I:I,N462)=0,"",INDEX(Listado!I:I,N462)))),"")</f>
        <v/>
      </c>
      <c r="P462" s="17">
        <f t="shared" ca="1" si="22"/>
        <v/>
      </c>
      <c r="Q462" s="17">
        <f>IFERROR(IF(AND(N462&lt;&gt;"",ISNUMBER(O462),O462&gt;0,O462&gt;=TODAY()-90),1,0),0)</f>
        <v/>
      </c>
      <c r="R462" s="17" t="str">
        <f t="shared" si="24"/>
        <v/>
      </c>
      <c r="S462" s="17" t="str">
        <f>IF(INDEX(Listado!A:A,ROW())="","",INDEX(Listado!A:A,ROW()))</f>
        <v/>
      </c>
      <c r="T462" s="17" t="str">
        <f ca="1">IF(INDEX(Listado!G:G,ROW())="","",INDEX(Listado!G:G,ROW()))</f>
        <v/>
      </c>
      <c r="U462" s="17" t="str">
        <f>IF(INDEX(Listado!F:F,ROW())="","",INDEX(Listado!F:F,ROW()))</f>
        <v/>
      </c>
      <c r="V462" s="17">
        <f>IF(COUNTA(INDEX(Listado!B:B,ROW()):INDEX(Listado!F:F,ROW()))&gt;0,1,0)</f>
        <v/>
      </c>
      <c r="W462" s="17" t="str">
        <f>IF(INDEX(Listado!L:L,ROW())="","",INDEX(Listado!L:L,ROW()))</f>
        <v/>
      </c>
      <c r="X462" s="17">
        <f>IF(N462="","",IF(INDEX(Listado!$M:$M,N462)="No","No","Sí"))</f>
        <v/>
      </c>
    </row>
    <row r="463" spans="2:24" ht="14.25">
      <c r="N463" s="17" t="str">
        <f>IF(V463=0,"",IFERROR(LOOKUP(2,1/(INDEX(Listado!A:A,2):INDEX(Listado!A:A,ROW())&lt;&gt;""),ROW(INDEX(Listado!A:A,2):INDEX(Listado!A:A,ROW()))),""))</f>
        <v/>
      </c>
      <c r="O463" s="17" t="str">
        <f>IFERROR(IF(N463="","",IF(INDEX(Listado!M:M,N463)="No",IF(INDEX(Listado!N:N,N463)=0,"",INDEX(Listado!N:N,N463)),IF(INDEX(Listado!I:I,N463)=0,"",INDEX(Listado!I:I,N463)))),"")</f>
        <v/>
      </c>
      <c r="P463" s="17">
        <f t="shared" ca="1" si="22"/>
        <v/>
      </c>
      <c r="Q463" s="17">
        <f>IFERROR(IF(AND(N463&lt;&gt;"",ISNUMBER(O463),O463&gt;0,O463&gt;=TODAY()-90),1,0),0)</f>
        <v/>
      </c>
      <c r="R463" s="17" t="str">
        <f t="shared" si="24"/>
        <v/>
      </c>
      <c r="S463" s="17" t="str">
        <f>IF(INDEX(Listado!A:A,ROW())="","",INDEX(Listado!A:A,ROW()))</f>
        <v/>
      </c>
      <c r="T463" s="17" t="str">
        <f ca="1">IF(INDEX(Listado!G:G,ROW())="","",INDEX(Listado!G:G,ROW()))</f>
        <v/>
      </c>
      <c r="U463" s="17" t="str">
        <f>IF(INDEX(Listado!F:F,ROW())="","",INDEX(Listado!F:F,ROW()))</f>
        <v/>
      </c>
      <c r="V463" s="17">
        <f>IF(COUNTA(INDEX(Listado!B:B,ROW()):INDEX(Listado!F:F,ROW()))&gt;0,1,0)</f>
        <v/>
      </c>
      <c r="W463" s="17" t="str">
        <f>IF(INDEX(Listado!L:L,ROW())="","",INDEX(Listado!L:L,ROW()))</f>
        <v/>
      </c>
      <c r="X463" s="17">
        <f>IF(N463="","",IF(INDEX(Listado!$M:$M,N463)="No","No","Sí"))</f>
        <v/>
      </c>
    </row>
    <row r="464" spans="2:24" ht="14.25">
      <c r="N464" s="17" t="str">
        <f>IF(V464=0,"",IFERROR(LOOKUP(2,1/(INDEX(Listado!A:A,2):INDEX(Listado!A:A,ROW())&lt;&gt;""),ROW(INDEX(Listado!A:A,2):INDEX(Listado!A:A,ROW()))),""))</f>
        <v/>
      </c>
      <c r="O464" s="17" t="str">
        <f>IFERROR(IF(N464="","",IF(INDEX(Listado!M:M,N464)="No",IF(INDEX(Listado!N:N,N464)=0,"",INDEX(Listado!N:N,N464)),IF(INDEX(Listado!I:I,N464)=0,"",INDEX(Listado!I:I,N464)))),"")</f>
        <v/>
      </c>
      <c r="P464" s="17">
        <f t="shared" ca="1" si="22"/>
        <v/>
      </c>
      <c r="Q464" s="17">
        <f>IFERROR(IF(AND(N464&lt;&gt;"",ISNUMBER(O464),O464&gt;0,O464&gt;=TODAY()-90),1,0),0)</f>
        <v/>
      </c>
      <c r="R464" s="17" t="str">
        <f t="shared" si="24"/>
        <v/>
      </c>
      <c r="S464" s="17" t="str">
        <f>IF(INDEX(Listado!A:A,ROW())="","",INDEX(Listado!A:A,ROW()))</f>
        <v/>
      </c>
      <c r="T464" s="17" t="str">
        <f ca="1">IF(INDEX(Listado!G:G,ROW())="","",INDEX(Listado!G:G,ROW()))</f>
        <v/>
      </c>
      <c r="U464" s="17" t="str">
        <f>IF(INDEX(Listado!F:F,ROW())="","",INDEX(Listado!F:F,ROW()))</f>
        <v/>
      </c>
      <c r="V464" s="17">
        <f>IF(COUNTA(INDEX(Listado!B:B,ROW()):INDEX(Listado!F:F,ROW()))&gt;0,1,0)</f>
        <v/>
      </c>
      <c r="W464" s="17" t="str">
        <f>IF(INDEX(Listado!L:L,ROW())="","",INDEX(Listado!L:L,ROW()))</f>
        <v/>
      </c>
      <c r="X464" s="17">
        <f>IF(N464="","",IF(INDEX(Listado!$M:$M,N464)="No","No","Sí"))</f>
        <v/>
      </c>
    </row>
    <row r="465" spans="2:24" ht="14.25">
      <c r="N465" s="17" t="str">
        <f>IF(V465=0,"",IFERROR(LOOKUP(2,1/(INDEX(Listado!A:A,2):INDEX(Listado!A:A,ROW())&lt;&gt;""),ROW(INDEX(Listado!A:A,2):INDEX(Listado!A:A,ROW()))),""))</f>
        <v/>
      </c>
      <c r="O465" s="17" t="str">
        <f>IFERROR(IF(N465="","",IF(INDEX(Listado!M:M,N465)="No",IF(INDEX(Listado!N:N,N465)=0,"",INDEX(Listado!N:N,N465)),IF(INDEX(Listado!I:I,N465)=0,"",INDEX(Listado!I:I,N465)))),"")</f>
        <v/>
      </c>
      <c r="P465" s="17">
        <f t="shared" ca="1" si="22"/>
        <v/>
      </c>
      <c r="Q465" s="17">
        <f>IFERROR(IF(AND(N465&lt;&gt;"",ISNUMBER(O465),O465&gt;0,O465&gt;=TODAY()-90),1,0),0)</f>
        <v/>
      </c>
      <c r="R465" s="17" t="str">
        <f t="shared" si="24"/>
        <v/>
      </c>
      <c r="S465" s="17" t="str">
        <f>IF(INDEX(Listado!A:A,ROW())="","",INDEX(Listado!A:A,ROW()))</f>
        <v/>
      </c>
      <c r="T465" s="17" t="str">
        <f ca="1">IF(INDEX(Listado!G:G,ROW())="","",INDEX(Listado!G:G,ROW()))</f>
        <v/>
      </c>
      <c r="U465" s="17" t="str">
        <f>IF(INDEX(Listado!F:F,ROW())="","",INDEX(Listado!F:F,ROW()))</f>
        <v/>
      </c>
      <c r="V465" s="17">
        <f>IF(COUNTA(INDEX(Listado!B:B,ROW()):INDEX(Listado!F:F,ROW()))&gt;0,1,0)</f>
        <v/>
      </c>
      <c r="W465" s="17" t="str">
        <f>IF(INDEX(Listado!L:L,ROW())="","",INDEX(Listado!L:L,ROW()))</f>
        <v/>
      </c>
      <c r="X465" s="17">
        <f>IF(N465="","",IF(INDEX(Listado!$M:$M,N465)="No","No","Sí"))</f>
        <v/>
      </c>
    </row>
    <row r="466" spans="2:24" ht="14.25">
      <c r="N466" s="17" t="str">
        <f>IF(V466=0,"",IFERROR(LOOKUP(2,1/(INDEX(Listado!A:A,2):INDEX(Listado!A:A,ROW())&lt;&gt;""),ROW(INDEX(Listado!A:A,2):INDEX(Listado!A:A,ROW()))),""))</f>
        <v/>
      </c>
      <c r="O466" s="17" t="str">
        <f>IFERROR(IF(N466="","",IF(INDEX(Listado!M:M,N466)="No",IF(INDEX(Listado!N:N,N466)=0,"",INDEX(Listado!N:N,N466)),IF(INDEX(Listado!I:I,N466)=0,"",INDEX(Listado!I:I,N466)))),"")</f>
        <v/>
      </c>
      <c r="P466" s="17">
        <f t="shared" ca="1" si="22"/>
        <v/>
      </c>
      <c r="Q466" s="17">
        <f>IFERROR(IF(AND(N466&lt;&gt;"",ISNUMBER(O466),O466&gt;0,O466&gt;=TODAY()-90),1,0),0)</f>
        <v/>
      </c>
      <c r="R466" s="17" t="str">
        <f t="shared" si="24"/>
        <v/>
      </c>
      <c r="S466" s="17" t="str">
        <f>IF(INDEX(Listado!A:A,ROW())="","",INDEX(Listado!A:A,ROW()))</f>
        <v/>
      </c>
      <c r="T466" s="17" t="str">
        <f ca="1">IF(INDEX(Listado!G:G,ROW())="","",INDEX(Listado!G:G,ROW()))</f>
        <v/>
      </c>
      <c r="U466" s="17" t="str">
        <f>IF(INDEX(Listado!F:F,ROW())="","",INDEX(Listado!F:F,ROW()))</f>
        <v/>
      </c>
      <c r="V466" s="17">
        <f>IF(COUNTA(INDEX(Listado!B:B,ROW()):INDEX(Listado!F:F,ROW()))&gt;0,1,0)</f>
        <v/>
      </c>
      <c r="W466" s="17" t="str">
        <f>IF(INDEX(Listado!L:L,ROW())="","",INDEX(Listado!L:L,ROW()))</f>
        <v/>
      </c>
      <c r="X466" s="17">
        <f>IF(N466="","",IF(INDEX(Listado!$M:$M,N466)="No","No","Sí"))</f>
        <v/>
      </c>
    </row>
    <row r="467" spans="2:24" ht="14.25">
      <c r="N467" s="17" t="str">
        <f>IF(V467=0,"",IFERROR(LOOKUP(2,1/(INDEX(Listado!A:A,2):INDEX(Listado!A:A,ROW())&lt;&gt;""),ROW(INDEX(Listado!A:A,2):INDEX(Listado!A:A,ROW()))),""))</f>
        <v/>
      </c>
      <c r="O467" s="17" t="str">
        <f>IFERROR(IF(N467="","",IF(INDEX(Listado!M:M,N467)="No",IF(INDEX(Listado!N:N,N467)=0,"",INDEX(Listado!N:N,N467)),IF(INDEX(Listado!I:I,N467)=0,"",INDEX(Listado!I:I,N467)))),"")</f>
        <v/>
      </c>
      <c r="P467" s="17">
        <f t="shared" ca="1" si="22"/>
        <v/>
      </c>
      <c r="Q467" s="17">
        <f>IFERROR(IF(AND(N467&lt;&gt;"",ISNUMBER(O467),O467&gt;0,O467&gt;=TODAY()-90),1,0),0)</f>
        <v/>
      </c>
      <c r="R467" s="17" t="str">
        <f t="shared" si="24"/>
        <v/>
      </c>
      <c r="S467" s="17" t="str">
        <f>IF(INDEX(Listado!A:A,ROW())="","",INDEX(Listado!A:A,ROW()))</f>
        <v/>
      </c>
      <c r="T467" s="17" t="str">
        <f ca="1">IF(INDEX(Listado!G:G,ROW())="","",INDEX(Listado!G:G,ROW()))</f>
        <v/>
      </c>
      <c r="U467" s="17" t="str">
        <f>IF(INDEX(Listado!F:F,ROW())="","",INDEX(Listado!F:F,ROW()))</f>
        <v/>
      </c>
      <c r="V467" s="17">
        <f>IF(COUNTA(INDEX(Listado!B:B,ROW()):INDEX(Listado!F:F,ROW()))&gt;0,1,0)</f>
        <v/>
      </c>
      <c r="W467" s="17" t="str">
        <f>IF(INDEX(Listado!L:L,ROW())="","",INDEX(Listado!L:L,ROW()))</f>
        <v/>
      </c>
      <c r="X467" s="17">
        <f>IF(N467="","",IF(INDEX(Listado!$M:$M,N467)="No","No","Sí"))</f>
        <v/>
      </c>
    </row>
    <row r="468" spans="2:24" ht="14.25">
      <c r="N468" s="17" t="str">
        <f>IF(V468=0,"",IFERROR(LOOKUP(2,1/(INDEX(Listado!A:A,2):INDEX(Listado!A:A,ROW())&lt;&gt;""),ROW(INDEX(Listado!A:A,2):INDEX(Listado!A:A,ROW()))),""))</f>
        <v/>
      </c>
      <c r="O468" s="17" t="str">
        <f>IFERROR(IF(N468="","",IF(INDEX(Listado!M:M,N468)="No",IF(INDEX(Listado!N:N,N468)=0,"",INDEX(Listado!N:N,N468)),IF(INDEX(Listado!I:I,N468)=0,"",INDEX(Listado!I:I,N468)))),"")</f>
        <v/>
      </c>
      <c r="P468" s="17">
        <f t="shared" ca="1" si="22"/>
        <v/>
      </c>
      <c r="Q468" s="17">
        <f>IFERROR(IF(AND(N468&lt;&gt;"",ISNUMBER(O468),O468&gt;0,O468&gt;=TODAY()-90),1,0),0)</f>
        <v/>
      </c>
      <c r="R468" s="17" t="str">
        <f t="shared" si="24"/>
        <v/>
      </c>
      <c r="S468" s="17" t="str">
        <f>IF(INDEX(Listado!A:A,ROW())="","",INDEX(Listado!A:A,ROW()))</f>
        <v/>
      </c>
      <c r="T468" s="17" t="str">
        <f ca="1">IF(INDEX(Listado!G:G,ROW())="","",INDEX(Listado!G:G,ROW()))</f>
        <v/>
      </c>
      <c r="U468" s="17" t="str">
        <f>IF(INDEX(Listado!F:F,ROW())="","",INDEX(Listado!F:F,ROW()))</f>
        <v/>
      </c>
      <c r="V468" s="17">
        <f>IF(COUNTA(INDEX(Listado!B:B,ROW()):INDEX(Listado!F:F,ROW()))&gt;0,1,0)</f>
        <v/>
      </c>
      <c r="W468" s="17" t="str">
        <f>IF(INDEX(Listado!L:L,ROW())="","",INDEX(Listado!L:L,ROW()))</f>
        <v/>
      </c>
      <c r="X468" s="17">
        <f>IF(N468="","",IF(INDEX(Listado!$M:$M,N468)="No","No","Sí"))</f>
        <v/>
      </c>
    </row>
    <row r="469" spans="2:24" ht="14.25">
      <c r="N469" s="17" t="str">
        <f>IF(V469=0,"",IFERROR(LOOKUP(2,1/(INDEX(Listado!A:A,2):INDEX(Listado!A:A,ROW())&lt;&gt;""),ROW(INDEX(Listado!A:A,2):INDEX(Listado!A:A,ROW()))),""))</f>
        <v/>
      </c>
      <c r="O469" s="17" t="str">
        <f>IFERROR(IF(N469="","",IF(INDEX(Listado!M:M,N469)="No",IF(INDEX(Listado!N:N,N469)=0,"",INDEX(Listado!N:N,N469)),IF(INDEX(Listado!I:I,N469)=0,"",INDEX(Listado!I:I,N469)))),"")</f>
        <v/>
      </c>
      <c r="P469" s="17">
        <f t="shared" ca="1" si="22"/>
        <v/>
      </c>
      <c r="Q469" s="17">
        <f>IFERROR(IF(AND(N469&lt;&gt;"",ISNUMBER(O469),O469&gt;0,O469&gt;=TODAY()-90),1,0),0)</f>
        <v/>
      </c>
      <c r="R469" s="17" t="str">
        <f t="shared" si="24"/>
        <v/>
      </c>
      <c r="S469" s="17" t="str">
        <f>IF(INDEX(Listado!A:A,ROW())="","",INDEX(Listado!A:A,ROW()))</f>
        <v/>
      </c>
      <c r="T469" s="17" t="str">
        <f ca="1">IF(INDEX(Listado!G:G,ROW())="","",INDEX(Listado!G:G,ROW()))</f>
        <v/>
      </c>
      <c r="U469" s="17" t="str">
        <f>IF(INDEX(Listado!F:F,ROW())="","",INDEX(Listado!F:F,ROW()))</f>
        <v/>
      </c>
      <c r="V469" s="17">
        <f>IF(COUNTA(INDEX(Listado!B:B,ROW()):INDEX(Listado!F:F,ROW()))&gt;0,1,0)</f>
        <v/>
      </c>
      <c r="W469" s="17" t="str">
        <f>IF(INDEX(Listado!L:L,ROW())="","",INDEX(Listado!L:L,ROW()))</f>
        <v/>
      </c>
      <c r="X469" s="17">
        <f>IF(N469="","",IF(INDEX(Listado!$M:$M,N469)="No","No","Sí"))</f>
        <v/>
      </c>
    </row>
    <row r="470" spans="2:24" ht="14.25">
      <c r="N470" s="17" t="str">
        <f>IF(V470=0,"",IFERROR(LOOKUP(2,1/(INDEX(Listado!A:A,2):INDEX(Listado!A:A,ROW())&lt;&gt;""),ROW(INDEX(Listado!A:A,2):INDEX(Listado!A:A,ROW()))),""))</f>
        <v/>
      </c>
      <c r="O470" s="17" t="str">
        <f>IFERROR(IF(N470="","",IF(INDEX(Listado!M:M,N470)="No",IF(INDEX(Listado!N:N,N470)=0,"",INDEX(Listado!N:N,N470)),IF(INDEX(Listado!I:I,N470)=0,"",INDEX(Listado!I:I,N470)))),"")</f>
        <v/>
      </c>
      <c r="P470" s="17">
        <f t="shared" ca="1" si="22"/>
        <v/>
      </c>
      <c r="Q470" s="17">
        <f>IFERROR(IF(AND(N470&lt;&gt;"",ISNUMBER(O470),O470&gt;0,O470&gt;=TODAY()-90),1,0),0)</f>
        <v/>
      </c>
      <c r="R470" s="17" t="str">
        <f t="shared" si="24"/>
        <v/>
      </c>
      <c r="S470" s="17" t="str">
        <f>IF(INDEX(Listado!A:A,ROW())="","",INDEX(Listado!A:A,ROW()))</f>
        <v/>
      </c>
      <c r="T470" s="17" t="str">
        <f ca="1">IF(INDEX(Listado!G:G,ROW())="","",INDEX(Listado!G:G,ROW()))</f>
        <v/>
      </c>
      <c r="U470" s="17" t="str">
        <f>IF(INDEX(Listado!F:F,ROW())="","",INDEX(Listado!F:F,ROW()))</f>
        <v/>
      </c>
      <c r="V470" s="17">
        <f>IF(COUNTA(INDEX(Listado!B:B,ROW()):INDEX(Listado!F:F,ROW()))&gt;0,1,0)</f>
        <v/>
      </c>
      <c r="W470" s="17" t="str">
        <f>IF(INDEX(Listado!L:L,ROW())="","",INDEX(Listado!L:L,ROW()))</f>
        <v/>
      </c>
      <c r="X470" s="17">
        <f>IF(N470="","",IF(INDEX(Listado!$M:$M,N470)="No","No","Sí"))</f>
        <v/>
      </c>
    </row>
    <row r="471" spans="2:24" ht="14.25">
      <c r="N471" s="17" t="str">
        <f>IF(V471=0,"",IFERROR(LOOKUP(2,1/(INDEX(Listado!A:A,2):INDEX(Listado!A:A,ROW())&lt;&gt;""),ROW(INDEX(Listado!A:A,2):INDEX(Listado!A:A,ROW()))),""))</f>
        <v/>
      </c>
      <c r="O471" s="17" t="str">
        <f>IFERROR(IF(N471="","",IF(INDEX(Listado!M:M,N471)="No",IF(INDEX(Listado!N:N,N471)=0,"",INDEX(Listado!N:N,N471)),IF(INDEX(Listado!I:I,N471)=0,"",INDEX(Listado!I:I,N471)))),"")</f>
        <v/>
      </c>
      <c r="P471" s="17">
        <f t="shared" ca="1" si="22"/>
        <v/>
      </c>
      <c r="Q471" s="17">
        <f>IFERROR(IF(AND(N471&lt;&gt;"",ISNUMBER(O471),O471&gt;0,O471&gt;=TODAY()-90),1,0),0)</f>
        <v/>
      </c>
      <c r="R471" s="17" t="str">
        <f t="shared" si="24"/>
        <v/>
      </c>
      <c r="S471" s="17" t="str">
        <f>IF(INDEX(Listado!A:A,ROW())="","",INDEX(Listado!A:A,ROW()))</f>
        <v/>
      </c>
      <c r="T471" s="17" t="str">
        <f ca="1">IF(INDEX(Listado!G:G,ROW())="","",INDEX(Listado!G:G,ROW()))</f>
        <v/>
      </c>
      <c r="U471" s="17" t="str">
        <f>IF(INDEX(Listado!F:F,ROW())="","",INDEX(Listado!F:F,ROW()))</f>
        <v/>
      </c>
      <c r="V471" s="17">
        <f>IF(COUNTA(INDEX(Listado!B:B,ROW()):INDEX(Listado!F:F,ROW()))&gt;0,1,0)</f>
        <v/>
      </c>
      <c r="W471" s="17" t="str">
        <f>IF(INDEX(Listado!L:L,ROW())="","",INDEX(Listado!L:L,ROW()))</f>
        <v/>
      </c>
      <c r="X471" s="17">
        <f>IF(N471="","",IF(INDEX(Listado!$M:$M,N471)="No","No","Sí"))</f>
        <v/>
      </c>
    </row>
    <row r="472" spans="2:24" ht="14.25">
      <c r="N472" s="17" t="str">
        <f>IF(V472=0,"",IFERROR(LOOKUP(2,1/(INDEX(Listado!A:A,2):INDEX(Listado!A:A,ROW())&lt;&gt;""),ROW(INDEX(Listado!A:A,2):INDEX(Listado!A:A,ROW()))),""))</f>
        <v/>
      </c>
      <c r="O472" s="17" t="str">
        <f>IFERROR(IF(N472="","",IF(INDEX(Listado!M:M,N472)="No",IF(INDEX(Listado!N:N,N472)=0,"",INDEX(Listado!N:N,N472)),IF(INDEX(Listado!I:I,N472)=0,"",INDEX(Listado!I:I,N472)))),"")</f>
        <v/>
      </c>
      <c r="P472" s="17">
        <f t="shared" ca="1" si="22"/>
        <v/>
      </c>
      <c r="Q472" s="17">
        <f>IFERROR(IF(AND(N472&lt;&gt;"",ISNUMBER(O472),O472&gt;0,O472&gt;=TODAY()-90),1,0),0)</f>
        <v/>
      </c>
      <c r="R472" s="17" t="str">
        <f t="shared" si="24"/>
        <v/>
      </c>
      <c r="S472" s="17" t="str">
        <f>IF(INDEX(Listado!A:A,ROW())="","",INDEX(Listado!A:A,ROW()))</f>
        <v/>
      </c>
      <c r="T472" s="17" t="str">
        <f ca="1">IF(INDEX(Listado!G:G,ROW())="","",INDEX(Listado!G:G,ROW()))</f>
        <v/>
      </c>
      <c r="U472" s="17" t="str">
        <f>IF(INDEX(Listado!F:F,ROW())="","",INDEX(Listado!F:F,ROW()))</f>
        <v/>
      </c>
      <c r="V472" s="17">
        <f>IF(COUNTA(INDEX(Listado!B:B,ROW()):INDEX(Listado!F:F,ROW()))&gt;0,1,0)</f>
        <v/>
      </c>
      <c r="W472" s="17" t="str">
        <f>IF(INDEX(Listado!L:L,ROW())="","",INDEX(Listado!L:L,ROW()))</f>
        <v/>
      </c>
      <c r="X472" s="17">
        <f>IF(N472="","",IF(INDEX(Listado!$M:$M,N472)="No","No","Sí"))</f>
        <v/>
      </c>
    </row>
    <row r="473" spans="2:24" ht="14.25">
      <c r="N473" s="17" t="str">
        <f>IF(V473=0,"",IFERROR(LOOKUP(2,1/(INDEX(Listado!A:A,2):INDEX(Listado!A:A,ROW())&lt;&gt;""),ROW(INDEX(Listado!A:A,2):INDEX(Listado!A:A,ROW()))),""))</f>
        <v/>
      </c>
      <c r="O473" s="17" t="str">
        <f>IFERROR(IF(N473="","",IF(INDEX(Listado!M:M,N473)="No",IF(INDEX(Listado!N:N,N473)=0,"",INDEX(Listado!N:N,N473)),IF(INDEX(Listado!I:I,N473)=0,"",INDEX(Listado!I:I,N473)))),"")</f>
        <v/>
      </c>
      <c r="P473" s="17">
        <f t="shared" ca="1" si="22"/>
        <v/>
      </c>
      <c r="Q473" s="17">
        <f>IFERROR(IF(AND(N473&lt;&gt;"",ISNUMBER(O473),O473&gt;0,O473&gt;=TODAY()-90),1,0),0)</f>
        <v/>
      </c>
      <c r="R473" s="17" t="str">
        <f t="shared" si="24"/>
        <v/>
      </c>
      <c r="S473" s="17" t="str">
        <f>IF(INDEX(Listado!A:A,ROW())="","",INDEX(Listado!A:A,ROW()))</f>
        <v/>
      </c>
      <c r="T473" s="17" t="str">
        <f ca="1">IF(INDEX(Listado!G:G,ROW())="","",INDEX(Listado!G:G,ROW()))</f>
        <v/>
      </c>
      <c r="U473" s="17" t="str">
        <f>IF(INDEX(Listado!F:F,ROW())="","",INDEX(Listado!F:F,ROW()))</f>
        <v/>
      </c>
      <c r="V473" s="17">
        <f>IF(COUNTA(INDEX(Listado!B:B,ROW()):INDEX(Listado!F:F,ROW()))&gt;0,1,0)</f>
        <v/>
      </c>
      <c r="W473" s="17" t="str">
        <f>IF(INDEX(Listado!L:L,ROW())="","",INDEX(Listado!L:L,ROW()))</f>
        <v/>
      </c>
      <c r="X473" s="17">
        <f>IF(N473="","",IF(INDEX(Listado!$M:$M,N473)="No","No","Sí"))</f>
        <v/>
      </c>
    </row>
    <row r="474" spans="2:24" ht="14.25">
      <c r="N474" s="17" t="str">
        <f>IF(V474=0,"",IFERROR(LOOKUP(2,1/(INDEX(Listado!A:A,2):INDEX(Listado!A:A,ROW())&lt;&gt;""),ROW(INDEX(Listado!A:A,2):INDEX(Listado!A:A,ROW()))),""))</f>
        <v/>
      </c>
      <c r="O474" s="17" t="str">
        <f>IFERROR(IF(N474="","",IF(INDEX(Listado!M:M,N474)="No",IF(INDEX(Listado!N:N,N474)=0,"",INDEX(Listado!N:N,N474)),IF(INDEX(Listado!I:I,N474)=0,"",INDEX(Listado!I:I,N474)))),"")</f>
        <v/>
      </c>
      <c r="P474" s="17">
        <f t="shared" ca="1" si="22"/>
        <v/>
      </c>
      <c r="Q474" s="17">
        <f>IFERROR(IF(AND(N474&lt;&gt;"",ISNUMBER(O474),O474&gt;0,O474&gt;=TODAY()-90),1,0),0)</f>
        <v/>
      </c>
      <c r="R474" s="17" t="str">
        <f t="shared" si="24"/>
        <v/>
      </c>
      <c r="S474" s="17" t="str">
        <f>IF(INDEX(Listado!A:A,ROW())="","",INDEX(Listado!A:A,ROW()))</f>
        <v/>
      </c>
      <c r="T474" s="17" t="str">
        <f ca="1">IF(INDEX(Listado!G:G,ROW())="","",INDEX(Listado!G:G,ROW()))</f>
        <v/>
      </c>
      <c r="U474" s="17" t="str">
        <f>IF(INDEX(Listado!F:F,ROW())="","",INDEX(Listado!F:F,ROW()))</f>
        <v/>
      </c>
      <c r="V474" s="17">
        <f>IF(COUNTA(INDEX(Listado!B:B,ROW()):INDEX(Listado!F:F,ROW()))&gt;0,1,0)</f>
        <v/>
      </c>
      <c r="W474" s="17" t="str">
        <f>IF(INDEX(Listado!L:L,ROW())="","",INDEX(Listado!L:L,ROW()))</f>
        <v/>
      </c>
      <c r="X474" s="17">
        <f>IF(N474="","",IF(INDEX(Listado!$M:$M,N474)="No","No","Sí"))</f>
        <v/>
      </c>
    </row>
    <row r="475" spans="2:24" ht="14.25">
      <c r="N475" s="17" t="str">
        <f>IF(V475=0,"",IFERROR(LOOKUP(2,1/(INDEX(Listado!A:A,2):INDEX(Listado!A:A,ROW())&lt;&gt;""),ROW(INDEX(Listado!A:A,2):INDEX(Listado!A:A,ROW()))),""))</f>
        <v/>
      </c>
      <c r="O475" s="17" t="str">
        <f>IFERROR(IF(N475="","",IF(INDEX(Listado!M:M,N475)="No",IF(INDEX(Listado!N:N,N475)=0,"",INDEX(Listado!N:N,N475)),IF(INDEX(Listado!I:I,N475)=0,"",INDEX(Listado!I:I,N475)))),"")</f>
        <v/>
      </c>
      <c r="P475" s="17">
        <f t="shared" ca="1" si="22"/>
        <v/>
      </c>
      <c r="Q475" s="17">
        <f>IFERROR(IF(AND(N475&lt;&gt;"",ISNUMBER(O475),O475&gt;0,O475&gt;=TODAY()-90),1,0),0)</f>
        <v/>
      </c>
      <c r="R475" s="17" t="str">
        <f t="shared" si="24"/>
        <v/>
      </c>
      <c r="S475" s="17" t="str">
        <f>IF(INDEX(Listado!A:A,ROW())="","",INDEX(Listado!A:A,ROW()))</f>
        <v/>
      </c>
      <c r="T475" s="17" t="str">
        <f ca="1">IF(INDEX(Listado!G:G,ROW())="","",INDEX(Listado!G:G,ROW()))</f>
        <v/>
      </c>
      <c r="U475" s="17" t="str">
        <f>IF(INDEX(Listado!F:F,ROW())="","",INDEX(Listado!F:F,ROW()))</f>
        <v/>
      </c>
      <c r="V475" s="17">
        <f>IF(COUNTA(INDEX(Listado!B:B,ROW()):INDEX(Listado!F:F,ROW()))&gt;0,1,0)</f>
        <v/>
      </c>
      <c r="W475" s="17" t="str">
        <f>IF(INDEX(Listado!L:L,ROW())="","",INDEX(Listado!L:L,ROW()))</f>
        <v/>
      </c>
      <c r="X475" s="17">
        <f>IF(N475="","",IF(INDEX(Listado!$M:$M,N475)="No","No","Sí"))</f>
        <v/>
      </c>
    </row>
    <row r="476" spans="2:24" ht="14.25">
      <c r="N476" s="17" t="str">
        <f>IF(V476=0,"",IFERROR(LOOKUP(2,1/(INDEX(Listado!A:A,2):INDEX(Listado!A:A,ROW())&lt;&gt;""),ROW(INDEX(Listado!A:A,2):INDEX(Listado!A:A,ROW()))),""))</f>
        <v/>
      </c>
      <c r="O476" s="17" t="str">
        <f>IFERROR(IF(N476="","",IF(INDEX(Listado!M:M,N476)="No",IF(INDEX(Listado!N:N,N476)=0,"",INDEX(Listado!N:N,N476)),IF(INDEX(Listado!I:I,N476)=0,"",INDEX(Listado!I:I,N476)))),"")</f>
        <v/>
      </c>
      <c r="P476" s="17">
        <f t="shared" ca="1" si="22"/>
        <v/>
      </c>
      <c r="Q476" s="17">
        <f>IFERROR(IF(AND(N476&lt;&gt;"",ISNUMBER(O476),O476&gt;0,O476&gt;=TODAY()-90),1,0),0)</f>
        <v/>
      </c>
      <c r="R476" s="17" t="str">
        <f t="shared" si="24"/>
        <v/>
      </c>
      <c r="S476" s="17" t="str">
        <f>IF(INDEX(Listado!A:A,ROW())="","",INDEX(Listado!A:A,ROW()))</f>
        <v/>
      </c>
      <c r="T476" s="17" t="str">
        <f ca="1">IF(INDEX(Listado!G:G,ROW())="","",INDEX(Listado!G:G,ROW()))</f>
        <v/>
      </c>
      <c r="U476" s="17" t="str">
        <f>IF(INDEX(Listado!F:F,ROW())="","",INDEX(Listado!F:F,ROW()))</f>
        <v/>
      </c>
      <c r="V476" s="17">
        <f>IF(COUNTA(INDEX(Listado!B:B,ROW()):INDEX(Listado!F:F,ROW()))&gt;0,1,0)</f>
        <v/>
      </c>
      <c r="W476" s="17" t="str">
        <f>IF(INDEX(Listado!L:L,ROW())="","",INDEX(Listado!L:L,ROW()))</f>
        <v/>
      </c>
      <c r="X476" s="17">
        <f>IF(N476="","",IF(INDEX(Listado!$M:$M,N476)="No","No","Sí"))</f>
        <v/>
      </c>
    </row>
    <row r="477" spans="2:24" ht="14.25">
      <c r="N477" s="17" t="str">
        <f>IF(V477=0,"",IFERROR(LOOKUP(2,1/(INDEX(Listado!A:A,2):INDEX(Listado!A:A,ROW())&lt;&gt;""),ROW(INDEX(Listado!A:A,2):INDEX(Listado!A:A,ROW()))),""))</f>
        <v/>
      </c>
      <c r="O477" s="17" t="str">
        <f>IFERROR(IF(N477="","",IF(INDEX(Listado!M:M,N477)="No",IF(INDEX(Listado!N:N,N477)=0,"",INDEX(Listado!N:N,N477)),IF(INDEX(Listado!I:I,N477)=0,"",INDEX(Listado!I:I,N477)))),"")</f>
        <v/>
      </c>
      <c r="P477" s="17">
        <f t="shared" ca="1" si="22"/>
        <v/>
      </c>
      <c r="Q477" s="17">
        <f>IFERROR(IF(AND(N477&lt;&gt;"",ISNUMBER(O477),O477&gt;0,O477&gt;=TODAY()-90),1,0),0)</f>
        <v/>
      </c>
      <c r="R477" s="17" t="str">
        <f t="shared" si="24"/>
        <v/>
      </c>
      <c r="S477" s="17" t="str">
        <f>IF(INDEX(Listado!A:A,ROW())="","",INDEX(Listado!A:A,ROW()))</f>
        <v/>
      </c>
      <c r="T477" s="17" t="str">
        <f ca="1">IF(INDEX(Listado!G:G,ROW())="","",INDEX(Listado!G:G,ROW()))</f>
        <v/>
      </c>
      <c r="U477" s="17" t="str">
        <f>IF(INDEX(Listado!F:F,ROW())="","",INDEX(Listado!F:F,ROW()))</f>
        <v/>
      </c>
      <c r="V477" s="17">
        <f>IF(COUNTA(INDEX(Listado!B:B,ROW()):INDEX(Listado!F:F,ROW()))&gt;0,1,0)</f>
        <v/>
      </c>
      <c r="W477" s="17" t="str">
        <f>IF(INDEX(Listado!L:L,ROW())="","",INDEX(Listado!L:L,ROW()))</f>
        <v/>
      </c>
      <c r="X477" s="17">
        <f>IF(N477="","",IF(INDEX(Listado!$M:$M,N477)="No","No","Sí"))</f>
        <v/>
      </c>
    </row>
    <row r="478" spans="2:24" ht="14.25">
      <c r="N478" s="17" t="str">
        <f>IF(V478=0,"",IFERROR(LOOKUP(2,1/(INDEX(Listado!A:A,2):INDEX(Listado!A:A,ROW())&lt;&gt;""),ROW(INDEX(Listado!A:A,2):INDEX(Listado!A:A,ROW()))),""))</f>
        <v/>
      </c>
      <c r="O478" s="17" t="str">
        <f>IFERROR(IF(N478="","",IF(INDEX(Listado!M:M,N478)="No",IF(INDEX(Listado!N:N,N478)=0,"",INDEX(Listado!N:N,N478)),IF(INDEX(Listado!I:I,N478)=0,"",INDEX(Listado!I:I,N478)))),"")</f>
        <v/>
      </c>
      <c r="P478" s="17">
        <f t="shared" ca="1" si="22"/>
        <v/>
      </c>
      <c r="Q478" s="17">
        <f>IFERROR(IF(AND(N478&lt;&gt;"",ISNUMBER(O478),O478&gt;0,O478&gt;=TODAY()-90),1,0),0)</f>
        <v/>
      </c>
      <c r="R478" s="17" t="str">
        <f t="shared" si="24"/>
        <v/>
      </c>
      <c r="S478" s="17" t="str">
        <f>IF(INDEX(Listado!A:A,ROW())="","",INDEX(Listado!A:A,ROW()))</f>
        <v/>
      </c>
      <c r="T478" s="17" t="str">
        <f ca="1">IF(INDEX(Listado!G:G,ROW())="","",INDEX(Listado!G:G,ROW()))</f>
        <v/>
      </c>
      <c r="U478" s="17" t="str">
        <f>IF(INDEX(Listado!F:F,ROW())="","",INDEX(Listado!F:F,ROW()))</f>
        <v/>
      </c>
      <c r="V478" s="17">
        <f>IF(COUNTA(INDEX(Listado!B:B,ROW()):INDEX(Listado!F:F,ROW()))&gt;0,1,0)</f>
        <v/>
      </c>
      <c r="W478" s="17" t="str">
        <f>IF(INDEX(Listado!L:L,ROW())="","",INDEX(Listado!L:L,ROW()))</f>
        <v/>
      </c>
      <c r="X478" s="17">
        <f>IF(N478="","",IF(INDEX(Listado!$M:$M,N478)="No","No","Sí"))</f>
        <v/>
      </c>
    </row>
    <row r="479" spans="2:24" ht="14.25">
      <c r="N479" s="17" t="str">
        <f>IF(V479=0,"",IFERROR(LOOKUP(2,1/(INDEX(Listado!A:A,2):INDEX(Listado!A:A,ROW())&lt;&gt;""),ROW(INDEX(Listado!A:A,2):INDEX(Listado!A:A,ROW()))),""))</f>
        <v/>
      </c>
      <c r="O479" s="17" t="str">
        <f>IFERROR(IF(N479="","",IF(INDEX(Listado!M:M,N479)="No",IF(INDEX(Listado!N:N,N479)=0,"",INDEX(Listado!N:N,N479)),IF(INDEX(Listado!I:I,N479)=0,"",INDEX(Listado!I:I,N479)))),"")</f>
        <v/>
      </c>
      <c r="P479" s="17">
        <f t="shared" ca="1" si="22"/>
        <v/>
      </c>
      <c r="Q479" s="17">
        <f>IFERROR(IF(AND(N479&lt;&gt;"",ISNUMBER(O479),O479&gt;0,O479&gt;=TODAY()-90),1,0),0)</f>
        <v/>
      </c>
      <c r="R479" s="17" t="str">
        <f t="shared" si="24"/>
        <v/>
      </c>
      <c r="S479" s="17" t="str">
        <f>IF(INDEX(Listado!A:A,ROW())="","",INDEX(Listado!A:A,ROW()))</f>
        <v/>
      </c>
      <c r="T479" s="17" t="str">
        <f ca="1">IF(INDEX(Listado!G:G,ROW())="","",INDEX(Listado!G:G,ROW()))</f>
        <v/>
      </c>
      <c r="U479" s="17" t="str">
        <f>IF(INDEX(Listado!F:F,ROW())="","",INDEX(Listado!F:F,ROW()))</f>
        <v/>
      </c>
      <c r="V479" s="17">
        <f>IF(COUNTA(INDEX(Listado!B:B,ROW()):INDEX(Listado!F:F,ROW()))&gt;0,1,0)</f>
        <v/>
      </c>
      <c r="W479" s="17" t="str">
        <f>IF(INDEX(Listado!L:L,ROW())="","",INDEX(Listado!L:L,ROW()))</f>
        <v/>
      </c>
      <c r="X479" s="17">
        <f>IF(N479="","",IF(INDEX(Listado!$M:$M,N479)="No","No","Sí"))</f>
        <v/>
      </c>
    </row>
    <row r="480" spans="2:24" ht="14.25">
      <c r="N480" s="17" t="str">
        <f>IF(V480=0,"",IFERROR(LOOKUP(2,1/(INDEX(Listado!A:A,2):INDEX(Listado!A:A,ROW())&lt;&gt;""),ROW(INDEX(Listado!A:A,2):INDEX(Listado!A:A,ROW()))),""))</f>
        <v/>
      </c>
      <c r="O480" s="17" t="str">
        <f>IFERROR(IF(N480="","",IF(INDEX(Listado!M:M,N480)="No",IF(INDEX(Listado!N:N,N480)=0,"",INDEX(Listado!N:N,N480)),IF(INDEX(Listado!I:I,N480)=0,"",INDEX(Listado!I:I,N480)))),"")</f>
        <v/>
      </c>
      <c r="P480" s="17">
        <f t="shared" ca="1" si="22"/>
        <v/>
      </c>
      <c r="Q480" s="17">
        <f>IFERROR(IF(AND(N480&lt;&gt;"",ISNUMBER(O480),O480&gt;0,O480&gt;=TODAY()-90),1,0),0)</f>
        <v/>
      </c>
      <c r="R480" s="17" t="str">
        <f t="shared" si="24"/>
        <v/>
      </c>
      <c r="S480" s="17" t="str">
        <f>IF(INDEX(Listado!A:A,ROW())="","",INDEX(Listado!A:A,ROW()))</f>
        <v/>
      </c>
      <c r="T480" s="17" t="str">
        <f ca="1">IF(INDEX(Listado!G:G,ROW())="","",INDEX(Listado!G:G,ROW()))</f>
        <v/>
      </c>
      <c r="U480" s="17" t="str">
        <f>IF(INDEX(Listado!F:F,ROW())="","",INDEX(Listado!F:F,ROW()))</f>
        <v/>
      </c>
      <c r="V480" s="17">
        <f>IF(COUNTA(INDEX(Listado!B:B,ROW()):INDEX(Listado!F:F,ROW()))&gt;0,1,0)</f>
        <v/>
      </c>
      <c r="W480" s="17" t="str">
        <f>IF(INDEX(Listado!L:L,ROW())="","",INDEX(Listado!L:L,ROW()))</f>
        <v/>
      </c>
      <c r="X480" s="17">
        <f>IF(N480="","",IF(INDEX(Listado!$M:$M,N480)="No","No","Sí"))</f>
        <v/>
      </c>
    </row>
    <row r="481" spans="2:24" ht="14.25">
      <c r="N481" s="17" t="str">
        <f>IF(V481=0,"",IFERROR(LOOKUP(2,1/(INDEX(Listado!A:A,2):INDEX(Listado!A:A,ROW())&lt;&gt;""),ROW(INDEX(Listado!A:A,2):INDEX(Listado!A:A,ROW()))),""))</f>
        <v/>
      </c>
      <c r="O481" s="17" t="str">
        <f>IFERROR(IF(N481="","",IF(INDEX(Listado!M:M,N481)="No",IF(INDEX(Listado!N:N,N481)=0,"",INDEX(Listado!N:N,N481)),IF(INDEX(Listado!I:I,N481)=0,"",INDEX(Listado!I:I,N481)))),"")</f>
        <v/>
      </c>
      <c r="P481" s="17">
        <f t="shared" ca="1" si="22"/>
        <v/>
      </c>
      <c r="Q481" s="17">
        <f>IFERROR(IF(AND(N481&lt;&gt;"",ISNUMBER(O481),O481&gt;0,O481&gt;=TODAY()-90),1,0),0)</f>
        <v/>
      </c>
      <c r="R481" s="17" t="str">
        <f t="shared" si="24"/>
        <v/>
      </c>
      <c r="S481" s="17" t="str">
        <f>IF(INDEX(Listado!A:A,ROW())="","",INDEX(Listado!A:A,ROW()))</f>
        <v/>
      </c>
      <c r="T481" s="17" t="str">
        <f ca="1">IF(INDEX(Listado!G:G,ROW())="","",INDEX(Listado!G:G,ROW()))</f>
        <v/>
      </c>
      <c r="U481" s="17" t="str">
        <f>IF(INDEX(Listado!F:F,ROW())="","",INDEX(Listado!F:F,ROW()))</f>
        <v/>
      </c>
      <c r="V481" s="17">
        <f>IF(COUNTA(INDEX(Listado!B:B,ROW()):INDEX(Listado!F:F,ROW()))&gt;0,1,0)</f>
        <v/>
      </c>
      <c r="W481" s="17" t="str">
        <f>IF(INDEX(Listado!L:L,ROW())="","",INDEX(Listado!L:L,ROW()))</f>
        <v/>
      </c>
      <c r="X481" s="17">
        <f>IF(N481="","",IF(INDEX(Listado!$M:$M,N481)="No","No","Sí"))</f>
        <v/>
      </c>
    </row>
    <row r="482" spans="2:24" ht="14.25">
      <c r="N482" s="17" t="str">
        <f>IF(V482=0,"",IFERROR(LOOKUP(2,1/(INDEX(Listado!A:A,2):INDEX(Listado!A:A,ROW())&lt;&gt;""),ROW(INDEX(Listado!A:A,2):INDEX(Listado!A:A,ROW()))),""))</f>
        <v/>
      </c>
      <c r="O482" s="17" t="str">
        <f>IFERROR(IF(N482="","",IF(INDEX(Listado!M:M,N482)="No",IF(INDEX(Listado!N:N,N482)=0,"",INDEX(Listado!N:N,N482)),IF(INDEX(Listado!I:I,N482)=0,"",INDEX(Listado!I:I,N482)))),"")</f>
        <v/>
      </c>
      <c r="P482" s="17">
        <f t="shared" ca="1" si="22"/>
        <v/>
      </c>
      <c r="Q482" s="17">
        <f>IFERROR(IF(AND(N482&lt;&gt;"",ISNUMBER(O482),O482&gt;0,O482&gt;=TODAY()-90),1,0),0)</f>
        <v/>
      </c>
      <c r="R482" s="17" t="str">
        <f t="shared" si="24"/>
        <v/>
      </c>
      <c r="S482" s="17" t="str">
        <f>IF(INDEX(Listado!A:A,ROW())="","",INDEX(Listado!A:A,ROW()))</f>
        <v/>
      </c>
      <c r="T482" s="17" t="str">
        <f ca="1">IF(INDEX(Listado!G:G,ROW())="","",INDEX(Listado!G:G,ROW()))</f>
        <v/>
      </c>
      <c r="U482" s="17" t="str">
        <f>IF(INDEX(Listado!F:F,ROW())="","",INDEX(Listado!F:F,ROW()))</f>
        <v/>
      </c>
      <c r="V482" s="17">
        <f>IF(COUNTA(INDEX(Listado!B:B,ROW()):INDEX(Listado!F:F,ROW()))&gt;0,1,0)</f>
        <v/>
      </c>
      <c r="W482" s="17" t="str">
        <f>IF(INDEX(Listado!L:L,ROW())="","",INDEX(Listado!L:L,ROW()))</f>
        <v/>
      </c>
      <c r="X482" s="17">
        <f>IF(N482="","",IF(INDEX(Listado!$M:$M,N482)="No","No","Sí"))</f>
        <v/>
      </c>
    </row>
    <row r="483" spans="2:24" ht="14.25">
      <c r="N483" s="17" t="str">
        <f>IF(V483=0,"",IFERROR(LOOKUP(2,1/(INDEX(Listado!A:A,2):INDEX(Listado!A:A,ROW())&lt;&gt;""),ROW(INDEX(Listado!A:A,2):INDEX(Listado!A:A,ROW()))),""))</f>
        <v/>
      </c>
      <c r="O483" s="17" t="str">
        <f>IFERROR(IF(N483="","",IF(INDEX(Listado!M:M,N483)="No",IF(INDEX(Listado!N:N,N483)=0,"",INDEX(Listado!N:N,N483)),IF(INDEX(Listado!I:I,N483)=0,"",INDEX(Listado!I:I,N483)))),"")</f>
        <v/>
      </c>
      <c r="P483" s="17">
        <f t="shared" ca="1" si="22"/>
        <v/>
      </c>
      <c r="Q483" s="17">
        <f>IFERROR(IF(AND(N483&lt;&gt;"",ISNUMBER(O483),O483&gt;0,O483&gt;=TODAY()-90),1,0),0)</f>
        <v/>
      </c>
      <c r="R483" s="17" t="str">
        <f t="shared" si="24"/>
        <v/>
      </c>
      <c r="S483" s="17" t="str">
        <f>IF(INDEX(Listado!A:A,ROW())="","",INDEX(Listado!A:A,ROW()))</f>
        <v/>
      </c>
      <c r="T483" s="17" t="str">
        <f ca="1">IF(INDEX(Listado!G:G,ROW())="","",INDEX(Listado!G:G,ROW()))</f>
        <v/>
      </c>
      <c r="U483" s="17" t="str">
        <f>IF(INDEX(Listado!F:F,ROW())="","",INDEX(Listado!F:F,ROW()))</f>
        <v/>
      </c>
      <c r="V483" s="17">
        <f>IF(COUNTA(INDEX(Listado!B:B,ROW()):INDEX(Listado!F:F,ROW()))&gt;0,1,0)</f>
        <v/>
      </c>
      <c r="W483" s="17" t="str">
        <f>IF(INDEX(Listado!L:L,ROW())="","",INDEX(Listado!L:L,ROW()))</f>
        <v/>
      </c>
      <c r="X483" s="17">
        <f>IF(N483="","",IF(INDEX(Listado!$M:$M,N483)="No","No","Sí"))</f>
        <v/>
      </c>
    </row>
    <row r="484" spans="2:24" ht="14.25">
      <c r="N484" s="17" t="str">
        <f>IF(V484=0,"",IFERROR(LOOKUP(2,1/(INDEX(Listado!A:A,2):INDEX(Listado!A:A,ROW())&lt;&gt;""),ROW(INDEX(Listado!A:A,2):INDEX(Listado!A:A,ROW()))),""))</f>
        <v/>
      </c>
      <c r="O484" s="17" t="str">
        <f>IFERROR(IF(N484="","",IF(INDEX(Listado!M:M,N484)="No",IF(INDEX(Listado!N:N,N484)=0,"",INDEX(Listado!N:N,N484)),IF(INDEX(Listado!I:I,N484)=0,"",INDEX(Listado!I:I,N484)))),"")</f>
        <v/>
      </c>
      <c r="P484" s="17">
        <f t="shared" ca="1" si="22"/>
        <v/>
      </c>
      <c r="Q484" s="17">
        <f>IFERROR(IF(AND(N484&lt;&gt;"",ISNUMBER(O484),O484&gt;0,O484&gt;=TODAY()-90),1,0),0)</f>
        <v/>
      </c>
      <c r="R484" s="17" t="str">
        <f t="shared" si="24"/>
        <v/>
      </c>
      <c r="S484" s="17" t="str">
        <f>IF(INDEX(Listado!A:A,ROW())="","",INDEX(Listado!A:A,ROW()))</f>
        <v/>
      </c>
      <c r="T484" s="17" t="str">
        <f ca="1">IF(INDEX(Listado!G:G,ROW())="","",INDEX(Listado!G:G,ROW()))</f>
        <v/>
      </c>
      <c r="U484" s="17" t="str">
        <f>IF(INDEX(Listado!F:F,ROW())="","",INDEX(Listado!F:F,ROW()))</f>
        <v/>
      </c>
      <c r="V484" s="17">
        <f>IF(COUNTA(INDEX(Listado!B:B,ROW()):INDEX(Listado!F:F,ROW()))&gt;0,1,0)</f>
        <v/>
      </c>
      <c r="W484" s="17" t="str">
        <f>IF(INDEX(Listado!L:L,ROW())="","",INDEX(Listado!L:L,ROW()))</f>
        <v/>
      </c>
      <c r="X484" s="17">
        <f>IF(N484="","",IF(INDEX(Listado!$M:$M,N484)="No","No","Sí"))</f>
        <v/>
      </c>
    </row>
    <row r="485" spans="2:24" ht="14.25">
      <c r="N485" s="17" t="str">
        <f>IF(V485=0,"",IFERROR(LOOKUP(2,1/(INDEX(Listado!A:A,2):INDEX(Listado!A:A,ROW())&lt;&gt;""),ROW(INDEX(Listado!A:A,2):INDEX(Listado!A:A,ROW()))),""))</f>
        <v/>
      </c>
      <c r="O485" s="17" t="str">
        <f>IFERROR(IF(N485="","",IF(INDEX(Listado!M:M,N485)="No",IF(INDEX(Listado!N:N,N485)=0,"",INDEX(Listado!N:N,N485)),IF(INDEX(Listado!I:I,N485)=0,"",INDEX(Listado!I:I,N485)))),"")</f>
        <v/>
      </c>
      <c r="P485" s="17">
        <f t="shared" ca="1" si="22"/>
        <v/>
      </c>
      <c r="Q485" s="17">
        <f>IFERROR(IF(AND(N485&lt;&gt;"",ISNUMBER(O485),O485&gt;0,O485&gt;=TODAY()-90),1,0),0)</f>
        <v/>
      </c>
      <c r="R485" s="17" t="str">
        <f t="shared" si="24"/>
        <v/>
      </c>
      <c r="S485" s="17" t="str">
        <f>IF(INDEX(Listado!A:A,ROW())="","",INDEX(Listado!A:A,ROW()))</f>
        <v/>
      </c>
      <c r="T485" s="17" t="str">
        <f ca="1">IF(INDEX(Listado!G:G,ROW())="","",INDEX(Listado!G:G,ROW()))</f>
        <v/>
      </c>
      <c r="U485" s="17" t="str">
        <f>IF(INDEX(Listado!F:F,ROW())="","",INDEX(Listado!F:F,ROW()))</f>
        <v/>
      </c>
      <c r="V485" s="17">
        <f>IF(COUNTA(INDEX(Listado!B:B,ROW()):INDEX(Listado!F:F,ROW()))&gt;0,1,0)</f>
        <v/>
      </c>
      <c r="W485" s="17" t="str">
        <f>IF(INDEX(Listado!L:L,ROW())="","",INDEX(Listado!L:L,ROW()))</f>
        <v/>
      </c>
      <c r="X485" s="17">
        <f>IF(N485="","",IF(INDEX(Listado!$M:$M,N485)="No","No","Sí"))</f>
        <v/>
      </c>
    </row>
    <row r="486" spans="2:24" ht="14.25">
      <c r="N486" s="17" t="str">
        <f>IF(V486=0,"",IFERROR(LOOKUP(2,1/(INDEX(Listado!A:A,2):INDEX(Listado!A:A,ROW())&lt;&gt;""),ROW(INDEX(Listado!A:A,2):INDEX(Listado!A:A,ROW()))),""))</f>
        <v/>
      </c>
      <c r="O486" s="17" t="str">
        <f>IFERROR(IF(N486="","",IF(INDEX(Listado!M:M,N486)="No",IF(INDEX(Listado!N:N,N486)=0,"",INDEX(Listado!N:N,N486)),IF(INDEX(Listado!I:I,N486)=0,"",INDEX(Listado!I:I,N486)))),"")</f>
        <v/>
      </c>
      <c r="P486" s="17">
        <f t="shared" ca="1" si="22"/>
        <v/>
      </c>
      <c r="Q486" s="17">
        <f>IFERROR(IF(AND(N486&lt;&gt;"",ISNUMBER(O486),O486&gt;0,O486&gt;=TODAY()-90),1,0),0)</f>
        <v/>
      </c>
      <c r="R486" s="17" t="str">
        <f t="shared" si="24"/>
        <v/>
      </c>
      <c r="S486" s="17" t="str">
        <f>IF(INDEX(Listado!A:A,ROW())="","",INDEX(Listado!A:A,ROW()))</f>
        <v/>
      </c>
      <c r="T486" s="17" t="str">
        <f ca="1">IF(INDEX(Listado!G:G,ROW())="","",INDEX(Listado!G:G,ROW()))</f>
        <v/>
      </c>
      <c r="U486" s="17" t="str">
        <f>IF(INDEX(Listado!F:F,ROW())="","",INDEX(Listado!F:F,ROW()))</f>
        <v/>
      </c>
      <c r="V486" s="17">
        <f>IF(COUNTA(INDEX(Listado!B:B,ROW()):INDEX(Listado!F:F,ROW()))&gt;0,1,0)</f>
        <v/>
      </c>
      <c r="W486" s="17" t="str">
        <f>IF(INDEX(Listado!L:L,ROW())="","",INDEX(Listado!L:L,ROW()))</f>
        <v/>
      </c>
      <c r="X486" s="17">
        <f>IF(N486="","",IF(INDEX(Listado!$M:$M,N486)="No","No","Sí"))</f>
        <v/>
      </c>
    </row>
    <row r="487" spans="2:24" ht="14.25">
      <c r="N487" s="17" t="str">
        <f>IF(V487=0,"",IFERROR(LOOKUP(2,1/(INDEX(Listado!A:A,2):INDEX(Listado!A:A,ROW())&lt;&gt;""),ROW(INDEX(Listado!A:A,2):INDEX(Listado!A:A,ROW()))),""))</f>
        <v/>
      </c>
      <c r="O487" s="17" t="str">
        <f>IFERROR(IF(N487="","",IF(INDEX(Listado!M:M,N487)="No",IF(INDEX(Listado!N:N,N487)=0,"",INDEX(Listado!N:N,N487)),IF(INDEX(Listado!I:I,N487)=0,"",INDEX(Listado!I:I,N487)))),"")</f>
        <v/>
      </c>
      <c r="P487" s="17">
        <f t="shared" ca="1" si="22"/>
        <v/>
      </c>
      <c r="Q487" s="17">
        <f>IFERROR(IF(AND(N487&lt;&gt;"",ISNUMBER(O487),O487&gt;0,O487&gt;=TODAY()-90),1,0),0)</f>
        <v/>
      </c>
      <c r="R487" s="17" t="str">
        <f t="shared" si="24"/>
        <v/>
      </c>
      <c r="S487" s="17" t="str">
        <f>IF(INDEX(Listado!A:A,ROW())="","",INDEX(Listado!A:A,ROW()))</f>
        <v/>
      </c>
      <c r="T487" s="17" t="str">
        <f ca="1">IF(INDEX(Listado!G:G,ROW())="","",INDEX(Listado!G:G,ROW()))</f>
        <v/>
      </c>
      <c r="U487" s="17" t="str">
        <f>IF(INDEX(Listado!F:F,ROW())="","",INDEX(Listado!F:F,ROW()))</f>
        <v/>
      </c>
      <c r="V487" s="17">
        <f>IF(COUNTA(INDEX(Listado!B:B,ROW()):INDEX(Listado!F:F,ROW()))&gt;0,1,0)</f>
        <v/>
      </c>
      <c r="W487" s="17" t="str">
        <f>IF(INDEX(Listado!L:L,ROW())="","",INDEX(Listado!L:L,ROW()))</f>
        <v/>
      </c>
      <c r="X487" s="17">
        <f>IF(N487="","",IF(INDEX(Listado!$M:$M,N487)="No","No","Sí"))</f>
        <v/>
      </c>
    </row>
    <row r="488" spans="2:24" ht="14.25">
      <c r="N488" s="17" t="str">
        <f>IF(V488=0,"",IFERROR(LOOKUP(2,1/(INDEX(Listado!A:A,2):INDEX(Listado!A:A,ROW())&lt;&gt;""),ROW(INDEX(Listado!A:A,2):INDEX(Listado!A:A,ROW()))),""))</f>
        <v/>
      </c>
      <c r="O488" s="17" t="str">
        <f>IFERROR(IF(N488="","",IF(INDEX(Listado!M:M,N488)="No",IF(INDEX(Listado!N:N,N488)=0,"",INDEX(Listado!N:N,N488)),IF(INDEX(Listado!I:I,N488)=0,"",INDEX(Listado!I:I,N488)))),"")</f>
        <v/>
      </c>
      <c r="P488" s="17">
        <f t="shared" ca="1" si="22"/>
        <v/>
      </c>
      <c r="Q488" s="17">
        <f>IFERROR(IF(AND(N488&lt;&gt;"",ISNUMBER(O488),O488&gt;0,O488&gt;=TODAY()-90),1,0),0)</f>
        <v/>
      </c>
      <c r="R488" s="17" t="str">
        <f t="shared" si="24"/>
        <v/>
      </c>
      <c r="S488" s="17" t="str">
        <f>IF(INDEX(Listado!A:A,ROW())="","",INDEX(Listado!A:A,ROW()))</f>
        <v/>
      </c>
      <c r="T488" s="17" t="str">
        <f ca="1">IF(INDEX(Listado!G:G,ROW())="","",INDEX(Listado!G:G,ROW()))</f>
        <v/>
      </c>
      <c r="U488" s="17" t="str">
        <f>IF(INDEX(Listado!F:F,ROW())="","",INDEX(Listado!F:F,ROW()))</f>
        <v/>
      </c>
      <c r="V488" s="17">
        <f>IF(COUNTA(INDEX(Listado!B:B,ROW()):INDEX(Listado!F:F,ROW()))&gt;0,1,0)</f>
        <v/>
      </c>
      <c r="W488" s="17" t="str">
        <f>IF(INDEX(Listado!L:L,ROW())="","",INDEX(Listado!L:L,ROW()))</f>
        <v/>
      </c>
      <c r="X488" s="17">
        <f>IF(N488="","",IF(INDEX(Listado!$M:$M,N488)="No","No","Sí"))</f>
        <v/>
      </c>
    </row>
    <row r="489" spans="2:24" ht="14.25">
      <c r="N489" s="17" t="str">
        <f>IF(V489=0,"",IFERROR(LOOKUP(2,1/(INDEX(Listado!A:A,2):INDEX(Listado!A:A,ROW())&lt;&gt;""),ROW(INDEX(Listado!A:A,2):INDEX(Listado!A:A,ROW()))),""))</f>
        <v/>
      </c>
      <c r="O489" s="17" t="str">
        <f>IFERROR(IF(N489="","",IF(INDEX(Listado!M:M,N489)="No",IF(INDEX(Listado!N:N,N489)=0,"",INDEX(Listado!N:N,N489)),IF(INDEX(Listado!I:I,N489)=0,"",INDEX(Listado!I:I,N489)))),"")</f>
        <v/>
      </c>
      <c r="P489" s="17">
        <f t="shared" ca="1" si="22"/>
        <v/>
      </c>
      <c r="Q489" s="17">
        <f>IFERROR(IF(AND(N489&lt;&gt;"",ISNUMBER(O489),O489&gt;0,O489&gt;=TODAY()-90),1,0),0)</f>
        <v/>
      </c>
      <c r="R489" s="17" t="str">
        <f t="shared" si="24"/>
        <v/>
      </c>
      <c r="S489" s="17" t="str">
        <f>IF(INDEX(Listado!A:A,ROW())="","",INDEX(Listado!A:A,ROW()))</f>
        <v/>
      </c>
      <c r="T489" s="17" t="str">
        <f ca="1">IF(INDEX(Listado!G:G,ROW())="","",INDEX(Listado!G:G,ROW()))</f>
        <v/>
      </c>
      <c r="U489" s="17" t="str">
        <f>IF(INDEX(Listado!F:F,ROW())="","",INDEX(Listado!F:F,ROW()))</f>
        <v/>
      </c>
      <c r="V489" s="17">
        <f>IF(COUNTA(INDEX(Listado!B:B,ROW()):INDEX(Listado!F:F,ROW()))&gt;0,1,0)</f>
        <v/>
      </c>
      <c r="W489" s="17" t="str">
        <f>IF(INDEX(Listado!L:L,ROW())="","",INDEX(Listado!L:L,ROW()))</f>
        <v/>
      </c>
      <c r="X489" s="17">
        <f>IF(N489="","",IF(INDEX(Listado!$M:$M,N489)="No","No","Sí"))</f>
        <v/>
      </c>
    </row>
    <row r="490" spans="2:24" ht="14.25">
      <c r="N490" s="17" t="str">
        <f>IF(V490=0,"",IFERROR(LOOKUP(2,1/(INDEX(Listado!A:A,2):INDEX(Listado!A:A,ROW())&lt;&gt;""),ROW(INDEX(Listado!A:A,2):INDEX(Listado!A:A,ROW()))),""))</f>
        <v/>
      </c>
      <c r="O490" s="17" t="str">
        <f>IFERROR(IF(N490="","",IF(INDEX(Listado!M:M,N490)="No",IF(INDEX(Listado!N:N,N490)=0,"",INDEX(Listado!N:N,N490)),IF(INDEX(Listado!I:I,N490)=0,"",INDEX(Listado!I:I,N490)))),"")</f>
        <v/>
      </c>
      <c r="P490" s="17">
        <f t="shared" ca="1" si="22"/>
        <v/>
      </c>
      <c r="Q490" s="17">
        <f>IFERROR(IF(AND(N490&lt;&gt;"",ISNUMBER(O490),O490&gt;0,O490&gt;=TODAY()-90),1,0),0)</f>
        <v/>
      </c>
      <c r="R490" s="17" t="str">
        <f t="shared" si="24"/>
        <v/>
      </c>
      <c r="S490" s="17" t="str">
        <f>IF(INDEX(Listado!A:A,ROW())="","",INDEX(Listado!A:A,ROW()))</f>
        <v/>
      </c>
      <c r="T490" s="17" t="str">
        <f ca="1">IF(INDEX(Listado!G:G,ROW())="","",INDEX(Listado!G:G,ROW()))</f>
        <v/>
      </c>
      <c r="U490" s="17" t="str">
        <f>IF(INDEX(Listado!F:F,ROW())="","",INDEX(Listado!F:F,ROW()))</f>
        <v/>
      </c>
      <c r="V490" s="17">
        <f>IF(COUNTA(INDEX(Listado!B:B,ROW()):INDEX(Listado!F:F,ROW()))&gt;0,1,0)</f>
        <v/>
      </c>
      <c r="W490" s="17" t="str">
        <f>IF(INDEX(Listado!L:L,ROW())="","",INDEX(Listado!L:L,ROW()))</f>
        <v/>
      </c>
      <c r="X490" s="17">
        <f>IF(N490="","",IF(INDEX(Listado!$M:$M,N490)="No","No","Sí"))</f>
        <v/>
      </c>
    </row>
    <row r="491" spans="2:24" ht="14.25">
      <c r="N491" s="17" t="str">
        <f>IF(V491=0,"",IFERROR(LOOKUP(2,1/(INDEX(Listado!A:A,2):INDEX(Listado!A:A,ROW())&lt;&gt;""),ROW(INDEX(Listado!A:A,2):INDEX(Listado!A:A,ROW()))),""))</f>
        <v/>
      </c>
      <c r="O491" s="17" t="str">
        <f>IFERROR(IF(N491="","",IF(INDEX(Listado!M:M,N491)="No",IF(INDEX(Listado!N:N,N491)=0,"",INDEX(Listado!N:N,N491)),IF(INDEX(Listado!I:I,N491)=0,"",INDEX(Listado!I:I,N491)))),"")</f>
        <v/>
      </c>
      <c r="P491" s="17">
        <f t="shared" ca="1" si="22"/>
        <v/>
      </c>
      <c r="Q491" s="17">
        <f>IFERROR(IF(AND(N491&lt;&gt;"",ISNUMBER(O491),O491&gt;0,O491&gt;=TODAY()-90),1,0),0)</f>
        <v/>
      </c>
      <c r="R491" s="17" t="str">
        <f t="shared" si="24"/>
        <v/>
      </c>
      <c r="S491" s="17" t="str">
        <f>IF(INDEX(Listado!A:A,ROW())="","",INDEX(Listado!A:A,ROW()))</f>
        <v/>
      </c>
      <c r="T491" s="17" t="str">
        <f ca="1">IF(INDEX(Listado!G:G,ROW())="","",INDEX(Listado!G:G,ROW()))</f>
        <v/>
      </c>
      <c r="U491" s="17" t="str">
        <f>IF(INDEX(Listado!F:F,ROW())="","",INDEX(Listado!F:F,ROW()))</f>
        <v/>
      </c>
      <c r="V491" s="17">
        <f>IF(COUNTA(INDEX(Listado!B:B,ROW()):INDEX(Listado!F:F,ROW()))&gt;0,1,0)</f>
        <v/>
      </c>
      <c r="W491" s="17" t="str">
        <f>IF(INDEX(Listado!L:L,ROW())="","",INDEX(Listado!L:L,ROW()))</f>
        <v/>
      </c>
      <c r="X491" s="17">
        <f>IF(N491="","",IF(INDEX(Listado!$M:$M,N491)="No","No","Sí"))</f>
        <v/>
      </c>
    </row>
    <row r="492" spans="2:24" ht="14.25">
      <c r="N492" s="17" t="str">
        <f>IF(V492=0,"",IFERROR(LOOKUP(2,1/(INDEX(Listado!A:A,2):INDEX(Listado!A:A,ROW())&lt;&gt;""),ROW(INDEX(Listado!A:A,2):INDEX(Listado!A:A,ROW()))),""))</f>
        <v/>
      </c>
      <c r="O492" s="17" t="str">
        <f>IFERROR(IF(N492="","",IF(INDEX(Listado!M:M,N492)="No",IF(INDEX(Listado!N:N,N492)=0,"",INDEX(Listado!N:N,N492)),IF(INDEX(Listado!I:I,N492)=0,"",INDEX(Listado!I:I,N492)))),"")</f>
        <v/>
      </c>
      <c r="P492" s="17">
        <f t="shared" ca="1" si="22"/>
        <v/>
      </c>
      <c r="Q492" s="17">
        <f>IFERROR(IF(AND(N492&lt;&gt;"",ISNUMBER(O492),O492&gt;0,O492&gt;=TODAY()-90),1,0),0)</f>
        <v/>
      </c>
      <c r="R492" s="17" t="str">
        <f t="shared" si="24"/>
        <v/>
      </c>
      <c r="S492" s="17" t="str">
        <f>IF(INDEX(Listado!A:A,ROW())="","",INDEX(Listado!A:A,ROW()))</f>
        <v/>
      </c>
      <c r="T492" s="17" t="str">
        <f ca="1">IF(INDEX(Listado!G:G,ROW())="","",INDEX(Listado!G:G,ROW()))</f>
        <v/>
      </c>
      <c r="U492" s="17" t="str">
        <f>IF(INDEX(Listado!F:F,ROW())="","",INDEX(Listado!F:F,ROW()))</f>
        <v/>
      </c>
      <c r="V492" s="17">
        <f>IF(COUNTA(INDEX(Listado!B:B,ROW()):INDEX(Listado!F:F,ROW()))&gt;0,1,0)</f>
        <v/>
      </c>
      <c r="W492" s="17" t="str">
        <f>IF(INDEX(Listado!L:L,ROW())="","",INDEX(Listado!L:L,ROW()))</f>
        <v/>
      </c>
      <c r="X492" s="17">
        <f>IF(N492="","",IF(INDEX(Listado!$M:$M,N492)="No","No","Sí"))</f>
        <v/>
      </c>
    </row>
    <row r="493" spans="2:24" ht="14.25">
      <c r="N493" s="17" t="str">
        <f>IF(V493=0,"",IFERROR(LOOKUP(2,1/(INDEX(Listado!A:A,2):INDEX(Listado!A:A,ROW())&lt;&gt;""),ROW(INDEX(Listado!A:A,2):INDEX(Listado!A:A,ROW()))),""))</f>
        <v/>
      </c>
      <c r="O493" s="17" t="str">
        <f>IFERROR(IF(N493="","",IF(INDEX(Listado!M:M,N493)="No",IF(INDEX(Listado!N:N,N493)=0,"",INDEX(Listado!N:N,N493)),IF(INDEX(Listado!I:I,N493)=0,"",INDEX(Listado!I:I,N493)))),"")</f>
        <v/>
      </c>
      <c r="P493" s="17">
        <f t="shared" ca="1" si="22"/>
        <v/>
      </c>
      <c r="Q493" s="17">
        <f>IFERROR(IF(AND(N493&lt;&gt;"",ISNUMBER(O493),O493&gt;0,O493&gt;=TODAY()-90),1,0),0)</f>
        <v/>
      </c>
      <c r="R493" s="17" t="str">
        <f t="shared" si="24"/>
        <v/>
      </c>
      <c r="S493" s="17" t="str">
        <f>IF(INDEX(Listado!A:A,ROW())="","",INDEX(Listado!A:A,ROW()))</f>
        <v/>
      </c>
      <c r="T493" s="17" t="str">
        <f ca="1">IF(INDEX(Listado!G:G,ROW())="","",INDEX(Listado!G:G,ROW()))</f>
        <v/>
      </c>
      <c r="U493" s="17" t="str">
        <f>IF(INDEX(Listado!F:F,ROW())="","",INDEX(Listado!F:F,ROW()))</f>
        <v/>
      </c>
      <c r="V493" s="17">
        <f>IF(COUNTA(INDEX(Listado!B:B,ROW()):INDEX(Listado!F:F,ROW()))&gt;0,1,0)</f>
        <v/>
      </c>
      <c r="W493" s="17" t="str">
        <f>IF(INDEX(Listado!L:L,ROW())="","",INDEX(Listado!L:L,ROW()))</f>
        <v/>
      </c>
      <c r="X493" s="17">
        <f>IF(N493="","",IF(INDEX(Listado!$M:$M,N493)="No","No","Sí"))</f>
        <v/>
      </c>
    </row>
    <row r="494" spans="2:24" ht="14.25">
      <c r="N494" s="17" t="str">
        <f>IF(V494=0,"",IFERROR(LOOKUP(2,1/(INDEX(Listado!A:A,2):INDEX(Listado!A:A,ROW())&lt;&gt;""),ROW(INDEX(Listado!A:A,2):INDEX(Listado!A:A,ROW()))),""))</f>
        <v/>
      </c>
      <c r="O494" s="17" t="str">
        <f>IFERROR(IF(N494="","",IF(INDEX(Listado!M:M,N494)="No",IF(INDEX(Listado!N:N,N494)=0,"",INDEX(Listado!N:N,N494)),IF(INDEX(Listado!I:I,N494)=0,"",INDEX(Listado!I:I,N494)))),"")</f>
        <v/>
      </c>
      <c r="P494" s="17">
        <f t="shared" ca="1" si="22"/>
        <v/>
      </c>
      <c r="Q494" s="17">
        <f>IFERROR(IF(AND(N494&lt;&gt;"",ISNUMBER(O494),O494&gt;0,O494&gt;=TODAY()-90),1,0),0)</f>
        <v/>
      </c>
      <c r="R494" s="17" t="str">
        <f t="shared" si="24"/>
        <v/>
      </c>
      <c r="S494" s="17" t="str">
        <f>IF(INDEX(Listado!A:A,ROW())="","",INDEX(Listado!A:A,ROW()))</f>
        <v/>
      </c>
      <c r="T494" s="17" t="str">
        <f ca="1">IF(INDEX(Listado!G:G,ROW())="","",INDEX(Listado!G:G,ROW()))</f>
        <v/>
      </c>
      <c r="U494" s="17" t="str">
        <f>IF(INDEX(Listado!F:F,ROW())="","",INDEX(Listado!F:F,ROW()))</f>
        <v/>
      </c>
      <c r="V494" s="17">
        <f>IF(COUNTA(INDEX(Listado!B:B,ROW()):INDEX(Listado!F:F,ROW()))&gt;0,1,0)</f>
        <v/>
      </c>
      <c r="W494" s="17" t="str">
        <f>IF(INDEX(Listado!L:L,ROW())="","",INDEX(Listado!L:L,ROW()))</f>
        <v/>
      </c>
      <c r="X494" s="17">
        <f>IF(N494="","",IF(INDEX(Listado!$M:$M,N494)="No","No","Sí"))</f>
        <v/>
      </c>
    </row>
    <row r="495" spans="2:24" ht="14.25">
      <c r="N495" s="17" t="str">
        <f>IF(V495=0,"",IFERROR(LOOKUP(2,1/(INDEX(Listado!A:A,2):INDEX(Listado!A:A,ROW())&lt;&gt;""),ROW(INDEX(Listado!A:A,2):INDEX(Listado!A:A,ROW()))),""))</f>
        <v/>
      </c>
      <c r="O495" s="17" t="str">
        <f>IFERROR(IF(N495="","",IF(INDEX(Listado!M:M,N495)="No",IF(INDEX(Listado!N:N,N495)=0,"",INDEX(Listado!N:N,N495)),IF(INDEX(Listado!I:I,N495)=0,"",INDEX(Listado!I:I,N495)))),"")</f>
        <v/>
      </c>
      <c r="P495" s="17">
        <f t="shared" ca="1" si="22"/>
        <v/>
      </c>
      <c r="Q495" s="17">
        <f>IFERROR(IF(AND(N495&lt;&gt;"",ISNUMBER(O495),O495&gt;0,O495&gt;=TODAY()-90),1,0),0)</f>
        <v/>
      </c>
      <c r="R495" s="17" t="str">
        <f t="shared" si="24"/>
        <v/>
      </c>
      <c r="S495" s="17" t="str">
        <f>IF(INDEX(Listado!A:A,ROW())="","",INDEX(Listado!A:A,ROW()))</f>
        <v/>
      </c>
      <c r="T495" s="17" t="str">
        <f ca="1">IF(INDEX(Listado!G:G,ROW())="","",INDEX(Listado!G:G,ROW()))</f>
        <v/>
      </c>
      <c r="U495" s="17" t="str">
        <f>IF(INDEX(Listado!F:F,ROW())="","",INDEX(Listado!F:F,ROW()))</f>
        <v/>
      </c>
      <c r="V495" s="17">
        <f>IF(COUNTA(INDEX(Listado!B:B,ROW()):INDEX(Listado!F:F,ROW()))&gt;0,1,0)</f>
        <v/>
      </c>
      <c r="W495" s="17" t="str">
        <f>IF(INDEX(Listado!L:L,ROW())="","",INDEX(Listado!L:L,ROW()))</f>
        <v/>
      </c>
      <c r="X495" s="17">
        <f>IF(N495="","",IF(INDEX(Listado!$M:$M,N495)="No","No","Sí"))</f>
        <v/>
      </c>
    </row>
    <row r="496" spans="2:24" ht="14.25">
      <c r="N496" s="17" t="str">
        <f>IF(V496=0,"",IFERROR(LOOKUP(2,1/(INDEX(Listado!A:A,2):INDEX(Listado!A:A,ROW())&lt;&gt;""),ROW(INDEX(Listado!A:A,2):INDEX(Listado!A:A,ROW()))),""))</f>
        <v/>
      </c>
      <c r="O496" s="17" t="str">
        <f>IFERROR(IF(N496="","",IF(INDEX(Listado!M:M,N496)="No",IF(INDEX(Listado!N:N,N496)=0,"",INDEX(Listado!N:N,N496)),IF(INDEX(Listado!I:I,N496)=0,"",INDEX(Listado!I:I,N496)))),"")</f>
        <v/>
      </c>
      <c r="P496" s="17">
        <f t="shared" ca="1" si="22"/>
        <v/>
      </c>
      <c r="Q496" s="17">
        <f>IFERROR(IF(AND(N496&lt;&gt;"",ISNUMBER(O496),O496&gt;0,O496&gt;=TODAY()-90),1,0),0)</f>
        <v/>
      </c>
      <c r="R496" s="17" t="str">
        <f t="shared" si="24"/>
        <v/>
      </c>
      <c r="S496" s="17" t="str">
        <f>IF(INDEX(Listado!A:A,ROW())="","",INDEX(Listado!A:A,ROW()))</f>
        <v/>
      </c>
      <c r="T496" s="17" t="str">
        <f ca="1">IF(INDEX(Listado!G:G,ROW())="","",INDEX(Listado!G:G,ROW()))</f>
        <v/>
      </c>
      <c r="U496" s="17" t="str">
        <f>IF(INDEX(Listado!F:F,ROW())="","",INDEX(Listado!F:F,ROW()))</f>
        <v/>
      </c>
      <c r="V496" s="17">
        <f>IF(COUNTA(INDEX(Listado!B:B,ROW()):INDEX(Listado!F:F,ROW()))&gt;0,1,0)</f>
        <v/>
      </c>
      <c r="W496" s="17" t="str">
        <f>IF(INDEX(Listado!L:L,ROW())="","",INDEX(Listado!L:L,ROW()))</f>
        <v/>
      </c>
      <c r="X496" s="17">
        <f>IF(N496="","",IF(INDEX(Listado!$M:$M,N496)="No","No","Sí"))</f>
        <v/>
      </c>
    </row>
    <row r="497" spans="2:24" ht="14.25">
      <c r="N497" s="17" t="str">
        <f>IF(V497=0,"",IFERROR(LOOKUP(2,1/(INDEX(Listado!A:A,2):INDEX(Listado!A:A,ROW())&lt;&gt;""),ROW(INDEX(Listado!A:A,2):INDEX(Listado!A:A,ROW()))),""))</f>
        <v/>
      </c>
      <c r="O497" s="17" t="str">
        <f>IFERROR(IF(N497="","",IF(INDEX(Listado!M:M,N497)="No",IF(INDEX(Listado!N:N,N497)=0,"",INDEX(Listado!N:N,N497)),IF(INDEX(Listado!I:I,N497)=0,"",INDEX(Listado!I:I,N497)))),"")</f>
        <v/>
      </c>
      <c r="P497" s="17">
        <f t="shared" ca="1" si="22"/>
        <v/>
      </c>
      <c r="Q497" s="17">
        <f>IFERROR(IF(AND(N497&lt;&gt;"",ISNUMBER(O497),O497&gt;0,O497&gt;=TODAY()-90),1,0),0)</f>
        <v/>
      </c>
      <c r="R497" s="17" t="str">
        <f t="shared" si="24"/>
        <v/>
      </c>
      <c r="S497" s="17" t="str">
        <f>IF(INDEX(Listado!A:A,ROW())="","",INDEX(Listado!A:A,ROW()))</f>
        <v/>
      </c>
      <c r="T497" s="17" t="str">
        <f ca="1">IF(INDEX(Listado!G:G,ROW())="","",INDEX(Listado!G:G,ROW()))</f>
        <v/>
      </c>
      <c r="U497" s="17" t="str">
        <f>IF(INDEX(Listado!F:F,ROW())="","",INDEX(Listado!F:F,ROW()))</f>
        <v/>
      </c>
      <c r="V497" s="17">
        <f>IF(COUNTA(INDEX(Listado!B:B,ROW()):INDEX(Listado!F:F,ROW()))&gt;0,1,0)</f>
        <v/>
      </c>
      <c r="W497" s="17" t="str">
        <f>IF(INDEX(Listado!L:L,ROW())="","",INDEX(Listado!L:L,ROW()))</f>
        <v/>
      </c>
      <c r="X497" s="17">
        <f>IF(N497="","",IF(INDEX(Listado!$M:$M,N497)="No","No","Sí"))</f>
        <v/>
      </c>
    </row>
    <row r="498" spans="2:24" ht="14.25">
      <c r="N498" s="17" t="str">
        <f>IF(V498=0,"",IFERROR(LOOKUP(2,1/(INDEX(Listado!A:A,2):INDEX(Listado!A:A,ROW())&lt;&gt;""),ROW(INDEX(Listado!A:A,2):INDEX(Listado!A:A,ROW()))),""))</f>
        <v/>
      </c>
      <c r="O498" s="17" t="str">
        <f>IFERROR(IF(N498="","",IF(INDEX(Listado!M:M,N498)="No",IF(INDEX(Listado!N:N,N498)=0,"",INDEX(Listado!N:N,N498)),IF(INDEX(Listado!I:I,N498)=0,"",INDEX(Listado!I:I,N498)))),"")</f>
        <v/>
      </c>
      <c r="P498" s="17">
        <f t="shared" ca="1" si="22"/>
        <v/>
      </c>
      <c r="Q498" s="17">
        <f>IFERROR(IF(AND(N498&lt;&gt;"",ISNUMBER(O498),O498&gt;0,O498&gt;=TODAY()-90),1,0),0)</f>
        <v/>
      </c>
      <c r="R498" s="17" t="str">
        <f t="shared" si="24"/>
        <v/>
      </c>
      <c r="S498" s="17" t="str">
        <f>IF(INDEX(Listado!A:A,ROW())="","",INDEX(Listado!A:A,ROW()))</f>
        <v/>
      </c>
      <c r="T498" s="17" t="str">
        <f ca="1">IF(INDEX(Listado!G:G,ROW())="","",INDEX(Listado!G:G,ROW()))</f>
        <v/>
      </c>
      <c r="U498" s="17" t="str">
        <f>IF(INDEX(Listado!F:F,ROW())="","",INDEX(Listado!F:F,ROW()))</f>
        <v/>
      </c>
      <c r="V498" s="17">
        <f>IF(COUNTA(INDEX(Listado!B:B,ROW()):INDEX(Listado!F:F,ROW()))&gt;0,1,0)</f>
        <v/>
      </c>
      <c r="W498" s="17" t="str">
        <f>IF(INDEX(Listado!L:L,ROW())="","",INDEX(Listado!L:L,ROW()))</f>
        <v/>
      </c>
      <c r="X498" s="17">
        <f>IF(N498="","",IF(INDEX(Listado!$M:$M,N498)="No","No","Sí"))</f>
        <v/>
      </c>
    </row>
    <row r="499" spans="2:24" ht="14.25">
      <c r="N499" s="17" t="str">
        <f>IF(V499=0,"",IFERROR(LOOKUP(2,1/(INDEX(Listado!A:A,2):INDEX(Listado!A:A,ROW())&lt;&gt;""),ROW(INDEX(Listado!A:A,2):INDEX(Listado!A:A,ROW()))),""))</f>
        <v/>
      </c>
      <c r="O499" s="17" t="str">
        <f>IFERROR(IF(N499="","",IF(INDEX(Listado!M:M,N499)="No",IF(INDEX(Listado!N:N,N499)=0,"",INDEX(Listado!N:N,N499)),IF(INDEX(Listado!I:I,N499)=0,"",INDEX(Listado!I:I,N499)))),"")</f>
        <v/>
      </c>
      <c r="P499" s="17">
        <f t="shared" ca="1" si="22"/>
        <v/>
      </c>
      <c r="Q499" s="17">
        <f>IFERROR(IF(AND(N499&lt;&gt;"",ISNUMBER(O499),O499&gt;0,O499&gt;=TODAY()-90),1,0),0)</f>
        <v/>
      </c>
      <c r="R499" s="17" t="str">
        <f t="shared" si="24"/>
        <v/>
      </c>
      <c r="S499" s="17" t="str">
        <f>IF(INDEX(Listado!A:A,ROW())="","",INDEX(Listado!A:A,ROW()))</f>
        <v/>
      </c>
      <c r="T499" s="17" t="str">
        <f ca="1">IF(INDEX(Listado!G:G,ROW())="","",INDEX(Listado!G:G,ROW()))</f>
        <v/>
      </c>
      <c r="U499" s="17" t="str">
        <f>IF(INDEX(Listado!F:F,ROW())="","",INDEX(Listado!F:F,ROW()))</f>
        <v/>
      </c>
      <c r="V499" s="17">
        <f>IF(COUNTA(INDEX(Listado!B:B,ROW()):INDEX(Listado!F:F,ROW()))&gt;0,1,0)</f>
        <v/>
      </c>
      <c r="W499" s="17" t="str">
        <f>IF(INDEX(Listado!L:L,ROW())="","",INDEX(Listado!L:L,ROW()))</f>
        <v/>
      </c>
      <c r="X499" s="17">
        <f>IF(N499="","",IF(INDEX(Listado!$M:$M,N499)="No","No","Sí"))</f>
        <v/>
      </c>
    </row>
    <row r="500" spans="2:24" ht="14.25">
      <c r="N500" s="17" t="str">
        <f>IF(V500=0,"",IFERROR(LOOKUP(2,1/(INDEX(Listado!A:A,2):INDEX(Listado!A:A,ROW())&lt;&gt;""),ROW(INDEX(Listado!A:A,2):INDEX(Listado!A:A,ROW()))),""))</f>
        <v/>
      </c>
      <c r="O500" s="17" t="str">
        <f>IFERROR(IF(N500="","",IF(INDEX(Listado!M:M,N500)="No",IF(INDEX(Listado!N:N,N500)=0,"",INDEX(Listado!N:N,N500)),IF(INDEX(Listado!I:I,N500)=0,"",INDEX(Listado!I:I,N500)))),"")</f>
        <v/>
      </c>
      <c r="P500" s="17">
        <f t="shared" ca="1" si="22"/>
        <v/>
      </c>
      <c r="Q500" s="17">
        <f>IFERROR(IF(AND(N500&lt;&gt;"",ISNUMBER(O500),O500&gt;0,O500&gt;=TODAY()-90),1,0),0)</f>
        <v/>
      </c>
      <c r="R500" s="17" t="str">
        <f t="shared" si="24"/>
        <v/>
      </c>
      <c r="S500" s="17" t="str">
        <f>IF(INDEX(Listado!A:A,ROW())="","",INDEX(Listado!A:A,ROW()))</f>
        <v/>
      </c>
      <c r="T500" s="17" t="str">
        <f ca="1">IF(INDEX(Listado!G:G,ROW())="","",INDEX(Listado!G:G,ROW()))</f>
        <v/>
      </c>
      <c r="U500" s="17" t="str">
        <f>IF(INDEX(Listado!F:F,ROW())="","",INDEX(Listado!F:F,ROW()))</f>
        <v/>
      </c>
      <c r="V500" s="17">
        <f>IF(COUNTA(INDEX(Listado!B:B,ROW()):INDEX(Listado!F:F,ROW()))&gt;0,1,0)</f>
        <v/>
      </c>
      <c r="W500" s="17" t="str">
        <f>IF(INDEX(Listado!L:L,ROW())="","",INDEX(Listado!L:L,ROW()))</f>
        <v/>
      </c>
      <c r="X500" s="17">
        <f>IF(N500="","",IF(INDEX(Listado!$M:$M,N500)="No","No","Sí"))</f>
        <v/>
      </c>
    </row>
    <row r="501" spans="2:24" ht="14.25">
      <c r="N501" s="17" t="str">
        <f>IF(V501=0,"",IFERROR(LOOKUP(2,1/(INDEX(Listado!A:A,2):INDEX(Listado!A:A,ROW())&lt;&gt;""),ROW(INDEX(Listado!A:A,2):INDEX(Listado!A:A,ROW()))),""))</f>
        <v/>
      </c>
      <c r="O501" s="17" t="str">
        <f>IFERROR(IF(N501="","",IF(INDEX(Listado!M:M,N501)="No",IF(INDEX(Listado!N:N,N501)=0,"",INDEX(Listado!N:N,N501)),IF(INDEX(Listado!I:I,N501)=0,"",INDEX(Listado!I:I,N501)))),"")</f>
        <v/>
      </c>
      <c r="P501" s="17">
        <f t="shared" ca="1" si="22"/>
        <v/>
      </c>
      <c r="Q501" s="17">
        <f>IFERROR(IF(AND(N501&lt;&gt;"",ISNUMBER(O501),O501&gt;0,O501&gt;=TODAY()-90),1,0),0)</f>
        <v/>
      </c>
      <c r="R501" s="17" t="str">
        <f t="shared" si="24"/>
        <v/>
      </c>
      <c r="S501" s="17" t="str">
        <f>IF(INDEX(Listado!A:A,ROW())="","",INDEX(Listado!A:A,ROW()))</f>
        <v/>
      </c>
      <c r="T501" s="17" t="str">
        <f ca="1">IF(INDEX(Listado!G:G,ROW())="","",INDEX(Listado!G:G,ROW()))</f>
        <v/>
      </c>
      <c r="U501" s="17" t="str">
        <f>IF(INDEX(Listado!F:F,ROW())="","",INDEX(Listado!F:F,ROW()))</f>
        <v/>
      </c>
      <c r="V501" s="17">
        <f>IF(COUNTA(INDEX(Listado!B:B,ROW()):INDEX(Listado!F:F,ROW()))&gt;0,1,0)</f>
        <v/>
      </c>
      <c r="W501" s="17" t="str">
        <f>IF(INDEX(Listado!L:L,ROW())="","",INDEX(Listado!L:L,ROW()))</f>
        <v/>
      </c>
      <c r="X501" s="17">
        <f>IF(N501="","",IF(INDEX(Listado!$M:$M,N501)="No","No","Sí"))</f>
        <v/>
      </c>
    </row>
    <row r="502" spans="2:24" ht="14.25">
      <c r="N502" s="17" t="str">
        <f>IF(V502=0,"",IFERROR(LOOKUP(2,1/(INDEX(Listado!A:A,2):INDEX(Listado!A:A,ROW())&lt;&gt;""),ROW(INDEX(Listado!A:A,2):INDEX(Listado!A:A,ROW()))),""))</f>
        <v/>
      </c>
      <c r="O502" s="17" t="str">
        <f>IFERROR(IF(N502="","",IF(INDEX(Listado!M:M,N502)="No",IF(INDEX(Listado!N:N,N502)=0,"",INDEX(Listado!N:N,N502)),IF(INDEX(Listado!I:I,N502)=0,"",INDEX(Listado!I:I,N502)))),"")</f>
        <v/>
      </c>
      <c r="P502" s="17">
        <f t="shared" ca="1" si="22"/>
        <v/>
      </c>
      <c r="Q502" s="17">
        <f>IFERROR(IF(AND(N502&lt;&gt;"",ISNUMBER(O502),O502&gt;0,O502&gt;=TODAY()-90),1,0),0)</f>
        <v/>
      </c>
      <c r="R502" s="17" t="str">
        <f t="shared" si="24"/>
        <v/>
      </c>
      <c r="S502" s="17" t="str">
        <f>IF(INDEX(Listado!A:A,ROW())="","",INDEX(Listado!A:A,ROW()))</f>
        <v/>
      </c>
      <c r="T502" s="17" t="str">
        <f ca="1">IF(INDEX(Listado!G:G,ROW())="","",INDEX(Listado!G:G,ROW()))</f>
        <v/>
      </c>
      <c r="U502" s="17" t="str">
        <f>IF(INDEX(Listado!F:F,ROW())="","",INDEX(Listado!F:F,ROW()))</f>
        <v/>
      </c>
      <c r="V502" s="17">
        <f>IF(COUNTA(INDEX(Listado!B:B,ROW()):INDEX(Listado!F:F,ROW()))&gt;0,1,0)</f>
        <v/>
      </c>
      <c r="W502" s="17" t="str">
        <f>IF(INDEX(Listado!L:L,ROW())="","",INDEX(Listado!L:L,ROW()))</f>
        <v/>
      </c>
      <c r="X502" s="17">
        <f>IF(N502="","",IF(INDEX(Listado!$M:$M,N502)="No","No","Sí"))</f>
        <v/>
      </c>
    </row>
    <row r="503" spans="2:24" ht="14.25">
      <c r="N503" s="17" t="str">
        <f>IF(V503=0,"",IFERROR(LOOKUP(2,1/(INDEX(Listado!A:A,2):INDEX(Listado!A:A,ROW())&lt;&gt;""),ROW(INDEX(Listado!A:A,2):INDEX(Listado!A:A,ROW()))),""))</f>
        <v/>
      </c>
      <c r="O503" s="17" t="str">
        <f>IFERROR(IF(N503="","",IF(INDEX(Listado!M:M,N503)="No",IF(INDEX(Listado!N:N,N503)=0,"",INDEX(Listado!N:N,N503)),IF(INDEX(Listado!I:I,N503)=0,"",INDEX(Listado!I:I,N503)))),"")</f>
        <v/>
      </c>
      <c r="P503" s="17">
        <f t="shared" ca="1" si="22"/>
        <v/>
      </c>
      <c r="Q503" s="17">
        <f>IFERROR(IF(AND(N503&lt;&gt;"",ISNUMBER(O503),O503&gt;0,O503&gt;=TODAY()-90),1,0),0)</f>
        <v/>
      </c>
      <c r="R503" s="17" t="str">
        <f t="shared" si="24"/>
        <v/>
      </c>
      <c r="S503" s="17" t="str">
        <f>IF(INDEX(Listado!A:A,ROW())="","",INDEX(Listado!A:A,ROW()))</f>
        <v/>
      </c>
      <c r="T503" s="17" t="str">
        <f ca="1">IF(INDEX(Listado!G:G,ROW())="","",INDEX(Listado!G:G,ROW()))</f>
        <v/>
      </c>
      <c r="U503" s="17" t="str">
        <f>IF(INDEX(Listado!F:F,ROW())="","",INDEX(Listado!F:F,ROW()))</f>
        <v/>
      </c>
      <c r="V503" s="17">
        <f>IF(COUNTA(INDEX(Listado!B:B,ROW()):INDEX(Listado!F:F,ROW()))&gt;0,1,0)</f>
        <v/>
      </c>
      <c r="W503" s="17" t="str">
        <f>IF(INDEX(Listado!L:L,ROW())="","",INDEX(Listado!L:L,ROW()))</f>
        <v/>
      </c>
      <c r="X503" s="17">
        <f>IF(N503="","",IF(INDEX(Listado!$M:$M,N503)="No","No","Sí"))</f>
        <v/>
      </c>
    </row>
    <row r="504" spans="2:24" ht="14.25">
      <c r="N504" s="17" t="str">
        <f>IF(V504=0,"",IFERROR(LOOKUP(2,1/(INDEX(Listado!A:A,2):INDEX(Listado!A:A,ROW())&lt;&gt;""),ROW(INDEX(Listado!A:A,2):INDEX(Listado!A:A,ROW()))),""))</f>
        <v/>
      </c>
      <c r="O504" s="17" t="str">
        <f>IFERROR(IF(N504="","",IF(INDEX(Listado!M:M,N504)="No",IF(INDEX(Listado!N:N,N504)=0,"",INDEX(Listado!N:N,N504)),IF(INDEX(Listado!I:I,N504)=0,"",INDEX(Listado!I:I,N504)))),"")</f>
        <v/>
      </c>
      <c r="P504" s="17">
        <f t="shared" ca="1" si="22"/>
        <v/>
      </c>
      <c r="Q504" s="17">
        <f>IFERROR(IF(AND(N504&lt;&gt;"",ISNUMBER(O504),O504&gt;0,O504&gt;=TODAY()-90),1,0),0)</f>
        <v/>
      </c>
      <c r="R504" s="17" t="str">
        <f t="shared" si="24"/>
        <v/>
      </c>
      <c r="S504" s="17" t="str">
        <f>IF(INDEX(Listado!A:A,ROW())="","",INDEX(Listado!A:A,ROW()))</f>
        <v/>
      </c>
      <c r="T504" s="17" t="str">
        <f ca="1">IF(INDEX(Listado!G:G,ROW())="","",INDEX(Listado!G:G,ROW()))</f>
        <v/>
      </c>
      <c r="U504" s="17" t="str">
        <f>IF(INDEX(Listado!F:F,ROW())="","",INDEX(Listado!F:F,ROW()))</f>
        <v/>
      </c>
      <c r="V504" s="17">
        <f>IF(COUNTA(INDEX(Listado!B:B,ROW()):INDEX(Listado!F:F,ROW()))&gt;0,1,0)</f>
        <v/>
      </c>
      <c r="W504" s="17" t="str">
        <f>IF(INDEX(Listado!L:L,ROW())="","",INDEX(Listado!L:L,ROW()))</f>
        <v/>
      </c>
      <c r="X504" s="17">
        <f>IF(N504="","",IF(INDEX(Listado!$M:$M,N504)="No","No","Sí"))</f>
        <v/>
      </c>
    </row>
    <row r="505" spans="2:24" ht="14.25">
      <c r="N505" s="17" t="str">
        <f>IF(V505=0,"",IFERROR(LOOKUP(2,1/(INDEX(Listado!A:A,2):INDEX(Listado!A:A,ROW())&lt;&gt;""),ROW(INDEX(Listado!A:A,2):INDEX(Listado!A:A,ROW()))),""))</f>
        <v/>
      </c>
      <c r="O505" s="17" t="str">
        <f>IFERROR(IF(N505="","",IF(INDEX(Listado!M:M,N505)="No",IF(INDEX(Listado!N:N,N505)=0,"",INDEX(Listado!N:N,N505)),IF(INDEX(Listado!I:I,N505)=0,"",INDEX(Listado!I:I,N505)))),"")</f>
        <v/>
      </c>
      <c r="P505" s="17">
        <f t="shared" ca="1" si="22"/>
        <v/>
      </c>
      <c r="Q505" s="17">
        <f>IFERROR(IF(AND(N505&lt;&gt;"",ISNUMBER(O505),O505&gt;0,O505&gt;=TODAY()-90),1,0),0)</f>
        <v/>
      </c>
      <c r="R505" s="17" t="str">
        <f t="shared" si="24"/>
        <v/>
      </c>
      <c r="S505" s="17" t="str">
        <f>IF(INDEX(Listado!A:A,ROW())="","",INDEX(Listado!A:A,ROW()))</f>
        <v/>
      </c>
      <c r="T505" s="17" t="str">
        <f ca="1">IF(INDEX(Listado!G:G,ROW())="","",INDEX(Listado!G:G,ROW()))</f>
        <v/>
      </c>
      <c r="U505" s="17" t="str">
        <f>IF(INDEX(Listado!F:F,ROW())="","",INDEX(Listado!F:F,ROW()))</f>
        <v/>
      </c>
      <c r="V505" s="17">
        <f>IF(COUNTA(INDEX(Listado!B:B,ROW()):INDEX(Listado!F:F,ROW()))&gt;0,1,0)</f>
        <v/>
      </c>
      <c r="W505" s="17" t="str">
        <f>IF(INDEX(Listado!L:L,ROW())="","",INDEX(Listado!L:L,ROW()))</f>
        <v/>
      </c>
      <c r="X505" s="17">
        <f>IF(N505="","",IF(INDEX(Listado!$M:$M,N505)="No","No","Sí"))</f>
        <v/>
      </c>
    </row>
    <row r="506" spans="2:24" ht="14.25">
      <c r="N506" s="17" t="str">
        <f>IF(V506=0,"",IFERROR(LOOKUP(2,1/(INDEX(Listado!A:A,2):INDEX(Listado!A:A,ROW())&lt;&gt;""),ROW(INDEX(Listado!A:A,2):INDEX(Listado!A:A,ROW()))),""))</f>
        <v/>
      </c>
      <c r="O506" s="17" t="str">
        <f>IFERROR(IF(N506="","",IF(INDEX(Listado!M:M,N506)="No",IF(INDEX(Listado!N:N,N506)=0,"",INDEX(Listado!N:N,N506)),IF(INDEX(Listado!I:I,N506)=0,"",INDEX(Listado!I:I,N506)))),"")</f>
        <v/>
      </c>
      <c r="P506" s="17">
        <f t="shared" ca="1" si="22"/>
        <v/>
      </c>
      <c r="Q506" s="17">
        <f>IFERROR(IF(AND(N506&lt;&gt;"",ISNUMBER(O506),O506&gt;0,O506&gt;=TODAY()-90),1,0),0)</f>
        <v/>
      </c>
      <c r="R506" s="17" t="str">
        <f t="shared" si="24"/>
        <v/>
      </c>
      <c r="S506" s="17" t="str">
        <f>IF(INDEX(Listado!A:A,ROW())="","",INDEX(Listado!A:A,ROW()))</f>
        <v/>
      </c>
      <c r="T506" s="17" t="str">
        <f ca="1">IF(INDEX(Listado!G:G,ROW())="","",INDEX(Listado!G:G,ROW()))</f>
        <v/>
      </c>
      <c r="U506" s="17" t="str">
        <f>IF(INDEX(Listado!F:F,ROW())="","",INDEX(Listado!F:F,ROW()))</f>
        <v/>
      </c>
      <c r="V506" s="17">
        <f>IF(COUNTA(INDEX(Listado!B:B,ROW()):INDEX(Listado!F:F,ROW()))&gt;0,1,0)</f>
        <v/>
      </c>
      <c r="W506" s="17" t="str">
        <f>IF(INDEX(Listado!L:L,ROW())="","",INDEX(Listado!L:L,ROW()))</f>
        <v/>
      </c>
      <c r="X506" s="17">
        <f>IF(N506="","",IF(INDEX(Listado!$M:$M,N506)="No","No","Sí"))</f>
        <v/>
      </c>
    </row>
    <row r="507" spans="2:24" ht="14.25">
      <c r="N507" s="17" t="str">
        <f>IF(V507=0,"",IFERROR(LOOKUP(2,1/(INDEX(Listado!A:A,2):INDEX(Listado!A:A,ROW())&lt;&gt;""),ROW(INDEX(Listado!A:A,2):INDEX(Listado!A:A,ROW()))),""))</f>
        <v/>
      </c>
      <c r="O507" s="17" t="str">
        <f>IFERROR(IF(N507="","",IF(INDEX(Listado!M:M,N507)="No",IF(INDEX(Listado!N:N,N507)=0,"",INDEX(Listado!N:N,N507)),IF(INDEX(Listado!I:I,N507)=0,"",INDEX(Listado!I:I,N507)))),"")</f>
        <v/>
      </c>
      <c r="P507" s="17">
        <f t="shared" ca="1" si="22"/>
        <v/>
      </c>
      <c r="Q507" s="17">
        <f>IFERROR(IF(AND(N507&lt;&gt;"",ISNUMBER(O507),O507&gt;0,O507&gt;=TODAY()-90),1,0),0)</f>
        <v/>
      </c>
      <c r="R507" s="17" t="str">
        <f t="shared" si="24"/>
        <v/>
      </c>
      <c r="S507" s="17" t="str">
        <f>IF(INDEX(Listado!A:A,ROW())="","",INDEX(Listado!A:A,ROW()))</f>
        <v/>
      </c>
      <c r="T507" s="17" t="str">
        <f ca="1">IF(INDEX(Listado!G:G,ROW())="","",INDEX(Listado!G:G,ROW()))</f>
        <v/>
      </c>
      <c r="U507" s="17" t="str">
        <f>IF(INDEX(Listado!F:F,ROW())="","",INDEX(Listado!F:F,ROW()))</f>
        <v/>
      </c>
      <c r="V507" s="17">
        <f>IF(COUNTA(INDEX(Listado!B:B,ROW()):INDEX(Listado!F:F,ROW()))&gt;0,1,0)</f>
        <v/>
      </c>
      <c r="W507" s="17" t="str">
        <f>IF(INDEX(Listado!L:L,ROW())="","",INDEX(Listado!L:L,ROW()))</f>
        <v/>
      </c>
      <c r="X507" s="17">
        <f>IF(N507="","",IF(INDEX(Listado!$M:$M,N507)="No","No","Sí"))</f>
        <v/>
      </c>
    </row>
    <row r="508" spans="2:24" ht="14.25">
      <c r="N508" s="17" t="str">
        <f>IF(V508=0,"",IFERROR(LOOKUP(2,1/(INDEX(Listado!A:A,2):INDEX(Listado!A:A,ROW())&lt;&gt;""),ROW(INDEX(Listado!A:A,2):INDEX(Listado!A:A,ROW()))),""))</f>
        <v/>
      </c>
      <c r="O508" s="17" t="str">
        <f>IFERROR(IF(N508="","",IF(INDEX(Listado!M:M,N508)="No",IF(INDEX(Listado!N:N,N508)=0,"",INDEX(Listado!N:N,N508)),IF(INDEX(Listado!I:I,N508)=0,"",INDEX(Listado!I:I,N508)))),"")</f>
        <v/>
      </c>
      <c r="P508" s="17">
        <f t="shared" ca="1" si="22"/>
        <v/>
      </c>
      <c r="Q508" s="17">
        <f>IFERROR(IF(AND(N508&lt;&gt;"",ISNUMBER(O508),O508&gt;0,O508&gt;=TODAY()-90),1,0),0)</f>
        <v/>
      </c>
      <c r="R508" s="17" t="str">
        <f t="shared" si="24"/>
        <v/>
      </c>
      <c r="S508" s="17" t="str">
        <f>IF(INDEX(Listado!A:A,ROW())="","",INDEX(Listado!A:A,ROW()))</f>
        <v/>
      </c>
      <c r="T508" s="17" t="str">
        <f ca="1">IF(INDEX(Listado!G:G,ROW())="","",INDEX(Listado!G:G,ROW()))</f>
        <v/>
      </c>
      <c r="U508" s="17" t="str">
        <f>IF(INDEX(Listado!F:F,ROW())="","",INDEX(Listado!F:F,ROW()))</f>
        <v/>
      </c>
      <c r="V508" s="17">
        <f>IF(COUNTA(INDEX(Listado!B:B,ROW()):INDEX(Listado!F:F,ROW()))&gt;0,1,0)</f>
        <v/>
      </c>
      <c r="W508" s="17" t="str">
        <f>IF(INDEX(Listado!L:L,ROW())="","",INDEX(Listado!L:L,ROW()))</f>
        <v/>
      </c>
      <c r="X508" s="17">
        <f>IF(N508="","",IF(INDEX(Listado!$M:$M,N508)="No","No","Sí"))</f>
        <v/>
      </c>
    </row>
    <row r="509" spans="2:24" ht="14.25">
      <c r="N509" s="17" t="str">
        <f>IF(V509=0,"",IFERROR(LOOKUP(2,1/(INDEX(Listado!A:A,2):INDEX(Listado!A:A,ROW())&lt;&gt;""),ROW(INDEX(Listado!A:A,2):INDEX(Listado!A:A,ROW()))),""))</f>
        <v/>
      </c>
      <c r="O509" s="17" t="str">
        <f>IFERROR(IF(N509="","",IF(INDEX(Listado!M:M,N509)="No",IF(INDEX(Listado!N:N,N509)=0,"",INDEX(Listado!N:N,N509)),IF(INDEX(Listado!I:I,N509)=0,"",INDEX(Listado!I:I,N509)))),"")</f>
        <v/>
      </c>
      <c r="P509" s="17">
        <f t="shared" ca="1" si="22"/>
        <v/>
      </c>
      <c r="Q509" s="17">
        <f>IFERROR(IF(AND(N509&lt;&gt;"",ISNUMBER(O509),O509&gt;0,O509&gt;=TODAY()-90),1,0),0)</f>
        <v/>
      </c>
      <c r="R509" s="17" t="str">
        <f t="shared" si="24"/>
        <v/>
      </c>
      <c r="S509" s="17" t="str">
        <f>IF(INDEX(Listado!A:A,ROW())="","",INDEX(Listado!A:A,ROW()))</f>
        <v/>
      </c>
      <c r="T509" s="17" t="str">
        <f ca="1">IF(INDEX(Listado!G:G,ROW())="","",INDEX(Listado!G:G,ROW()))</f>
        <v/>
      </c>
      <c r="U509" s="17" t="str">
        <f>IF(INDEX(Listado!F:F,ROW())="","",INDEX(Listado!F:F,ROW()))</f>
        <v/>
      </c>
      <c r="V509" s="17">
        <f>IF(COUNTA(INDEX(Listado!B:B,ROW()):INDEX(Listado!F:F,ROW()))&gt;0,1,0)</f>
        <v/>
      </c>
      <c r="W509" s="17" t="str">
        <f>IF(INDEX(Listado!L:L,ROW())="","",INDEX(Listado!L:L,ROW()))</f>
        <v/>
      </c>
      <c r="X509" s="17">
        <f>IF(N509="","",IF(INDEX(Listado!$M:$M,N509)="No","No","Sí"))</f>
        <v/>
      </c>
    </row>
    <row r="510" spans="2:24" ht="14.25">
      <c r="N510" s="17" t="str">
        <f>IF(V510=0,"",IFERROR(LOOKUP(2,1/(INDEX(Listado!A:A,2):INDEX(Listado!A:A,ROW())&lt;&gt;""),ROW(INDEX(Listado!A:A,2):INDEX(Listado!A:A,ROW()))),""))</f>
        <v/>
      </c>
      <c r="O510" s="17" t="str">
        <f>IFERROR(IF(N510="","",IF(INDEX(Listado!M:M,N510)="No",IF(INDEX(Listado!N:N,N510)=0,"",INDEX(Listado!N:N,N510)),IF(INDEX(Listado!I:I,N510)=0,"",INDEX(Listado!I:I,N510)))),"")</f>
        <v/>
      </c>
      <c r="P510" s="17">
        <f t="shared" ca="1" si="22"/>
        <v/>
      </c>
      <c r="Q510" s="17">
        <f>IFERROR(IF(AND(N510&lt;&gt;"",ISNUMBER(O510),O510&gt;0,O510&gt;=TODAY()-90),1,0),0)</f>
        <v/>
      </c>
      <c r="R510" s="17" t="str">
        <f t="shared" si="24"/>
        <v/>
      </c>
      <c r="S510" s="17" t="str">
        <f>IF(INDEX(Listado!A:A,ROW())="","",INDEX(Listado!A:A,ROW()))</f>
        <v/>
      </c>
      <c r="T510" s="17" t="str">
        <f ca="1">IF(INDEX(Listado!G:G,ROW())="","",INDEX(Listado!G:G,ROW()))</f>
        <v/>
      </c>
      <c r="U510" s="17" t="str">
        <f>IF(INDEX(Listado!F:F,ROW())="","",INDEX(Listado!F:F,ROW()))</f>
        <v/>
      </c>
      <c r="V510" s="17">
        <f>IF(COUNTA(INDEX(Listado!B:B,ROW()):INDEX(Listado!F:F,ROW()))&gt;0,1,0)</f>
        <v/>
      </c>
      <c r="W510" s="17" t="str">
        <f>IF(INDEX(Listado!L:L,ROW())="","",INDEX(Listado!L:L,ROW()))</f>
        <v/>
      </c>
      <c r="X510" s="17">
        <f>IF(N510="","",IF(INDEX(Listado!$M:$M,N510)="No","No","Sí"))</f>
        <v/>
      </c>
    </row>
    <row r="511" spans="2:24" ht="14.25">
      <c r="N511" s="17" t="str">
        <f>IF(V511=0,"",IFERROR(LOOKUP(2,1/(INDEX(Listado!A:A,2):INDEX(Listado!A:A,ROW())&lt;&gt;""),ROW(INDEX(Listado!A:A,2):INDEX(Listado!A:A,ROW()))),""))</f>
        <v/>
      </c>
      <c r="O511" s="17" t="str">
        <f>IFERROR(IF(N511="","",IF(INDEX(Listado!M:M,N511)="No",IF(INDEX(Listado!N:N,N511)=0,"",INDEX(Listado!N:N,N511)),IF(INDEX(Listado!I:I,N511)=0,"",INDEX(Listado!I:I,N511)))),"")</f>
        <v/>
      </c>
      <c r="P511" s="17">
        <f t="shared" ca="1" si="22"/>
        <v/>
      </c>
      <c r="Q511" s="17">
        <f>IFERROR(IF(AND(N511&lt;&gt;"",ISNUMBER(O511),O511&gt;0,O511&gt;=TODAY()-90),1,0),0)</f>
        <v/>
      </c>
      <c r="R511" s="17" t="str">
        <f t="shared" si="24"/>
        <v/>
      </c>
      <c r="S511" s="17" t="str">
        <f>IF(INDEX(Listado!A:A,ROW())="","",INDEX(Listado!A:A,ROW()))</f>
        <v/>
      </c>
      <c r="T511" s="17" t="str">
        <f ca="1">IF(INDEX(Listado!G:G,ROW())="","",INDEX(Listado!G:G,ROW()))</f>
        <v/>
      </c>
      <c r="U511" s="17" t="str">
        <f>IF(INDEX(Listado!F:F,ROW())="","",INDEX(Listado!F:F,ROW()))</f>
        <v/>
      </c>
      <c r="V511" s="17">
        <f>IF(COUNTA(INDEX(Listado!B:B,ROW()):INDEX(Listado!F:F,ROW()))&gt;0,1,0)</f>
        <v/>
      </c>
      <c r="W511" s="17" t="str">
        <f>IF(INDEX(Listado!L:L,ROW())="","",INDEX(Listado!L:L,ROW()))</f>
        <v/>
      </c>
      <c r="X511" s="17">
        <f>IF(N511="","",IF(INDEX(Listado!$M:$M,N511)="No","No","Sí"))</f>
        <v/>
      </c>
    </row>
    <row r="512" spans="2:24" ht="14.25">
      <c r="N512" s="17" t="str">
        <f>IF(V512=0,"",IFERROR(LOOKUP(2,1/(INDEX(Listado!A:A,2):INDEX(Listado!A:A,ROW())&lt;&gt;""),ROW(INDEX(Listado!A:A,2):INDEX(Listado!A:A,ROW()))),""))</f>
        <v/>
      </c>
      <c r="O512" s="17" t="str">
        <f>IFERROR(IF(N512="","",IF(INDEX(Listado!M:M,N512)="No",IF(INDEX(Listado!N:N,N512)=0,"",INDEX(Listado!N:N,N512)),IF(INDEX(Listado!I:I,N512)=0,"",INDEX(Listado!I:I,N512)))),"")</f>
        <v/>
      </c>
      <c r="P512" s="17">
        <f t="shared" ca="1" si="22"/>
        <v/>
      </c>
      <c r="Q512" s="17">
        <f>IFERROR(IF(AND(N512&lt;&gt;"",ISNUMBER(O512),O512&gt;0,O512&gt;=TODAY()-90),1,0),0)</f>
        <v/>
      </c>
      <c r="R512" s="17" t="str">
        <f t="shared" si="24"/>
        <v/>
      </c>
      <c r="S512" s="17" t="str">
        <f>IF(INDEX(Listado!A:A,ROW())="","",INDEX(Listado!A:A,ROW()))</f>
        <v/>
      </c>
      <c r="T512" s="17" t="str">
        <f ca="1">IF(INDEX(Listado!G:G,ROW())="","",INDEX(Listado!G:G,ROW()))</f>
        <v/>
      </c>
      <c r="U512" s="17" t="str">
        <f>IF(INDEX(Listado!F:F,ROW())="","",INDEX(Listado!F:F,ROW()))</f>
        <v/>
      </c>
      <c r="V512" s="17">
        <f>IF(COUNTA(INDEX(Listado!B:B,ROW()):INDEX(Listado!F:F,ROW()))&gt;0,1,0)</f>
        <v/>
      </c>
      <c r="W512" s="17" t="str">
        <f>IF(INDEX(Listado!L:L,ROW())="","",INDEX(Listado!L:L,ROW()))</f>
        <v/>
      </c>
      <c r="X512" s="17">
        <f>IF(N512="","",IF(INDEX(Listado!$M:$M,N512)="No","No","Sí"))</f>
        <v/>
      </c>
    </row>
    <row r="513" spans="2:24" ht="14.25">
      <c r="N513" s="17" t="str">
        <f>IF(V513=0,"",IFERROR(LOOKUP(2,1/(INDEX(Listado!A:A,2):INDEX(Listado!A:A,ROW())&lt;&gt;""),ROW(INDEX(Listado!A:A,2):INDEX(Listado!A:A,ROW()))),""))</f>
        <v/>
      </c>
      <c r="O513" s="17" t="str">
        <f>IFERROR(IF(N513="","",IF(INDEX(Listado!M:M,N513)="No",IF(INDEX(Listado!N:N,N513)=0,"",INDEX(Listado!N:N,N513)),IF(INDEX(Listado!I:I,N513)=0,"",INDEX(Listado!I:I,N513)))),"")</f>
        <v/>
      </c>
      <c r="P513" s="17">
        <f t="shared" ca="1" si="22"/>
        <v/>
      </c>
      <c r="Q513" s="17">
        <f>IFERROR(IF(AND(N513&lt;&gt;"",ISNUMBER(O513),O513&gt;0,O513&gt;=TODAY()-90),1,0),0)</f>
        <v/>
      </c>
      <c r="R513" s="17" t="str">
        <f t="shared" si="24"/>
        <v/>
      </c>
      <c r="S513" s="17" t="str">
        <f>IF(INDEX(Listado!A:A,ROW())="","",INDEX(Listado!A:A,ROW()))</f>
        <v/>
      </c>
      <c r="T513" s="17" t="str">
        <f ca="1">IF(INDEX(Listado!G:G,ROW())="","",INDEX(Listado!G:G,ROW()))</f>
        <v/>
      </c>
      <c r="U513" s="17" t="str">
        <f>IF(INDEX(Listado!F:F,ROW())="","",INDEX(Listado!F:F,ROW()))</f>
        <v/>
      </c>
      <c r="V513" s="17">
        <f>IF(COUNTA(INDEX(Listado!B:B,ROW()):INDEX(Listado!F:F,ROW()))&gt;0,1,0)</f>
        <v/>
      </c>
      <c r="W513" s="17" t="str">
        <f>IF(INDEX(Listado!L:L,ROW())="","",INDEX(Listado!L:L,ROW()))</f>
        <v/>
      </c>
      <c r="X513" s="17">
        <f>IF(N513="","",IF(INDEX(Listado!$M:$M,N513)="No","No","Sí"))</f>
        <v/>
      </c>
    </row>
    <row r="514" spans="2:24" ht="14.25">
      <c r="N514" s="17" t="str">
        <f>IF(V514=0,"",IFERROR(LOOKUP(2,1/(INDEX(Listado!A:A,2):INDEX(Listado!A:A,ROW())&lt;&gt;""),ROW(INDEX(Listado!A:A,2):INDEX(Listado!A:A,ROW()))),""))</f>
        <v/>
      </c>
      <c r="O514" s="17" t="str">
        <f>IFERROR(IF(N514="","",IF(INDEX(Listado!M:M,N514)="No",IF(INDEX(Listado!N:N,N514)=0,"",INDEX(Listado!N:N,N514)),IF(INDEX(Listado!I:I,N514)=0,"",INDEX(Listado!I:I,N514)))),"")</f>
        <v/>
      </c>
      <c r="P514" s="17">
        <f t="shared" ref="P514:P577" ca="1" si="25">IF(W514="",0,IFERROR(IF(AND(ISNUMBER(W514),W514=INT(W514),ISNUMBER(O514),O514&gt;0,W514&gt;=TODAY(),W514&lt;=O514+90),0,1),1))</f>
        <v/>
      </c>
      <c r="Q514" s="17">
        <f>IFERROR(IF(AND(N514&lt;&gt;"",ISNUMBER(O514),O514&gt;0,O514&gt;=TODAY()-90),1,0),0)</f>
        <v/>
      </c>
      <c r="R514" s="17" t="str">
        <f t="shared" ref="R514:R577" si="27">IF(S514="","",COUNTIFS($N$2:$N$2999,ROW(),$Q$2:$Q$2999,1))</f>
        <v/>
      </c>
      <c r="S514" s="17" t="str">
        <f>IF(INDEX(Listado!A:A,ROW())="","",INDEX(Listado!A:A,ROW()))</f>
        <v/>
      </c>
      <c r="T514" s="17" t="str">
        <f ca="1">IF(INDEX(Listado!G:G,ROW())="","",INDEX(Listado!G:G,ROW()))</f>
        <v/>
      </c>
      <c r="U514" s="17" t="str">
        <f>IF(INDEX(Listado!F:F,ROW())="","",INDEX(Listado!F:F,ROW()))</f>
        <v/>
      </c>
      <c r="V514" s="17">
        <f>IF(COUNTA(INDEX(Listado!B:B,ROW()):INDEX(Listado!F:F,ROW()))&gt;0,1,0)</f>
        <v/>
      </c>
      <c r="W514" s="17" t="str">
        <f>IF(INDEX(Listado!L:L,ROW())="","",INDEX(Listado!L:L,ROW()))</f>
        <v/>
      </c>
      <c r="X514" s="17">
        <f>IF(N514="","",IF(INDEX(Listado!$M:$M,N514)="No","No","Sí"))</f>
        <v/>
      </c>
    </row>
    <row r="515" spans="2:24" ht="14.25">
      <c r="N515" s="17" t="str">
        <f>IF(V515=0,"",IFERROR(LOOKUP(2,1/(INDEX(Listado!A:A,2):INDEX(Listado!A:A,ROW())&lt;&gt;""),ROW(INDEX(Listado!A:A,2):INDEX(Listado!A:A,ROW()))),""))</f>
        <v/>
      </c>
      <c r="O515" s="17" t="str">
        <f>IFERROR(IF(N515="","",IF(INDEX(Listado!M:M,N515)="No",IF(INDEX(Listado!N:N,N515)=0,"",INDEX(Listado!N:N,N515)),IF(INDEX(Listado!I:I,N515)=0,"",INDEX(Listado!I:I,N515)))),"")</f>
        <v/>
      </c>
      <c r="P515" s="17">
        <f t="shared" ca="1" si="25"/>
        <v/>
      </c>
      <c r="Q515" s="17">
        <f>IFERROR(IF(AND(N515&lt;&gt;"",ISNUMBER(O515),O515&gt;0,O515&gt;=TODAY()-90),1,0),0)</f>
        <v/>
      </c>
      <c r="R515" s="17" t="str">
        <f t="shared" si="27"/>
        <v/>
      </c>
      <c r="S515" s="17" t="str">
        <f>IF(INDEX(Listado!A:A,ROW())="","",INDEX(Listado!A:A,ROW()))</f>
        <v/>
      </c>
      <c r="T515" s="17" t="str">
        <f ca="1">IF(INDEX(Listado!G:G,ROW())="","",INDEX(Listado!G:G,ROW()))</f>
        <v/>
      </c>
      <c r="U515" s="17" t="str">
        <f>IF(INDEX(Listado!F:F,ROW())="","",INDEX(Listado!F:F,ROW()))</f>
        <v/>
      </c>
      <c r="V515" s="17">
        <f>IF(COUNTA(INDEX(Listado!B:B,ROW()):INDEX(Listado!F:F,ROW()))&gt;0,1,0)</f>
        <v/>
      </c>
      <c r="W515" s="17" t="str">
        <f>IF(INDEX(Listado!L:L,ROW())="","",INDEX(Listado!L:L,ROW()))</f>
        <v/>
      </c>
      <c r="X515" s="17">
        <f>IF(N515="","",IF(INDEX(Listado!$M:$M,N515)="No","No","Sí"))</f>
        <v/>
      </c>
    </row>
    <row r="516" spans="2:24" ht="14.25">
      <c r="N516" s="17" t="str">
        <f>IF(V516=0,"",IFERROR(LOOKUP(2,1/(INDEX(Listado!A:A,2):INDEX(Listado!A:A,ROW())&lt;&gt;""),ROW(INDEX(Listado!A:A,2):INDEX(Listado!A:A,ROW()))),""))</f>
        <v/>
      </c>
      <c r="O516" s="17" t="str">
        <f>IFERROR(IF(N516="","",IF(INDEX(Listado!M:M,N516)="No",IF(INDEX(Listado!N:N,N516)=0,"",INDEX(Listado!N:N,N516)),IF(INDEX(Listado!I:I,N516)=0,"",INDEX(Listado!I:I,N516)))),"")</f>
        <v/>
      </c>
      <c r="P516" s="17">
        <f t="shared" ca="1" si="25"/>
        <v/>
      </c>
      <c r="Q516" s="17">
        <f>IFERROR(IF(AND(N516&lt;&gt;"",ISNUMBER(O516),O516&gt;0,O516&gt;=TODAY()-90),1,0),0)</f>
        <v/>
      </c>
      <c r="R516" s="17" t="str">
        <f t="shared" si="27"/>
        <v/>
      </c>
      <c r="S516" s="17" t="str">
        <f>IF(INDEX(Listado!A:A,ROW())="","",INDEX(Listado!A:A,ROW()))</f>
        <v/>
      </c>
      <c r="T516" s="17" t="str">
        <f ca="1">IF(INDEX(Listado!G:G,ROW())="","",INDEX(Listado!G:G,ROW()))</f>
        <v/>
      </c>
      <c r="U516" s="17" t="str">
        <f>IF(INDEX(Listado!F:F,ROW())="","",INDEX(Listado!F:F,ROW()))</f>
        <v/>
      </c>
      <c r="V516" s="17">
        <f>IF(COUNTA(INDEX(Listado!B:B,ROW()):INDEX(Listado!F:F,ROW()))&gt;0,1,0)</f>
        <v/>
      </c>
      <c r="W516" s="17" t="str">
        <f>IF(INDEX(Listado!L:L,ROW())="","",INDEX(Listado!L:L,ROW()))</f>
        <v/>
      </c>
      <c r="X516" s="17">
        <f>IF(N516="","",IF(INDEX(Listado!$M:$M,N516)="No","No","Sí"))</f>
        <v/>
      </c>
    </row>
    <row r="517" spans="2:24" ht="14.25">
      <c r="N517" s="17" t="str">
        <f>IF(V517=0,"",IFERROR(LOOKUP(2,1/(INDEX(Listado!A:A,2):INDEX(Listado!A:A,ROW())&lt;&gt;""),ROW(INDEX(Listado!A:A,2):INDEX(Listado!A:A,ROW()))),""))</f>
        <v/>
      </c>
      <c r="O517" s="17" t="str">
        <f>IFERROR(IF(N517="","",IF(INDEX(Listado!M:M,N517)="No",IF(INDEX(Listado!N:N,N517)=0,"",INDEX(Listado!N:N,N517)),IF(INDEX(Listado!I:I,N517)=0,"",INDEX(Listado!I:I,N517)))),"")</f>
        <v/>
      </c>
      <c r="P517" s="17">
        <f t="shared" ca="1" si="25"/>
        <v/>
      </c>
      <c r="Q517" s="17">
        <f>IFERROR(IF(AND(N517&lt;&gt;"",ISNUMBER(O517),O517&gt;0,O517&gt;=TODAY()-90),1,0),0)</f>
        <v/>
      </c>
      <c r="R517" s="17" t="str">
        <f t="shared" si="27"/>
        <v/>
      </c>
      <c r="S517" s="17" t="str">
        <f>IF(INDEX(Listado!A:A,ROW())="","",INDEX(Listado!A:A,ROW()))</f>
        <v/>
      </c>
      <c r="T517" s="17" t="str">
        <f ca="1">IF(INDEX(Listado!G:G,ROW())="","",INDEX(Listado!G:G,ROW()))</f>
        <v/>
      </c>
      <c r="U517" s="17" t="str">
        <f>IF(INDEX(Listado!F:F,ROW())="","",INDEX(Listado!F:F,ROW()))</f>
        <v/>
      </c>
      <c r="V517" s="17">
        <f>IF(COUNTA(INDEX(Listado!B:B,ROW()):INDEX(Listado!F:F,ROW()))&gt;0,1,0)</f>
        <v/>
      </c>
      <c r="W517" s="17" t="str">
        <f>IF(INDEX(Listado!L:L,ROW())="","",INDEX(Listado!L:L,ROW()))</f>
        <v/>
      </c>
      <c r="X517" s="17">
        <f>IF(N517="","",IF(INDEX(Listado!$M:$M,N517)="No","No","Sí"))</f>
        <v/>
      </c>
    </row>
    <row r="518" spans="2:24" ht="14.25">
      <c r="N518" s="17" t="str">
        <f>IF(V518=0,"",IFERROR(LOOKUP(2,1/(INDEX(Listado!A:A,2):INDEX(Listado!A:A,ROW())&lt;&gt;""),ROW(INDEX(Listado!A:A,2):INDEX(Listado!A:A,ROW()))),""))</f>
        <v/>
      </c>
      <c r="O518" s="17" t="str">
        <f>IFERROR(IF(N518="","",IF(INDEX(Listado!M:M,N518)="No",IF(INDEX(Listado!N:N,N518)=0,"",INDEX(Listado!N:N,N518)),IF(INDEX(Listado!I:I,N518)=0,"",INDEX(Listado!I:I,N518)))),"")</f>
        <v/>
      </c>
      <c r="P518" s="17">
        <f t="shared" ca="1" si="25"/>
        <v/>
      </c>
      <c r="Q518" s="17">
        <f>IFERROR(IF(AND(N518&lt;&gt;"",ISNUMBER(O518),O518&gt;0,O518&gt;=TODAY()-90),1,0),0)</f>
        <v/>
      </c>
      <c r="R518" s="17" t="str">
        <f t="shared" si="27"/>
        <v/>
      </c>
      <c r="S518" s="17" t="str">
        <f>IF(INDEX(Listado!A:A,ROW())="","",INDEX(Listado!A:A,ROW()))</f>
        <v/>
      </c>
      <c r="T518" s="17" t="str">
        <f ca="1">IF(INDEX(Listado!G:G,ROW())="","",INDEX(Listado!G:G,ROW()))</f>
        <v/>
      </c>
      <c r="U518" s="17" t="str">
        <f>IF(INDEX(Listado!F:F,ROW())="","",INDEX(Listado!F:F,ROW()))</f>
        <v/>
      </c>
      <c r="V518" s="17">
        <f>IF(COUNTA(INDEX(Listado!B:B,ROW()):INDEX(Listado!F:F,ROW()))&gt;0,1,0)</f>
        <v/>
      </c>
      <c r="W518" s="17" t="str">
        <f>IF(INDEX(Listado!L:L,ROW())="","",INDEX(Listado!L:L,ROW()))</f>
        <v/>
      </c>
      <c r="X518" s="17">
        <f>IF(N518="","",IF(INDEX(Listado!$M:$M,N518)="No","No","Sí"))</f>
        <v/>
      </c>
    </row>
    <row r="519" spans="2:24" ht="14.25">
      <c r="N519" s="17" t="str">
        <f>IF(V519=0,"",IFERROR(LOOKUP(2,1/(INDEX(Listado!A:A,2):INDEX(Listado!A:A,ROW())&lt;&gt;""),ROW(INDEX(Listado!A:A,2):INDEX(Listado!A:A,ROW()))),""))</f>
        <v/>
      </c>
      <c r="O519" s="17" t="str">
        <f>IFERROR(IF(N519="","",IF(INDEX(Listado!M:M,N519)="No",IF(INDEX(Listado!N:N,N519)=0,"",INDEX(Listado!N:N,N519)),IF(INDEX(Listado!I:I,N519)=0,"",INDEX(Listado!I:I,N519)))),"")</f>
        <v/>
      </c>
      <c r="P519" s="17">
        <f t="shared" ca="1" si="25"/>
        <v/>
      </c>
      <c r="Q519" s="17">
        <f>IFERROR(IF(AND(N519&lt;&gt;"",ISNUMBER(O519),O519&gt;0,O519&gt;=TODAY()-90),1,0),0)</f>
        <v/>
      </c>
      <c r="R519" s="17" t="str">
        <f t="shared" si="27"/>
        <v/>
      </c>
      <c r="S519" s="17" t="str">
        <f>IF(INDEX(Listado!A:A,ROW())="","",INDEX(Listado!A:A,ROW()))</f>
        <v/>
      </c>
      <c r="T519" s="17" t="str">
        <f ca="1">IF(INDEX(Listado!G:G,ROW())="","",INDEX(Listado!G:G,ROW()))</f>
        <v/>
      </c>
      <c r="U519" s="17" t="str">
        <f>IF(INDEX(Listado!F:F,ROW())="","",INDEX(Listado!F:F,ROW()))</f>
        <v/>
      </c>
      <c r="V519" s="17">
        <f>IF(COUNTA(INDEX(Listado!B:B,ROW()):INDEX(Listado!F:F,ROW()))&gt;0,1,0)</f>
        <v/>
      </c>
      <c r="W519" s="17" t="str">
        <f>IF(INDEX(Listado!L:L,ROW())="","",INDEX(Listado!L:L,ROW()))</f>
        <v/>
      </c>
      <c r="X519" s="17">
        <f>IF(N519="","",IF(INDEX(Listado!$M:$M,N519)="No","No","Sí"))</f>
        <v/>
      </c>
    </row>
    <row r="520" spans="2:24" ht="14.25">
      <c r="N520" s="17" t="str">
        <f>IF(V520=0,"",IFERROR(LOOKUP(2,1/(INDEX(Listado!A:A,2):INDEX(Listado!A:A,ROW())&lt;&gt;""),ROW(INDEX(Listado!A:A,2):INDEX(Listado!A:A,ROW()))),""))</f>
        <v/>
      </c>
      <c r="O520" s="17" t="str">
        <f>IFERROR(IF(N520="","",IF(INDEX(Listado!M:M,N520)="No",IF(INDEX(Listado!N:N,N520)=0,"",INDEX(Listado!N:N,N520)),IF(INDEX(Listado!I:I,N520)=0,"",INDEX(Listado!I:I,N520)))),"")</f>
        <v/>
      </c>
      <c r="P520" s="17">
        <f t="shared" ca="1" si="25"/>
        <v/>
      </c>
      <c r="Q520" s="17">
        <f>IFERROR(IF(AND(N520&lt;&gt;"",ISNUMBER(O520),O520&gt;0,O520&gt;=TODAY()-90),1,0),0)</f>
        <v/>
      </c>
      <c r="R520" s="17" t="str">
        <f t="shared" si="27"/>
        <v/>
      </c>
      <c r="S520" s="17" t="str">
        <f>IF(INDEX(Listado!A:A,ROW())="","",INDEX(Listado!A:A,ROW()))</f>
        <v/>
      </c>
      <c r="T520" s="17" t="str">
        <f ca="1">IF(INDEX(Listado!G:G,ROW())="","",INDEX(Listado!G:G,ROW()))</f>
        <v/>
      </c>
      <c r="U520" s="17" t="str">
        <f>IF(INDEX(Listado!F:F,ROW())="","",INDEX(Listado!F:F,ROW()))</f>
        <v/>
      </c>
      <c r="V520" s="17">
        <f>IF(COUNTA(INDEX(Listado!B:B,ROW()):INDEX(Listado!F:F,ROW()))&gt;0,1,0)</f>
        <v/>
      </c>
      <c r="W520" s="17" t="str">
        <f>IF(INDEX(Listado!L:L,ROW())="","",INDEX(Listado!L:L,ROW()))</f>
        <v/>
      </c>
      <c r="X520" s="17">
        <f>IF(N520="","",IF(INDEX(Listado!$M:$M,N520)="No","No","Sí"))</f>
        <v/>
      </c>
    </row>
    <row r="521" spans="2:24" ht="14.25">
      <c r="N521" s="17" t="str">
        <f>IF(V521=0,"",IFERROR(LOOKUP(2,1/(INDEX(Listado!A:A,2):INDEX(Listado!A:A,ROW())&lt;&gt;""),ROW(INDEX(Listado!A:A,2):INDEX(Listado!A:A,ROW()))),""))</f>
        <v/>
      </c>
      <c r="O521" s="17" t="str">
        <f>IFERROR(IF(N521="","",IF(INDEX(Listado!M:M,N521)="No",IF(INDEX(Listado!N:N,N521)=0,"",INDEX(Listado!N:N,N521)),IF(INDEX(Listado!I:I,N521)=0,"",INDEX(Listado!I:I,N521)))),"")</f>
        <v/>
      </c>
      <c r="P521" s="17">
        <f t="shared" ca="1" si="25"/>
        <v/>
      </c>
      <c r="Q521" s="17">
        <f>IFERROR(IF(AND(N521&lt;&gt;"",ISNUMBER(O521),O521&gt;0,O521&gt;=TODAY()-90),1,0),0)</f>
        <v/>
      </c>
      <c r="R521" s="17" t="str">
        <f t="shared" si="27"/>
        <v/>
      </c>
      <c r="S521" s="17" t="str">
        <f>IF(INDEX(Listado!A:A,ROW())="","",INDEX(Listado!A:A,ROW()))</f>
        <v/>
      </c>
      <c r="T521" s="17" t="str">
        <f ca="1">IF(INDEX(Listado!G:G,ROW())="","",INDEX(Listado!G:G,ROW()))</f>
        <v/>
      </c>
      <c r="U521" s="17" t="str">
        <f>IF(INDEX(Listado!F:F,ROW())="","",INDEX(Listado!F:F,ROW()))</f>
        <v/>
      </c>
      <c r="V521" s="17">
        <f>IF(COUNTA(INDEX(Listado!B:B,ROW()):INDEX(Listado!F:F,ROW()))&gt;0,1,0)</f>
        <v/>
      </c>
      <c r="W521" s="17" t="str">
        <f>IF(INDEX(Listado!L:L,ROW())="","",INDEX(Listado!L:L,ROW()))</f>
        <v/>
      </c>
      <c r="X521" s="17">
        <f>IF(N521="","",IF(INDEX(Listado!$M:$M,N521)="No","No","Sí"))</f>
        <v/>
      </c>
    </row>
    <row r="522" spans="2:24" ht="14.25">
      <c r="N522" s="17" t="str">
        <f>IF(V522=0,"",IFERROR(LOOKUP(2,1/(INDEX(Listado!A:A,2):INDEX(Listado!A:A,ROW())&lt;&gt;""),ROW(INDEX(Listado!A:A,2):INDEX(Listado!A:A,ROW()))),""))</f>
        <v/>
      </c>
      <c r="O522" s="17" t="str">
        <f>IFERROR(IF(N522="","",IF(INDEX(Listado!M:M,N522)="No",IF(INDEX(Listado!N:N,N522)=0,"",INDEX(Listado!N:N,N522)),IF(INDEX(Listado!I:I,N522)=0,"",INDEX(Listado!I:I,N522)))),"")</f>
        <v/>
      </c>
      <c r="P522" s="17">
        <f t="shared" ca="1" si="25"/>
        <v/>
      </c>
      <c r="Q522" s="17">
        <f>IFERROR(IF(AND(N522&lt;&gt;"",ISNUMBER(O522),O522&gt;0,O522&gt;=TODAY()-90),1,0),0)</f>
        <v/>
      </c>
      <c r="R522" s="17" t="str">
        <f t="shared" si="27"/>
        <v/>
      </c>
      <c r="S522" s="17" t="str">
        <f>IF(INDEX(Listado!A:A,ROW())="","",INDEX(Listado!A:A,ROW()))</f>
        <v/>
      </c>
      <c r="T522" s="17" t="str">
        <f ca="1">IF(INDEX(Listado!G:G,ROW())="","",INDEX(Listado!G:G,ROW()))</f>
        <v/>
      </c>
      <c r="U522" s="17" t="str">
        <f>IF(INDEX(Listado!F:F,ROW())="","",INDEX(Listado!F:F,ROW()))</f>
        <v/>
      </c>
      <c r="V522" s="17">
        <f>IF(COUNTA(INDEX(Listado!B:B,ROW()):INDEX(Listado!F:F,ROW()))&gt;0,1,0)</f>
        <v/>
      </c>
      <c r="W522" s="17" t="str">
        <f>IF(INDEX(Listado!L:L,ROW())="","",INDEX(Listado!L:L,ROW()))</f>
        <v/>
      </c>
      <c r="X522" s="17">
        <f>IF(N522="","",IF(INDEX(Listado!$M:$M,N522)="No","No","Sí"))</f>
        <v/>
      </c>
    </row>
    <row r="523" spans="2:24" ht="14.25">
      <c r="N523" s="17" t="str">
        <f>IF(V523=0,"",IFERROR(LOOKUP(2,1/(INDEX(Listado!A:A,2):INDEX(Listado!A:A,ROW())&lt;&gt;""),ROW(INDEX(Listado!A:A,2):INDEX(Listado!A:A,ROW()))),""))</f>
        <v/>
      </c>
      <c r="O523" s="17" t="str">
        <f>IFERROR(IF(N523="","",IF(INDEX(Listado!M:M,N523)="No",IF(INDEX(Listado!N:N,N523)=0,"",INDEX(Listado!N:N,N523)),IF(INDEX(Listado!I:I,N523)=0,"",INDEX(Listado!I:I,N523)))),"")</f>
        <v/>
      </c>
      <c r="P523" s="17">
        <f t="shared" ca="1" si="25"/>
        <v/>
      </c>
      <c r="Q523" s="17">
        <f>IFERROR(IF(AND(N523&lt;&gt;"",ISNUMBER(O523),O523&gt;0,O523&gt;=TODAY()-90),1,0),0)</f>
        <v/>
      </c>
      <c r="R523" s="17" t="str">
        <f t="shared" si="27"/>
        <v/>
      </c>
      <c r="S523" s="17" t="str">
        <f>IF(INDEX(Listado!A:A,ROW())="","",INDEX(Listado!A:A,ROW()))</f>
        <v/>
      </c>
      <c r="T523" s="17" t="str">
        <f ca="1">IF(INDEX(Listado!G:G,ROW())="","",INDEX(Listado!G:G,ROW()))</f>
        <v/>
      </c>
      <c r="U523" s="17" t="str">
        <f>IF(INDEX(Listado!F:F,ROW())="","",INDEX(Listado!F:F,ROW()))</f>
        <v/>
      </c>
      <c r="V523" s="17">
        <f>IF(COUNTA(INDEX(Listado!B:B,ROW()):INDEX(Listado!F:F,ROW()))&gt;0,1,0)</f>
        <v/>
      </c>
      <c r="W523" s="17" t="str">
        <f>IF(INDEX(Listado!L:L,ROW())="","",INDEX(Listado!L:L,ROW()))</f>
        <v/>
      </c>
      <c r="X523" s="17">
        <f>IF(N523="","",IF(INDEX(Listado!$M:$M,N523)="No","No","Sí"))</f>
        <v/>
      </c>
    </row>
    <row r="524" spans="2:24" ht="14.25">
      <c r="N524" s="17" t="str">
        <f>IF(V524=0,"",IFERROR(LOOKUP(2,1/(INDEX(Listado!A:A,2):INDEX(Listado!A:A,ROW())&lt;&gt;""),ROW(INDEX(Listado!A:A,2):INDEX(Listado!A:A,ROW()))),""))</f>
        <v/>
      </c>
      <c r="O524" s="17" t="str">
        <f>IFERROR(IF(N524="","",IF(INDEX(Listado!M:M,N524)="No",IF(INDEX(Listado!N:N,N524)=0,"",INDEX(Listado!N:N,N524)),IF(INDEX(Listado!I:I,N524)=0,"",INDEX(Listado!I:I,N524)))),"")</f>
        <v/>
      </c>
      <c r="P524" s="17">
        <f t="shared" ca="1" si="25"/>
        <v/>
      </c>
      <c r="Q524" s="17">
        <f>IFERROR(IF(AND(N524&lt;&gt;"",ISNUMBER(O524),O524&gt;0,O524&gt;=TODAY()-90),1,0),0)</f>
        <v/>
      </c>
      <c r="R524" s="17" t="str">
        <f t="shared" si="27"/>
        <v/>
      </c>
      <c r="S524" s="17" t="str">
        <f>IF(INDEX(Listado!A:A,ROW())="","",INDEX(Listado!A:A,ROW()))</f>
        <v/>
      </c>
      <c r="T524" s="17" t="str">
        <f ca="1">IF(INDEX(Listado!G:G,ROW())="","",INDEX(Listado!G:G,ROW()))</f>
        <v/>
      </c>
      <c r="U524" s="17" t="str">
        <f>IF(INDEX(Listado!F:F,ROW())="","",INDEX(Listado!F:F,ROW()))</f>
        <v/>
      </c>
      <c r="V524" s="17">
        <f>IF(COUNTA(INDEX(Listado!B:B,ROW()):INDEX(Listado!F:F,ROW()))&gt;0,1,0)</f>
        <v/>
      </c>
      <c r="W524" s="17" t="str">
        <f>IF(INDEX(Listado!L:L,ROW())="","",INDEX(Listado!L:L,ROW()))</f>
        <v/>
      </c>
      <c r="X524" s="17">
        <f>IF(N524="","",IF(INDEX(Listado!$M:$M,N524)="No","No","Sí"))</f>
        <v/>
      </c>
    </row>
    <row r="525" spans="2:24" ht="14.25">
      <c r="N525" s="17" t="str">
        <f>IF(V525=0,"",IFERROR(LOOKUP(2,1/(INDEX(Listado!A:A,2):INDEX(Listado!A:A,ROW())&lt;&gt;""),ROW(INDEX(Listado!A:A,2):INDEX(Listado!A:A,ROW()))),""))</f>
        <v/>
      </c>
      <c r="O525" s="17" t="str">
        <f>IFERROR(IF(N525="","",IF(INDEX(Listado!M:M,N525)="No",IF(INDEX(Listado!N:N,N525)=0,"",INDEX(Listado!N:N,N525)),IF(INDEX(Listado!I:I,N525)=0,"",INDEX(Listado!I:I,N525)))),"")</f>
        <v/>
      </c>
      <c r="P525" s="17">
        <f t="shared" ca="1" si="25"/>
        <v/>
      </c>
      <c r="Q525" s="17">
        <f>IFERROR(IF(AND(N525&lt;&gt;"",ISNUMBER(O525),O525&gt;0,O525&gt;=TODAY()-90),1,0),0)</f>
        <v/>
      </c>
      <c r="R525" s="17" t="str">
        <f t="shared" si="27"/>
        <v/>
      </c>
      <c r="S525" s="17" t="str">
        <f>IF(INDEX(Listado!A:A,ROW())="","",INDEX(Listado!A:A,ROW()))</f>
        <v/>
      </c>
      <c r="T525" s="17" t="str">
        <f ca="1">IF(INDEX(Listado!G:G,ROW())="","",INDEX(Listado!G:G,ROW()))</f>
        <v/>
      </c>
      <c r="U525" s="17" t="str">
        <f>IF(INDEX(Listado!F:F,ROW())="","",INDEX(Listado!F:F,ROW()))</f>
        <v/>
      </c>
      <c r="V525" s="17">
        <f>IF(COUNTA(INDEX(Listado!B:B,ROW()):INDEX(Listado!F:F,ROW()))&gt;0,1,0)</f>
        <v/>
      </c>
      <c r="W525" s="17" t="str">
        <f>IF(INDEX(Listado!L:L,ROW())="","",INDEX(Listado!L:L,ROW()))</f>
        <v/>
      </c>
      <c r="X525" s="17">
        <f>IF(N525="","",IF(INDEX(Listado!$M:$M,N525)="No","No","Sí"))</f>
        <v/>
      </c>
    </row>
    <row r="526" spans="2:24" ht="14.25">
      <c r="N526" s="17" t="str">
        <f>IF(V526=0,"",IFERROR(LOOKUP(2,1/(INDEX(Listado!A:A,2):INDEX(Listado!A:A,ROW())&lt;&gt;""),ROW(INDEX(Listado!A:A,2):INDEX(Listado!A:A,ROW()))),""))</f>
        <v/>
      </c>
      <c r="O526" s="17" t="str">
        <f>IFERROR(IF(N526="","",IF(INDEX(Listado!M:M,N526)="No",IF(INDEX(Listado!N:N,N526)=0,"",INDEX(Listado!N:N,N526)),IF(INDEX(Listado!I:I,N526)=0,"",INDEX(Listado!I:I,N526)))),"")</f>
        <v/>
      </c>
      <c r="P526" s="17">
        <f t="shared" ca="1" si="25"/>
        <v/>
      </c>
      <c r="Q526" s="17">
        <f>IFERROR(IF(AND(N526&lt;&gt;"",ISNUMBER(O526),O526&gt;0,O526&gt;=TODAY()-90),1,0),0)</f>
        <v/>
      </c>
      <c r="R526" s="17" t="str">
        <f t="shared" si="27"/>
        <v/>
      </c>
      <c r="S526" s="17" t="str">
        <f>IF(INDEX(Listado!A:A,ROW())="","",INDEX(Listado!A:A,ROW()))</f>
        <v/>
      </c>
      <c r="T526" s="17" t="str">
        <f ca="1">IF(INDEX(Listado!G:G,ROW())="","",INDEX(Listado!G:G,ROW()))</f>
        <v/>
      </c>
      <c r="U526" s="17" t="str">
        <f>IF(INDEX(Listado!F:F,ROW())="","",INDEX(Listado!F:F,ROW()))</f>
        <v/>
      </c>
      <c r="V526" s="17">
        <f>IF(COUNTA(INDEX(Listado!B:B,ROW()):INDEX(Listado!F:F,ROW()))&gt;0,1,0)</f>
        <v/>
      </c>
      <c r="W526" s="17" t="str">
        <f>IF(INDEX(Listado!L:L,ROW())="","",INDEX(Listado!L:L,ROW()))</f>
        <v/>
      </c>
      <c r="X526" s="17">
        <f>IF(N526="","",IF(INDEX(Listado!$M:$M,N526)="No","No","Sí"))</f>
        <v/>
      </c>
    </row>
    <row r="527" spans="2:24" ht="14.25">
      <c r="N527" s="17" t="str">
        <f>IF(V527=0,"",IFERROR(LOOKUP(2,1/(INDEX(Listado!A:A,2):INDEX(Listado!A:A,ROW())&lt;&gt;""),ROW(INDEX(Listado!A:A,2):INDEX(Listado!A:A,ROW()))),""))</f>
        <v/>
      </c>
      <c r="O527" s="17" t="str">
        <f>IFERROR(IF(N527="","",IF(INDEX(Listado!M:M,N527)="No",IF(INDEX(Listado!N:N,N527)=0,"",INDEX(Listado!N:N,N527)),IF(INDEX(Listado!I:I,N527)=0,"",INDEX(Listado!I:I,N527)))),"")</f>
        <v/>
      </c>
      <c r="P527" s="17">
        <f t="shared" ca="1" si="25"/>
        <v/>
      </c>
      <c r="Q527" s="17">
        <f>IFERROR(IF(AND(N527&lt;&gt;"",ISNUMBER(O527),O527&gt;0,O527&gt;=TODAY()-90),1,0),0)</f>
        <v/>
      </c>
      <c r="R527" s="17" t="str">
        <f t="shared" si="27"/>
        <v/>
      </c>
      <c r="S527" s="17" t="str">
        <f>IF(INDEX(Listado!A:A,ROW())="","",INDEX(Listado!A:A,ROW()))</f>
        <v/>
      </c>
      <c r="T527" s="17" t="str">
        <f ca="1">IF(INDEX(Listado!G:G,ROW())="","",INDEX(Listado!G:G,ROW()))</f>
        <v/>
      </c>
      <c r="U527" s="17" t="str">
        <f>IF(INDEX(Listado!F:F,ROW())="","",INDEX(Listado!F:F,ROW()))</f>
        <v/>
      </c>
      <c r="V527" s="17">
        <f>IF(COUNTA(INDEX(Listado!B:B,ROW()):INDEX(Listado!F:F,ROW()))&gt;0,1,0)</f>
        <v/>
      </c>
      <c r="W527" s="17" t="str">
        <f>IF(INDEX(Listado!L:L,ROW())="","",INDEX(Listado!L:L,ROW()))</f>
        <v/>
      </c>
      <c r="X527" s="17">
        <f>IF(N527="","",IF(INDEX(Listado!$M:$M,N527)="No","No","Sí"))</f>
        <v/>
      </c>
    </row>
    <row r="528" spans="2:24" ht="14.25">
      <c r="N528" s="17" t="str">
        <f>IF(V528=0,"",IFERROR(LOOKUP(2,1/(INDEX(Listado!A:A,2):INDEX(Listado!A:A,ROW())&lt;&gt;""),ROW(INDEX(Listado!A:A,2):INDEX(Listado!A:A,ROW()))),""))</f>
        <v/>
      </c>
      <c r="O528" s="17" t="str">
        <f>IFERROR(IF(N528="","",IF(INDEX(Listado!M:M,N528)="No",IF(INDEX(Listado!N:N,N528)=0,"",INDEX(Listado!N:N,N528)),IF(INDEX(Listado!I:I,N528)=0,"",INDEX(Listado!I:I,N528)))),"")</f>
        <v/>
      </c>
      <c r="P528" s="17">
        <f t="shared" ca="1" si="25"/>
        <v/>
      </c>
      <c r="Q528" s="17">
        <f>IFERROR(IF(AND(N528&lt;&gt;"",ISNUMBER(O528),O528&gt;0,O528&gt;=TODAY()-90),1,0),0)</f>
        <v/>
      </c>
      <c r="R528" s="17" t="str">
        <f t="shared" si="27"/>
        <v/>
      </c>
      <c r="S528" s="17" t="str">
        <f>IF(INDEX(Listado!A:A,ROW())="","",INDEX(Listado!A:A,ROW()))</f>
        <v/>
      </c>
      <c r="T528" s="17" t="str">
        <f ca="1">IF(INDEX(Listado!G:G,ROW())="","",INDEX(Listado!G:G,ROW()))</f>
        <v/>
      </c>
      <c r="U528" s="17" t="str">
        <f>IF(INDEX(Listado!F:F,ROW())="","",INDEX(Listado!F:F,ROW()))</f>
        <v/>
      </c>
      <c r="V528" s="17">
        <f>IF(COUNTA(INDEX(Listado!B:B,ROW()):INDEX(Listado!F:F,ROW()))&gt;0,1,0)</f>
        <v/>
      </c>
      <c r="W528" s="17" t="str">
        <f>IF(INDEX(Listado!L:L,ROW())="","",INDEX(Listado!L:L,ROW()))</f>
        <v/>
      </c>
      <c r="X528" s="17">
        <f>IF(N528="","",IF(INDEX(Listado!$M:$M,N528)="No","No","Sí"))</f>
        <v/>
      </c>
    </row>
    <row r="529" spans="2:24" ht="14.25">
      <c r="N529" s="17" t="str">
        <f>IF(V529=0,"",IFERROR(LOOKUP(2,1/(INDEX(Listado!A:A,2):INDEX(Listado!A:A,ROW())&lt;&gt;""),ROW(INDEX(Listado!A:A,2):INDEX(Listado!A:A,ROW()))),""))</f>
        <v/>
      </c>
      <c r="O529" s="17" t="str">
        <f>IFERROR(IF(N529="","",IF(INDEX(Listado!M:M,N529)="No",IF(INDEX(Listado!N:N,N529)=0,"",INDEX(Listado!N:N,N529)),IF(INDEX(Listado!I:I,N529)=0,"",INDEX(Listado!I:I,N529)))),"")</f>
        <v/>
      </c>
      <c r="P529" s="17">
        <f t="shared" ca="1" si="25"/>
        <v/>
      </c>
      <c r="Q529" s="17">
        <f>IFERROR(IF(AND(N529&lt;&gt;"",ISNUMBER(O529),O529&gt;0,O529&gt;=TODAY()-90),1,0),0)</f>
        <v/>
      </c>
      <c r="R529" s="17" t="str">
        <f t="shared" si="27"/>
        <v/>
      </c>
      <c r="S529" s="17" t="str">
        <f>IF(INDEX(Listado!A:A,ROW())="","",INDEX(Listado!A:A,ROW()))</f>
        <v/>
      </c>
      <c r="T529" s="17" t="str">
        <f ca="1">IF(INDEX(Listado!G:G,ROW())="","",INDEX(Listado!G:G,ROW()))</f>
        <v/>
      </c>
      <c r="U529" s="17" t="str">
        <f>IF(INDEX(Listado!F:F,ROW())="","",INDEX(Listado!F:F,ROW()))</f>
        <v/>
      </c>
      <c r="V529" s="17">
        <f>IF(COUNTA(INDEX(Listado!B:B,ROW()):INDEX(Listado!F:F,ROW()))&gt;0,1,0)</f>
        <v/>
      </c>
      <c r="W529" s="17" t="str">
        <f>IF(INDEX(Listado!L:L,ROW())="","",INDEX(Listado!L:L,ROW()))</f>
        <v/>
      </c>
      <c r="X529" s="17">
        <f>IF(N529="","",IF(INDEX(Listado!$M:$M,N529)="No","No","Sí"))</f>
        <v/>
      </c>
    </row>
    <row r="530" spans="2:24" ht="14.25">
      <c r="N530" s="17" t="str">
        <f>IF(V530=0,"",IFERROR(LOOKUP(2,1/(INDEX(Listado!A:A,2):INDEX(Listado!A:A,ROW())&lt;&gt;""),ROW(INDEX(Listado!A:A,2):INDEX(Listado!A:A,ROW()))),""))</f>
        <v/>
      </c>
      <c r="O530" s="17" t="str">
        <f>IFERROR(IF(N530="","",IF(INDEX(Listado!M:M,N530)="No",IF(INDEX(Listado!N:N,N530)=0,"",INDEX(Listado!N:N,N530)),IF(INDEX(Listado!I:I,N530)=0,"",INDEX(Listado!I:I,N530)))),"")</f>
        <v/>
      </c>
      <c r="P530" s="17">
        <f t="shared" ca="1" si="25"/>
        <v/>
      </c>
      <c r="Q530" s="17">
        <f>IFERROR(IF(AND(N530&lt;&gt;"",ISNUMBER(O530),O530&gt;0,O530&gt;=TODAY()-90),1,0),0)</f>
        <v/>
      </c>
      <c r="R530" s="17" t="str">
        <f t="shared" si="27"/>
        <v/>
      </c>
      <c r="S530" s="17" t="str">
        <f>IF(INDEX(Listado!A:A,ROW())="","",INDEX(Listado!A:A,ROW()))</f>
        <v/>
      </c>
      <c r="T530" s="17" t="str">
        <f ca="1">IF(INDEX(Listado!G:G,ROW())="","",INDEX(Listado!G:G,ROW()))</f>
        <v/>
      </c>
      <c r="U530" s="17" t="str">
        <f>IF(INDEX(Listado!F:F,ROW())="","",INDEX(Listado!F:F,ROW()))</f>
        <v/>
      </c>
      <c r="V530" s="17">
        <f>IF(COUNTA(INDEX(Listado!B:B,ROW()):INDEX(Listado!F:F,ROW()))&gt;0,1,0)</f>
        <v/>
      </c>
      <c r="W530" s="17" t="str">
        <f>IF(INDEX(Listado!L:L,ROW())="","",INDEX(Listado!L:L,ROW()))</f>
        <v/>
      </c>
      <c r="X530" s="17">
        <f>IF(N530="","",IF(INDEX(Listado!$M:$M,N530)="No","No","Sí"))</f>
        <v/>
      </c>
    </row>
    <row r="531" spans="2:24" ht="14.25">
      <c r="N531" s="17" t="str">
        <f>IF(V531=0,"",IFERROR(LOOKUP(2,1/(INDEX(Listado!A:A,2):INDEX(Listado!A:A,ROW())&lt;&gt;""),ROW(INDEX(Listado!A:A,2):INDEX(Listado!A:A,ROW()))),""))</f>
        <v/>
      </c>
      <c r="O531" s="17" t="str">
        <f>IFERROR(IF(N531="","",IF(INDEX(Listado!M:M,N531)="No",IF(INDEX(Listado!N:N,N531)=0,"",INDEX(Listado!N:N,N531)),IF(INDEX(Listado!I:I,N531)=0,"",INDEX(Listado!I:I,N531)))),"")</f>
        <v/>
      </c>
      <c r="P531" s="17">
        <f t="shared" ca="1" si="25"/>
        <v/>
      </c>
      <c r="Q531" s="17">
        <f>IFERROR(IF(AND(N531&lt;&gt;"",ISNUMBER(O531),O531&gt;0,O531&gt;=TODAY()-90),1,0),0)</f>
        <v/>
      </c>
      <c r="R531" s="17" t="str">
        <f t="shared" si="27"/>
        <v/>
      </c>
      <c r="S531" s="17" t="str">
        <f>IF(INDEX(Listado!A:A,ROW())="","",INDEX(Listado!A:A,ROW()))</f>
        <v/>
      </c>
      <c r="T531" s="17" t="str">
        <f ca="1">IF(INDEX(Listado!G:G,ROW())="","",INDEX(Listado!G:G,ROW()))</f>
        <v/>
      </c>
      <c r="U531" s="17" t="str">
        <f>IF(INDEX(Listado!F:F,ROW())="","",INDEX(Listado!F:F,ROW()))</f>
        <v/>
      </c>
      <c r="V531" s="17">
        <f>IF(COUNTA(INDEX(Listado!B:B,ROW()):INDEX(Listado!F:F,ROW()))&gt;0,1,0)</f>
        <v/>
      </c>
      <c r="W531" s="17" t="str">
        <f>IF(INDEX(Listado!L:L,ROW())="","",INDEX(Listado!L:L,ROW()))</f>
        <v/>
      </c>
      <c r="X531" s="17">
        <f>IF(N531="","",IF(INDEX(Listado!$M:$M,N531)="No","No","Sí"))</f>
        <v/>
      </c>
    </row>
    <row r="532" spans="2:24" ht="14.25">
      <c r="N532" s="17" t="str">
        <f>IF(V532=0,"",IFERROR(LOOKUP(2,1/(INDEX(Listado!A:A,2):INDEX(Listado!A:A,ROW())&lt;&gt;""),ROW(INDEX(Listado!A:A,2):INDEX(Listado!A:A,ROW()))),""))</f>
        <v/>
      </c>
      <c r="O532" s="17" t="str">
        <f>IFERROR(IF(N532="","",IF(INDEX(Listado!M:M,N532)="No",IF(INDEX(Listado!N:N,N532)=0,"",INDEX(Listado!N:N,N532)),IF(INDEX(Listado!I:I,N532)=0,"",INDEX(Listado!I:I,N532)))),"")</f>
        <v/>
      </c>
      <c r="P532" s="17">
        <f t="shared" ca="1" si="25"/>
        <v/>
      </c>
      <c r="Q532" s="17">
        <f>IFERROR(IF(AND(N532&lt;&gt;"",ISNUMBER(O532),O532&gt;0,O532&gt;=TODAY()-90),1,0),0)</f>
        <v/>
      </c>
      <c r="R532" s="17" t="str">
        <f t="shared" si="27"/>
        <v/>
      </c>
      <c r="S532" s="17" t="str">
        <f>IF(INDEX(Listado!A:A,ROW())="","",INDEX(Listado!A:A,ROW()))</f>
        <v/>
      </c>
      <c r="T532" s="17" t="str">
        <f ca="1">IF(INDEX(Listado!G:G,ROW())="","",INDEX(Listado!G:G,ROW()))</f>
        <v/>
      </c>
      <c r="U532" s="17" t="str">
        <f>IF(INDEX(Listado!F:F,ROW())="","",INDEX(Listado!F:F,ROW()))</f>
        <v/>
      </c>
      <c r="V532" s="17">
        <f>IF(COUNTA(INDEX(Listado!B:B,ROW()):INDEX(Listado!F:F,ROW()))&gt;0,1,0)</f>
        <v/>
      </c>
      <c r="W532" s="17" t="str">
        <f>IF(INDEX(Listado!L:L,ROW())="","",INDEX(Listado!L:L,ROW()))</f>
        <v/>
      </c>
      <c r="X532" s="17">
        <f>IF(N532="","",IF(INDEX(Listado!$M:$M,N532)="No","No","Sí"))</f>
        <v/>
      </c>
    </row>
    <row r="533" spans="2:24" ht="14.25">
      <c r="N533" s="17" t="str">
        <f>IF(V533=0,"",IFERROR(LOOKUP(2,1/(INDEX(Listado!A:A,2):INDEX(Listado!A:A,ROW())&lt;&gt;""),ROW(INDEX(Listado!A:A,2):INDEX(Listado!A:A,ROW()))),""))</f>
        <v/>
      </c>
      <c r="O533" s="17" t="str">
        <f>IFERROR(IF(N533="","",IF(INDEX(Listado!M:M,N533)="No",IF(INDEX(Listado!N:N,N533)=0,"",INDEX(Listado!N:N,N533)),IF(INDEX(Listado!I:I,N533)=0,"",INDEX(Listado!I:I,N533)))),"")</f>
        <v/>
      </c>
      <c r="P533" s="17">
        <f t="shared" ca="1" si="25"/>
        <v/>
      </c>
      <c r="Q533" s="17">
        <f>IFERROR(IF(AND(N533&lt;&gt;"",ISNUMBER(O533),O533&gt;0,O533&gt;=TODAY()-90),1,0),0)</f>
        <v/>
      </c>
      <c r="R533" s="17" t="str">
        <f t="shared" si="27"/>
        <v/>
      </c>
      <c r="S533" s="17" t="str">
        <f>IF(INDEX(Listado!A:A,ROW())="","",INDEX(Listado!A:A,ROW()))</f>
        <v/>
      </c>
      <c r="T533" s="17" t="str">
        <f ca="1">IF(INDEX(Listado!G:G,ROW())="","",INDEX(Listado!G:G,ROW()))</f>
        <v/>
      </c>
      <c r="U533" s="17" t="str">
        <f>IF(INDEX(Listado!F:F,ROW())="","",INDEX(Listado!F:F,ROW()))</f>
        <v/>
      </c>
      <c r="V533" s="17">
        <f>IF(COUNTA(INDEX(Listado!B:B,ROW()):INDEX(Listado!F:F,ROW()))&gt;0,1,0)</f>
        <v/>
      </c>
      <c r="W533" s="17" t="str">
        <f>IF(INDEX(Listado!L:L,ROW())="","",INDEX(Listado!L:L,ROW()))</f>
        <v/>
      </c>
      <c r="X533" s="17">
        <f>IF(N533="","",IF(INDEX(Listado!$M:$M,N533)="No","No","Sí"))</f>
        <v/>
      </c>
    </row>
    <row r="534" spans="2:24" ht="14.25">
      <c r="N534" s="17" t="str">
        <f>IF(V534=0,"",IFERROR(LOOKUP(2,1/(INDEX(Listado!A:A,2):INDEX(Listado!A:A,ROW())&lt;&gt;""),ROW(INDEX(Listado!A:A,2):INDEX(Listado!A:A,ROW()))),""))</f>
        <v/>
      </c>
      <c r="O534" s="17" t="str">
        <f>IFERROR(IF(N534="","",IF(INDEX(Listado!M:M,N534)="No",IF(INDEX(Listado!N:N,N534)=0,"",INDEX(Listado!N:N,N534)),IF(INDEX(Listado!I:I,N534)=0,"",INDEX(Listado!I:I,N534)))),"")</f>
        <v/>
      </c>
      <c r="P534" s="17">
        <f t="shared" ca="1" si="25"/>
        <v/>
      </c>
      <c r="Q534" s="17">
        <f>IFERROR(IF(AND(N534&lt;&gt;"",ISNUMBER(O534),O534&gt;0,O534&gt;=TODAY()-90),1,0),0)</f>
        <v/>
      </c>
      <c r="R534" s="17" t="str">
        <f t="shared" si="27"/>
        <v/>
      </c>
      <c r="S534" s="17" t="str">
        <f>IF(INDEX(Listado!A:A,ROW())="","",INDEX(Listado!A:A,ROW()))</f>
        <v/>
      </c>
      <c r="T534" s="17" t="str">
        <f ca="1">IF(INDEX(Listado!G:G,ROW())="","",INDEX(Listado!G:G,ROW()))</f>
        <v/>
      </c>
      <c r="U534" s="17" t="str">
        <f>IF(INDEX(Listado!F:F,ROW())="","",INDEX(Listado!F:F,ROW()))</f>
        <v/>
      </c>
      <c r="V534" s="17">
        <f>IF(COUNTA(INDEX(Listado!B:B,ROW()):INDEX(Listado!F:F,ROW()))&gt;0,1,0)</f>
        <v/>
      </c>
      <c r="W534" s="17" t="str">
        <f>IF(INDEX(Listado!L:L,ROW())="","",INDEX(Listado!L:L,ROW()))</f>
        <v/>
      </c>
      <c r="X534" s="17">
        <f>IF(N534="","",IF(INDEX(Listado!$M:$M,N534)="No","No","Sí"))</f>
        <v/>
      </c>
    </row>
    <row r="535" spans="2:24" ht="14.25">
      <c r="N535" s="17" t="str">
        <f>IF(V535=0,"",IFERROR(LOOKUP(2,1/(INDEX(Listado!A:A,2):INDEX(Listado!A:A,ROW())&lt;&gt;""),ROW(INDEX(Listado!A:A,2):INDEX(Listado!A:A,ROW()))),""))</f>
        <v/>
      </c>
      <c r="O535" s="17" t="str">
        <f>IFERROR(IF(N535="","",IF(INDEX(Listado!M:M,N535)="No",IF(INDEX(Listado!N:N,N535)=0,"",INDEX(Listado!N:N,N535)),IF(INDEX(Listado!I:I,N535)=0,"",INDEX(Listado!I:I,N535)))),"")</f>
        <v/>
      </c>
      <c r="P535" s="17">
        <f t="shared" ca="1" si="25"/>
        <v/>
      </c>
      <c r="Q535" s="17">
        <f>IFERROR(IF(AND(N535&lt;&gt;"",ISNUMBER(O535),O535&gt;0,O535&gt;=TODAY()-90),1,0),0)</f>
        <v/>
      </c>
      <c r="R535" s="17" t="str">
        <f t="shared" si="27"/>
        <v/>
      </c>
      <c r="S535" s="17" t="str">
        <f>IF(INDEX(Listado!A:A,ROW())="","",INDEX(Listado!A:A,ROW()))</f>
        <v/>
      </c>
      <c r="T535" s="17" t="str">
        <f ca="1">IF(INDEX(Listado!G:G,ROW())="","",INDEX(Listado!G:G,ROW()))</f>
        <v/>
      </c>
      <c r="U535" s="17" t="str">
        <f>IF(INDEX(Listado!F:F,ROW())="","",INDEX(Listado!F:F,ROW()))</f>
        <v/>
      </c>
      <c r="V535" s="17">
        <f>IF(COUNTA(INDEX(Listado!B:B,ROW()):INDEX(Listado!F:F,ROW()))&gt;0,1,0)</f>
        <v/>
      </c>
      <c r="W535" s="17" t="str">
        <f>IF(INDEX(Listado!L:L,ROW())="","",INDEX(Listado!L:L,ROW()))</f>
        <v/>
      </c>
      <c r="X535" s="17">
        <f>IF(N535="","",IF(INDEX(Listado!$M:$M,N535)="No","No","Sí"))</f>
        <v/>
      </c>
    </row>
    <row r="536" spans="2:24" ht="14.25">
      <c r="N536" s="17" t="str">
        <f>IF(V536=0,"",IFERROR(LOOKUP(2,1/(INDEX(Listado!A:A,2):INDEX(Listado!A:A,ROW())&lt;&gt;""),ROW(INDEX(Listado!A:A,2):INDEX(Listado!A:A,ROW()))),""))</f>
        <v/>
      </c>
      <c r="O536" s="17" t="str">
        <f>IFERROR(IF(N536="","",IF(INDEX(Listado!M:M,N536)="No",IF(INDEX(Listado!N:N,N536)=0,"",INDEX(Listado!N:N,N536)),IF(INDEX(Listado!I:I,N536)=0,"",INDEX(Listado!I:I,N536)))),"")</f>
        <v/>
      </c>
      <c r="P536" s="17">
        <f t="shared" ca="1" si="25"/>
        <v/>
      </c>
      <c r="Q536" s="17">
        <f>IFERROR(IF(AND(N536&lt;&gt;"",ISNUMBER(O536),O536&gt;0,O536&gt;=TODAY()-90),1,0),0)</f>
        <v/>
      </c>
      <c r="R536" s="17" t="str">
        <f t="shared" si="27"/>
        <v/>
      </c>
      <c r="S536" s="17" t="str">
        <f>IF(INDEX(Listado!A:A,ROW())="","",INDEX(Listado!A:A,ROW()))</f>
        <v/>
      </c>
      <c r="T536" s="17" t="str">
        <f ca="1">IF(INDEX(Listado!G:G,ROW())="","",INDEX(Listado!G:G,ROW()))</f>
        <v/>
      </c>
      <c r="U536" s="17" t="str">
        <f>IF(INDEX(Listado!F:F,ROW())="","",INDEX(Listado!F:F,ROW()))</f>
        <v/>
      </c>
      <c r="V536" s="17">
        <f>IF(COUNTA(INDEX(Listado!B:B,ROW()):INDEX(Listado!F:F,ROW()))&gt;0,1,0)</f>
        <v/>
      </c>
      <c r="W536" s="17" t="str">
        <f>IF(INDEX(Listado!L:L,ROW())="","",INDEX(Listado!L:L,ROW()))</f>
        <v/>
      </c>
      <c r="X536" s="17">
        <f>IF(N536="","",IF(INDEX(Listado!$M:$M,N536)="No","No","Sí"))</f>
        <v/>
      </c>
    </row>
    <row r="537" spans="2:24" ht="14.25">
      <c r="N537" s="17" t="str">
        <f>IF(V537=0,"",IFERROR(LOOKUP(2,1/(INDEX(Listado!A:A,2):INDEX(Listado!A:A,ROW())&lt;&gt;""),ROW(INDEX(Listado!A:A,2):INDEX(Listado!A:A,ROW()))),""))</f>
        <v/>
      </c>
      <c r="O537" s="17" t="str">
        <f>IFERROR(IF(N537="","",IF(INDEX(Listado!M:M,N537)="No",IF(INDEX(Listado!N:N,N537)=0,"",INDEX(Listado!N:N,N537)),IF(INDEX(Listado!I:I,N537)=0,"",INDEX(Listado!I:I,N537)))),"")</f>
        <v/>
      </c>
      <c r="P537" s="17">
        <f t="shared" ca="1" si="25"/>
        <v/>
      </c>
      <c r="Q537" s="17">
        <f>IFERROR(IF(AND(N537&lt;&gt;"",ISNUMBER(O537),O537&gt;0,O537&gt;=TODAY()-90),1,0),0)</f>
        <v/>
      </c>
      <c r="R537" s="17" t="str">
        <f t="shared" si="27"/>
        <v/>
      </c>
      <c r="S537" s="17" t="str">
        <f>IF(INDEX(Listado!A:A,ROW())="","",INDEX(Listado!A:A,ROW()))</f>
        <v/>
      </c>
      <c r="T537" s="17" t="str">
        <f ca="1">IF(INDEX(Listado!G:G,ROW())="","",INDEX(Listado!G:G,ROW()))</f>
        <v/>
      </c>
      <c r="U537" s="17" t="str">
        <f>IF(INDEX(Listado!F:F,ROW())="","",INDEX(Listado!F:F,ROW()))</f>
        <v/>
      </c>
      <c r="V537" s="17">
        <f>IF(COUNTA(INDEX(Listado!B:B,ROW()):INDEX(Listado!F:F,ROW()))&gt;0,1,0)</f>
        <v/>
      </c>
      <c r="W537" s="17" t="str">
        <f>IF(INDEX(Listado!L:L,ROW())="","",INDEX(Listado!L:L,ROW()))</f>
        <v/>
      </c>
      <c r="X537" s="17">
        <f>IF(N537="","",IF(INDEX(Listado!$M:$M,N537)="No","No","Sí"))</f>
        <v/>
      </c>
    </row>
    <row r="538" spans="2:24" ht="14.25">
      <c r="N538" s="17" t="str">
        <f>IF(V538=0,"",IFERROR(LOOKUP(2,1/(INDEX(Listado!A:A,2):INDEX(Listado!A:A,ROW())&lt;&gt;""),ROW(INDEX(Listado!A:A,2):INDEX(Listado!A:A,ROW()))),""))</f>
        <v/>
      </c>
      <c r="O538" s="17" t="str">
        <f>IFERROR(IF(N538="","",IF(INDEX(Listado!M:M,N538)="No",IF(INDEX(Listado!N:N,N538)=0,"",INDEX(Listado!N:N,N538)),IF(INDEX(Listado!I:I,N538)=0,"",INDEX(Listado!I:I,N538)))),"")</f>
        <v/>
      </c>
      <c r="P538" s="17">
        <f t="shared" ca="1" si="25"/>
        <v/>
      </c>
      <c r="Q538" s="17">
        <f>IFERROR(IF(AND(N538&lt;&gt;"",ISNUMBER(O538),O538&gt;0,O538&gt;=TODAY()-90),1,0),0)</f>
        <v/>
      </c>
      <c r="R538" s="17" t="str">
        <f t="shared" si="27"/>
        <v/>
      </c>
      <c r="S538" s="17" t="str">
        <f>IF(INDEX(Listado!A:A,ROW())="","",INDEX(Listado!A:A,ROW()))</f>
        <v/>
      </c>
      <c r="T538" s="17" t="str">
        <f ca="1">IF(INDEX(Listado!G:G,ROW())="","",INDEX(Listado!G:G,ROW()))</f>
        <v/>
      </c>
      <c r="U538" s="17" t="str">
        <f>IF(INDEX(Listado!F:F,ROW())="","",INDEX(Listado!F:F,ROW()))</f>
        <v/>
      </c>
      <c r="V538" s="17">
        <f>IF(COUNTA(INDEX(Listado!B:B,ROW()):INDEX(Listado!F:F,ROW()))&gt;0,1,0)</f>
        <v/>
      </c>
      <c r="W538" s="17" t="str">
        <f>IF(INDEX(Listado!L:L,ROW())="","",INDEX(Listado!L:L,ROW()))</f>
        <v/>
      </c>
      <c r="X538" s="17">
        <f>IF(N538="","",IF(INDEX(Listado!$M:$M,N538)="No","No","Sí"))</f>
        <v/>
      </c>
    </row>
    <row r="539" spans="2:24" ht="14.25">
      <c r="N539" s="17" t="str">
        <f>IF(V539=0,"",IFERROR(LOOKUP(2,1/(INDEX(Listado!A:A,2):INDEX(Listado!A:A,ROW())&lt;&gt;""),ROW(INDEX(Listado!A:A,2):INDEX(Listado!A:A,ROW()))),""))</f>
        <v/>
      </c>
      <c r="O539" s="17" t="str">
        <f>IFERROR(IF(N539="","",IF(INDEX(Listado!M:M,N539)="No",IF(INDEX(Listado!N:N,N539)=0,"",INDEX(Listado!N:N,N539)),IF(INDEX(Listado!I:I,N539)=0,"",INDEX(Listado!I:I,N539)))),"")</f>
        <v/>
      </c>
      <c r="P539" s="17">
        <f t="shared" ca="1" si="25"/>
        <v/>
      </c>
      <c r="Q539" s="17">
        <f>IFERROR(IF(AND(N539&lt;&gt;"",ISNUMBER(O539),O539&gt;0,O539&gt;=TODAY()-90),1,0),0)</f>
        <v/>
      </c>
      <c r="R539" s="17" t="str">
        <f t="shared" si="27"/>
        <v/>
      </c>
      <c r="S539" s="17" t="str">
        <f>IF(INDEX(Listado!A:A,ROW())="","",INDEX(Listado!A:A,ROW()))</f>
        <v/>
      </c>
      <c r="T539" s="17" t="str">
        <f ca="1">IF(INDEX(Listado!G:G,ROW())="","",INDEX(Listado!G:G,ROW()))</f>
        <v/>
      </c>
      <c r="U539" s="17" t="str">
        <f>IF(INDEX(Listado!F:F,ROW())="","",INDEX(Listado!F:F,ROW()))</f>
        <v/>
      </c>
      <c r="V539" s="17">
        <f>IF(COUNTA(INDEX(Listado!B:B,ROW()):INDEX(Listado!F:F,ROW()))&gt;0,1,0)</f>
        <v/>
      </c>
      <c r="W539" s="17" t="str">
        <f>IF(INDEX(Listado!L:L,ROW())="","",INDEX(Listado!L:L,ROW()))</f>
        <v/>
      </c>
      <c r="X539" s="17">
        <f>IF(N539="","",IF(INDEX(Listado!$M:$M,N539)="No","No","Sí"))</f>
        <v/>
      </c>
    </row>
    <row r="540" spans="2:24" ht="14.25">
      <c r="N540" s="17" t="str">
        <f>IF(V540=0,"",IFERROR(LOOKUP(2,1/(INDEX(Listado!A:A,2):INDEX(Listado!A:A,ROW())&lt;&gt;""),ROW(INDEX(Listado!A:A,2):INDEX(Listado!A:A,ROW()))),""))</f>
        <v/>
      </c>
      <c r="O540" s="17" t="str">
        <f>IFERROR(IF(N540="","",IF(INDEX(Listado!M:M,N540)="No",IF(INDEX(Listado!N:N,N540)=0,"",INDEX(Listado!N:N,N540)),IF(INDEX(Listado!I:I,N540)=0,"",INDEX(Listado!I:I,N540)))),"")</f>
        <v/>
      </c>
      <c r="P540" s="17">
        <f t="shared" ca="1" si="25"/>
        <v/>
      </c>
      <c r="Q540" s="17">
        <f>IFERROR(IF(AND(N540&lt;&gt;"",ISNUMBER(O540),O540&gt;0,O540&gt;=TODAY()-90),1,0),0)</f>
        <v/>
      </c>
      <c r="R540" s="17" t="str">
        <f t="shared" si="27"/>
        <v/>
      </c>
      <c r="S540" s="17" t="str">
        <f>IF(INDEX(Listado!A:A,ROW())="","",INDEX(Listado!A:A,ROW()))</f>
        <v/>
      </c>
      <c r="T540" s="17" t="str">
        <f ca="1">IF(INDEX(Listado!G:G,ROW())="","",INDEX(Listado!G:G,ROW()))</f>
        <v/>
      </c>
      <c r="U540" s="17" t="str">
        <f>IF(INDEX(Listado!F:F,ROW())="","",INDEX(Listado!F:F,ROW()))</f>
        <v/>
      </c>
      <c r="V540" s="17">
        <f>IF(COUNTA(INDEX(Listado!B:B,ROW()):INDEX(Listado!F:F,ROW()))&gt;0,1,0)</f>
        <v/>
      </c>
      <c r="W540" s="17" t="str">
        <f>IF(INDEX(Listado!L:L,ROW())="","",INDEX(Listado!L:L,ROW()))</f>
        <v/>
      </c>
      <c r="X540" s="17">
        <f>IF(N540="","",IF(INDEX(Listado!$M:$M,N540)="No","No","Sí"))</f>
        <v/>
      </c>
    </row>
    <row r="541" spans="2:24" ht="14.25">
      <c r="N541" s="17" t="str">
        <f>IF(V541=0,"",IFERROR(LOOKUP(2,1/(INDEX(Listado!A:A,2):INDEX(Listado!A:A,ROW())&lt;&gt;""),ROW(INDEX(Listado!A:A,2):INDEX(Listado!A:A,ROW()))),""))</f>
        <v/>
      </c>
      <c r="O541" s="17" t="str">
        <f>IFERROR(IF(N541="","",IF(INDEX(Listado!M:M,N541)="No",IF(INDEX(Listado!N:N,N541)=0,"",INDEX(Listado!N:N,N541)),IF(INDEX(Listado!I:I,N541)=0,"",INDEX(Listado!I:I,N541)))),"")</f>
        <v/>
      </c>
      <c r="P541" s="17">
        <f t="shared" ca="1" si="25"/>
        <v/>
      </c>
      <c r="Q541" s="17">
        <f>IFERROR(IF(AND(N541&lt;&gt;"",ISNUMBER(O541),O541&gt;0,O541&gt;=TODAY()-90),1,0),0)</f>
        <v/>
      </c>
      <c r="R541" s="17" t="str">
        <f t="shared" si="27"/>
        <v/>
      </c>
      <c r="S541" s="17" t="str">
        <f>IF(INDEX(Listado!A:A,ROW())="","",INDEX(Listado!A:A,ROW()))</f>
        <v/>
      </c>
      <c r="T541" s="17" t="str">
        <f ca="1">IF(INDEX(Listado!G:G,ROW())="","",INDEX(Listado!G:G,ROW()))</f>
        <v/>
      </c>
      <c r="U541" s="17" t="str">
        <f>IF(INDEX(Listado!F:F,ROW())="","",INDEX(Listado!F:F,ROW()))</f>
        <v/>
      </c>
      <c r="V541" s="17">
        <f>IF(COUNTA(INDEX(Listado!B:B,ROW()):INDEX(Listado!F:F,ROW()))&gt;0,1,0)</f>
        <v/>
      </c>
      <c r="W541" s="17" t="str">
        <f>IF(INDEX(Listado!L:L,ROW())="","",INDEX(Listado!L:L,ROW()))</f>
        <v/>
      </c>
      <c r="X541" s="17">
        <f>IF(N541="","",IF(INDEX(Listado!$M:$M,N541)="No","No","Sí"))</f>
        <v/>
      </c>
    </row>
    <row r="542" spans="2:24" ht="14.25">
      <c r="N542" s="17" t="str">
        <f>IF(V542=0,"",IFERROR(LOOKUP(2,1/(INDEX(Listado!A:A,2):INDEX(Listado!A:A,ROW())&lt;&gt;""),ROW(INDEX(Listado!A:A,2):INDEX(Listado!A:A,ROW()))),""))</f>
        <v/>
      </c>
      <c r="O542" s="17" t="str">
        <f>IFERROR(IF(N542="","",IF(INDEX(Listado!M:M,N542)="No",IF(INDEX(Listado!N:N,N542)=0,"",INDEX(Listado!N:N,N542)),IF(INDEX(Listado!I:I,N542)=0,"",INDEX(Listado!I:I,N542)))),"")</f>
        <v/>
      </c>
      <c r="P542" s="17">
        <f t="shared" ca="1" si="25"/>
        <v/>
      </c>
      <c r="Q542" s="17">
        <f>IFERROR(IF(AND(N542&lt;&gt;"",ISNUMBER(O542),O542&gt;0,O542&gt;=TODAY()-90),1,0),0)</f>
        <v/>
      </c>
      <c r="R542" s="17" t="str">
        <f t="shared" si="27"/>
        <v/>
      </c>
      <c r="S542" s="17" t="str">
        <f>IF(INDEX(Listado!A:A,ROW())="","",INDEX(Listado!A:A,ROW()))</f>
        <v/>
      </c>
      <c r="T542" s="17" t="str">
        <f ca="1">IF(INDEX(Listado!G:G,ROW())="","",INDEX(Listado!G:G,ROW()))</f>
        <v/>
      </c>
      <c r="U542" s="17" t="str">
        <f>IF(INDEX(Listado!F:F,ROW())="","",INDEX(Listado!F:F,ROW()))</f>
        <v/>
      </c>
      <c r="V542" s="17">
        <f>IF(COUNTA(INDEX(Listado!B:B,ROW()):INDEX(Listado!F:F,ROW()))&gt;0,1,0)</f>
        <v/>
      </c>
      <c r="W542" s="17" t="str">
        <f>IF(INDEX(Listado!L:L,ROW())="","",INDEX(Listado!L:L,ROW()))</f>
        <v/>
      </c>
      <c r="X542" s="17">
        <f>IF(N542="","",IF(INDEX(Listado!$M:$M,N542)="No","No","Sí"))</f>
        <v/>
      </c>
    </row>
    <row r="543" spans="2:24" ht="14.25">
      <c r="N543" s="17" t="str">
        <f>IF(V543=0,"",IFERROR(LOOKUP(2,1/(INDEX(Listado!A:A,2):INDEX(Listado!A:A,ROW())&lt;&gt;""),ROW(INDEX(Listado!A:A,2):INDEX(Listado!A:A,ROW()))),""))</f>
        <v/>
      </c>
      <c r="O543" s="17" t="str">
        <f>IFERROR(IF(N543="","",IF(INDEX(Listado!M:M,N543)="No",IF(INDEX(Listado!N:N,N543)=0,"",INDEX(Listado!N:N,N543)),IF(INDEX(Listado!I:I,N543)=0,"",INDEX(Listado!I:I,N543)))),"")</f>
        <v/>
      </c>
      <c r="P543" s="17">
        <f t="shared" ca="1" si="25"/>
        <v/>
      </c>
      <c r="Q543" s="17">
        <f>IFERROR(IF(AND(N543&lt;&gt;"",ISNUMBER(O543),O543&gt;0,O543&gt;=TODAY()-90),1,0),0)</f>
        <v/>
      </c>
      <c r="R543" s="17" t="str">
        <f t="shared" si="27"/>
        <v/>
      </c>
      <c r="S543" s="17" t="str">
        <f>IF(INDEX(Listado!A:A,ROW())="","",INDEX(Listado!A:A,ROW()))</f>
        <v/>
      </c>
      <c r="T543" s="17" t="str">
        <f ca="1">IF(INDEX(Listado!G:G,ROW())="","",INDEX(Listado!G:G,ROW()))</f>
        <v/>
      </c>
      <c r="U543" s="17" t="str">
        <f>IF(INDEX(Listado!F:F,ROW())="","",INDEX(Listado!F:F,ROW()))</f>
        <v/>
      </c>
      <c r="V543" s="17">
        <f>IF(COUNTA(INDEX(Listado!B:B,ROW()):INDEX(Listado!F:F,ROW()))&gt;0,1,0)</f>
        <v/>
      </c>
      <c r="W543" s="17" t="str">
        <f>IF(INDEX(Listado!L:L,ROW())="","",INDEX(Listado!L:L,ROW()))</f>
        <v/>
      </c>
      <c r="X543" s="17">
        <f>IF(N543="","",IF(INDEX(Listado!$M:$M,N543)="No","No","Sí"))</f>
        <v/>
      </c>
    </row>
    <row r="544" spans="2:24" ht="14.25">
      <c r="N544" s="17" t="str">
        <f>IF(V544=0,"",IFERROR(LOOKUP(2,1/(INDEX(Listado!A:A,2):INDEX(Listado!A:A,ROW())&lt;&gt;""),ROW(INDEX(Listado!A:A,2):INDEX(Listado!A:A,ROW()))),""))</f>
        <v/>
      </c>
      <c r="O544" s="17" t="str">
        <f>IFERROR(IF(N544="","",IF(INDEX(Listado!M:M,N544)="No",IF(INDEX(Listado!N:N,N544)=0,"",INDEX(Listado!N:N,N544)),IF(INDEX(Listado!I:I,N544)=0,"",INDEX(Listado!I:I,N544)))),"")</f>
        <v/>
      </c>
      <c r="P544" s="17">
        <f t="shared" ca="1" si="25"/>
        <v/>
      </c>
      <c r="Q544" s="17">
        <f>IFERROR(IF(AND(N544&lt;&gt;"",ISNUMBER(O544),O544&gt;0,O544&gt;=TODAY()-90),1,0),0)</f>
        <v/>
      </c>
      <c r="R544" s="17" t="str">
        <f t="shared" si="27"/>
        <v/>
      </c>
      <c r="S544" s="17" t="str">
        <f>IF(INDEX(Listado!A:A,ROW())="","",INDEX(Listado!A:A,ROW()))</f>
        <v/>
      </c>
      <c r="T544" s="17" t="str">
        <f ca="1">IF(INDEX(Listado!G:G,ROW())="","",INDEX(Listado!G:G,ROW()))</f>
        <v/>
      </c>
      <c r="U544" s="17" t="str">
        <f>IF(INDEX(Listado!F:F,ROW())="","",INDEX(Listado!F:F,ROW()))</f>
        <v/>
      </c>
      <c r="V544" s="17">
        <f>IF(COUNTA(INDEX(Listado!B:B,ROW()):INDEX(Listado!F:F,ROW()))&gt;0,1,0)</f>
        <v/>
      </c>
      <c r="W544" s="17" t="str">
        <f>IF(INDEX(Listado!L:L,ROW())="","",INDEX(Listado!L:L,ROW()))</f>
        <v/>
      </c>
      <c r="X544" s="17">
        <f>IF(N544="","",IF(INDEX(Listado!$M:$M,N544)="No","No","Sí"))</f>
        <v/>
      </c>
    </row>
    <row r="545" spans="2:24" ht="14.25">
      <c r="N545" s="17" t="str">
        <f>IF(V545=0,"",IFERROR(LOOKUP(2,1/(INDEX(Listado!A:A,2):INDEX(Listado!A:A,ROW())&lt;&gt;""),ROW(INDEX(Listado!A:A,2):INDEX(Listado!A:A,ROW()))),""))</f>
        <v/>
      </c>
      <c r="O545" s="17" t="str">
        <f>IFERROR(IF(N545="","",IF(INDEX(Listado!M:M,N545)="No",IF(INDEX(Listado!N:N,N545)=0,"",INDEX(Listado!N:N,N545)),IF(INDEX(Listado!I:I,N545)=0,"",INDEX(Listado!I:I,N545)))),"")</f>
        <v/>
      </c>
      <c r="P545" s="17">
        <f t="shared" ca="1" si="25"/>
        <v/>
      </c>
      <c r="Q545" s="17">
        <f>IFERROR(IF(AND(N545&lt;&gt;"",ISNUMBER(O545),O545&gt;0,O545&gt;=TODAY()-90),1,0),0)</f>
        <v/>
      </c>
      <c r="R545" s="17" t="str">
        <f t="shared" si="27"/>
        <v/>
      </c>
      <c r="S545" s="17" t="str">
        <f>IF(INDEX(Listado!A:A,ROW())="","",INDEX(Listado!A:A,ROW()))</f>
        <v/>
      </c>
      <c r="T545" s="17" t="str">
        <f ca="1">IF(INDEX(Listado!G:G,ROW())="","",INDEX(Listado!G:G,ROW()))</f>
        <v/>
      </c>
      <c r="U545" s="17" t="str">
        <f>IF(INDEX(Listado!F:F,ROW())="","",INDEX(Listado!F:F,ROW()))</f>
        <v/>
      </c>
      <c r="V545" s="17">
        <f>IF(COUNTA(INDEX(Listado!B:B,ROW()):INDEX(Listado!F:F,ROW()))&gt;0,1,0)</f>
        <v/>
      </c>
      <c r="W545" s="17" t="str">
        <f>IF(INDEX(Listado!L:L,ROW())="","",INDEX(Listado!L:L,ROW()))</f>
        <v/>
      </c>
      <c r="X545" s="17">
        <f>IF(N545="","",IF(INDEX(Listado!$M:$M,N545)="No","No","Sí"))</f>
        <v/>
      </c>
    </row>
    <row r="546" spans="2:24" ht="14.25">
      <c r="N546" s="17" t="str">
        <f>IF(V546=0,"",IFERROR(LOOKUP(2,1/(INDEX(Listado!A:A,2):INDEX(Listado!A:A,ROW())&lt;&gt;""),ROW(INDEX(Listado!A:A,2):INDEX(Listado!A:A,ROW()))),""))</f>
        <v/>
      </c>
      <c r="O546" s="17" t="str">
        <f>IFERROR(IF(N546="","",IF(INDEX(Listado!M:M,N546)="No",IF(INDEX(Listado!N:N,N546)=0,"",INDEX(Listado!N:N,N546)),IF(INDEX(Listado!I:I,N546)=0,"",INDEX(Listado!I:I,N546)))),"")</f>
        <v/>
      </c>
      <c r="P546" s="17">
        <f t="shared" ca="1" si="25"/>
        <v/>
      </c>
      <c r="Q546" s="17">
        <f>IFERROR(IF(AND(N546&lt;&gt;"",ISNUMBER(O546),O546&gt;0,O546&gt;=TODAY()-90),1,0),0)</f>
        <v/>
      </c>
      <c r="R546" s="17" t="str">
        <f t="shared" si="27"/>
        <v/>
      </c>
      <c r="S546" s="17" t="str">
        <f>IF(INDEX(Listado!A:A,ROW())="","",INDEX(Listado!A:A,ROW()))</f>
        <v/>
      </c>
      <c r="T546" s="17" t="str">
        <f ca="1">IF(INDEX(Listado!G:G,ROW())="","",INDEX(Listado!G:G,ROW()))</f>
        <v/>
      </c>
      <c r="U546" s="17" t="str">
        <f>IF(INDEX(Listado!F:F,ROW())="","",INDEX(Listado!F:F,ROW()))</f>
        <v/>
      </c>
      <c r="V546" s="17">
        <f>IF(COUNTA(INDEX(Listado!B:B,ROW()):INDEX(Listado!F:F,ROW()))&gt;0,1,0)</f>
        <v/>
      </c>
      <c r="W546" s="17" t="str">
        <f>IF(INDEX(Listado!L:L,ROW())="","",INDEX(Listado!L:L,ROW()))</f>
        <v/>
      </c>
      <c r="X546" s="17">
        <f>IF(N546="","",IF(INDEX(Listado!$M:$M,N546)="No","No","Sí"))</f>
        <v/>
      </c>
    </row>
    <row r="547" spans="2:24" ht="14.25">
      <c r="N547" s="17" t="str">
        <f>IF(V547=0,"",IFERROR(LOOKUP(2,1/(INDEX(Listado!A:A,2):INDEX(Listado!A:A,ROW())&lt;&gt;""),ROW(INDEX(Listado!A:A,2):INDEX(Listado!A:A,ROW()))),""))</f>
        <v/>
      </c>
      <c r="O547" s="17" t="str">
        <f>IFERROR(IF(N547="","",IF(INDEX(Listado!M:M,N547)="No",IF(INDEX(Listado!N:N,N547)=0,"",INDEX(Listado!N:N,N547)),IF(INDEX(Listado!I:I,N547)=0,"",INDEX(Listado!I:I,N547)))),"")</f>
        <v/>
      </c>
      <c r="P547" s="17">
        <f t="shared" ca="1" si="25"/>
        <v/>
      </c>
      <c r="Q547" s="17">
        <f>IFERROR(IF(AND(N547&lt;&gt;"",ISNUMBER(O547),O547&gt;0,O547&gt;=TODAY()-90),1,0),0)</f>
        <v/>
      </c>
      <c r="R547" s="17" t="str">
        <f t="shared" si="27"/>
        <v/>
      </c>
      <c r="S547" s="17" t="str">
        <f>IF(INDEX(Listado!A:A,ROW())="","",INDEX(Listado!A:A,ROW()))</f>
        <v/>
      </c>
      <c r="T547" s="17" t="str">
        <f ca="1">IF(INDEX(Listado!G:G,ROW())="","",INDEX(Listado!G:G,ROW()))</f>
        <v/>
      </c>
      <c r="U547" s="17" t="str">
        <f>IF(INDEX(Listado!F:F,ROW())="","",INDEX(Listado!F:F,ROW()))</f>
        <v/>
      </c>
      <c r="V547" s="17">
        <f>IF(COUNTA(INDEX(Listado!B:B,ROW()):INDEX(Listado!F:F,ROW()))&gt;0,1,0)</f>
        <v/>
      </c>
      <c r="W547" s="17" t="str">
        <f>IF(INDEX(Listado!L:L,ROW())="","",INDEX(Listado!L:L,ROW()))</f>
        <v/>
      </c>
      <c r="X547" s="17">
        <f>IF(N547="","",IF(INDEX(Listado!$M:$M,N547)="No","No","Sí"))</f>
        <v/>
      </c>
    </row>
    <row r="548" spans="2:24" ht="14.25">
      <c r="N548" s="17" t="str">
        <f>IF(V548=0,"",IFERROR(LOOKUP(2,1/(INDEX(Listado!A:A,2):INDEX(Listado!A:A,ROW())&lt;&gt;""),ROW(INDEX(Listado!A:A,2):INDEX(Listado!A:A,ROW()))),""))</f>
        <v/>
      </c>
      <c r="O548" s="17" t="str">
        <f>IFERROR(IF(N548="","",IF(INDEX(Listado!M:M,N548)="No",IF(INDEX(Listado!N:N,N548)=0,"",INDEX(Listado!N:N,N548)),IF(INDEX(Listado!I:I,N548)=0,"",INDEX(Listado!I:I,N548)))),"")</f>
        <v/>
      </c>
      <c r="P548" s="17">
        <f t="shared" ca="1" si="25"/>
        <v/>
      </c>
      <c r="Q548" s="17">
        <f>IFERROR(IF(AND(N548&lt;&gt;"",ISNUMBER(O548),O548&gt;0,O548&gt;=TODAY()-90),1,0),0)</f>
        <v/>
      </c>
      <c r="R548" s="17" t="str">
        <f t="shared" si="27"/>
        <v/>
      </c>
      <c r="S548" s="17" t="str">
        <f>IF(INDEX(Listado!A:A,ROW())="","",INDEX(Listado!A:A,ROW()))</f>
        <v/>
      </c>
      <c r="T548" s="17" t="str">
        <f ca="1">IF(INDEX(Listado!G:G,ROW())="","",INDEX(Listado!G:G,ROW()))</f>
        <v/>
      </c>
      <c r="U548" s="17" t="str">
        <f>IF(INDEX(Listado!F:F,ROW())="","",INDEX(Listado!F:F,ROW()))</f>
        <v/>
      </c>
      <c r="V548" s="17">
        <f>IF(COUNTA(INDEX(Listado!B:B,ROW()):INDEX(Listado!F:F,ROW()))&gt;0,1,0)</f>
        <v/>
      </c>
      <c r="W548" s="17" t="str">
        <f>IF(INDEX(Listado!L:L,ROW())="","",INDEX(Listado!L:L,ROW()))</f>
        <v/>
      </c>
      <c r="X548" s="17">
        <f>IF(N548="","",IF(INDEX(Listado!$M:$M,N548)="No","No","Sí"))</f>
        <v/>
      </c>
    </row>
    <row r="549" spans="2:24" ht="14.25">
      <c r="N549" s="17" t="str">
        <f>IF(V549=0,"",IFERROR(LOOKUP(2,1/(INDEX(Listado!A:A,2):INDEX(Listado!A:A,ROW())&lt;&gt;""),ROW(INDEX(Listado!A:A,2):INDEX(Listado!A:A,ROW()))),""))</f>
        <v/>
      </c>
      <c r="O549" s="17" t="str">
        <f>IFERROR(IF(N549="","",IF(INDEX(Listado!M:M,N549)="No",IF(INDEX(Listado!N:N,N549)=0,"",INDEX(Listado!N:N,N549)),IF(INDEX(Listado!I:I,N549)=0,"",INDEX(Listado!I:I,N549)))),"")</f>
        <v/>
      </c>
      <c r="P549" s="17">
        <f t="shared" ca="1" si="25"/>
        <v/>
      </c>
      <c r="Q549" s="17">
        <f>IFERROR(IF(AND(N549&lt;&gt;"",ISNUMBER(O549),O549&gt;0,O549&gt;=TODAY()-90),1,0),0)</f>
        <v/>
      </c>
      <c r="R549" s="17" t="str">
        <f t="shared" si="27"/>
        <v/>
      </c>
      <c r="S549" s="17" t="str">
        <f>IF(INDEX(Listado!A:A,ROW())="","",INDEX(Listado!A:A,ROW()))</f>
        <v/>
      </c>
      <c r="T549" s="17" t="str">
        <f ca="1">IF(INDEX(Listado!G:G,ROW())="","",INDEX(Listado!G:G,ROW()))</f>
        <v/>
      </c>
      <c r="U549" s="17" t="str">
        <f>IF(INDEX(Listado!F:F,ROW())="","",INDEX(Listado!F:F,ROW()))</f>
        <v/>
      </c>
      <c r="V549" s="17">
        <f>IF(COUNTA(INDEX(Listado!B:B,ROW()):INDEX(Listado!F:F,ROW()))&gt;0,1,0)</f>
        <v/>
      </c>
      <c r="W549" s="17" t="str">
        <f>IF(INDEX(Listado!L:L,ROW())="","",INDEX(Listado!L:L,ROW()))</f>
        <v/>
      </c>
      <c r="X549" s="17">
        <f>IF(N549="","",IF(INDEX(Listado!$M:$M,N549)="No","No","Sí"))</f>
        <v/>
      </c>
    </row>
    <row r="550" spans="2:24" ht="14.25">
      <c r="N550" s="17" t="str">
        <f>IF(V550=0,"",IFERROR(LOOKUP(2,1/(INDEX(Listado!A:A,2):INDEX(Listado!A:A,ROW())&lt;&gt;""),ROW(INDEX(Listado!A:A,2):INDEX(Listado!A:A,ROW()))),""))</f>
        <v/>
      </c>
      <c r="O550" s="17" t="str">
        <f>IFERROR(IF(N550="","",IF(INDEX(Listado!M:M,N550)="No",IF(INDEX(Listado!N:N,N550)=0,"",INDEX(Listado!N:N,N550)),IF(INDEX(Listado!I:I,N550)=0,"",INDEX(Listado!I:I,N550)))),"")</f>
        <v/>
      </c>
      <c r="P550" s="17">
        <f t="shared" ca="1" si="25"/>
        <v/>
      </c>
      <c r="Q550" s="17">
        <f>IFERROR(IF(AND(N550&lt;&gt;"",ISNUMBER(O550),O550&gt;0,O550&gt;=TODAY()-90),1,0),0)</f>
        <v/>
      </c>
      <c r="R550" s="17" t="str">
        <f t="shared" si="27"/>
        <v/>
      </c>
      <c r="S550" s="17" t="str">
        <f>IF(INDEX(Listado!A:A,ROW())="","",INDEX(Listado!A:A,ROW()))</f>
        <v/>
      </c>
      <c r="T550" s="17" t="str">
        <f ca="1">IF(INDEX(Listado!G:G,ROW())="","",INDEX(Listado!G:G,ROW()))</f>
        <v/>
      </c>
      <c r="U550" s="17" t="str">
        <f>IF(INDEX(Listado!F:F,ROW())="","",INDEX(Listado!F:F,ROW()))</f>
        <v/>
      </c>
      <c r="V550" s="17">
        <f>IF(COUNTA(INDEX(Listado!B:B,ROW()):INDEX(Listado!F:F,ROW()))&gt;0,1,0)</f>
        <v/>
      </c>
      <c r="W550" s="17" t="str">
        <f>IF(INDEX(Listado!L:L,ROW())="","",INDEX(Listado!L:L,ROW()))</f>
        <v/>
      </c>
      <c r="X550" s="17">
        <f>IF(N550="","",IF(INDEX(Listado!$M:$M,N550)="No","No","Sí"))</f>
        <v/>
      </c>
    </row>
    <row r="551" spans="2:24" ht="14.25">
      <c r="N551" s="17" t="str">
        <f>IF(V551=0,"",IFERROR(LOOKUP(2,1/(INDEX(Listado!A:A,2):INDEX(Listado!A:A,ROW())&lt;&gt;""),ROW(INDEX(Listado!A:A,2):INDEX(Listado!A:A,ROW()))),""))</f>
        <v/>
      </c>
      <c r="O551" s="17" t="str">
        <f>IFERROR(IF(N551="","",IF(INDEX(Listado!M:M,N551)="No",IF(INDEX(Listado!N:N,N551)=0,"",INDEX(Listado!N:N,N551)),IF(INDEX(Listado!I:I,N551)=0,"",INDEX(Listado!I:I,N551)))),"")</f>
        <v/>
      </c>
      <c r="P551" s="17">
        <f t="shared" ca="1" si="25"/>
        <v/>
      </c>
      <c r="Q551" s="17">
        <f>IFERROR(IF(AND(N551&lt;&gt;"",ISNUMBER(O551),O551&gt;0,O551&gt;=TODAY()-90),1,0),0)</f>
        <v/>
      </c>
      <c r="R551" s="17" t="str">
        <f t="shared" si="27"/>
        <v/>
      </c>
      <c r="S551" s="17" t="str">
        <f>IF(INDEX(Listado!A:A,ROW())="","",INDEX(Listado!A:A,ROW()))</f>
        <v/>
      </c>
      <c r="T551" s="17" t="str">
        <f ca="1">IF(INDEX(Listado!G:G,ROW())="","",INDEX(Listado!G:G,ROW()))</f>
        <v/>
      </c>
      <c r="U551" s="17" t="str">
        <f>IF(INDEX(Listado!F:F,ROW())="","",INDEX(Listado!F:F,ROW()))</f>
        <v/>
      </c>
      <c r="V551" s="17">
        <f>IF(COUNTA(INDEX(Listado!B:B,ROW()):INDEX(Listado!F:F,ROW()))&gt;0,1,0)</f>
        <v/>
      </c>
      <c r="W551" s="17" t="str">
        <f>IF(INDEX(Listado!L:L,ROW())="","",INDEX(Listado!L:L,ROW()))</f>
        <v/>
      </c>
      <c r="X551" s="17">
        <f>IF(N551="","",IF(INDEX(Listado!$M:$M,N551)="No","No","Sí"))</f>
        <v/>
      </c>
    </row>
    <row r="552" spans="2:24" ht="14.25">
      <c r="N552" s="17" t="str">
        <f>IF(V552=0,"",IFERROR(LOOKUP(2,1/(INDEX(Listado!A:A,2):INDEX(Listado!A:A,ROW())&lt;&gt;""),ROW(INDEX(Listado!A:A,2):INDEX(Listado!A:A,ROW()))),""))</f>
        <v/>
      </c>
      <c r="O552" s="17" t="str">
        <f>IFERROR(IF(N552="","",IF(INDEX(Listado!M:M,N552)="No",IF(INDEX(Listado!N:N,N552)=0,"",INDEX(Listado!N:N,N552)),IF(INDEX(Listado!I:I,N552)=0,"",INDEX(Listado!I:I,N552)))),"")</f>
        <v/>
      </c>
      <c r="P552" s="17">
        <f t="shared" ca="1" si="25"/>
        <v/>
      </c>
      <c r="Q552" s="17">
        <f>IFERROR(IF(AND(N552&lt;&gt;"",ISNUMBER(O552),O552&gt;0,O552&gt;=TODAY()-90),1,0),0)</f>
        <v/>
      </c>
      <c r="R552" s="17" t="str">
        <f t="shared" si="27"/>
        <v/>
      </c>
      <c r="S552" s="17" t="str">
        <f>IF(INDEX(Listado!A:A,ROW())="","",INDEX(Listado!A:A,ROW()))</f>
        <v/>
      </c>
      <c r="T552" s="17" t="str">
        <f ca="1">IF(INDEX(Listado!G:G,ROW())="","",INDEX(Listado!G:G,ROW()))</f>
        <v/>
      </c>
      <c r="U552" s="17" t="str">
        <f>IF(INDEX(Listado!F:F,ROW())="","",INDEX(Listado!F:F,ROW()))</f>
        <v/>
      </c>
      <c r="V552" s="17">
        <f>IF(COUNTA(INDEX(Listado!B:B,ROW()):INDEX(Listado!F:F,ROW()))&gt;0,1,0)</f>
        <v/>
      </c>
      <c r="W552" s="17" t="str">
        <f>IF(INDEX(Listado!L:L,ROW())="","",INDEX(Listado!L:L,ROW()))</f>
        <v/>
      </c>
      <c r="X552" s="17">
        <f>IF(N552="","",IF(INDEX(Listado!$M:$M,N552)="No","No","Sí"))</f>
        <v/>
      </c>
    </row>
    <row r="553" spans="2:24" ht="14.25">
      <c r="N553" s="17" t="str">
        <f>IF(V553=0,"",IFERROR(LOOKUP(2,1/(INDEX(Listado!A:A,2):INDEX(Listado!A:A,ROW())&lt;&gt;""),ROW(INDEX(Listado!A:A,2):INDEX(Listado!A:A,ROW()))),""))</f>
        <v/>
      </c>
      <c r="O553" s="17" t="str">
        <f>IFERROR(IF(N553="","",IF(INDEX(Listado!M:M,N553)="No",IF(INDEX(Listado!N:N,N553)=0,"",INDEX(Listado!N:N,N553)),IF(INDEX(Listado!I:I,N553)=0,"",INDEX(Listado!I:I,N553)))),"")</f>
        <v/>
      </c>
      <c r="P553" s="17">
        <f t="shared" ca="1" si="25"/>
        <v/>
      </c>
      <c r="Q553" s="17">
        <f>IFERROR(IF(AND(N553&lt;&gt;"",ISNUMBER(O553),O553&gt;0,O553&gt;=TODAY()-90),1,0),0)</f>
        <v/>
      </c>
      <c r="R553" s="17" t="str">
        <f t="shared" si="27"/>
        <v/>
      </c>
      <c r="S553" s="17" t="str">
        <f>IF(INDEX(Listado!A:A,ROW())="","",INDEX(Listado!A:A,ROW()))</f>
        <v/>
      </c>
      <c r="T553" s="17" t="str">
        <f ca="1">IF(INDEX(Listado!G:G,ROW())="","",INDEX(Listado!G:G,ROW()))</f>
        <v/>
      </c>
      <c r="U553" s="17" t="str">
        <f>IF(INDEX(Listado!F:F,ROW())="","",INDEX(Listado!F:F,ROW()))</f>
        <v/>
      </c>
      <c r="V553" s="17">
        <f>IF(COUNTA(INDEX(Listado!B:B,ROW()):INDEX(Listado!F:F,ROW()))&gt;0,1,0)</f>
        <v/>
      </c>
      <c r="W553" s="17" t="str">
        <f>IF(INDEX(Listado!L:L,ROW())="","",INDEX(Listado!L:L,ROW()))</f>
        <v/>
      </c>
      <c r="X553" s="17">
        <f>IF(N553="","",IF(INDEX(Listado!$M:$M,N553)="No","No","Sí"))</f>
        <v/>
      </c>
    </row>
    <row r="554" spans="2:24" ht="14.25">
      <c r="N554" s="17" t="str">
        <f>IF(V554=0,"",IFERROR(LOOKUP(2,1/(INDEX(Listado!A:A,2):INDEX(Listado!A:A,ROW())&lt;&gt;""),ROW(INDEX(Listado!A:A,2):INDEX(Listado!A:A,ROW()))),""))</f>
        <v/>
      </c>
      <c r="O554" s="17" t="str">
        <f>IFERROR(IF(N554="","",IF(INDEX(Listado!M:M,N554)="No",IF(INDEX(Listado!N:N,N554)=0,"",INDEX(Listado!N:N,N554)),IF(INDEX(Listado!I:I,N554)=0,"",INDEX(Listado!I:I,N554)))),"")</f>
        <v/>
      </c>
      <c r="P554" s="17">
        <f t="shared" ca="1" si="25"/>
        <v/>
      </c>
      <c r="Q554" s="17">
        <f>IFERROR(IF(AND(N554&lt;&gt;"",ISNUMBER(O554),O554&gt;0,O554&gt;=TODAY()-90),1,0),0)</f>
        <v/>
      </c>
      <c r="R554" s="17" t="str">
        <f t="shared" si="27"/>
        <v/>
      </c>
      <c r="S554" s="17" t="str">
        <f>IF(INDEX(Listado!A:A,ROW())="","",INDEX(Listado!A:A,ROW()))</f>
        <v/>
      </c>
      <c r="T554" s="17" t="str">
        <f ca="1">IF(INDEX(Listado!G:G,ROW())="","",INDEX(Listado!G:G,ROW()))</f>
        <v/>
      </c>
      <c r="U554" s="17" t="str">
        <f>IF(INDEX(Listado!F:F,ROW())="","",INDEX(Listado!F:F,ROW()))</f>
        <v/>
      </c>
      <c r="V554" s="17">
        <f>IF(COUNTA(INDEX(Listado!B:B,ROW()):INDEX(Listado!F:F,ROW()))&gt;0,1,0)</f>
        <v/>
      </c>
      <c r="W554" s="17" t="str">
        <f>IF(INDEX(Listado!L:L,ROW())="","",INDEX(Listado!L:L,ROW()))</f>
        <v/>
      </c>
      <c r="X554" s="17">
        <f>IF(N554="","",IF(INDEX(Listado!$M:$M,N554)="No","No","Sí"))</f>
        <v/>
      </c>
    </row>
    <row r="555" spans="2:24" ht="14.25">
      <c r="N555" s="17" t="str">
        <f>IF(V555=0,"",IFERROR(LOOKUP(2,1/(INDEX(Listado!A:A,2):INDEX(Listado!A:A,ROW())&lt;&gt;""),ROW(INDEX(Listado!A:A,2):INDEX(Listado!A:A,ROW()))),""))</f>
        <v/>
      </c>
      <c r="O555" s="17" t="str">
        <f>IFERROR(IF(N555="","",IF(INDEX(Listado!M:M,N555)="No",IF(INDEX(Listado!N:N,N555)=0,"",INDEX(Listado!N:N,N555)),IF(INDEX(Listado!I:I,N555)=0,"",INDEX(Listado!I:I,N555)))),"")</f>
        <v/>
      </c>
      <c r="P555" s="17">
        <f t="shared" ca="1" si="25"/>
        <v/>
      </c>
      <c r="Q555" s="17">
        <f>IFERROR(IF(AND(N555&lt;&gt;"",ISNUMBER(O555),O555&gt;0,O555&gt;=TODAY()-90),1,0),0)</f>
        <v/>
      </c>
      <c r="R555" s="17" t="str">
        <f t="shared" si="27"/>
        <v/>
      </c>
      <c r="S555" s="17" t="str">
        <f>IF(INDEX(Listado!A:A,ROW())="","",INDEX(Listado!A:A,ROW()))</f>
        <v/>
      </c>
      <c r="T555" s="17" t="str">
        <f ca="1">IF(INDEX(Listado!G:G,ROW())="","",INDEX(Listado!G:G,ROW()))</f>
        <v/>
      </c>
      <c r="U555" s="17" t="str">
        <f>IF(INDEX(Listado!F:F,ROW())="","",INDEX(Listado!F:F,ROW()))</f>
        <v/>
      </c>
      <c r="V555" s="17">
        <f>IF(COUNTA(INDEX(Listado!B:B,ROW()):INDEX(Listado!F:F,ROW()))&gt;0,1,0)</f>
        <v/>
      </c>
      <c r="W555" s="17" t="str">
        <f>IF(INDEX(Listado!L:L,ROW())="","",INDEX(Listado!L:L,ROW()))</f>
        <v/>
      </c>
      <c r="X555" s="17">
        <f>IF(N555="","",IF(INDEX(Listado!$M:$M,N555)="No","No","Sí"))</f>
        <v/>
      </c>
    </row>
    <row r="556" spans="2:24" ht="14.25">
      <c r="N556" s="17" t="str">
        <f>IF(V556=0,"",IFERROR(LOOKUP(2,1/(INDEX(Listado!A:A,2):INDEX(Listado!A:A,ROW())&lt;&gt;""),ROW(INDEX(Listado!A:A,2):INDEX(Listado!A:A,ROW()))),""))</f>
        <v/>
      </c>
      <c r="O556" s="17" t="str">
        <f>IFERROR(IF(N556="","",IF(INDEX(Listado!M:M,N556)="No",IF(INDEX(Listado!N:N,N556)=0,"",INDEX(Listado!N:N,N556)),IF(INDEX(Listado!I:I,N556)=0,"",INDEX(Listado!I:I,N556)))),"")</f>
        <v/>
      </c>
      <c r="P556" s="17">
        <f t="shared" ca="1" si="25"/>
        <v/>
      </c>
      <c r="Q556" s="17">
        <f>IFERROR(IF(AND(N556&lt;&gt;"",ISNUMBER(O556),O556&gt;0,O556&gt;=TODAY()-90),1,0),0)</f>
        <v/>
      </c>
      <c r="R556" s="17" t="str">
        <f t="shared" si="27"/>
        <v/>
      </c>
      <c r="S556" s="17" t="str">
        <f>IF(INDEX(Listado!A:A,ROW())="","",INDEX(Listado!A:A,ROW()))</f>
        <v/>
      </c>
      <c r="T556" s="17" t="str">
        <f ca="1">IF(INDEX(Listado!G:G,ROW())="","",INDEX(Listado!G:G,ROW()))</f>
        <v/>
      </c>
      <c r="U556" s="17" t="str">
        <f>IF(INDEX(Listado!F:F,ROW())="","",INDEX(Listado!F:F,ROW()))</f>
        <v/>
      </c>
      <c r="V556" s="17">
        <f>IF(COUNTA(INDEX(Listado!B:B,ROW()):INDEX(Listado!F:F,ROW()))&gt;0,1,0)</f>
        <v/>
      </c>
      <c r="W556" s="17" t="str">
        <f>IF(INDEX(Listado!L:L,ROW())="","",INDEX(Listado!L:L,ROW()))</f>
        <v/>
      </c>
      <c r="X556" s="17">
        <f>IF(N556="","",IF(INDEX(Listado!$M:$M,N556)="No","No","Sí"))</f>
        <v/>
      </c>
    </row>
    <row r="557" spans="2:24" ht="14.25">
      <c r="N557" s="17" t="str">
        <f>IF(V557=0,"",IFERROR(LOOKUP(2,1/(INDEX(Listado!A:A,2):INDEX(Listado!A:A,ROW())&lt;&gt;""),ROW(INDEX(Listado!A:A,2):INDEX(Listado!A:A,ROW()))),""))</f>
        <v/>
      </c>
      <c r="O557" s="17" t="str">
        <f>IFERROR(IF(N557="","",IF(INDEX(Listado!M:M,N557)="No",IF(INDEX(Listado!N:N,N557)=0,"",INDEX(Listado!N:N,N557)),IF(INDEX(Listado!I:I,N557)=0,"",INDEX(Listado!I:I,N557)))),"")</f>
        <v/>
      </c>
      <c r="P557" s="17">
        <f t="shared" ca="1" si="25"/>
        <v/>
      </c>
      <c r="Q557" s="17">
        <f>IFERROR(IF(AND(N557&lt;&gt;"",ISNUMBER(O557),O557&gt;0,O557&gt;=TODAY()-90),1,0),0)</f>
        <v/>
      </c>
      <c r="R557" s="17" t="str">
        <f t="shared" si="27"/>
        <v/>
      </c>
      <c r="S557" s="17" t="str">
        <f>IF(INDEX(Listado!A:A,ROW())="","",INDEX(Listado!A:A,ROW()))</f>
        <v/>
      </c>
      <c r="T557" s="17" t="str">
        <f ca="1">IF(INDEX(Listado!G:G,ROW())="","",INDEX(Listado!G:G,ROW()))</f>
        <v/>
      </c>
      <c r="U557" s="17" t="str">
        <f>IF(INDEX(Listado!F:F,ROW())="","",INDEX(Listado!F:F,ROW()))</f>
        <v/>
      </c>
      <c r="V557" s="17">
        <f>IF(COUNTA(INDEX(Listado!B:B,ROW()):INDEX(Listado!F:F,ROW()))&gt;0,1,0)</f>
        <v/>
      </c>
      <c r="W557" s="17" t="str">
        <f>IF(INDEX(Listado!L:L,ROW())="","",INDEX(Listado!L:L,ROW()))</f>
        <v/>
      </c>
      <c r="X557" s="17">
        <f>IF(N557="","",IF(INDEX(Listado!$M:$M,N557)="No","No","Sí"))</f>
        <v/>
      </c>
    </row>
    <row r="558" spans="2:24" ht="14.25">
      <c r="N558" s="17" t="str">
        <f>IF(V558=0,"",IFERROR(LOOKUP(2,1/(INDEX(Listado!A:A,2):INDEX(Listado!A:A,ROW())&lt;&gt;""),ROW(INDEX(Listado!A:A,2):INDEX(Listado!A:A,ROW()))),""))</f>
        <v/>
      </c>
      <c r="O558" s="17" t="str">
        <f>IFERROR(IF(N558="","",IF(INDEX(Listado!M:M,N558)="No",IF(INDEX(Listado!N:N,N558)=0,"",INDEX(Listado!N:N,N558)),IF(INDEX(Listado!I:I,N558)=0,"",INDEX(Listado!I:I,N558)))),"")</f>
        <v/>
      </c>
      <c r="P558" s="17">
        <f t="shared" ca="1" si="25"/>
        <v/>
      </c>
      <c r="Q558" s="17">
        <f>IFERROR(IF(AND(N558&lt;&gt;"",ISNUMBER(O558),O558&gt;0,O558&gt;=TODAY()-90),1,0),0)</f>
        <v/>
      </c>
      <c r="R558" s="17" t="str">
        <f t="shared" si="27"/>
        <v/>
      </c>
      <c r="S558" s="17" t="str">
        <f>IF(INDEX(Listado!A:A,ROW())="","",INDEX(Listado!A:A,ROW()))</f>
        <v/>
      </c>
      <c r="T558" s="17" t="str">
        <f ca="1">IF(INDEX(Listado!G:G,ROW())="","",INDEX(Listado!G:G,ROW()))</f>
        <v/>
      </c>
      <c r="U558" s="17" t="str">
        <f>IF(INDEX(Listado!F:F,ROW())="","",INDEX(Listado!F:F,ROW()))</f>
        <v/>
      </c>
      <c r="V558" s="17">
        <f>IF(COUNTA(INDEX(Listado!B:B,ROW()):INDEX(Listado!F:F,ROW()))&gt;0,1,0)</f>
        <v/>
      </c>
      <c r="W558" s="17" t="str">
        <f>IF(INDEX(Listado!L:L,ROW())="","",INDEX(Listado!L:L,ROW()))</f>
        <v/>
      </c>
      <c r="X558" s="17">
        <f>IF(N558="","",IF(INDEX(Listado!$M:$M,N558)="No","No","Sí"))</f>
        <v/>
      </c>
    </row>
    <row r="559" spans="2:24" ht="14.25">
      <c r="N559" s="17" t="str">
        <f>IF(V559=0,"",IFERROR(LOOKUP(2,1/(INDEX(Listado!A:A,2):INDEX(Listado!A:A,ROW())&lt;&gt;""),ROW(INDEX(Listado!A:A,2):INDEX(Listado!A:A,ROW()))),""))</f>
        <v/>
      </c>
      <c r="O559" s="17" t="str">
        <f>IFERROR(IF(N559="","",IF(INDEX(Listado!M:M,N559)="No",IF(INDEX(Listado!N:N,N559)=0,"",INDEX(Listado!N:N,N559)),IF(INDEX(Listado!I:I,N559)=0,"",INDEX(Listado!I:I,N559)))),"")</f>
        <v/>
      </c>
      <c r="P559" s="17">
        <f t="shared" ca="1" si="25"/>
        <v/>
      </c>
      <c r="Q559" s="17">
        <f>IFERROR(IF(AND(N559&lt;&gt;"",ISNUMBER(O559),O559&gt;0,O559&gt;=TODAY()-90),1,0),0)</f>
        <v/>
      </c>
      <c r="R559" s="17" t="str">
        <f t="shared" si="27"/>
        <v/>
      </c>
      <c r="S559" s="17" t="str">
        <f>IF(INDEX(Listado!A:A,ROW())="","",INDEX(Listado!A:A,ROW()))</f>
        <v/>
      </c>
      <c r="T559" s="17" t="str">
        <f ca="1">IF(INDEX(Listado!G:G,ROW())="","",INDEX(Listado!G:G,ROW()))</f>
        <v/>
      </c>
      <c r="U559" s="17" t="str">
        <f>IF(INDEX(Listado!F:F,ROW())="","",INDEX(Listado!F:F,ROW()))</f>
        <v/>
      </c>
      <c r="V559" s="17">
        <f>IF(COUNTA(INDEX(Listado!B:B,ROW()):INDEX(Listado!F:F,ROW()))&gt;0,1,0)</f>
        <v/>
      </c>
      <c r="W559" s="17" t="str">
        <f>IF(INDEX(Listado!L:L,ROW())="","",INDEX(Listado!L:L,ROW()))</f>
        <v/>
      </c>
      <c r="X559" s="17">
        <f>IF(N559="","",IF(INDEX(Listado!$M:$M,N559)="No","No","Sí"))</f>
        <v/>
      </c>
    </row>
    <row r="560" spans="2:24" ht="14.25">
      <c r="N560" s="17" t="str">
        <f>IF(V560=0,"",IFERROR(LOOKUP(2,1/(INDEX(Listado!A:A,2):INDEX(Listado!A:A,ROW())&lt;&gt;""),ROW(INDEX(Listado!A:A,2):INDEX(Listado!A:A,ROW()))),""))</f>
        <v/>
      </c>
      <c r="O560" s="17" t="str">
        <f>IFERROR(IF(N560="","",IF(INDEX(Listado!M:M,N560)="No",IF(INDEX(Listado!N:N,N560)=0,"",INDEX(Listado!N:N,N560)),IF(INDEX(Listado!I:I,N560)=0,"",INDEX(Listado!I:I,N560)))),"")</f>
        <v/>
      </c>
      <c r="P560" s="17">
        <f t="shared" ca="1" si="25"/>
        <v/>
      </c>
      <c r="Q560" s="17">
        <f>IFERROR(IF(AND(N560&lt;&gt;"",ISNUMBER(O560),O560&gt;0,O560&gt;=TODAY()-90),1,0),0)</f>
        <v/>
      </c>
      <c r="R560" s="17" t="str">
        <f t="shared" si="27"/>
        <v/>
      </c>
      <c r="S560" s="17" t="str">
        <f>IF(INDEX(Listado!A:A,ROW())="","",INDEX(Listado!A:A,ROW()))</f>
        <v/>
      </c>
      <c r="T560" s="17" t="str">
        <f ca="1">IF(INDEX(Listado!G:G,ROW())="","",INDEX(Listado!G:G,ROW()))</f>
        <v/>
      </c>
      <c r="U560" s="17" t="str">
        <f>IF(INDEX(Listado!F:F,ROW())="","",INDEX(Listado!F:F,ROW()))</f>
        <v/>
      </c>
      <c r="V560" s="17">
        <f>IF(COUNTA(INDEX(Listado!B:B,ROW()):INDEX(Listado!F:F,ROW()))&gt;0,1,0)</f>
        <v/>
      </c>
      <c r="W560" s="17" t="str">
        <f>IF(INDEX(Listado!L:L,ROW())="","",INDEX(Listado!L:L,ROW()))</f>
        <v/>
      </c>
      <c r="X560" s="17">
        <f>IF(N560="","",IF(INDEX(Listado!$M:$M,N560)="No","No","Sí"))</f>
        <v/>
      </c>
    </row>
    <row r="561" spans="2:24" ht="14.25">
      <c r="N561" s="17" t="str">
        <f>IF(V561=0,"",IFERROR(LOOKUP(2,1/(INDEX(Listado!A:A,2):INDEX(Listado!A:A,ROW())&lt;&gt;""),ROW(INDEX(Listado!A:A,2):INDEX(Listado!A:A,ROW()))),""))</f>
        <v/>
      </c>
      <c r="O561" s="17" t="str">
        <f>IFERROR(IF(N561="","",IF(INDEX(Listado!M:M,N561)="No",IF(INDEX(Listado!N:N,N561)=0,"",INDEX(Listado!N:N,N561)),IF(INDEX(Listado!I:I,N561)=0,"",INDEX(Listado!I:I,N561)))),"")</f>
        <v/>
      </c>
      <c r="P561" s="17">
        <f t="shared" ca="1" si="25"/>
        <v/>
      </c>
      <c r="Q561" s="17">
        <f>IFERROR(IF(AND(N561&lt;&gt;"",ISNUMBER(O561),O561&gt;0,O561&gt;=TODAY()-90),1,0),0)</f>
        <v/>
      </c>
      <c r="R561" s="17" t="str">
        <f t="shared" si="27"/>
        <v/>
      </c>
      <c r="S561" s="17" t="str">
        <f>IF(INDEX(Listado!A:A,ROW())="","",INDEX(Listado!A:A,ROW()))</f>
        <v/>
      </c>
      <c r="T561" s="17" t="str">
        <f ca="1">IF(INDEX(Listado!G:G,ROW())="","",INDEX(Listado!G:G,ROW()))</f>
        <v/>
      </c>
      <c r="U561" s="17" t="str">
        <f>IF(INDEX(Listado!F:F,ROW())="","",INDEX(Listado!F:F,ROW()))</f>
        <v/>
      </c>
      <c r="V561" s="17">
        <f>IF(COUNTA(INDEX(Listado!B:B,ROW()):INDEX(Listado!F:F,ROW()))&gt;0,1,0)</f>
        <v/>
      </c>
      <c r="W561" s="17" t="str">
        <f>IF(INDEX(Listado!L:L,ROW())="","",INDEX(Listado!L:L,ROW()))</f>
        <v/>
      </c>
      <c r="X561" s="17">
        <f>IF(N561="","",IF(INDEX(Listado!$M:$M,N561)="No","No","Sí"))</f>
        <v/>
      </c>
    </row>
    <row r="562" spans="2:24" ht="14.25">
      <c r="N562" s="17" t="str">
        <f>IF(V562=0,"",IFERROR(LOOKUP(2,1/(INDEX(Listado!A:A,2):INDEX(Listado!A:A,ROW())&lt;&gt;""),ROW(INDEX(Listado!A:A,2):INDEX(Listado!A:A,ROW()))),""))</f>
        <v/>
      </c>
      <c r="O562" s="17" t="str">
        <f>IFERROR(IF(N562="","",IF(INDEX(Listado!M:M,N562)="No",IF(INDEX(Listado!N:N,N562)=0,"",INDEX(Listado!N:N,N562)),IF(INDEX(Listado!I:I,N562)=0,"",INDEX(Listado!I:I,N562)))),"")</f>
        <v/>
      </c>
      <c r="P562" s="17">
        <f t="shared" ca="1" si="25"/>
        <v/>
      </c>
      <c r="Q562" s="17">
        <f>IFERROR(IF(AND(N562&lt;&gt;"",ISNUMBER(O562),O562&gt;0,O562&gt;=TODAY()-90),1,0),0)</f>
        <v/>
      </c>
      <c r="R562" s="17" t="str">
        <f t="shared" si="27"/>
        <v/>
      </c>
      <c r="S562" s="17" t="str">
        <f>IF(INDEX(Listado!A:A,ROW())="","",INDEX(Listado!A:A,ROW()))</f>
        <v/>
      </c>
      <c r="T562" s="17" t="str">
        <f ca="1">IF(INDEX(Listado!G:G,ROW())="","",INDEX(Listado!G:G,ROW()))</f>
        <v/>
      </c>
      <c r="U562" s="17" t="str">
        <f>IF(INDEX(Listado!F:F,ROW())="","",INDEX(Listado!F:F,ROW()))</f>
        <v/>
      </c>
      <c r="V562" s="17">
        <f>IF(COUNTA(INDEX(Listado!B:B,ROW()):INDEX(Listado!F:F,ROW()))&gt;0,1,0)</f>
        <v/>
      </c>
      <c r="W562" s="17" t="str">
        <f>IF(INDEX(Listado!L:L,ROW())="","",INDEX(Listado!L:L,ROW()))</f>
        <v/>
      </c>
      <c r="X562" s="17">
        <f>IF(N562="","",IF(INDEX(Listado!$M:$M,N562)="No","No","Sí"))</f>
        <v/>
      </c>
    </row>
    <row r="563" spans="2:24" ht="14.25">
      <c r="N563" s="17" t="str">
        <f>IF(V563=0,"",IFERROR(LOOKUP(2,1/(INDEX(Listado!A:A,2):INDEX(Listado!A:A,ROW())&lt;&gt;""),ROW(INDEX(Listado!A:A,2):INDEX(Listado!A:A,ROW()))),""))</f>
        <v/>
      </c>
      <c r="O563" s="17" t="str">
        <f>IFERROR(IF(N563="","",IF(INDEX(Listado!M:M,N563)="No",IF(INDEX(Listado!N:N,N563)=0,"",INDEX(Listado!N:N,N563)),IF(INDEX(Listado!I:I,N563)=0,"",INDEX(Listado!I:I,N563)))),"")</f>
        <v/>
      </c>
      <c r="P563" s="17">
        <f t="shared" ca="1" si="25"/>
        <v/>
      </c>
      <c r="Q563" s="17">
        <f>IFERROR(IF(AND(N563&lt;&gt;"",ISNUMBER(O563),O563&gt;0,O563&gt;=TODAY()-90),1,0),0)</f>
        <v/>
      </c>
      <c r="R563" s="17" t="str">
        <f t="shared" si="27"/>
        <v/>
      </c>
      <c r="S563" s="17" t="str">
        <f>IF(INDEX(Listado!A:A,ROW())="","",INDEX(Listado!A:A,ROW()))</f>
        <v/>
      </c>
      <c r="T563" s="17" t="str">
        <f ca="1">IF(INDEX(Listado!G:G,ROW())="","",INDEX(Listado!G:G,ROW()))</f>
        <v/>
      </c>
      <c r="U563" s="17" t="str">
        <f>IF(INDEX(Listado!F:F,ROW())="","",INDEX(Listado!F:F,ROW()))</f>
        <v/>
      </c>
      <c r="V563" s="17">
        <f>IF(COUNTA(INDEX(Listado!B:B,ROW()):INDEX(Listado!F:F,ROW()))&gt;0,1,0)</f>
        <v/>
      </c>
      <c r="W563" s="17" t="str">
        <f>IF(INDEX(Listado!L:L,ROW())="","",INDEX(Listado!L:L,ROW()))</f>
        <v/>
      </c>
      <c r="X563" s="17">
        <f>IF(N563="","",IF(INDEX(Listado!$M:$M,N563)="No","No","Sí"))</f>
        <v/>
      </c>
    </row>
    <row r="564" spans="2:24" ht="14.25">
      <c r="N564" s="17" t="str">
        <f>IF(V564=0,"",IFERROR(LOOKUP(2,1/(INDEX(Listado!A:A,2):INDEX(Listado!A:A,ROW())&lt;&gt;""),ROW(INDEX(Listado!A:A,2):INDEX(Listado!A:A,ROW()))),""))</f>
        <v/>
      </c>
      <c r="O564" s="17" t="str">
        <f>IFERROR(IF(N564="","",IF(INDEX(Listado!M:M,N564)="No",IF(INDEX(Listado!N:N,N564)=0,"",INDEX(Listado!N:N,N564)),IF(INDEX(Listado!I:I,N564)=0,"",INDEX(Listado!I:I,N564)))),"")</f>
        <v/>
      </c>
      <c r="P564" s="17">
        <f t="shared" ca="1" si="25"/>
        <v/>
      </c>
      <c r="Q564" s="17">
        <f>IFERROR(IF(AND(N564&lt;&gt;"",ISNUMBER(O564),O564&gt;0,O564&gt;=TODAY()-90),1,0),0)</f>
        <v/>
      </c>
      <c r="R564" s="17" t="str">
        <f t="shared" si="27"/>
        <v/>
      </c>
      <c r="S564" s="17" t="str">
        <f>IF(INDEX(Listado!A:A,ROW())="","",INDEX(Listado!A:A,ROW()))</f>
        <v/>
      </c>
      <c r="T564" s="17" t="str">
        <f ca="1">IF(INDEX(Listado!G:G,ROW())="","",INDEX(Listado!G:G,ROW()))</f>
        <v/>
      </c>
      <c r="U564" s="17" t="str">
        <f>IF(INDEX(Listado!F:F,ROW())="","",INDEX(Listado!F:F,ROW()))</f>
        <v/>
      </c>
      <c r="V564" s="17">
        <f>IF(COUNTA(INDEX(Listado!B:B,ROW()):INDEX(Listado!F:F,ROW()))&gt;0,1,0)</f>
        <v/>
      </c>
      <c r="W564" s="17" t="str">
        <f>IF(INDEX(Listado!L:L,ROW())="","",INDEX(Listado!L:L,ROW()))</f>
        <v/>
      </c>
      <c r="X564" s="17">
        <f>IF(N564="","",IF(INDEX(Listado!$M:$M,N564)="No","No","Sí"))</f>
        <v/>
      </c>
    </row>
    <row r="565" spans="2:24" ht="14.25">
      <c r="N565" s="17" t="str">
        <f>IF(V565=0,"",IFERROR(LOOKUP(2,1/(INDEX(Listado!A:A,2):INDEX(Listado!A:A,ROW())&lt;&gt;""),ROW(INDEX(Listado!A:A,2):INDEX(Listado!A:A,ROW()))),""))</f>
        <v/>
      </c>
      <c r="O565" s="17" t="str">
        <f>IFERROR(IF(N565="","",IF(INDEX(Listado!M:M,N565)="No",IF(INDEX(Listado!N:N,N565)=0,"",INDEX(Listado!N:N,N565)),IF(INDEX(Listado!I:I,N565)=0,"",INDEX(Listado!I:I,N565)))),"")</f>
        <v/>
      </c>
      <c r="P565" s="17">
        <f t="shared" ca="1" si="25"/>
        <v/>
      </c>
      <c r="Q565" s="17">
        <f>IFERROR(IF(AND(N565&lt;&gt;"",ISNUMBER(O565),O565&gt;0,O565&gt;=TODAY()-90),1,0),0)</f>
        <v/>
      </c>
      <c r="R565" s="17" t="str">
        <f t="shared" si="27"/>
        <v/>
      </c>
      <c r="S565" s="17" t="str">
        <f>IF(INDEX(Listado!A:A,ROW())="","",INDEX(Listado!A:A,ROW()))</f>
        <v/>
      </c>
      <c r="T565" s="17" t="str">
        <f ca="1">IF(INDEX(Listado!G:G,ROW())="","",INDEX(Listado!G:G,ROW()))</f>
        <v/>
      </c>
      <c r="U565" s="17" t="str">
        <f>IF(INDEX(Listado!F:F,ROW())="","",INDEX(Listado!F:F,ROW()))</f>
        <v/>
      </c>
      <c r="V565" s="17">
        <f>IF(COUNTA(INDEX(Listado!B:B,ROW()):INDEX(Listado!F:F,ROW()))&gt;0,1,0)</f>
        <v/>
      </c>
      <c r="W565" s="17" t="str">
        <f>IF(INDEX(Listado!L:L,ROW())="","",INDEX(Listado!L:L,ROW()))</f>
        <v/>
      </c>
      <c r="X565" s="17">
        <f>IF(N565="","",IF(INDEX(Listado!$M:$M,N565)="No","No","Sí"))</f>
        <v/>
      </c>
    </row>
    <row r="566" spans="2:24" ht="14.25">
      <c r="N566" s="17" t="str">
        <f>IF(V566=0,"",IFERROR(LOOKUP(2,1/(INDEX(Listado!A:A,2):INDEX(Listado!A:A,ROW())&lt;&gt;""),ROW(INDEX(Listado!A:A,2):INDEX(Listado!A:A,ROW()))),""))</f>
        <v/>
      </c>
      <c r="O566" s="17" t="str">
        <f>IFERROR(IF(N566="","",IF(INDEX(Listado!M:M,N566)="No",IF(INDEX(Listado!N:N,N566)=0,"",INDEX(Listado!N:N,N566)),IF(INDEX(Listado!I:I,N566)=0,"",INDEX(Listado!I:I,N566)))),"")</f>
        <v/>
      </c>
      <c r="P566" s="17">
        <f t="shared" ca="1" si="25"/>
        <v/>
      </c>
      <c r="Q566" s="17">
        <f>IFERROR(IF(AND(N566&lt;&gt;"",ISNUMBER(O566),O566&gt;0,O566&gt;=TODAY()-90),1,0),0)</f>
        <v/>
      </c>
      <c r="R566" s="17" t="str">
        <f t="shared" si="27"/>
        <v/>
      </c>
      <c r="S566" s="17" t="str">
        <f>IF(INDEX(Listado!A:A,ROW())="","",INDEX(Listado!A:A,ROW()))</f>
        <v/>
      </c>
      <c r="T566" s="17" t="str">
        <f ca="1">IF(INDEX(Listado!G:G,ROW())="","",INDEX(Listado!G:G,ROW()))</f>
        <v/>
      </c>
      <c r="U566" s="17" t="str">
        <f>IF(INDEX(Listado!F:F,ROW())="","",INDEX(Listado!F:F,ROW()))</f>
        <v/>
      </c>
      <c r="V566" s="17">
        <f>IF(COUNTA(INDEX(Listado!B:B,ROW()):INDEX(Listado!F:F,ROW()))&gt;0,1,0)</f>
        <v/>
      </c>
      <c r="W566" s="17" t="str">
        <f>IF(INDEX(Listado!L:L,ROW())="","",INDEX(Listado!L:L,ROW()))</f>
        <v/>
      </c>
      <c r="X566" s="17">
        <f>IF(N566="","",IF(INDEX(Listado!$M:$M,N566)="No","No","Sí"))</f>
        <v/>
      </c>
    </row>
    <row r="567" spans="2:24" ht="14.25">
      <c r="N567" s="17" t="str">
        <f>IF(V567=0,"",IFERROR(LOOKUP(2,1/(INDEX(Listado!A:A,2):INDEX(Listado!A:A,ROW())&lt;&gt;""),ROW(INDEX(Listado!A:A,2):INDEX(Listado!A:A,ROW()))),""))</f>
        <v/>
      </c>
      <c r="O567" s="17" t="str">
        <f>IFERROR(IF(N567="","",IF(INDEX(Listado!M:M,N567)="No",IF(INDEX(Listado!N:N,N567)=0,"",INDEX(Listado!N:N,N567)),IF(INDEX(Listado!I:I,N567)=0,"",INDEX(Listado!I:I,N567)))),"")</f>
        <v/>
      </c>
      <c r="P567" s="17">
        <f t="shared" ca="1" si="25"/>
        <v/>
      </c>
      <c r="Q567" s="17">
        <f>IFERROR(IF(AND(N567&lt;&gt;"",ISNUMBER(O567),O567&gt;0,O567&gt;=TODAY()-90),1,0),0)</f>
        <v/>
      </c>
      <c r="R567" s="17" t="str">
        <f t="shared" si="27"/>
        <v/>
      </c>
      <c r="S567" s="17" t="str">
        <f>IF(INDEX(Listado!A:A,ROW())="","",INDEX(Listado!A:A,ROW()))</f>
        <v/>
      </c>
      <c r="T567" s="17" t="str">
        <f ca="1">IF(INDEX(Listado!G:G,ROW())="","",INDEX(Listado!G:G,ROW()))</f>
        <v/>
      </c>
      <c r="U567" s="17" t="str">
        <f>IF(INDEX(Listado!F:F,ROW())="","",INDEX(Listado!F:F,ROW()))</f>
        <v/>
      </c>
      <c r="V567" s="17">
        <f>IF(COUNTA(INDEX(Listado!B:B,ROW()):INDEX(Listado!F:F,ROW()))&gt;0,1,0)</f>
        <v/>
      </c>
      <c r="W567" s="17" t="str">
        <f>IF(INDEX(Listado!L:L,ROW())="","",INDEX(Listado!L:L,ROW()))</f>
        <v/>
      </c>
      <c r="X567" s="17">
        <f>IF(N567="","",IF(INDEX(Listado!$M:$M,N567)="No","No","Sí"))</f>
        <v/>
      </c>
    </row>
    <row r="568" spans="2:24" ht="14.25">
      <c r="N568" s="17" t="str">
        <f>IF(V568=0,"",IFERROR(LOOKUP(2,1/(INDEX(Listado!A:A,2):INDEX(Listado!A:A,ROW())&lt;&gt;""),ROW(INDEX(Listado!A:A,2):INDEX(Listado!A:A,ROW()))),""))</f>
        <v/>
      </c>
      <c r="O568" s="17" t="str">
        <f>IFERROR(IF(N568="","",IF(INDEX(Listado!M:M,N568)="No",IF(INDEX(Listado!N:N,N568)=0,"",INDEX(Listado!N:N,N568)),IF(INDEX(Listado!I:I,N568)=0,"",INDEX(Listado!I:I,N568)))),"")</f>
        <v/>
      </c>
      <c r="P568" s="17">
        <f t="shared" ca="1" si="25"/>
        <v/>
      </c>
      <c r="Q568" s="17">
        <f>IFERROR(IF(AND(N568&lt;&gt;"",ISNUMBER(O568),O568&gt;0,O568&gt;=TODAY()-90),1,0),0)</f>
        <v/>
      </c>
      <c r="R568" s="17" t="str">
        <f t="shared" si="27"/>
        <v/>
      </c>
      <c r="S568" s="17" t="str">
        <f>IF(INDEX(Listado!A:A,ROW())="","",INDEX(Listado!A:A,ROW()))</f>
        <v/>
      </c>
      <c r="T568" s="17" t="str">
        <f ca="1">IF(INDEX(Listado!G:G,ROW())="","",INDEX(Listado!G:G,ROW()))</f>
        <v/>
      </c>
      <c r="U568" s="17" t="str">
        <f>IF(INDEX(Listado!F:F,ROW())="","",INDEX(Listado!F:F,ROW()))</f>
        <v/>
      </c>
      <c r="V568" s="17">
        <f>IF(COUNTA(INDEX(Listado!B:B,ROW()):INDEX(Listado!F:F,ROW()))&gt;0,1,0)</f>
        <v/>
      </c>
      <c r="W568" s="17" t="str">
        <f>IF(INDEX(Listado!L:L,ROW())="","",INDEX(Listado!L:L,ROW()))</f>
        <v/>
      </c>
      <c r="X568" s="17">
        <f>IF(N568="","",IF(INDEX(Listado!$M:$M,N568)="No","No","Sí"))</f>
        <v/>
      </c>
    </row>
    <row r="569" spans="2:24" ht="14.25">
      <c r="N569" s="17" t="str">
        <f>IF(V569=0,"",IFERROR(LOOKUP(2,1/(INDEX(Listado!A:A,2):INDEX(Listado!A:A,ROW())&lt;&gt;""),ROW(INDEX(Listado!A:A,2):INDEX(Listado!A:A,ROW()))),""))</f>
        <v/>
      </c>
      <c r="O569" s="17" t="str">
        <f>IFERROR(IF(N569="","",IF(INDEX(Listado!M:M,N569)="No",IF(INDEX(Listado!N:N,N569)=0,"",INDEX(Listado!N:N,N569)),IF(INDEX(Listado!I:I,N569)=0,"",INDEX(Listado!I:I,N569)))),"")</f>
        <v/>
      </c>
      <c r="P569" s="17">
        <f t="shared" ca="1" si="25"/>
        <v/>
      </c>
      <c r="Q569" s="17">
        <f>IFERROR(IF(AND(N569&lt;&gt;"",ISNUMBER(O569),O569&gt;0,O569&gt;=TODAY()-90),1,0),0)</f>
        <v/>
      </c>
      <c r="R569" s="17" t="str">
        <f t="shared" si="27"/>
        <v/>
      </c>
      <c r="S569" s="17" t="str">
        <f>IF(INDEX(Listado!A:A,ROW())="","",INDEX(Listado!A:A,ROW()))</f>
        <v/>
      </c>
      <c r="T569" s="17" t="str">
        <f ca="1">IF(INDEX(Listado!G:G,ROW())="","",INDEX(Listado!G:G,ROW()))</f>
        <v/>
      </c>
      <c r="U569" s="17" t="str">
        <f>IF(INDEX(Listado!F:F,ROW())="","",INDEX(Listado!F:F,ROW()))</f>
        <v/>
      </c>
      <c r="V569" s="17">
        <f>IF(COUNTA(INDEX(Listado!B:B,ROW()):INDEX(Listado!F:F,ROW()))&gt;0,1,0)</f>
        <v/>
      </c>
      <c r="W569" s="17" t="str">
        <f>IF(INDEX(Listado!L:L,ROW())="","",INDEX(Listado!L:L,ROW()))</f>
        <v/>
      </c>
      <c r="X569" s="17">
        <f>IF(N569="","",IF(INDEX(Listado!$M:$M,N569)="No","No","Sí"))</f>
        <v/>
      </c>
    </row>
    <row r="570" spans="2:24" ht="14.25">
      <c r="N570" s="17" t="str">
        <f>IF(V570=0,"",IFERROR(LOOKUP(2,1/(INDEX(Listado!A:A,2):INDEX(Listado!A:A,ROW())&lt;&gt;""),ROW(INDEX(Listado!A:A,2):INDEX(Listado!A:A,ROW()))),""))</f>
        <v/>
      </c>
      <c r="O570" s="17" t="str">
        <f>IFERROR(IF(N570="","",IF(INDEX(Listado!M:M,N570)="No",IF(INDEX(Listado!N:N,N570)=0,"",INDEX(Listado!N:N,N570)),IF(INDEX(Listado!I:I,N570)=0,"",INDEX(Listado!I:I,N570)))),"")</f>
        <v/>
      </c>
      <c r="P570" s="17">
        <f t="shared" ca="1" si="25"/>
        <v/>
      </c>
      <c r="Q570" s="17">
        <f>IFERROR(IF(AND(N570&lt;&gt;"",ISNUMBER(O570),O570&gt;0,O570&gt;=TODAY()-90),1,0),0)</f>
        <v/>
      </c>
      <c r="R570" s="17" t="str">
        <f t="shared" si="27"/>
        <v/>
      </c>
      <c r="S570" s="17" t="str">
        <f>IF(INDEX(Listado!A:A,ROW())="","",INDEX(Listado!A:A,ROW()))</f>
        <v/>
      </c>
      <c r="T570" s="17" t="str">
        <f ca="1">IF(INDEX(Listado!G:G,ROW())="","",INDEX(Listado!G:G,ROW()))</f>
        <v/>
      </c>
      <c r="U570" s="17" t="str">
        <f>IF(INDEX(Listado!F:F,ROW())="","",INDEX(Listado!F:F,ROW()))</f>
        <v/>
      </c>
      <c r="V570" s="17">
        <f>IF(COUNTA(INDEX(Listado!B:B,ROW()):INDEX(Listado!F:F,ROW()))&gt;0,1,0)</f>
        <v/>
      </c>
      <c r="W570" s="17" t="str">
        <f>IF(INDEX(Listado!L:L,ROW())="","",INDEX(Listado!L:L,ROW()))</f>
        <v/>
      </c>
      <c r="X570" s="17">
        <f>IF(N570="","",IF(INDEX(Listado!$M:$M,N570)="No","No","Sí"))</f>
        <v/>
      </c>
    </row>
    <row r="571" spans="2:24" ht="14.25">
      <c r="N571" s="17" t="str">
        <f>IF(V571=0,"",IFERROR(LOOKUP(2,1/(INDEX(Listado!A:A,2):INDEX(Listado!A:A,ROW())&lt;&gt;""),ROW(INDEX(Listado!A:A,2):INDEX(Listado!A:A,ROW()))),""))</f>
        <v/>
      </c>
      <c r="O571" s="17" t="str">
        <f>IFERROR(IF(N571="","",IF(INDEX(Listado!M:M,N571)="No",IF(INDEX(Listado!N:N,N571)=0,"",INDEX(Listado!N:N,N571)),IF(INDEX(Listado!I:I,N571)=0,"",INDEX(Listado!I:I,N571)))),"")</f>
        <v/>
      </c>
      <c r="P571" s="17">
        <f t="shared" ca="1" si="25"/>
        <v/>
      </c>
      <c r="Q571" s="17">
        <f>IFERROR(IF(AND(N571&lt;&gt;"",ISNUMBER(O571),O571&gt;0,O571&gt;=TODAY()-90),1,0),0)</f>
        <v/>
      </c>
      <c r="R571" s="17" t="str">
        <f t="shared" si="27"/>
        <v/>
      </c>
      <c r="S571" s="17" t="str">
        <f>IF(INDEX(Listado!A:A,ROW())="","",INDEX(Listado!A:A,ROW()))</f>
        <v/>
      </c>
      <c r="T571" s="17" t="str">
        <f ca="1">IF(INDEX(Listado!G:G,ROW())="","",INDEX(Listado!G:G,ROW()))</f>
        <v/>
      </c>
      <c r="U571" s="17" t="str">
        <f>IF(INDEX(Listado!F:F,ROW())="","",INDEX(Listado!F:F,ROW()))</f>
        <v/>
      </c>
      <c r="V571" s="17">
        <f>IF(COUNTA(INDEX(Listado!B:B,ROW()):INDEX(Listado!F:F,ROW()))&gt;0,1,0)</f>
        <v/>
      </c>
      <c r="W571" s="17" t="str">
        <f>IF(INDEX(Listado!L:L,ROW())="","",INDEX(Listado!L:L,ROW()))</f>
        <v/>
      </c>
      <c r="X571" s="17">
        <f>IF(N571="","",IF(INDEX(Listado!$M:$M,N571)="No","No","Sí"))</f>
        <v/>
      </c>
    </row>
    <row r="572" spans="2:24" ht="14.25">
      <c r="N572" s="17" t="str">
        <f>IF(V572=0,"",IFERROR(LOOKUP(2,1/(INDEX(Listado!A:A,2):INDEX(Listado!A:A,ROW())&lt;&gt;""),ROW(INDEX(Listado!A:A,2):INDEX(Listado!A:A,ROW()))),""))</f>
        <v/>
      </c>
      <c r="O572" s="17" t="str">
        <f>IFERROR(IF(N572="","",IF(INDEX(Listado!M:M,N572)="No",IF(INDEX(Listado!N:N,N572)=0,"",INDEX(Listado!N:N,N572)),IF(INDEX(Listado!I:I,N572)=0,"",INDEX(Listado!I:I,N572)))),"")</f>
        <v/>
      </c>
      <c r="P572" s="17">
        <f t="shared" ca="1" si="25"/>
        <v/>
      </c>
      <c r="Q572" s="17">
        <f>IFERROR(IF(AND(N572&lt;&gt;"",ISNUMBER(O572),O572&gt;0,O572&gt;=TODAY()-90),1,0),0)</f>
        <v/>
      </c>
      <c r="R572" s="17" t="str">
        <f t="shared" si="27"/>
        <v/>
      </c>
      <c r="S572" s="17" t="str">
        <f>IF(INDEX(Listado!A:A,ROW())="","",INDEX(Listado!A:A,ROW()))</f>
        <v/>
      </c>
      <c r="T572" s="17" t="str">
        <f ca="1">IF(INDEX(Listado!G:G,ROW())="","",INDEX(Listado!G:G,ROW()))</f>
        <v/>
      </c>
      <c r="U572" s="17" t="str">
        <f>IF(INDEX(Listado!F:F,ROW())="","",INDEX(Listado!F:F,ROW()))</f>
        <v/>
      </c>
      <c r="V572" s="17">
        <f>IF(COUNTA(INDEX(Listado!B:B,ROW()):INDEX(Listado!F:F,ROW()))&gt;0,1,0)</f>
        <v/>
      </c>
      <c r="W572" s="17" t="str">
        <f>IF(INDEX(Listado!L:L,ROW())="","",INDEX(Listado!L:L,ROW()))</f>
        <v/>
      </c>
      <c r="X572" s="17">
        <f>IF(N572="","",IF(INDEX(Listado!$M:$M,N572)="No","No","Sí"))</f>
        <v/>
      </c>
    </row>
    <row r="573" spans="2:24" ht="14.25">
      <c r="N573" s="17" t="str">
        <f>IF(V573=0,"",IFERROR(LOOKUP(2,1/(INDEX(Listado!A:A,2):INDEX(Listado!A:A,ROW())&lt;&gt;""),ROW(INDEX(Listado!A:A,2):INDEX(Listado!A:A,ROW()))),""))</f>
        <v/>
      </c>
      <c r="O573" s="17" t="str">
        <f>IFERROR(IF(N573="","",IF(INDEX(Listado!M:M,N573)="No",IF(INDEX(Listado!N:N,N573)=0,"",INDEX(Listado!N:N,N573)),IF(INDEX(Listado!I:I,N573)=0,"",INDEX(Listado!I:I,N573)))),"")</f>
        <v/>
      </c>
      <c r="P573" s="17">
        <f t="shared" ca="1" si="25"/>
        <v/>
      </c>
      <c r="Q573" s="17">
        <f>IFERROR(IF(AND(N573&lt;&gt;"",ISNUMBER(O573),O573&gt;0,O573&gt;=TODAY()-90),1,0),0)</f>
        <v/>
      </c>
      <c r="R573" s="17" t="str">
        <f t="shared" si="27"/>
        <v/>
      </c>
      <c r="S573" s="17" t="str">
        <f>IF(INDEX(Listado!A:A,ROW())="","",INDEX(Listado!A:A,ROW()))</f>
        <v/>
      </c>
      <c r="T573" s="17" t="str">
        <f ca="1">IF(INDEX(Listado!G:G,ROW())="","",INDEX(Listado!G:G,ROW()))</f>
        <v/>
      </c>
      <c r="U573" s="17" t="str">
        <f>IF(INDEX(Listado!F:F,ROW())="","",INDEX(Listado!F:F,ROW()))</f>
        <v/>
      </c>
      <c r="V573" s="17">
        <f>IF(COUNTA(INDEX(Listado!B:B,ROW()):INDEX(Listado!F:F,ROW()))&gt;0,1,0)</f>
        <v/>
      </c>
      <c r="W573" s="17" t="str">
        <f>IF(INDEX(Listado!L:L,ROW())="","",INDEX(Listado!L:L,ROW()))</f>
        <v/>
      </c>
      <c r="X573" s="17">
        <f>IF(N573="","",IF(INDEX(Listado!$M:$M,N573)="No","No","Sí"))</f>
        <v/>
      </c>
    </row>
    <row r="574" spans="2:24" ht="14.25">
      <c r="N574" s="17" t="str">
        <f>IF(V574=0,"",IFERROR(LOOKUP(2,1/(INDEX(Listado!A:A,2):INDEX(Listado!A:A,ROW())&lt;&gt;""),ROW(INDEX(Listado!A:A,2):INDEX(Listado!A:A,ROW()))),""))</f>
        <v/>
      </c>
      <c r="O574" s="17" t="str">
        <f>IFERROR(IF(N574="","",IF(INDEX(Listado!M:M,N574)="No",IF(INDEX(Listado!N:N,N574)=0,"",INDEX(Listado!N:N,N574)),IF(INDEX(Listado!I:I,N574)=0,"",INDEX(Listado!I:I,N574)))),"")</f>
        <v/>
      </c>
      <c r="P574" s="17">
        <f t="shared" ca="1" si="25"/>
        <v/>
      </c>
      <c r="Q574" s="17">
        <f>IFERROR(IF(AND(N574&lt;&gt;"",ISNUMBER(O574),O574&gt;0,O574&gt;=TODAY()-90),1,0),0)</f>
        <v/>
      </c>
      <c r="R574" s="17" t="str">
        <f t="shared" si="27"/>
        <v/>
      </c>
      <c r="S574" s="17" t="str">
        <f>IF(INDEX(Listado!A:A,ROW())="","",INDEX(Listado!A:A,ROW()))</f>
        <v/>
      </c>
      <c r="T574" s="17" t="str">
        <f ca="1">IF(INDEX(Listado!G:G,ROW())="","",INDEX(Listado!G:G,ROW()))</f>
        <v/>
      </c>
      <c r="U574" s="17" t="str">
        <f>IF(INDEX(Listado!F:F,ROW())="","",INDEX(Listado!F:F,ROW()))</f>
        <v/>
      </c>
      <c r="V574" s="17">
        <f>IF(COUNTA(INDEX(Listado!B:B,ROW()):INDEX(Listado!F:F,ROW()))&gt;0,1,0)</f>
        <v/>
      </c>
      <c r="W574" s="17" t="str">
        <f>IF(INDEX(Listado!L:L,ROW())="","",INDEX(Listado!L:L,ROW()))</f>
        <v/>
      </c>
      <c r="X574" s="17">
        <f>IF(N574="","",IF(INDEX(Listado!$M:$M,N574)="No","No","Sí"))</f>
        <v/>
      </c>
    </row>
    <row r="575" spans="2:24" ht="14.25">
      <c r="N575" s="17" t="str">
        <f>IF(V575=0,"",IFERROR(LOOKUP(2,1/(INDEX(Listado!A:A,2):INDEX(Listado!A:A,ROW())&lt;&gt;""),ROW(INDEX(Listado!A:A,2):INDEX(Listado!A:A,ROW()))),""))</f>
        <v/>
      </c>
      <c r="O575" s="17" t="str">
        <f>IFERROR(IF(N575="","",IF(INDEX(Listado!M:M,N575)="No",IF(INDEX(Listado!N:N,N575)=0,"",INDEX(Listado!N:N,N575)),IF(INDEX(Listado!I:I,N575)=0,"",INDEX(Listado!I:I,N575)))),"")</f>
        <v/>
      </c>
      <c r="P575" s="17">
        <f t="shared" ca="1" si="25"/>
        <v/>
      </c>
      <c r="Q575" s="17">
        <f>IFERROR(IF(AND(N575&lt;&gt;"",ISNUMBER(O575),O575&gt;0,O575&gt;=TODAY()-90),1,0),0)</f>
        <v/>
      </c>
      <c r="R575" s="17" t="str">
        <f t="shared" si="27"/>
        <v/>
      </c>
      <c r="S575" s="17" t="str">
        <f>IF(INDEX(Listado!A:A,ROW())="","",INDEX(Listado!A:A,ROW()))</f>
        <v/>
      </c>
      <c r="T575" s="17" t="str">
        <f ca="1">IF(INDEX(Listado!G:G,ROW())="","",INDEX(Listado!G:G,ROW()))</f>
        <v/>
      </c>
      <c r="U575" s="17" t="str">
        <f>IF(INDEX(Listado!F:F,ROW())="","",INDEX(Listado!F:F,ROW()))</f>
        <v/>
      </c>
      <c r="V575" s="17">
        <f>IF(COUNTA(INDEX(Listado!B:B,ROW()):INDEX(Listado!F:F,ROW()))&gt;0,1,0)</f>
        <v/>
      </c>
      <c r="W575" s="17" t="str">
        <f>IF(INDEX(Listado!L:L,ROW())="","",INDEX(Listado!L:L,ROW()))</f>
        <v/>
      </c>
      <c r="X575" s="17">
        <f>IF(N575="","",IF(INDEX(Listado!$M:$M,N575)="No","No","Sí"))</f>
        <v/>
      </c>
    </row>
    <row r="576" spans="2:24" ht="14.25">
      <c r="N576" s="17" t="str">
        <f>IF(V576=0,"",IFERROR(LOOKUP(2,1/(INDEX(Listado!A:A,2):INDEX(Listado!A:A,ROW())&lt;&gt;""),ROW(INDEX(Listado!A:A,2):INDEX(Listado!A:A,ROW()))),""))</f>
        <v/>
      </c>
      <c r="O576" s="17" t="str">
        <f>IFERROR(IF(N576="","",IF(INDEX(Listado!M:M,N576)="No",IF(INDEX(Listado!N:N,N576)=0,"",INDEX(Listado!N:N,N576)),IF(INDEX(Listado!I:I,N576)=0,"",INDEX(Listado!I:I,N576)))),"")</f>
        <v/>
      </c>
      <c r="P576" s="17">
        <f t="shared" ca="1" si="25"/>
        <v/>
      </c>
      <c r="Q576" s="17">
        <f>IFERROR(IF(AND(N576&lt;&gt;"",ISNUMBER(O576),O576&gt;0,O576&gt;=TODAY()-90),1,0),0)</f>
        <v/>
      </c>
      <c r="R576" s="17" t="str">
        <f t="shared" si="27"/>
        <v/>
      </c>
      <c r="S576" s="17" t="str">
        <f>IF(INDEX(Listado!A:A,ROW())="","",INDEX(Listado!A:A,ROW()))</f>
        <v/>
      </c>
      <c r="T576" s="17" t="str">
        <f ca="1">IF(INDEX(Listado!G:G,ROW())="","",INDEX(Listado!G:G,ROW()))</f>
        <v/>
      </c>
      <c r="U576" s="17" t="str">
        <f>IF(INDEX(Listado!F:F,ROW())="","",INDEX(Listado!F:F,ROW()))</f>
        <v/>
      </c>
      <c r="V576" s="17">
        <f>IF(COUNTA(INDEX(Listado!B:B,ROW()):INDEX(Listado!F:F,ROW()))&gt;0,1,0)</f>
        <v/>
      </c>
      <c r="W576" s="17" t="str">
        <f>IF(INDEX(Listado!L:L,ROW())="","",INDEX(Listado!L:L,ROW()))</f>
        <v/>
      </c>
      <c r="X576" s="17">
        <f>IF(N576="","",IF(INDEX(Listado!$M:$M,N576)="No","No","Sí"))</f>
        <v/>
      </c>
    </row>
    <row r="577" spans="2:24" ht="14.25">
      <c r="N577" s="17" t="str">
        <f>IF(V577=0,"",IFERROR(LOOKUP(2,1/(INDEX(Listado!A:A,2):INDEX(Listado!A:A,ROW())&lt;&gt;""),ROW(INDEX(Listado!A:A,2):INDEX(Listado!A:A,ROW()))),""))</f>
        <v/>
      </c>
      <c r="O577" s="17" t="str">
        <f>IFERROR(IF(N577="","",IF(INDEX(Listado!M:M,N577)="No",IF(INDEX(Listado!N:N,N577)=0,"",INDEX(Listado!N:N,N577)),IF(INDEX(Listado!I:I,N577)=0,"",INDEX(Listado!I:I,N577)))),"")</f>
        <v/>
      </c>
      <c r="P577" s="17">
        <f t="shared" ca="1" si="25"/>
        <v/>
      </c>
      <c r="Q577" s="17">
        <f>IFERROR(IF(AND(N577&lt;&gt;"",ISNUMBER(O577),O577&gt;0,O577&gt;=TODAY()-90),1,0),0)</f>
        <v/>
      </c>
      <c r="R577" s="17" t="str">
        <f t="shared" si="27"/>
        <v/>
      </c>
      <c r="S577" s="17" t="str">
        <f>IF(INDEX(Listado!A:A,ROW())="","",INDEX(Listado!A:A,ROW()))</f>
        <v/>
      </c>
      <c r="T577" s="17" t="str">
        <f ca="1">IF(INDEX(Listado!G:G,ROW())="","",INDEX(Listado!G:G,ROW()))</f>
        <v/>
      </c>
      <c r="U577" s="17" t="str">
        <f>IF(INDEX(Listado!F:F,ROW())="","",INDEX(Listado!F:F,ROW()))</f>
        <v/>
      </c>
      <c r="V577" s="17">
        <f>IF(COUNTA(INDEX(Listado!B:B,ROW()):INDEX(Listado!F:F,ROW()))&gt;0,1,0)</f>
        <v/>
      </c>
      <c r="W577" s="17" t="str">
        <f>IF(INDEX(Listado!L:L,ROW())="","",INDEX(Listado!L:L,ROW()))</f>
        <v/>
      </c>
      <c r="X577" s="17">
        <f>IF(N577="","",IF(INDEX(Listado!$M:$M,N577)="No","No","Sí"))</f>
        <v/>
      </c>
    </row>
    <row r="578" spans="2:24" ht="14.25">
      <c r="N578" s="17" t="str">
        <f>IF(V578=0,"",IFERROR(LOOKUP(2,1/(INDEX(Listado!A:A,2):INDEX(Listado!A:A,ROW())&lt;&gt;""),ROW(INDEX(Listado!A:A,2):INDEX(Listado!A:A,ROW()))),""))</f>
        <v/>
      </c>
      <c r="O578" s="17" t="str">
        <f>IFERROR(IF(N578="","",IF(INDEX(Listado!M:M,N578)="No",IF(INDEX(Listado!N:N,N578)=0,"",INDEX(Listado!N:N,N578)),IF(INDEX(Listado!I:I,N578)=0,"",INDEX(Listado!I:I,N578)))),"")</f>
        <v/>
      </c>
      <c r="P578" s="17">
        <f t="shared" ref="P578:P641" ca="1" si="28">IF(W578="",0,IFERROR(IF(AND(ISNUMBER(W578),W578=INT(W578),ISNUMBER(O578),O578&gt;0,W578&gt;=TODAY(),W578&lt;=O578+90),0,1),1))</f>
        <v/>
      </c>
      <c r="Q578" s="17">
        <f>IFERROR(IF(AND(N578&lt;&gt;"",ISNUMBER(O578),O578&gt;0,O578&gt;=TODAY()-90),1,0),0)</f>
        <v/>
      </c>
      <c r="R578" s="17" t="str">
        <f t="shared" ref="R578:R641" si="30">IF(S578="","",COUNTIFS($N$2:$N$2999,ROW(),$Q$2:$Q$2999,1))</f>
        <v/>
      </c>
      <c r="S578" s="17" t="str">
        <f>IF(INDEX(Listado!A:A,ROW())="","",INDEX(Listado!A:A,ROW()))</f>
        <v/>
      </c>
      <c r="T578" s="17" t="str">
        <f ca="1">IF(INDEX(Listado!G:G,ROW())="","",INDEX(Listado!G:G,ROW()))</f>
        <v/>
      </c>
      <c r="U578" s="17" t="str">
        <f>IF(INDEX(Listado!F:F,ROW())="","",INDEX(Listado!F:F,ROW()))</f>
        <v/>
      </c>
      <c r="V578" s="17">
        <f>IF(COUNTA(INDEX(Listado!B:B,ROW()):INDEX(Listado!F:F,ROW()))&gt;0,1,0)</f>
        <v/>
      </c>
      <c r="W578" s="17" t="str">
        <f>IF(INDEX(Listado!L:L,ROW())="","",INDEX(Listado!L:L,ROW()))</f>
        <v/>
      </c>
      <c r="X578" s="17">
        <f>IF(N578="","",IF(INDEX(Listado!$M:$M,N578)="No","No","Sí"))</f>
        <v/>
      </c>
    </row>
    <row r="579" spans="2:24" ht="14.25">
      <c r="N579" s="17" t="str">
        <f>IF(V579=0,"",IFERROR(LOOKUP(2,1/(INDEX(Listado!A:A,2):INDEX(Listado!A:A,ROW())&lt;&gt;""),ROW(INDEX(Listado!A:A,2):INDEX(Listado!A:A,ROW()))),""))</f>
        <v/>
      </c>
      <c r="O579" s="17" t="str">
        <f>IFERROR(IF(N579="","",IF(INDEX(Listado!M:M,N579)="No",IF(INDEX(Listado!N:N,N579)=0,"",INDEX(Listado!N:N,N579)),IF(INDEX(Listado!I:I,N579)=0,"",INDEX(Listado!I:I,N579)))),"")</f>
        <v/>
      </c>
      <c r="P579" s="17">
        <f t="shared" ca="1" si="28"/>
        <v/>
      </c>
      <c r="Q579" s="17">
        <f>IFERROR(IF(AND(N579&lt;&gt;"",ISNUMBER(O579),O579&gt;0,O579&gt;=TODAY()-90),1,0),0)</f>
        <v/>
      </c>
      <c r="R579" s="17" t="str">
        <f t="shared" si="30"/>
        <v/>
      </c>
      <c r="S579" s="17" t="str">
        <f>IF(INDEX(Listado!A:A,ROW())="","",INDEX(Listado!A:A,ROW()))</f>
        <v/>
      </c>
      <c r="T579" s="17" t="str">
        <f ca="1">IF(INDEX(Listado!G:G,ROW())="","",INDEX(Listado!G:G,ROW()))</f>
        <v/>
      </c>
      <c r="U579" s="17" t="str">
        <f>IF(INDEX(Listado!F:F,ROW())="","",INDEX(Listado!F:F,ROW()))</f>
        <v/>
      </c>
      <c r="V579" s="17">
        <f>IF(COUNTA(INDEX(Listado!B:B,ROW()):INDEX(Listado!F:F,ROW()))&gt;0,1,0)</f>
        <v/>
      </c>
      <c r="W579" s="17" t="str">
        <f>IF(INDEX(Listado!L:L,ROW())="","",INDEX(Listado!L:L,ROW()))</f>
        <v/>
      </c>
      <c r="X579" s="17">
        <f>IF(N579="","",IF(INDEX(Listado!$M:$M,N579)="No","No","Sí"))</f>
        <v/>
      </c>
    </row>
    <row r="580" spans="2:24" ht="14.25">
      <c r="N580" s="17" t="str">
        <f>IF(V580=0,"",IFERROR(LOOKUP(2,1/(INDEX(Listado!A:A,2):INDEX(Listado!A:A,ROW())&lt;&gt;""),ROW(INDEX(Listado!A:A,2):INDEX(Listado!A:A,ROW()))),""))</f>
        <v/>
      </c>
      <c r="O580" s="17" t="str">
        <f>IFERROR(IF(N580="","",IF(INDEX(Listado!M:M,N580)="No",IF(INDEX(Listado!N:N,N580)=0,"",INDEX(Listado!N:N,N580)),IF(INDEX(Listado!I:I,N580)=0,"",INDEX(Listado!I:I,N580)))),"")</f>
        <v/>
      </c>
      <c r="P580" s="17">
        <f t="shared" ca="1" si="28"/>
        <v/>
      </c>
      <c r="Q580" s="17">
        <f>IFERROR(IF(AND(N580&lt;&gt;"",ISNUMBER(O580),O580&gt;0,O580&gt;=TODAY()-90),1,0),0)</f>
        <v/>
      </c>
      <c r="R580" s="17" t="str">
        <f t="shared" si="30"/>
        <v/>
      </c>
      <c r="S580" s="17" t="str">
        <f>IF(INDEX(Listado!A:A,ROW())="","",INDEX(Listado!A:A,ROW()))</f>
        <v/>
      </c>
      <c r="T580" s="17" t="str">
        <f ca="1">IF(INDEX(Listado!G:G,ROW())="","",INDEX(Listado!G:G,ROW()))</f>
        <v/>
      </c>
      <c r="U580" s="17" t="str">
        <f>IF(INDEX(Listado!F:F,ROW())="","",INDEX(Listado!F:F,ROW()))</f>
        <v/>
      </c>
      <c r="V580" s="17">
        <f>IF(COUNTA(INDEX(Listado!B:B,ROW()):INDEX(Listado!F:F,ROW()))&gt;0,1,0)</f>
        <v/>
      </c>
      <c r="W580" s="17" t="str">
        <f>IF(INDEX(Listado!L:L,ROW())="","",INDEX(Listado!L:L,ROW()))</f>
        <v/>
      </c>
      <c r="X580" s="17">
        <f>IF(N580="","",IF(INDEX(Listado!$M:$M,N580)="No","No","Sí"))</f>
        <v/>
      </c>
    </row>
    <row r="581" spans="2:24" ht="14.25">
      <c r="N581" s="17" t="str">
        <f>IF(V581=0,"",IFERROR(LOOKUP(2,1/(INDEX(Listado!A:A,2):INDEX(Listado!A:A,ROW())&lt;&gt;""),ROW(INDEX(Listado!A:A,2):INDEX(Listado!A:A,ROW()))),""))</f>
        <v/>
      </c>
      <c r="O581" s="17" t="str">
        <f>IFERROR(IF(N581="","",IF(INDEX(Listado!M:M,N581)="No",IF(INDEX(Listado!N:N,N581)=0,"",INDEX(Listado!N:N,N581)),IF(INDEX(Listado!I:I,N581)=0,"",INDEX(Listado!I:I,N581)))),"")</f>
        <v/>
      </c>
      <c r="P581" s="17">
        <f t="shared" ca="1" si="28"/>
        <v/>
      </c>
      <c r="Q581" s="17">
        <f>IFERROR(IF(AND(N581&lt;&gt;"",ISNUMBER(O581),O581&gt;0,O581&gt;=TODAY()-90),1,0),0)</f>
        <v/>
      </c>
      <c r="R581" s="17" t="str">
        <f t="shared" si="30"/>
        <v/>
      </c>
      <c r="S581" s="17" t="str">
        <f>IF(INDEX(Listado!A:A,ROW())="","",INDEX(Listado!A:A,ROW()))</f>
        <v/>
      </c>
      <c r="T581" s="17" t="str">
        <f ca="1">IF(INDEX(Listado!G:G,ROW())="","",INDEX(Listado!G:G,ROW()))</f>
        <v/>
      </c>
      <c r="U581" s="17" t="str">
        <f>IF(INDEX(Listado!F:F,ROW())="","",INDEX(Listado!F:F,ROW()))</f>
        <v/>
      </c>
      <c r="V581" s="17">
        <f>IF(COUNTA(INDEX(Listado!B:B,ROW()):INDEX(Listado!F:F,ROW()))&gt;0,1,0)</f>
        <v/>
      </c>
      <c r="W581" s="17" t="str">
        <f>IF(INDEX(Listado!L:L,ROW())="","",INDEX(Listado!L:L,ROW()))</f>
        <v/>
      </c>
      <c r="X581" s="17">
        <f>IF(N581="","",IF(INDEX(Listado!$M:$M,N581)="No","No","Sí"))</f>
        <v/>
      </c>
    </row>
    <row r="582" spans="2:24" ht="14.25">
      <c r="N582" s="17" t="str">
        <f>IF(V582=0,"",IFERROR(LOOKUP(2,1/(INDEX(Listado!A:A,2):INDEX(Listado!A:A,ROW())&lt;&gt;""),ROW(INDEX(Listado!A:A,2):INDEX(Listado!A:A,ROW()))),""))</f>
        <v/>
      </c>
      <c r="O582" s="17" t="str">
        <f>IFERROR(IF(N582="","",IF(INDEX(Listado!M:M,N582)="No",IF(INDEX(Listado!N:N,N582)=0,"",INDEX(Listado!N:N,N582)),IF(INDEX(Listado!I:I,N582)=0,"",INDEX(Listado!I:I,N582)))),"")</f>
        <v/>
      </c>
      <c r="P582" s="17">
        <f t="shared" ca="1" si="28"/>
        <v/>
      </c>
      <c r="Q582" s="17">
        <f>IFERROR(IF(AND(N582&lt;&gt;"",ISNUMBER(O582),O582&gt;0,O582&gt;=TODAY()-90),1,0),0)</f>
        <v/>
      </c>
      <c r="R582" s="17" t="str">
        <f t="shared" si="30"/>
        <v/>
      </c>
      <c r="S582" s="17" t="str">
        <f>IF(INDEX(Listado!A:A,ROW())="","",INDEX(Listado!A:A,ROW()))</f>
        <v/>
      </c>
      <c r="T582" s="17" t="str">
        <f ca="1">IF(INDEX(Listado!G:G,ROW())="","",INDEX(Listado!G:G,ROW()))</f>
        <v/>
      </c>
      <c r="U582" s="17" t="str">
        <f>IF(INDEX(Listado!F:F,ROW())="","",INDEX(Listado!F:F,ROW()))</f>
        <v/>
      </c>
      <c r="V582" s="17">
        <f>IF(COUNTA(INDEX(Listado!B:B,ROW()):INDEX(Listado!F:F,ROW()))&gt;0,1,0)</f>
        <v/>
      </c>
      <c r="W582" s="17" t="str">
        <f>IF(INDEX(Listado!L:L,ROW())="","",INDEX(Listado!L:L,ROW()))</f>
        <v/>
      </c>
      <c r="X582" s="17">
        <f>IF(N582="","",IF(INDEX(Listado!$M:$M,N582)="No","No","Sí"))</f>
        <v/>
      </c>
    </row>
    <row r="583" spans="2:24" ht="14.25">
      <c r="N583" s="17" t="str">
        <f>IF(V583=0,"",IFERROR(LOOKUP(2,1/(INDEX(Listado!A:A,2):INDEX(Listado!A:A,ROW())&lt;&gt;""),ROW(INDEX(Listado!A:A,2):INDEX(Listado!A:A,ROW()))),""))</f>
        <v/>
      </c>
      <c r="O583" s="17" t="str">
        <f>IFERROR(IF(N583="","",IF(INDEX(Listado!M:M,N583)="No",IF(INDEX(Listado!N:N,N583)=0,"",INDEX(Listado!N:N,N583)),IF(INDEX(Listado!I:I,N583)=0,"",INDEX(Listado!I:I,N583)))),"")</f>
        <v/>
      </c>
      <c r="P583" s="17">
        <f t="shared" ca="1" si="28"/>
        <v/>
      </c>
      <c r="Q583" s="17">
        <f>IFERROR(IF(AND(N583&lt;&gt;"",ISNUMBER(O583),O583&gt;0,O583&gt;=TODAY()-90),1,0),0)</f>
        <v/>
      </c>
      <c r="R583" s="17" t="str">
        <f t="shared" si="30"/>
        <v/>
      </c>
      <c r="S583" s="17" t="str">
        <f>IF(INDEX(Listado!A:A,ROW())="","",INDEX(Listado!A:A,ROW()))</f>
        <v/>
      </c>
      <c r="T583" s="17" t="str">
        <f ca="1">IF(INDEX(Listado!G:G,ROW())="","",INDEX(Listado!G:G,ROW()))</f>
        <v/>
      </c>
      <c r="U583" s="17" t="str">
        <f>IF(INDEX(Listado!F:F,ROW())="","",INDEX(Listado!F:F,ROW()))</f>
        <v/>
      </c>
      <c r="V583" s="17">
        <f>IF(COUNTA(INDEX(Listado!B:B,ROW()):INDEX(Listado!F:F,ROW()))&gt;0,1,0)</f>
        <v/>
      </c>
      <c r="W583" s="17" t="str">
        <f>IF(INDEX(Listado!L:L,ROW())="","",INDEX(Listado!L:L,ROW()))</f>
        <v/>
      </c>
      <c r="X583" s="17">
        <f>IF(N583="","",IF(INDEX(Listado!$M:$M,N583)="No","No","Sí"))</f>
        <v/>
      </c>
    </row>
    <row r="584" spans="2:24" ht="14.25">
      <c r="N584" s="17" t="str">
        <f>IF(V584=0,"",IFERROR(LOOKUP(2,1/(INDEX(Listado!A:A,2):INDEX(Listado!A:A,ROW())&lt;&gt;""),ROW(INDEX(Listado!A:A,2):INDEX(Listado!A:A,ROW()))),""))</f>
        <v/>
      </c>
      <c r="O584" s="17" t="str">
        <f>IFERROR(IF(N584="","",IF(INDEX(Listado!M:M,N584)="No",IF(INDEX(Listado!N:N,N584)=0,"",INDEX(Listado!N:N,N584)),IF(INDEX(Listado!I:I,N584)=0,"",INDEX(Listado!I:I,N584)))),"")</f>
        <v/>
      </c>
      <c r="P584" s="17">
        <f t="shared" ca="1" si="28"/>
        <v/>
      </c>
      <c r="Q584" s="17">
        <f>IFERROR(IF(AND(N584&lt;&gt;"",ISNUMBER(O584),O584&gt;0,O584&gt;=TODAY()-90),1,0),0)</f>
        <v/>
      </c>
      <c r="R584" s="17" t="str">
        <f t="shared" si="30"/>
        <v/>
      </c>
      <c r="S584" s="17" t="str">
        <f>IF(INDEX(Listado!A:A,ROW())="","",INDEX(Listado!A:A,ROW()))</f>
        <v/>
      </c>
      <c r="T584" s="17" t="str">
        <f ca="1">IF(INDEX(Listado!G:G,ROW())="","",INDEX(Listado!G:G,ROW()))</f>
        <v/>
      </c>
      <c r="U584" s="17" t="str">
        <f>IF(INDEX(Listado!F:F,ROW())="","",INDEX(Listado!F:F,ROW()))</f>
        <v/>
      </c>
      <c r="V584" s="17">
        <f>IF(COUNTA(INDEX(Listado!B:B,ROW()):INDEX(Listado!F:F,ROW()))&gt;0,1,0)</f>
        <v/>
      </c>
      <c r="W584" s="17" t="str">
        <f>IF(INDEX(Listado!L:L,ROW())="","",INDEX(Listado!L:L,ROW()))</f>
        <v/>
      </c>
      <c r="X584" s="17">
        <f>IF(N584="","",IF(INDEX(Listado!$M:$M,N584)="No","No","Sí"))</f>
        <v/>
      </c>
    </row>
    <row r="585" spans="2:24" ht="14.25">
      <c r="N585" s="17" t="str">
        <f>IF(V585=0,"",IFERROR(LOOKUP(2,1/(INDEX(Listado!A:A,2):INDEX(Listado!A:A,ROW())&lt;&gt;""),ROW(INDEX(Listado!A:A,2):INDEX(Listado!A:A,ROW()))),""))</f>
        <v/>
      </c>
      <c r="O585" s="17" t="str">
        <f>IFERROR(IF(N585="","",IF(INDEX(Listado!M:M,N585)="No",IF(INDEX(Listado!N:N,N585)=0,"",INDEX(Listado!N:N,N585)),IF(INDEX(Listado!I:I,N585)=0,"",INDEX(Listado!I:I,N585)))),"")</f>
        <v/>
      </c>
      <c r="P585" s="17">
        <f t="shared" ca="1" si="28"/>
        <v/>
      </c>
      <c r="Q585" s="17">
        <f>IFERROR(IF(AND(N585&lt;&gt;"",ISNUMBER(O585),O585&gt;0,O585&gt;=TODAY()-90),1,0),0)</f>
        <v/>
      </c>
      <c r="R585" s="17" t="str">
        <f t="shared" si="30"/>
        <v/>
      </c>
      <c r="S585" s="17" t="str">
        <f>IF(INDEX(Listado!A:A,ROW())="","",INDEX(Listado!A:A,ROW()))</f>
        <v/>
      </c>
      <c r="T585" s="17" t="str">
        <f ca="1">IF(INDEX(Listado!G:G,ROW())="","",INDEX(Listado!G:G,ROW()))</f>
        <v/>
      </c>
      <c r="U585" s="17" t="str">
        <f>IF(INDEX(Listado!F:F,ROW())="","",INDEX(Listado!F:F,ROW()))</f>
        <v/>
      </c>
      <c r="V585" s="17">
        <f>IF(COUNTA(INDEX(Listado!B:B,ROW()):INDEX(Listado!F:F,ROW()))&gt;0,1,0)</f>
        <v/>
      </c>
      <c r="W585" s="17" t="str">
        <f>IF(INDEX(Listado!L:L,ROW())="","",INDEX(Listado!L:L,ROW()))</f>
        <v/>
      </c>
      <c r="X585" s="17">
        <f>IF(N585="","",IF(INDEX(Listado!$M:$M,N585)="No","No","Sí"))</f>
        <v/>
      </c>
    </row>
    <row r="586" spans="2:24" ht="14.25">
      <c r="N586" s="17" t="str">
        <f>IF(V586=0,"",IFERROR(LOOKUP(2,1/(INDEX(Listado!A:A,2):INDEX(Listado!A:A,ROW())&lt;&gt;""),ROW(INDEX(Listado!A:A,2):INDEX(Listado!A:A,ROW()))),""))</f>
        <v/>
      </c>
      <c r="O586" s="17" t="str">
        <f>IFERROR(IF(N586="","",IF(INDEX(Listado!M:M,N586)="No",IF(INDEX(Listado!N:N,N586)=0,"",INDEX(Listado!N:N,N586)),IF(INDEX(Listado!I:I,N586)=0,"",INDEX(Listado!I:I,N586)))),"")</f>
        <v/>
      </c>
      <c r="P586" s="17">
        <f t="shared" ca="1" si="28"/>
        <v/>
      </c>
      <c r="Q586" s="17">
        <f>IFERROR(IF(AND(N586&lt;&gt;"",ISNUMBER(O586),O586&gt;0,O586&gt;=TODAY()-90),1,0),0)</f>
        <v/>
      </c>
      <c r="R586" s="17" t="str">
        <f t="shared" si="30"/>
        <v/>
      </c>
      <c r="S586" s="17" t="str">
        <f>IF(INDEX(Listado!A:A,ROW())="","",INDEX(Listado!A:A,ROW()))</f>
        <v/>
      </c>
      <c r="T586" s="17" t="str">
        <f ca="1">IF(INDEX(Listado!G:G,ROW())="","",INDEX(Listado!G:G,ROW()))</f>
        <v/>
      </c>
      <c r="U586" s="17" t="str">
        <f>IF(INDEX(Listado!F:F,ROW())="","",INDEX(Listado!F:F,ROW()))</f>
        <v/>
      </c>
      <c r="V586" s="17">
        <f>IF(COUNTA(INDEX(Listado!B:B,ROW()):INDEX(Listado!F:F,ROW()))&gt;0,1,0)</f>
        <v/>
      </c>
      <c r="W586" s="17" t="str">
        <f>IF(INDEX(Listado!L:L,ROW())="","",INDEX(Listado!L:L,ROW()))</f>
        <v/>
      </c>
      <c r="X586" s="17">
        <f>IF(N586="","",IF(INDEX(Listado!$M:$M,N586)="No","No","Sí"))</f>
        <v/>
      </c>
    </row>
    <row r="587" spans="2:24" ht="14.25">
      <c r="N587" s="17" t="str">
        <f>IF(V587=0,"",IFERROR(LOOKUP(2,1/(INDEX(Listado!A:A,2):INDEX(Listado!A:A,ROW())&lt;&gt;""),ROW(INDEX(Listado!A:A,2):INDEX(Listado!A:A,ROW()))),""))</f>
        <v/>
      </c>
      <c r="O587" s="17" t="str">
        <f>IFERROR(IF(N587="","",IF(INDEX(Listado!M:M,N587)="No",IF(INDEX(Listado!N:N,N587)=0,"",INDEX(Listado!N:N,N587)),IF(INDEX(Listado!I:I,N587)=0,"",INDEX(Listado!I:I,N587)))),"")</f>
        <v/>
      </c>
      <c r="P587" s="17">
        <f t="shared" ca="1" si="28"/>
        <v/>
      </c>
      <c r="Q587" s="17">
        <f>IFERROR(IF(AND(N587&lt;&gt;"",ISNUMBER(O587),O587&gt;0,O587&gt;=TODAY()-90),1,0),0)</f>
        <v/>
      </c>
      <c r="R587" s="17" t="str">
        <f t="shared" si="30"/>
        <v/>
      </c>
      <c r="S587" s="17" t="str">
        <f>IF(INDEX(Listado!A:A,ROW())="","",INDEX(Listado!A:A,ROW()))</f>
        <v/>
      </c>
      <c r="T587" s="17" t="str">
        <f ca="1">IF(INDEX(Listado!G:G,ROW())="","",INDEX(Listado!G:G,ROW()))</f>
        <v/>
      </c>
      <c r="U587" s="17" t="str">
        <f>IF(INDEX(Listado!F:F,ROW())="","",INDEX(Listado!F:F,ROW()))</f>
        <v/>
      </c>
      <c r="V587" s="17">
        <f>IF(COUNTA(INDEX(Listado!B:B,ROW()):INDEX(Listado!F:F,ROW()))&gt;0,1,0)</f>
        <v/>
      </c>
      <c r="W587" s="17" t="str">
        <f>IF(INDEX(Listado!L:L,ROW())="","",INDEX(Listado!L:L,ROW()))</f>
        <v/>
      </c>
      <c r="X587" s="17">
        <f>IF(N587="","",IF(INDEX(Listado!$M:$M,N587)="No","No","Sí"))</f>
        <v/>
      </c>
    </row>
    <row r="588" spans="2:24" ht="14.25">
      <c r="N588" s="17" t="str">
        <f>IF(V588=0,"",IFERROR(LOOKUP(2,1/(INDEX(Listado!A:A,2):INDEX(Listado!A:A,ROW())&lt;&gt;""),ROW(INDEX(Listado!A:A,2):INDEX(Listado!A:A,ROW()))),""))</f>
        <v/>
      </c>
      <c r="O588" s="17" t="str">
        <f>IFERROR(IF(N588="","",IF(INDEX(Listado!M:M,N588)="No",IF(INDEX(Listado!N:N,N588)=0,"",INDEX(Listado!N:N,N588)),IF(INDEX(Listado!I:I,N588)=0,"",INDEX(Listado!I:I,N588)))),"")</f>
        <v/>
      </c>
      <c r="P588" s="17">
        <f t="shared" ca="1" si="28"/>
        <v/>
      </c>
      <c r="Q588" s="17">
        <f>IFERROR(IF(AND(N588&lt;&gt;"",ISNUMBER(O588),O588&gt;0,O588&gt;=TODAY()-90),1,0),0)</f>
        <v/>
      </c>
      <c r="R588" s="17" t="str">
        <f t="shared" si="30"/>
        <v/>
      </c>
      <c r="S588" s="17" t="str">
        <f>IF(INDEX(Listado!A:A,ROW())="","",INDEX(Listado!A:A,ROW()))</f>
        <v/>
      </c>
      <c r="T588" s="17" t="str">
        <f ca="1">IF(INDEX(Listado!G:G,ROW())="","",INDEX(Listado!G:G,ROW()))</f>
        <v/>
      </c>
      <c r="U588" s="17" t="str">
        <f>IF(INDEX(Listado!F:F,ROW())="","",INDEX(Listado!F:F,ROW()))</f>
        <v/>
      </c>
      <c r="V588" s="17">
        <f>IF(COUNTA(INDEX(Listado!B:B,ROW()):INDEX(Listado!F:F,ROW()))&gt;0,1,0)</f>
        <v/>
      </c>
      <c r="W588" s="17" t="str">
        <f>IF(INDEX(Listado!L:L,ROW())="","",INDEX(Listado!L:L,ROW()))</f>
        <v/>
      </c>
      <c r="X588" s="17">
        <f>IF(N588="","",IF(INDEX(Listado!$M:$M,N588)="No","No","Sí"))</f>
        <v/>
      </c>
    </row>
    <row r="589" spans="2:24" ht="14.25">
      <c r="N589" s="17" t="str">
        <f>IF(V589=0,"",IFERROR(LOOKUP(2,1/(INDEX(Listado!A:A,2):INDEX(Listado!A:A,ROW())&lt;&gt;""),ROW(INDEX(Listado!A:A,2):INDEX(Listado!A:A,ROW()))),""))</f>
        <v/>
      </c>
      <c r="O589" s="17" t="str">
        <f>IFERROR(IF(N589="","",IF(INDEX(Listado!M:M,N589)="No",IF(INDEX(Listado!N:N,N589)=0,"",INDEX(Listado!N:N,N589)),IF(INDEX(Listado!I:I,N589)=0,"",INDEX(Listado!I:I,N589)))),"")</f>
        <v/>
      </c>
      <c r="P589" s="17">
        <f t="shared" ca="1" si="28"/>
        <v/>
      </c>
      <c r="Q589" s="17">
        <f>IFERROR(IF(AND(N589&lt;&gt;"",ISNUMBER(O589),O589&gt;0,O589&gt;=TODAY()-90),1,0),0)</f>
        <v/>
      </c>
      <c r="R589" s="17" t="str">
        <f t="shared" si="30"/>
        <v/>
      </c>
      <c r="S589" s="17" t="str">
        <f>IF(INDEX(Listado!A:A,ROW())="","",INDEX(Listado!A:A,ROW()))</f>
        <v/>
      </c>
      <c r="T589" s="17" t="str">
        <f ca="1">IF(INDEX(Listado!G:G,ROW())="","",INDEX(Listado!G:G,ROW()))</f>
        <v/>
      </c>
      <c r="U589" s="17" t="str">
        <f>IF(INDEX(Listado!F:F,ROW())="","",INDEX(Listado!F:F,ROW()))</f>
        <v/>
      </c>
      <c r="V589" s="17">
        <f>IF(COUNTA(INDEX(Listado!B:B,ROW()):INDEX(Listado!F:F,ROW()))&gt;0,1,0)</f>
        <v/>
      </c>
      <c r="W589" s="17" t="str">
        <f>IF(INDEX(Listado!L:L,ROW())="","",INDEX(Listado!L:L,ROW()))</f>
        <v/>
      </c>
      <c r="X589" s="17">
        <f>IF(N589="","",IF(INDEX(Listado!$M:$M,N589)="No","No","Sí"))</f>
        <v/>
      </c>
    </row>
    <row r="590" spans="2:24" ht="14.25">
      <c r="N590" s="17" t="str">
        <f>IF(V590=0,"",IFERROR(LOOKUP(2,1/(INDEX(Listado!A:A,2):INDEX(Listado!A:A,ROW())&lt;&gt;""),ROW(INDEX(Listado!A:A,2):INDEX(Listado!A:A,ROW()))),""))</f>
        <v/>
      </c>
      <c r="O590" s="17" t="str">
        <f>IFERROR(IF(N590="","",IF(INDEX(Listado!M:M,N590)="No",IF(INDEX(Listado!N:N,N590)=0,"",INDEX(Listado!N:N,N590)),IF(INDEX(Listado!I:I,N590)=0,"",INDEX(Listado!I:I,N590)))),"")</f>
        <v/>
      </c>
      <c r="P590" s="17">
        <f t="shared" ca="1" si="28"/>
        <v/>
      </c>
      <c r="Q590" s="17">
        <f>IFERROR(IF(AND(N590&lt;&gt;"",ISNUMBER(O590),O590&gt;0,O590&gt;=TODAY()-90),1,0),0)</f>
        <v/>
      </c>
      <c r="R590" s="17" t="str">
        <f t="shared" si="30"/>
        <v/>
      </c>
      <c r="S590" s="17" t="str">
        <f>IF(INDEX(Listado!A:A,ROW())="","",INDEX(Listado!A:A,ROW()))</f>
        <v/>
      </c>
      <c r="T590" s="17" t="str">
        <f ca="1">IF(INDEX(Listado!G:G,ROW())="","",INDEX(Listado!G:G,ROW()))</f>
        <v/>
      </c>
      <c r="U590" s="17" t="str">
        <f>IF(INDEX(Listado!F:F,ROW())="","",INDEX(Listado!F:F,ROW()))</f>
        <v/>
      </c>
      <c r="V590" s="17">
        <f>IF(COUNTA(INDEX(Listado!B:B,ROW()):INDEX(Listado!F:F,ROW()))&gt;0,1,0)</f>
        <v/>
      </c>
      <c r="W590" s="17" t="str">
        <f>IF(INDEX(Listado!L:L,ROW())="","",INDEX(Listado!L:L,ROW()))</f>
        <v/>
      </c>
      <c r="X590" s="17">
        <f>IF(N590="","",IF(INDEX(Listado!$M:$M,N590)="No","No","Sí"))</f>
        <v/>
      </c>
    </row>
    <row r="591" spans="2:24" ht="14.25">
      <c r="N591" s="17" t="str">
        <f>IF(V591=0,"",IFERROR(LOOKUP(2,1/(INDEX(Listado!A:A,2):INDEX(Listado!A:A,ROW())&lt;&gt;""),ROW(INDEX(Listado!A:A,2):INDEX(Listado!A:A,ROW()))),""))</f>
        <v/>
      </c>
      <c r="O591" s="17" t="str">
        <f>IFERROR(IF(N591="","",IF(INDEX(Listado!M:M,N591)="No",IF(INDEX(Listado!N:N,N591)=0,"",INDEX(Listado!N:N,N591)),IF(INDEX(Listado!I:I,N591)=0,"",INDEX(Listado!I:I,N591)))),"")</f>
        <v/>
      </c>
      <c r="P591" s="17">
        <f t="shared" ca="1" si="28"/>
        <v/>
      </c>
      <c r="Q591" s="17">
        <f>IFERROR(IF(AND(N591&lt;&gt;"",ISNUMBER(O591),O591&gt;0,O591&gt;=TODAY()-90),1,0),0)</f>
        <v/>
      </c>
      <c r="R591" s="17" t="str">
        <f t="shared" si="30"/>
        <v/>
      </c>
      <c r="S591" s="17" t="str">
        <f>IF(INDEX(Listado!A:A,ROW())="","",INDEX(Listado!A:A,ROW()))</f>
        <v/>
      </c>
      <c r="T591" s="17" t="str">
        <f ca="1">IF(INDEX(Listado!G:G,ROW())="","",INDEX(Listado!G:G,ROW()))</f>
        <v/>
      </c>
      <c r="U591" s="17" t="str">
        <f>IF(INDEX(Listado!F:F,ROW())="","",INDEX(Listado!F:F,ROW()))</f>
        <v/>
      </c>
      <c r="V591" s="17">
        <f>IF(COUNTA(INDEX(Listado!B:B,ROW()):INDEX(Listado!F:F,ROW()))&gt;0,1,0)</f>
        <v/>
      </c>
      <c r="W591" s="17" t="str">
        <f>IF(INDEX(Listado!L:L,ROW())="","",INDEX(Listado!L:L,ROW()))</f>
        <v/>
      </c>
      <c r="X591" s="17">
        <f>IF(N591="","",IF(INDEX(Listado!$M:$M,N591)="No","No","Sí"))</f>
        <v/>
      </c>
    </row>
    <row r="592" spans="2:24" ht="14.25">
      <c r="N592" s="17" t="str">
        <f>IF(V592=0,"",IFERROR(LOOKUP(2,1/(INDEX(Listado!A:A,2):INDEX(Listado!A:A,ROW())&lt;&gt;""),ROW(INDEX(Listado!A:A,2):INDEX(Listado!A:A,ROW()))),""))</f>
        <v/>
      </c>
      <c r="O592" s="17" t="str">
        <f>IFERROR(IF(N592="","",IF(INDEX(Listado!M:M,N592)="No",IF(INDEX(Listado!N:N,N592)=0,"",INDEX(Listado!N:N,N592)),IF(INDEX(Listado!I:I,N592)=0,"",INDEX(Listado!I:I,N592)))),"")</f>
        <v/>
      </c>
      <c r="P592" s="17">
        <f t="shared" ca="1" si="28"/>
        <v/>
      </c>
      <c r="Q592" s="17">
        <f>IFERROR(IF(AND(N592&lt;&gt;"",ISNUMBER(O592),O592&gt;0,O592&gt;=TODAY()-90),1,0),0)</f>
        <v/>
      </c>
      <c r="R592" s="17" t="str">
        <f t="shared" si="30"/>
        <v/>
      </c>
      <c r="S592" s="17" t="str">
        <f>IF(INDEX(Listado!A:A,ROW())="","",INDEX(Listado!A:A,ROW()))</f>
        <v/>
      </c>
      <c r="T592" s="17" t="str">
        <f ca="1">IF(INDEX(Listado!G:G,ROW())="","",INDEX(Listado!G:G,ROW()))</f>
        <v/>
      </c>
      <c r="U592" s="17" t="str">
        <f>IF(INDEX(Listado!F:F,ROW())="","",INDEX(Listado!F:F,ROW()))</f>
        <v/>
      </c>
      <c r="V592" s="17">
        <f>IF(COUNTA(INDEX(Listado!B:B,ROW()):INDEX(Listado!F:F,ROW()))&gt;0,1,0)</f>
        <v/>
      </c>
      <c r="W592" s="17" t="str">
        <f>IF(INDEX(Listado!L:L,ROW())="","",INDEX(Listado!L:L,ROW()))</f>
        <v/>
      </c>
      <c r="X592" s="17">
        <f>IF(N592="","",IF(INDEX(Listado!$M:$M,N592)="No","No","Sí"))</f>
        <v/>
      </c>
    </row>
    <row r="593" spans="2:24" ht="14.25">
      <c r="N593" s="17" t="str">
        <f>IF(V593=0,"",IFERROR(LOOKUP(2,1/(INDEX(Listado!A:A,2):INDEX(Listado!A:A,ROW())&lt;&gt;""),ROW(INDEX(Listado!A:A,2):INDEX(Listado!A:A,ROW()))),""))</f>
        <v/>
      </c>
      <c r="O593" s="17" t="str">
        <f>IFERROR(IF(N593="","",IF(INDEX(Listado!M:M,N593)="No",IF(INDEX(Listado!N:N,N593)=0,"",INDEX(Listado!N:N,N593)),IF(INDEX(Listado!I:I,N593)=0,"",INDEX(Listado!I:I,N593)))),"")</f>
        <v/>
      </c>
      <c r="P593" s="17">
        <f t="shared" ca="1" si="28"/>
        <v/>
      </c>
      <c r="Q593" s="17">
        <f>IFERROR(IF(AND(N593&lt;&gt;"",ISNUMBER(O593),O593&gt;0,O593&gt;=TODAY()-90),1,0),0)</f>
        <v/>
      </c>
      <c r="R593" s="17" t="str">
        <f t="shared" si="30"/>
        <v/>
      </c>
      <c r="S593" s="17" t="str">
        <f>IF(INDEX(Listado!A:A,ROW())="","",INDEX(Listado!A:A,ROW()))</f>
        <v/>
      </c>
      <c r="T593" s="17" t="str">
        <f ca="1">IF(INDEX(Listado!G:G,ROW())="","",INDEX(Listado!G:G,ROW()))</f>
        <v/>
      </c>
      <c r="U593" s="17" t="str">
        <f>IF(INDEX(Listado!F:F,ROW())="","",INDEX(Listado!F:F,ROW()))</f>
        <v/>
      </c>
      <c r="V593" s="17">
        <f>IF(COUNTA(INDEX(Listado!B:B,ROW()):INDEX(Listado!F:F,ROW()))&gt;0,1,0)</f>
        <v/>
      </c>
      <c r="W593" s="17" t="str">
        <f>IF(INDEX(Listado!L:L,ROW())="","",INDEX(Listado!L:L,ROW()))</f>
        <v/>
      </c>
      <c r="X593" s="17">
        <f>IF(N593="","",IF(INDEX(Listado!$M:$M,N593)="No","No","Sí"))</f>
        <v/>
      </c>
    </row>
    <row r="594" spans="2:24" ht="14.25">
      <c r="N594" s="17" t="str">
        <f>IF(V594=0,"",IFERROR(LOOKUP(2,1/(INDEX(Listado!A:A,2):INDEX(Listado!A:A,ROW())&lt;&gt;""),ROW(INDEX(Listado!A:A,2):INDEX(Listado!A:A,ROW()))),""))</f>
        <v/>
      </c>
      <c r="O594" s="17" t="str">
        <f>IFERROR(IF(N594="","",IF(INDEX(Listado!M:M,N594)="No",IF(INDEX(Listado!N:N,N594)=0,"",INDEX(Listado!N:N,N594)),IF(INDEX(Listado!I:I,N594)=0,"",INDEX(Listado!I:I,N594)))),"")</f>
        <v/>
      </c>
      <c r="P594" s="17">
        <f t="shared" ca="1" si="28"/>
        <v/>
      </c>
      <c r="Q594" s="17">
        <f>IFERROR(IF(AND(N594&lt;&gt;"",ISNUMBER(O594),O594&gt;0,O594&gt;=TODAY()-90),1,0),0)</f>
        <v/>
      </c>
      <c r="R594" s="17" t="str">
        <f t="shared" si="30"/>
        <v/>
      </c>
      <c r="S594" s="17" t="str">
        <f>IF(INDEX(Listado!A:A,ROW())="","",INDEX(Listado!A:A,ROW()))</f>
        <v/>
      </c>
      <c r="T594" s="17" t="str">
        <f ca="1">IF(INDEX(Listado!G:G,ROW())="","",INDEX(Listado!G:G,ROW()))</f>
        <v/>
      </c>
      <c r="U594" s="17" t="str">
        <f>IF(INDEX(Listado!F:F,ROW())="","",INDEX(Listado!F:F,ROW()))</f>
        <v/>
      </c>
      <c r="V594" s="17">
        <f>IF(COUNTA(INDEX(Listado!B:B,ROW()):INDEX(Listado!F:F,ROW()))&gt;0,1,0)</f>
        <v/>
      </c>
      <c r="W594" s="17" t="str">
        <f>IF(INDEX(Listado!L:L,ROW())="","",INDEX(Listado!L:L,ROW()))</f>
        <v/>
      </c>
      <c r="X594" s="17">
        <f>IF(N594="","",IF(INDEX(Listado!$M:$M,N594)="No","No","Sí"))</f>
        <v/>
      </c>
    </row>
    <row r="595" spans="2:24" ht="14.25">
      <c r="N595" s="17" t="str">
        <f>IF(V595=0,"",IFERROR(LOOKUP(2,1/(INDEX(Listado!A:A,2):INDEX(Listado!A:A,ROW())&lt;&gt;""),ROW(INDEX(Listado!A:A,2):INDEX(Listado!A:A,ROW()))),""))</f>
        <v/>
      </c>
      <c r="O595" s="17" t="str">
        <f>IFERROR(IF(N595="","",IF(INDEX(Listado!M:M,N595)="No",IF(INDEX(Listado!N:N,N595)=0,"",INDEX(Listado!N:N,N595)),IF(INDEX(Listado!I:I,N595)=0,"",INDEX(Listado!I:I,N595)))),"")</f>
        <v/>
      </c>
      <c r="P595" s="17">
        <f t="shared" ca="1" si="28"/>
        <v/>
      </c>
      <c r="Q595" s="17">
        <f>IFERROR(IF(AND(N595&lt;&gt;"",ISNUMBER(O595),O595&gt;0,O595&gt;=TODAY()-90),1,0),0)</f>
        <v/>
      </c>
      <c r="R595" s="17" t="str">
        <f t="shared" si="30"/>
        <v/>
      </c>
      <c r="S595" s="17" t="str">
        <f>IF(INDEX(Listado!A:A,ROW())="","",INDEX(Listado!A:A,ROW()))</f>
        <v/>
      </c>
      <c r="T595" s="17" t="str">
        <f ca="1">IF(INDEX(Listado!G:G,ROW())="","",INDEX(Listado!G:G,ROW()))</f>
        <v/>
      </c>
      <c r="U595" s="17" t="str">
        <f>IF(INDEX(Listado!F:F,ROW())="","",INDEX(Listado!F:F,ROW()))</f>
        <v/>
      </c>
      <c r="V595" s="17">
        <f>IF(COUNTA(INDEX(Listado!B:B,ROW()):INDEX(Listado!F:F,ROW()))&gt;0,1,0)</f>
        <v/>
      </c>
      <c r="W595" s="17" t="str">
        <f>IF(INDEX(Listado!L:L,ROW())="","",INDEX(Listado!L:L,ROW()))</f>
        <v/>
      </c>
      <c r="X595" s="17">
        <f>IF(N595="","",IF(INDEX(Listado!$M:$M,N595)="No","No","Sí"))</f>
        <v/>
      </c>
    </row>
    <row r="596" spans="2:24" ht="14.25">
      <c r="N596" s="17" t="str">
        <f>IF(V596=0,"",IFERROR(LOOKUP(2,1/(INDEX(Listado!A:A,2):INDEX(Listado!A:A,ROW())&lt;&gt;""),ROW(INDEX(Listado!A:A,2):INDEX(Listado!A:A,ROW()))),""))</f>
        <v/>
      </c>
      <c r="O596" s="17" t="str">
        <f>IFERROR(IF(N596="","",IF(INDEX(Listado!M:M,N596)="No",IF(INDEX(Listado!N:N,N596)=0,"",INDEX(Listado!N:N,N596)),IF(INDEX(Listado!I:I,N596)=0,"",INDEX(Listado!I:I,N596)))),"")</f>
        <v/>
      </c>
      <c r="P596" s="17">
        <f t="shared" ca="1" si="28"/>
        <v/>
      </c>
      <c r="Q596" s="17">
        <f>IFERROR(IF(AND(N596&lt;&gt;"",ISNUMBER(O596),O596&gt;0,O596&gt;=TODAY()-90),1,0),0)</f>
        <v/>
      </c>
      <c r="R596" s="17" t="str">
        <f t="shared" si="30"/>
        <v/>
      </c>
      <c r="S596" s="17" t="str">
        <f>IF(INDEX(Listado!A:A,ROW())="","",INDEX(Listado!A:A,ROW()))</f>
        <v/>
      </c>
      <c r="T596" s="17" t="str">
        <f ca="1">IF(INDEX(Listado!G:G,ROW())="","",INDEX(Listado!G:G,ROW()))</f>
        <v/>
      </c>
      <c r="U596" s="17" t="str">
        <f>IF(INDEX(Listado!F:F,ROW())="","",INDEX(Listado!F:F,ROW()))</f>
        <v/>
      </c>
      <c r="V596" s="17">
        <f>IF(COUNTA(INDEX(Listado!B:B,ROW()):INDEX(Listado!F:F,ROW()))&gt;0,1,0)</f>
        <v/>
      </c>
      <c r="W596" s="17" t="str">
        <f>IF(INDEX(Listado!L:L,ROW())="","",INDEX(Listado!L:L,ROW()))</f>
        <v/>
      </c>
      <c r="X596" s="17">
        <f>IF(N596="","",IF(INDEX(Listado!$M:$M,N596)="No","No","Sí"))</f>
        <v/>
      </c>
    </row>
    <row r="597" spans="2:24" ht="14.25">
      <c r="N597" s="17" t="str">
        <f>IF(V597=0,"",IFERROR(LOOKUP(2,1/(INDEX(Listado!A:A,2):INDEX(Listado!A:A,ROW())&lt;&gt;""),ROW(INDEX(Listado!A:A,2):INDEX(Listado!A:A,ROW()))),""))</f>
        <v/>
      </c>
      <c r="O597" s="17" t="str">
        <f>IFERROR(IF(N597="","",IF(INDEX(Listado!M:M,N597)="No",IF(INDEX(Listado!N:N,N597)=0,"",INDEX(Listado!N:N,N597)),IF(INDEX(Listado!I:I,N597)=0,"",INDEX(Listado!I:I,N597)))),"")</f>
        <v/>
      </c>
      <c r="P597" s="17">
        <f t="shared" ca="1" si="28"/>
        <v/>
      </c>
      <c r="Q597" s="17">
        <f>IFERROR(IF(AND(N597&lt;&gt;"",ISNUMBER(O597),O597&gt;0,O597&gt;=TODAY()-90),1,0),0)</f>
        <v/>
      </c>
      <c r="R597" s="17" t="str">
        <f t="shared" si="30"/>
        <v/>
      </c>
      <c r="S597" s="17" t="str">
        <f>IF(INDEX(Listado!A:A,ROW())="","",INDEX(Listado!A:A,ROW()))</f>
        <v/>
      </c>
      <c r="T597" s="17" t="str">
        <f ca="1">IF(INDEX(Listado!G:G,ROW())="","",INDEX(Listado!G:G,ROW()))</f>
        <v/>
      </c>
      <c r="U597" s="17" t="str">
        <f>IF(INDEX(Listado!F:F,ROW())="","",INDEX(Listado!F:F,ROW()))</f>
        <v/>
      </c>
      <c r="V597" s="17">
        <f>IF(COUNTA(INDEX(Listado!B:B,ROW()):INDEX(Listado!F:F,ROW()))&gt;0,1,0)</f>
        <v/>
      </c>
      <c r="W597" s="17" t="str">
        <f>IF(INDEX(Listado!L:L,ROW())="","",INDEX(Listado!L:L,ROW()))</f>
        <v/>
      </c>
      <c r="X597" s="17">
        <f>IF(N597="","",IF(INDEX(Listado!$M:$M,N597)="No","No","Sí"))</f>
        <v/>
      </c>
    </row>
    <row r="598" spans="2:24" ht="14.25">
      <c r="N598" s="17" t="str">
        <f>IF(V598=0,"",IFERROR(LOOKUP(2,1/(INDEX(Listado!A:A,2):INDEX(Listado!A:A,ROW())&lt;&gt;""),ROW(INDEX(Listado!A:A,2):INDEX(Listado!A:A,ROW()))),""))</f>
        <v/>
      </c>
      <c r="O598" s="17" t="str">
        <f>IFERROR(IF(N598="","",IF(INDEX(Listado!M:M,N598)="No",IF(INDEX(Listado!N:N,N598)=0,"",INDEX(Listado!N:N,N598)),IF(INDEX(Listado!I:I,N598)=0,"",INDEX(Listado!I:I,N598)))),"")</f>
        <v/>
      </c>
      <c r="P598" s="17">
        <f t="shared" ca="1" si="28"/>
        <v/>
      </c>
      <c r="Q598" s="17">
        <f>IFERROR(IF(AND(N598&lt;&gt;"",ISNUMBER(O598),O598&gt;0,O598&gt;=TODAY()-90),1,0),0)</f>
        <v/>
      </c>
      <c r="R598" s="17" t="str">
        <f t="shared" si="30"/>
        <v/>
      </c>
      <c r="S598" s="17" t="str">
        <f>IF(INDEX(Listado!A:A,ROW())="","",INDEX(Listado!A:A,ROW()))</f>
        <v/>
      </c>
      <c r="T598" s="17" t="str">
        <f ca="1">IF(INDEX(Listado!G:G,ROW())="","",INDEX(Listado!G:G,ROW()))</f>
        <v/>
      </c>
      <c r="U598" s="17" t="str">
        <f>IF(INDEX(Listado!F:F,ROW())="","",INDEX(Listado!F:F,ROW()))</f>
        <v/>
      </c>
      <c r="V598" s="17">
        <f>IF(COUNTA(INDEX(Listado!B:B,ROW()):INDEX(Listado!F:F,ROW()))&gt;0,1,0)</f>
        <v/>
      </c>
      <c r="W598" s="17" t="str">
        <f>IF(INDEX(Listado!L:L,ROW())="","",INDEX(Listado!L:L,ROW()))</f>
        <v/>
      </c>
      <c r="X598" s="17">
        <f>IF(N598="","",IF(INDEX(Listado!$M:$M,N598)="No","No","Sí"))</f>
        <v/>
      </c>
    </row>
    <row r="599" spans="2:24" ht="14.25">
      <c r="N599" s="17" t="str">
        <f>IF(V599=0,"",IFERROR(LOOKUP(2,1/(INDEX(Listado!A:A,2):INDEX(Listado!A:A,ROW())&lt;&gt;""),ROW(INDEX(Listado!A:A,2):INDEX(Listado!A:A,ROW()))),""))</f>
        <v/>
      </c>
      <c r="O599" s="17" t="str">
        <f>IFERROR(IF(N599="","",IF(INDEX(Listado!M:M,N599)="No",IF(INDEX(Listado!N:N,N599)=0,"",INDEX(Listado!N:N,N599)),IF(INDEX(Listado!I:I,N599)=0,"",INDEX(Listado!I:I,N599)))),"")</f>
        <v/>
      </c>
      <c r="P599" s="17">
        <f t="shared" ca="1" si="28"/>
        <v/>
      </c>
      <c r="Q599" s="17">
        <f>IFERROR(IF(AND(N599&lt;&gt;"",ISNUMBER(O599),O599&gt;0,O599&gt;=TODAY()-90),1,0),0)</f>
        <v/>
      </c>
      <c r="R599" s="17" t="str">
        <f t="shared" si="30"/>
        <v/>
      </c>
      <c r="S599" s="17" t="str">
        <f>IF(INDEX(Listado!A:A,ROW())="","",INDEX(Listado!A:A,ROW()))</f>
        <v/>
      </c>
      <c r="T599" s="17" t="str">
        <f ca="1">IF(INDEX(Listado!G:G,ROW())="","",INDEX(Listado!G:G,ROW()))</f>
        <v/>
      </c>
      <c r="U599" s="17" t="str">
        <f>IF(INDEX(Listado!F:F,ROW())="","",INDEX(Listado!F:F,ROW()))</f>
        <v/>
      </c>
      <c r="V599" s="17">
        <f>IF(COUNTA(INDEX(Listado!B:B,ROW()):INDEX(Listado!F:F,ROW()))&gt;0,1,0)</f>
        <v/>
      </c>
      <c r="W599" s="17" t="str">
        <f>IF(INDEX(Listado!L:L,ROW())="","",INDEX(Listado!L:L,ROW()))</f>
        <v/>
      </c>
      <c r="X599" s="17">
        <f>IF(N599="","",IF(INDEX(Listado!$M:$M,N599)="No","No","Sí"))</f>
        <v/>
      </c>
    </row>
    <row r="600" spans="2:24" ht="14.25">
      <c r="N600" s="17" t="str">
        <f>IF(V600=0,"",IFERROR(LOOKUP(2,1/(INDEX(Listado!A:A,2):INDEX(Listado!A:A,ROW())&lt;&gt;""),ROW(INDEX(Listado!A:A,2):INDEX(Listado!A:A,ROW()))),""))</f>
        <v/>
      </c>
      <c r="O600" s="17" t="str">
        <f>IFERROR(IF(N600="","",IF(INDEX(Listado!M:M,N600)="No",IF(INDEX(Listado!N:N,N600)=0,"",INDEX(Listado!N:N,N600)),IF(INDEX(Listado!I:I,N600)=0,"",INDEX(Listado!I:I,N600)))),"")</f>
        <v/>
      </c>
      <c r="P600" s="17">
        <f t="shared" ca="1" si="28"/>
        <v/>
      </c>
      <c r="Q600" s="17">
        <f>IFERROR(IF(AND(N600&lt;&gt;"",ISNUMBER(O600),O600&gt;0,O600&gt;=TODAY()-90),1,0),0)</f>
        <v/>
      </c>
      <c r="R600" s="17" t="str">
        <f t="shared" si="30"/>
        <v/>
      </c>
      <c r="S600" s="17" t="str">
        <f>IF(INDEX(Listado!A:A,ROW())="","",INDEX(Listado!A:A,ROW()))</f>
        <v/>
      </c>
      <c r="T600" s="17" t="str">
        <f ca="1">IF(INDEX(Listado!G:G,ROW())="","",INDEX(Listado!G:G,ROW()))</f>
        <v/>
      </c>
      <c r="U600" s="17" t="str">
        <f>IF(INDEX(Listado!F:F,ROW())="","",INDEX(Listado!F:F,ROW()))</f>
        <v/>
      </c>
      <c r="V600" s="17">
        <f>IF(COUNTA(INDEX(Listado!B:B,ROW()):INDEX(Listado!F:F,ROW()))&gt;0,1,0)</f>
        <v/>
      </c>
      <c r="W600" s="17" t="str">
        <f>IF(INDEX(Listado!L:L,ROW())="","",INDEX(Listado!L:L,ROW()))</f>
        <v/>
      </c>
      <c r="X600" s="17">
        <f>IF(N600="","",IF(INDEX(Listado!$M:$M,N600)="No","No","Sí"))</f>
        <v/>
      </c>
    </row>
    <row r="601" spans="2:24" ht="14.25">
      <c r="N601" s="17" t="str">
        <f>IF(V601=0,"",IFERROR(LOOKUP(2,1/(INDEX(Listado!A:A,2):INDEX(Listado!A:A,ROW())&lt;&gt;""),ROW(INDEX(Listado!A:A,2):INDEX(Listado!A:A,ROW()))),""))</f>
        <v/>
      </c>
      <c r="O601" s="17" t="str">
        <f>IFERROR(IF(N601="","",IF(INDEX(Listado!M:M,N601)="No",IF(INDEX(Listado!N:N,N601)=0,"",INDEX(Listado!N:N,N601)),IF(INDEX(Listado!I:I,N601)=0,"",INDEX(Listado!I:I,N601)))),"")</f>
        <v/>
      </c>
      <c r="P601" s="17">
        <f t="shared" ca="1" si="28"/>
        <v/>
      </c>
      <c r="Q601" s="17">
        <f>IFERROR(IF(AND(N601&lt;&gt;"",ISNUMBER(O601),O601&gt;0,O601&gt;=TODAY()-90),1,0),0)</f>
        <v/>
      </c>
      <c r="R601" s="17" t="str">
        <f t="shared" si="30"/>
        <v/>
      </c>
      <c r="S601" s="17" t="str">
        <f>IF(INDEX(Listado!A:A,ROW())="","",INDEX(Listado!A:A,ROW()))</f>
        <v/>
      </c>
      <c r="T601" s="17" t="str">
        <f ca="1">IF(INDEX(Listado!G:G,ROW())="","",INDEX(Listado!G:G,ROW()))</f>
        <v/>
      </c>
      <c r="U601" s="17" t="str">
        <f>IF(INDEX(Listado!F:F,ROW())="","",INDEX(Listado!F:F,ROW()))</f>
        <v/>
      </c>
      <c r="V601" s="17">
        <f>IF(COUNTA(INDEX(Listado!B:B,ROW()):INDEX(Listado!F:F,ROW()))&gt;0,1,0)</f>
        <v/>
      </c>
      <c r="W601" s="17" t="str">
        <f>IF(INDEX(Listado!L:L,ROW())="","",INDEX(Listado!L:L,ROW()))</f>
        <v/>
      </c>
      <c r="X601" s="17">
        <f>IF(N601="","",IF(INDEX(Listado!$M:$M,N601)="No","No","Sí"))</f>
        <v/>
      </c>
    </row>
    <row r="602" spans="2:24" ht="14.25">
      <c r="N602" s="17" t="str">
        <f>IF(V602=0,"",IFERROR(LOOKUP(2,1/(INDEX(Listado!A:A,2):INDEX(Listado!A:A,ROW())&lt;&gt;""),ROW(INDEX(Listado!A:A,2):INDEX(Listado!A:A,ROW()))),""))</f>
        <v/>
      </c>
      <c r="O602" s="17" t="str">
        <f>IFERROR(IF(N602="","",IF(INDEX(Listado!M:M,N602)="No",IF(INDEX(Listado!N:N,N602)=0,"",INDEX(Listado!N:N,N602)),IF(INDEX(Listado!I:I,N602)=0,"",INDEX(Listado!I:I,N602)))),"")</f>
        <v/>
      </c>
      <c r="P602" s="17">
        <f t="shared" ca="1" si="28"/>
        <v/>
      </c>
      <c r="Q602" s="17">
        <f>IFERROR(IF(AND(N602&lt;&gt;"",ISNUMBER(O602),O602&gt;0,O602&gt;=TODAY()-90),1,0),0)</f>
        <v/>
      </c>
      <c r="R602" s="17" t="str">
        <f t="shared" si="30"/>
        <v/>
      </c>
      <c r="S602" s="17" t="str">
        <f>IF(INDEX(Listado!A:A,ROW())="","",INDEX(Listado!A:A,ROW()))</f>
        <v/>
      </c>
      <c r="T602" s="17" t="str">
        <f ca="1">IF(INDEX(Listado!G:G,ROW())="","",INDEX(Listado!G:G,ROW()))</f>
        <v/>
      </c>
      <c r="U602" s="17" t="str">
        <f>IF(INDEX(Listado!F:F,ROW())="","",INDEX(Listado!F:F,ROW()))</f>
        <v/>
      </c>
      <c r="V602" s="17">
        <f>IF(COUNTA(INDEX(Listado!B:B,ROW()):INDEX(Listado!F:F,ROW()))&gt;0,1,0)</f>
        <v/>
      </c>
      <c r="W602" s="17" t="str">
        <f>IF(INDEX(Listado!L:L,ROW())="","",INDEX(Listado!L:L,ROW()))</f>
        <v/>
      </c>
      <c r="X602" s="17">
        <f>IF(N602="","",IF(INDEX(Listado!$M:$M,N602)="No","No","Sí"))</f>
        <v/>
      </c>
    </row>
    <row r="603" spans="2:24" ht="14.25">
      <c r="N603" s="17" t="str">
        <f>IF(V603=0,"",IFERROR(LOOKUP(2,1/(INDEX(Listado!A:A,2):INDEX(Listado!A:A,ROW())&lt;&gt;""),ROW(INDEX(Listado!A:A,2):INDEX(Listado!A:A,ROW()))),""))</f>
        <v/>
      </c>
      <c r="O603" s="17" t="str">
        <f>IFERROR(IF(N603="","",IF(INDEX(Listado!M:M,N603)="No",IF(INDEX(Listado!N:N,N603)=0,"",INDEX(Listado!N:N,N603)),IF(INDEX(Listado!I:I,N603)=0,"",INDEX(Listado!I:I,N603)))),"")</f>
        <v/>
      </c>
      <c r="P603" s="17">
        <f t="shared" ca="1" si="28"/>
        <v/>
      </c>
      <c r="Q603" s="17">
        <f>IFERROR(IF(AND(N603&lt;&gt;"",ISNUMBER(O603),O603&gt;0,O603&gt;=TODAY()-90),1,0),0)</f>
        <v/>
      </c>
      <c r="R603" s="17" t="str">
        <f t="shared" si="30"/>
        <v/>
      </c>
      <c r="S603" s="17" t="str">
        <f>IF(INDEX(Listado!A:A,ROW())="","",INDEX(Listado!A:A,ROW()))</f>
        <v/>
      </c>
      <c r="T603" s="17" t="str">
        <f ca="1">IF(INDEX(Listado!G:G,ROW())="","",INDEX(Listado!G:G,ROW()))</f>
        <v/>
      </c>
      <c r="U603" s="17" t="str">
        <f>IF(INDEX(Listado!F:F,ROW())="","",INDEX(Listado!F:F,ROW()))</f>
        <v/>
      </c>
      <c r="V603" s="17">
        <f>IF(COUNTA(INDEX(Listado!B:B,ROW()):INDEX(Listado!F:F,ROW()))&gt;0,1,0)</f>
        <v/>
      </c>
      <c r="W603" s="17" t="str">
        <f>IF(INDEX(Listado!L:L,ROW())="","",INDEX(Listado!L:L,ROW()))</f>
        <v/>
      </c>
      <c r="X603" s="17">
        <f>IF(N603="","",IF(INDEX(Listado!$M:$M,N603)="No","No","Sí"))</f>
        <v/>
      </c>
    </row>
    <row r="604" spans="2:24" ht="14.25">
      <c r="N604" s="17" t="str">
        <f>IF(V604=0,"",IFERROR(LOOKUP(2,1/(INDEX(Listado!A:A,2):INDEX(Listado!A:A,ROW())&lt;&gt;""),ROW(INDEX(Listado!A:A,2):INDEX(Listado!A:A,ROW()))),""))</f>
        <v/>
      </c>
      <c r="O604" s="17" t="str">
        <f>IFERROR(IF(N604="","",IF(INDEX(Listado!M:M,N604)="No",IF(INDEX(Listado!N:N,N604)=0,"",INDEX(Listado!N:N,N604)),IF(INDEX(Listado!I:I,N604)=0,"",INDEX(Listado!I:I,N604)))),"")</f>
        <v/>
      </c>
      <c r="P604" s="17">
        <f t="shared" ca="1" si="28"/>
        <v/>
      </c>
      <c r="Q604" s="17">
        <f>IFERROR(IF(AND(N604&lt;&gt;"",ISNUMBER(O604),O604&gt;0,O604&gt;=TODAY()-90),1,0),0)</f>
        <v/>
      </c>
      <c r="R604" s="17" t="str">
        <f t="shared" si="30"/>
        <v/>
      </c>
      <c r="S604" s="17" t="str">
        <f>IF(INDEX(Listado!A:A,ROW())="","",INDEX(Listado!A:A,ROW()))</f>
        <v/>
      </c>
      <c r="T604" s="17" t="str">
        <f ca="1">IF(INDEX(Listado!G:G,ROW())="","",INDEX(Listado!G:G,ROW()))</f>
        <v/>
      </c>
      <c r="U604" s="17" t="str">
        <f>IF(INDEX(Listado!F:F,ROW())="","",INDEX(Listado!F:F,ROW()))</f>
        <v/>
      </c>
      <c r="V604" s="17">
        <f>IF(COUNTA(INDEX(Listado!B:B,ROW()):INDEX(Listado!F:F,ROW()))&gt;0,1,0)</f>
        <v/>
      </c>
      <c r="W604" s="17" t="str">
        <f>IF(INDEX(Listado!L:L,ROW())="","",INDEX(Listado!L:L,ROW()))</f>
        <v/>
      </c>
      <c r="X604" s="17">
        <f>IF(N604="","",IF(INDEX(Listado!$M:$M,N604)="No","No","Sí"))</f>
        <v/>
      </c>
    </row>
    <row r="605" spans="2:24" ht="14.25">
      <c r="N605" s="17" t="str">
        <f>IF(V605=0,"",IFERROR(LOOKUP(2,1/(INDEX(Listado!A:A,2):INDEX(Listado!A:A,ROW())&lt;&gt;""),ROW(INDEX(Listado!A:A,2):INDEX(Listado!A:A,ROW()))),""))</f>
        <v/>
      </c>
      <c r="O605" s="17" t="str">
        <f>IFERROR(IF(N605="","",IF(INDEX(Listado!M:M,N605)="No",IF(INDEX(Listado!N:N,N605)=0,"",INDEX(Listado!N:N,N605)),IF(INDEX(Listado!I:I,N605)=0,"",INDEX(Listado!I:I,N605)))),"")</f>
        <v/>
      </c>
      <c r="P605" s="17">
        <f t="shared" ca="1" si="28"/>
        <v/>
      </c>
      <c r="Q605" s="17">
        <f>IFERROR(IF(AND(N605&lt;&gt;"",ISNUMBER(O605),O605&gt;0,O605&gt;=TODAY()-90),1,0),0)</f>
        <v/>
      </c>
      <c r="R605" s="17" t="str">
        <f t="shared" si="30"/>
        <v/>
      </c>
      <c r="S605" s="17" t="str">
        <f>IF(INDEX(Listado!A:A,ROW())="","",INDEX(Listado!A:A,ROW()))</f>
        <v/>
      </c>
      <c r="T605" s="17" t="str">
        <f ca="1">IF(INDEX(Listado!G:G,ROW())="","",INDEX(Listado!G:G,ROW()))</f>
        <v/>
      </c>
      <c r="U605" s="17" t="str">
        <f>IF(INDEX(Listado!F:F,ROW())="","",INDEX(Listado!F:F,ROW()))</f>
        <v/>
      </c>
      <c r="V605" s="17">
        <f>IF(COUNTA(INDEX(Listado!B:B,ROW()):INDEX(Listado!F:F,ROW()))&gt;0,1,0)</f>
        <v/>
      </c>
      <c r="W605" s="17" t="str">
        <f>IF(INDEX(Listado!L:L,ROW())="","",INDEX(Listado!L:L,ROW()))</f>
        <v/>
      </c>
      <c r="X605" s="17">
        <f>IF(N605="","",IF(INDEX(Listado!$M:$M,N605)="No","No","Sí"))</f>
        <v/>
      </c>
    </row>
    <row r="606" spans="2:24" ht="14.25">
      <c r="N606" s="17" t="str">
        <f>IF(V606=0,"",IFERROR(LOOKUP(2,1/(INDEX(Listado!A:A,2):INDEX(Listado!A:A,ROW())&lt;&gt;""),ROW(INDEX(Listado!A:A,2):INDEX(Listado!A:A,ROW()))),""))</f>
        <v/>
      </c>
      <c r="O606" s="17" t="str">
        <f>IFERROR(IF(N606="","",IF(INDEX(Listado!M:M,N606)="No",IF(INDEX(Listado!N:N,N606)=0,"",INDEX(Listado!N:N,N606)),IF(INDEX(Listado!I:I,N606)=0,"",INDEX(Listado!I:I,N606)))),"")</f>
        <v/>
      </c>
      <c r="P606" s="17">
        <f t="shared" ca="1" si="28"/>
        <v/>
      </c>
      <c r="Q606" s="17">
        <f>IFERROR(IF(AND(N606&lt;&gt;"",ISNUMBER(O606),O606&gt;0,O606&gt;=TODAY()-90),1,0),0)</f>
        <v/>
      </c>
      <c r="R606" s="17" t="str">
        <f t="shared" si="30"/>
        <v/>
      </c>
      <c r="S606" s="17" t="str">
        <f>IF(INDEX(Listado!A:A,ROW())="","",INDEX(Listado!A:A,ROW()))</f>
        <v/>
      </c>
      <c r="T606" s="17" t="str">
        <f ca="1">IF(INDEX(Listado!G:G,ROW())="","",INDEX(Listado!G:G,ROW()))</f>
        <v/>
      </c>
      <c r="U606" s="17" t="str">
        <f>IF(INDEX(Listado!F:F,ROW())="","",INDEX(Listado!F:F,ROW()))</f>
        <v/>
      </c>
      <c r="V606" s="17">
        <f>IF(COUNTA(INDEX(Listado!B:B,ROW()):INDEX(Listado!F:F,ROW()))&gt;0,1,0)</f>
        <v/>
      </c>
      <c r="W606" s="17" t="str">
        <f>IF(INDEX(Listado!L:L,ROW())="","",INDEX(Listado!L:L,ROW()))</f>
        <v/>
      </c>
      <c r="X606" s="17">
        <f>IF(N606="","",IF(INDEX(Listado!$M:$M,N606)="No","No","Sí"))</f>
        <v/>
      </c>
    </row>
    <row r="607" spans="2:24" ht="14.25">
      <c r="N607" s="17" t="str">
        <f>IF(V607=0,"",IFERROR(LOOKUP(2,1/(INDEX(Listado!A:A,2):INDEX(Listado!A:A,ROW())&lt;&gt;""),ROW(INDEX(Listado!A:A,2):INDEX(Listado!A:A,ROW()))),""))</f>
        <v/>
      </c>
      <c r="O607" s="17" t="str">
        <f>IFERROR(IF(N607="","",IF(INDEX(Listado!M:M,N607)="No",IF(INDEX(Listado!N:N,N607)=0,"",INDEX(Listado!N:N,N607)),IF(INDEX(Listado!I:I,N607)=0,"",INDEX(Listado!I:I,N607)))),"")</f>
        <v/>
      </c>
      <c r="P607" s="17">
        <f t="shared" ca="1" si="28"/>
        <v/>
      </c>
      <c r="Q607" s="17">
        <f>IFERROR(IF(AND(N607&lt;&gt;"",ISNUMBER(O607),O607&gt;0,O607&gt;=TODAY()-90),1,0),0)</f>
        <v/>
      </c>
      <c r="R607" s="17" t="str">
        <f t="shared" si="30"/>
        <v/>
      </c>
      <c r="S607" s="17" t="str">
        <f>IF(INDEX(Listado!A:A,ROW())="","",INDEX(Listado!A:A,ROW()))</f>
        <v/>
      </c>
      <c r="T607" s="17" t="str">
        <f ca="1">IF(INDEX(Listado!G:G,ROW())="","",INDEX(Listado!G:G,ROW()))</f>
        <v/>
      </c>
      <c r="U607" s="17" t="str">
        <f>IF(INDEX(Listado!F:F,ROW())="","",INDEX(Listado!F:F,ROW()))</f>
        <v/>
      </c>
      <c r="V607" s="17">
        <f>IF(COUNTA(INDEX(Listado!B:B,ROW()):INDEX(Listado!F:F,ROW()))&gt;0,1,0)</f>
        <v/>
      </c>
      <c r="W607" s="17" t="str">
        <f>IF(INDEX(Listado!L:L,ROW())="","",INDEX(Listado!L:L,ROW()))</f>
        <v/>
      </c>
      <c r="X607" s="17">
        <f>IF(N607="","",IF(INDEX(Listado!$M:$M,N607)="No","No","Sí"))</f>
        <v/>
      </c>
    </row>
    <row r="608" spans="2:24" ht="14.25">
      <c r="N608" s="17" t="str">
        <f>IF(V608=0,"",IFERROR(LOOKUP(2,1/(INDEX(Listado!A:A,2):INDEX(Listado!A:A,ROW())&lt;&gt;""),ROW(INDEX(Listado!A:A,2):INDEX(Listado!A:A,ROW()))),""))</f>
        <v/>
      </c>
      <c r="O608" s="17" t="str">
        <f>IFERROR(IF(N608="","",IF(INDEX(Listado!M:M,N608)="No",IF(INDEX(Listado!N:N,N608)=0,"",INDEX(Listado!N:N,N608)),IF(INDEX(Listado!I:I,N608)=0,"",INDEX(Listado!I:I,N608)))),"")</f>
        <v/>
      </c>
      <c r="P608" s="17">
        <f t="shared" ca="1" si="28"/>
        <v/>
      </c>
      <c r="Q608" s="17">
        <f>IFERROR(IF(AND(N608&lt;&gt;"",ISNUMBER(O608),O608&gt;0,O608&gt;=TODAY()-90),1,0),0)</f>
        <v/>
      </c>
      <c r="R608" s="17" t="str">
        <f t="shared" si="30"/>
        <v/>
      </c>
      <c r="S608" s="17" t="str">
        <f>IF(INDEX(Listado!A:A,ROW())="","",INDEX(Listado!A:A,ROW()))</f>
        <v/>
      </c>
      <c r="T608" s="17" t="str">
        <f ca="1">IF(INDEX(Listado!G:G,ROW())="","",INDEX(Listado!G:G,ROW()))</f>
        <v/>
      </c>
      <c r="U608" s="17" t="str">
        <f>IF(INDEX(Listado!F:F,ROW())="","",INDEX(Listado!F:F,ROW()))</f>
        <v/>
      </c>
      <c r="V608" s="17">
        <f>IF(COUNTA(INDEX(Listado!B:B,ROW()):INDEX(Listado!F:F,ROW()))&gt;0,1,0)</f>
        <v/>
      </c>
      <c r="W608" s="17" t="str">
        <f>IF(INDEX(Listado!L:L,ROW())="","",INDEX(Listado!L:L,ROW()))</f>
        <v/>
      </c>
      <c r="X608" s="17">
        <f>IF(N608="","",IF(INDEX(Listado!$M:$M,N608)="No","No","Sí"))</f>
        <v/>
      </c>
    </row>
    <row r="609" spans="2:24" ht="14.25">
      <c r="N609" s="17" t="str">
        <f>IF(V609=0,"",IFERROR(LOOKUP(2,1/(INDEX(Listado!A:A,2):INDEX(Listado!A:A,ROW())&lt;&gt;""),ROW(INDEX(Listado!A:A,2):INDEX(Listado!A:A,ROW()))),""))</f>
        <v/>
      </c>
      <c r="O609" s="17" t="str">
        <f>IFERROR(IF(N609="","",IF(INDEX(Listado!M:M,N609)="No",IF(INDEX(Listado!N:N,N609)=0,"",INDEX(Listado!N:N,N609)),IF(INDEX(Listado!I:I,N609)=0,"",INDEX(Listado!I:I,N609)))),"")</f>
        <v/>
      </c>
      <c r="P609" s="17">
        <f t="shared" ca="1" si="28"/>
        <v/>
      </c>
      <c r="Q609" s="17">
        <f>IFERROR(IF(AND(N609&lt;&gt;"",ISNUMBER(O609),O609&gt;0,O609&gt;=TODAY()-90),1,0),0)</f>
        <v/>
      </c>
      <c r="R609" s="17" t="str">
        <f t="shared" si="30"/>
        <v/>
      </c>
      <c r="S609" s="17" t="str">
        <f>IF(INDEX(Listado!A:A,ROW())="","",INDEX(Listado!A:A,ROW()))</f>
        <v/>
      </c>
      <c r="T609" s="17" t="str">
        <f ca="1">IF(INDEX(Listado!G:G,ROW())="","",INDEX(Listado!G:G,ROW()))</f>
        <v/>
      </c>
      <c r="U609" s="17" t="str">
        <f>IF(INDEX(Listado!F:F,ROW())="","",INDEX(Listado!F:F,ROW()))</f>
        <v/>
      </c>
      <c r="V609" s="17">
        <f>IF(COUNTA(INDEX(Listado!B:B,ROW()):INDEX(Listado!F:F,ROW()))&gt;0,1,0)</f>
        <v/>
      </c>
      <c r="W609" s="17" t="str">
        <f>IF(INDEX(Listado!L:L,ROW())="","",INDEX(Listado!L:L,ROW()))</f>
        <v/>
      </c>
      <c r="X609" s="17">
        <f>IF(N609="","",IF(INDEX(Listado!$M:$M,N609)="No","No","Sí"))</f>
        <v/>
      </c>
    </row>
    <row r="610" spans="2:24" ht="14.25">
      <c r="N610" s="17" t="str">
        <f>IF(V610=0,"",IFERROR(LOOKUP(2,1/(INDEX(Listado!A:A,2):INDEX(Listado!A:A,ROW())&lt;&gt;""),ROW(INDEX(Listado!A:A,2):INDEX(Listado!A:A,ROW()))),""))</f>
        <v/>
      </c>
      <c r="O610" s="17" t="str">
        <f>IFERROR(IF(N610="","",IF(INDEX(Listado!M:M,N610)="No",IF(INDEX(Listado!N:N,N610)=0,"",INDEX(Listado!N:N,N610)),IF(INDEX(Listado!I:I,N610)=0,"",INDEX(Listado!I:I,N610)))),"")</f>
        <v/>
      </c>
      <c r="P610" s="17">
        <f t="shared" ca="1" si="28"/>
        <v/>
      </c>
      <c r="Q610" s="17">
        <f>IFERROR(IF(AND(N610&lt;&gt;"",ISNUMBER(O610),O610&gt;0,O610&gt;=TODAY()-90),1,0),0)</f>
        <v/>
      </c>
      <c r="R610" s="17" t="str">
        <f t="shared" si="30"/>
        <v/>
      </c>
      <c r="S610" s="17" t="str">
        <f>IF(INDEX(Listado!A:A,ROW())="","",INDEX(Listado!A:A,ROW()))</f>
        <v/>
      </c>
      <c r="T610" s="17" t="str">
        <f ca="1">IF(INDEX(Listado!G:G,ROW())="","",INDEX(Listado!G:G,ROW()))</f>
        <v/>
      </c>
      <c r="U610" s="17" t="str">
        <f>IF(INDEX(Listado!F:F,ROW())="","",INDEX(Listado!F:F,ROW()))</f>
        <v/>
      </c>
      <c r="V610" s="17">
        <f>IF(COUNTA(INDEX(Listado!B:B,ROW()):INDEX(Listado!F:F,ROW()))&gt;0,1,0)</f>
        <v/>
      </c>
      <c r="W610" s="17" t="str">
        <f>IF(INDEX(Listado!L:L,ROW())="","",INDEX(Listado!L:L,ROW()))</f>
        <v/>
      </c>
      <c r="X610" s="17">
        <f>IF(N610="","",IF(INDEX(Listado!$M:$M,N610)="No","No","Sí"))</f>
        <v/>
      </c>
    </row>
    <row r="611" spans="2:24" ht="14.25">
      <c r="N611" s="17" t="str">
        <f>IF(V611=0,"",IFERROR(LOOKUP(2,1/(INDEX(Listado!A:A,2):INDEX(Listado!A:A,ROW())&lt;&gt;""),ROW(INDEX(Listado!A:A,2):INDEX(Listado!A:A,ROW()))),""))</f>
        <v/>
      </c>
      <c r="O611" s="17" t="str">
        <f>IFERROR(IF(N611="","",IF(INDEX(Listado!M:M,N611)="No",IF(INDEX(Listado!N:N,N611)=0,"",INDEX(Listado!N:N,N611)),IF(INDEX(Listado!I:I,N611)=0,"",INDEX(Listado!I:I,N611)))),"")</f>
        <v/>
      </c>
      <c r="P611" s="17">
        <f t="shared" ca="1" si="28"/>
        <v/>
      </c>
      <c r="Q611" s="17">
        <f>IFERROR(IF(AND(N611&lt;&gt;"",ISNUMBER(O611),O611&gt;0,O611&gt;=TODAY()-90),1,0),0)</f>
        <v/>
      </c>
      <c r="R611" s="17" t="str">
        <f t="shared" si="30"/>
        <v/>
      </c>
      <c r="S611" s="17" t="str">
        <f>IF(INDEX(Listado!A:A,ROW())="","",INDEX(Listado!A:A,ROW()))</f>
        <v/>
      </c>
      <c r="T611" s="17" t="str">
        <f ca="1">IF(INDEX(Listado!G:G,ROW())="","",INDEX(Listado!G:G,ROW()))</f>
        <v/>
      </c>
      <c r="U611" s="17" t="str">
        <f>IF(INDEX(Listado!F:F,ROW())="","",INDEX(Listado!F:F,ROW()))</f>
        <v/>
      </c>
      <c r="V611" s="17">
        <f>IF(COUNTA(INDEX(Listado!B:B,ROW()):INDEX(Listado!F:F,ROW()))&gt;0,1,0)</f>
        <v/>
      </c>
      <c r="W611" s="17" t="str">
        <f>IF(INDEX(Listado!L:L,ROW())="","",INDEX(Listado!L:L,ROW()))</f>
        <v/>
      </c>
      <c r="X611" s="17">
        <f>IF(N611="","",IF(INDEX(Listado!$M:$M,N611)="No","No","Sí"))</f>
        <v/>
      </c>
    </row>
    <row r="612" spans="2:24" ht="14.25">
      <c r="N612" s="17" t="str">
        <f>IF(V612=0,"",IFERROR(LOOKUP(2,1/(INDEX(Listado!A:A,2):INDEX(Listado!A:A,ROW())&lt;&gt;""),ROW(INDEX(Listado!A:A,2):INDEX(Listado!A:A,ROW()))),""))</f>
        <v/>
      </c>
      <c r="O612" s="17" t="str">
        <f>IFERROR(IF(N612="","",IF(INDEX(Listado!M:M,N612)="No",IF(INDEX(Listado!N:N,N612)=0,"",INDEX(Listado!N:N,N612)),IF(INDEX(Listado!I:I,N612)=0,"",INDEX(Listado!I:I,N612)))),"")</f>
        <v/>
      </c>
      <c r="P612" s="17">
        <f t="shared" ca="1" si="28"/>
        <v/>
      </c>
      <c r="Q612" s="17">
        <f>IFERROR(IF(AND(N612&lt;&gt;"",ISNUMBER(O612),O612&gt;0,O612&gt;=TODAY()-90),1,0),0)</f>
        <v/>
      </c>
      <c r="R612" s="17" t="str">
        <f t="shared" si="30"/>
        <v/>
      </c>
      <c r="S612" s="17" t="str">
        <f>IF(INDEX(Listado!A:A,ROW())="","",INDEX(Listado!A:A,ROW()))</f>
        <v/>
      </c>
      <c r="T612" s="17" t="str">
        <f ca="1">IF(INDEX(Listado!G:G,ROW())="","",INDEX(Listado!G:G,ROW()))</f>
        <v/>
      </c>
      <c r="U612" s="17" t="str">
        <f>IF(INDEX(Listado!F:F,ROW())="","",INDEX(Listado!F:F,ROW()))</f>
        <v/>
      </c>
      <c r="V612" s="17">
        <f>IF(COUNTA(INDEX(Listado!B:B,ROW()):INDEX(Listado!F:F,ROW()))&gt;0,1,0)</f>
        <v/>
      </c>
      <c r="W612" s="17" t="str">
        <f>IF(INDEX(Listado!L:L,ROW())="","",INDEX(Listado!L:L,ROW()))</f>
        <v/>
      </c>
      <c r="X612" s="17">
        <f>IF(N612="","",IF(INDEX(Listado!$M:$M,N612)="No","No","Sí"))</f>
        <v/>
      </c>
    </row>
    <row r="613" spans="2:24" ht="14.25">
      <c r="N613" s="17" t="str">
        <f>IF(V613=0,"",IFERROR(LOOKUP(2,1/(INDEX(Listado!A:A,2):INDEX(Listado!A:A,ROW())&lt;&gt;""),ROW(INDEX(Listado!A:A,2):INDEX(Listado!A:A,ROW()))),""))</f>
        <v/>
      </c>
      <c r="O613" s="17" t="str">
        <f>IFERROR(IF(N613="","",IF(INDEX(Listado!M:M,N613)="No",IF(INDEX(Listado!N:N,N613)=0,"",INDEX(Listado!N:N,N613)),IF(INDEX(Listado!I:I,N613)=0,"",INDEX(Listado!I:I,N613)))),"")</f>
        <v/>
      </c>
      <c r="P613" s="17">
        <f t="shared" ca="1" si="28"/>
        <v/>
      </c>
      <c r="Q613" s="17">
        <f>IFERROR(IF(AND(N613&lt;&gt;"",ISNUMBER(O613),O613&gt;0,O613&gt;=TODAY()-90),1,0),0)</f>
        <v/>
      </c>
      <c r="R613" s="17" t="str">
        <f t="shared" si="30"/>
        <v/>
      </c>
      <c r="S613" s="17" t="str">
        <f>IF(INDEX(Listado!A:A,ROW())="","",INDEX(Listado!A:A,ROW()))</f>
        <v/>
      </c>
      <c r="T613" s="17" t="str">
        <f ca="1">IF(INDEX(Listado!G:G,ROW())="","",INDEX(Listado!G:G,ROW()))</f>
        <v/>
      </c>
      <c r="U613" s="17" t="str">
        <f>IF(INDEX(Listado!F:F,ROW())="","",INDEX(Listado!F:F,ROW()))</f>
        <v/>
      </c>
      <c r="V613" s="17">
        <f>IF(COUNTA(INDEX(Listado!B:B,ROW()):INDEX(Listado!F:F,ROW()))&gt;0,1,0)</f>
        <v/>
      </c>
      <c r="W613" s="17" t="str">
        <f>IF(INDEX(Listado!L:L,ROW())="","",INDEX(Listado!L:L,ROW()))</f>
        <v/>
      </c>
      <c r="X613" s="17">
        <f>IF(N613="","",IF(INDEX(Listado!$M:$M,N613)="No","No","Sí"))</f>
        <v/>
      </c>
    </row>
    <row r="614" spans="2:24" ht="14.25">
      <c r="N614" s="17" t="str">
        <f>IF(V614=0,"",IFERROR(LOOKUP(2,1/(INDEX(Listado!A:A,2):INDEX(Listado!A:A,ROW())&lt;&gt;""),ROW(INDEX(Listado!A:A,2):INDEX(Listado!A:A,ROW()))),""))</f>
        <v/>
      </c>
      <c r="O614" s="17" t="str">
        <f>IFERROR(IF(N614="","",IF(INDEX(Listado!M:M,N614)="No",IF(INDEX(Listado!N:N,N614)=0,"",INDEX(Listado!N:N,N614)),IF(INDEX(Listado!I:I,N614)=0,"",INDEX(Listado!I:I,N614)))),"")</f>
        <v/>
      </c>
      <c r="P614" s="17">
        <f t="shared" ca="1" si="28"/>
        <v/>
      </c>
      <c r="Q614" s="17">
        <f>IFERROR(IF(AND(N614&lt;&gt;"",ISNUMBER(O614),O614&gt;0,O614&gt;=TODAY()-90),1,0),0)</f>
        <v/>
      </c>
      <c r="R614" s="17" t="str">
        <f t="shared" si="30"/>
        <v/>
      </c>
      <c r="S614" s="17" t="str">
        <f>IF(INDEX(Listado!A:A,ROW())="","",INDEX(Listado!A:A,ROW()))</f>
        <v/>
      </c>
      <c r="T614" s="17" t="str">
        <f ca="1">IF(INDEX(Listado!G:G,ROW())="","",INDEX(Listado!G:G,ROW()))</f>
        <v/>
      </c>
      <c r="U614" s="17" t="str">
        <f>IF(INDEX(Listado!F:F,ROW())="","",INDEX(Listado!F:F,ROW()))</f>
        <v/>
      </c>
      <c r="V614" s="17">
        <f>IF(COUNTA(INDEX(Listado!B:B,ROW()):INDEX(Listado!F:F,ROW()))&gt;0,1,0)</f>
        <v/>
      </c>
      <c r="W614" s="17" t="str">
        <f>IF(INDEX(Listado!L:L,ROW())="","",INDEX(Listado!L:L,ROW()))</f>
        <v/>
      </c>
      <c r="X614" s="17">
        <f>IF(N614="","",IF(INDEX(Listado!$M:$M,N614)="No","No","Sí"))</f>
        <v/>
      </c>
    </row>
    <row r="615" spans="2:24" ht="14.25">
      <c r="N615" s="17" t="str">
        <f>IF(V615=0,"",IFERROR(LOOKUP(2,1/(INDEX(Listado!A:A,2):INDEX(Listado!A:A,ROW())&lt;&gt;""),ROW(INDEX(Listado!A:A,2):INDEX(Listado!A:A,ROW()))),""))</f>
        <v/>
      </c>
      <c r="O615" s="17" t="str">
        <f>IFERROR(IF(N615="","",IF(INDEX(Listado!M:M,N615)="No",IF(INDEX(Listado!N:N,N615)=0,"",INDEX(Listado!N:N,N615)),IF(INDEX(Listado!I:I,N615)=0,"",INDEX(Listado!I:I,N615)))),"")</f>
        <v/>
      </c>
      <c r="P615" s="17">
        <f t="shared" ca="1" si="28"/>
        <v/>
      </c>
      <c r="Q615" s="17">
        <f>IFERROR(IF(AND(N615&lt;&gt;"",ISNUMBER(O615),O615&gt;0,O615&gt;=TODAY()-90),1,0),0)</f>
        <v/>
      </c>
      <c r="R615" s="17" t="str">
        <f t="shared" si="30"/>
        <v/>
      </c>
      <c r="S615" s="17" t="str">
        <f>IF(INDEX(Listado!A:A,ROW())="","",INDEX(Listado!A:A,ROW()))</f>
        <v/>
      </c>
      <c r="T615" s="17" t="str">
        <f ca="1">IF(INDEX(Listado!G:G,ROW())="","",INDEX(Listado!G:G,ROW()))</f>
        <v/>
      </c>
      <c r="U615" s="17" t="str">
        <f>IF(INDEX(Listado!F:F,ROW())="","",INDEX(Listado!F:F,ROW()))</f>
        <v/>
      </c>
      <c r="V615" s="17">
        <f>IF(COUNTA(INDEX(Listado!B:B,ROW()):INDEX(Listado!F:F,ROW()))&gt;0,1,0)</f>
        <v/>
      </c>
      <c r="W615" s="17" t="str">
        <f>IF(INDEX(Listado!L:L,ROW())="","",INDEX(Listado!L:L,ROW()))</f>
        <v/>
      </c>
      <c r="X615" s="17">
        <f>IF(N615="","",IF(INDEX(Listado!$M:$M,N615)="No","No","Sí"))</f>
        <v/>
      </c>
    </row>
    <row r="616" spans="2:24" ht="14.25">
      <c r="N616" s="17" t="str">
        <f>IF(V616=0,"",IFERROR(LOOKUP(2,1/(INDEX(Listado!A:A,2):INDEX(Listado!A:A,ROW())&lt;&gt;""),ROW(INDEX(Listado!A:A,2):INDEX(Listado!A:A,ROW()))),""))</f>
        <v/>
      </c>
      <c r="O616" s="17" t="str">
        <f>IFERROR(IF(N616="","",IF(INDEX(Listado!M:M,N616)="No",IF(INDEX(Listado!N:N,N616)=0,"",INDEX(Listado!N:N,N616)),IF(INDEX(Listado!I:I,N616)=0,"",INDEX(Listado!I:I,N616)))),"")</f>
        <v/>
      </c>
      <c r="P616" s="17">
        <f t="shared" ca="1" si="28"/>
        <v/>
      </c>
      <c r="Q616" s="17">
        <f>IFERROR(IF(AND(N616&lt;&gt;"",ISNUMBER(O616),O616&gt;0,O616&gt;=TODAY()-90),1,0),0)</f>
        <v/>
      </c>
      <c r="R616" s="17" t="str">
        <f t="shared" si="30"/>
        <v/>
      </c>
      <c r="S616" s="17" t="str">
        <f>IF(INDEX(Listado!A:A,ROW())="","",INDEX(Listado!A:A,ROW()))</f>
        <v/>
      </c>
      <c r="T616" s="17" t="str">
        <f ca="1">IF(INDEX(Listado!G:G,ROW())="","",INDEX(Listado!G:G,ROW()))</f>
        <v/>
      </c>
      <c r="U616" s="17" t="str">
        <f>IF(INDEX(Listado!F:F,ROW())="","",INDEX(Listado!F:F,ROW()))</f>
        <v/>
      </c>
      <c r="V616" s="17">
        <f>IF(COUNTA(INDEX(Listado!B:B,ROW()):INDEX(Listado!F:F,ROW()))&gt;0,1,0)</f>
        <v/>
      </c>
      <c r="W616" s="17" t="str">
        <f>IF(INDEX(Listado!L:L,ROW())="","",INDEX(Listado!L:L,ROW()))</f>
        <v/>
      </c>
      <c r="X616" s="17">
        <f>IF(N616="","",IF(INDEX(Listado!$M:$M,N616)="No","No","Sí"))</f>
        <v/>
      </c>
    </row>
    <row r="617" spans="2:24" ht="14.25">
      <c r="N617" s="17" t="str">
        <f>IF(V617=0,"",IFERROR(LOOKUP(2,1/(INDEX(Listado!A:A,2):INDEX(Listado!A:A,ROW())&lt;&gt;""),ROW(INDEX(Listado!A:A,2):INDEX(Listado!A:A,ROW()))),""))</f>
        <v/>
      </c>
      <c r="O617" s="17" t="str">
        <f>IFERROR(IF(N617="","",IF(INDEX(Listado!M:M,N617)="No",IF(INDEX(Listado!N:N,N617)=0,"",INDEX(Listado!N:N,N617)),IF(INDEX(Listado!I:I,N617)=0,"",INDEX(Listado!I:I,N617)))),"")</f>
        <v/>
      </c>
      <c r="P617" s="17">
        <f t="shared" ca="1" si="28"/>
        <v/>
      </c>
      <c r="Q617" s="17">
        <f>IFERROR(IF(AND(N617&lt;&gt;"",ISNUMBER(O617),O617&gt;0,O617&gt;=TODAY()-90),1,0),0)</f>
        <v/>
      </c>
      <c r="R617" s="17" t="str">
        <f t="shared" si="30"/>
        <v/>
      </c>
      <c r="S617" s="17" t="str">
        <f>IF(INDEX(Listado!A:A,ROW())="","",INDEX(Listado!A:A,ROW()))</f>
        <v/>
      </c>
      <c r="T617" s="17" t="str">
        <f ca="1">IF(INDEX(Listado!G:G,ROW())="","",INDEX(Listado!G:G,ROW()))</f>
        <v/>
      </c>
      <c r="U617" s="17" t="str">
        <f>IF(INDEX(Listado!F:F,ROW())="","",INDEX(Listado!F:F,ROW()))</f>
        <v/>
      </c>
      <c r="V617" s="17">
        <f>IF(COUNTA(INDEX(Listado!B:B,ROW()):INDEX(Listado!F:F,ROW()))&gt;0,1,0)</f>
        <v/>
      </c>
      <c r="W617" s="17" t="str">
        <f>IF(INDEX(Listado!L:L,ROW())="","",INDEX(Listado!L:L,ROW()))</f>
        <v/>
      </c>
      <c r="X617" s="17">
        <f>IF(N617="","",IF(INDEX(Listado!$M:$M,N617)="No","No","Sí"))</f>
        <v/>
      </c>
    </row>
    <row r="618" spans="2:24" ht="14.25">
      <c r="N618" s="17" t="str">
        <f>IF(V618=0,"",IFERROR(LOOKUP(2,1/(INDEX(Listado!A:A,2):INDEX(Listado!A:A,ROW())&lt;&gt;""),ROW(INDEX(Listado!A:A,2):INDEX(Listado!A:A,ROW()))),""))</f>
        <v/>
      </c>
      <c r="O618" s="17" t="str">
        <f>IFERROR(IF(N618="","",IF(INDEX(Listado!M:M,N618)="No",IF(INDEX(Listado!N:N,N618)=0,"",INDEX(Listado!N:N,N618)),IF(INDEX(Listado!I:I,N618)=0,"",INDEX(Listado!I:I,N618)))),"")</f>
        <v/>
      </c>
      <c r="P618" s="17">
        <f t="shared" ca="1" si="28"/>
        <v/>
      </c>
      <c r="Q618" s="17">
        <f>IFERROR(IF(AND(N618&lt;&gt;"",ISNUMBER(O618),O618&gt;0,O618&gt;=TODAY()-90),1,0),0)</f>
        <v/>
      </c>
      <c r="R618" s="17" t="str">
        <f t="shared" si="30"/>
        <v/>
      </c>
      <c r="S618" s="17" t="str">
        <f>IF(INDEX(Listado!A:A,ROW())="","",INDEX(Listado!A:A,ROW()))</f>
        <v/>
      </c>
      <c r="T618" s="17" t="str">
        <f ca="1">IF(INDEX(Listado!G:G,ROW())="","",INDEX(Listado!G:G,ROW()))</f>
        <v/>
      </c>
      <c r="U618" s="17" t="str">
        <f>IF(INDEX(Listado!F:F,ROW())="","",INDEX(Listado!F:F,ROW()))</f>
        <v/>
      </c>
      <c r="V618" s="17">
        <f>IF(COUNTA(INDEX(Listado!B:B,ROW()):INDEX(Listado!F:F,ROW()))&gt;0,1,0)</f>
        <v/>
      </c>
      <c r="W618" s="17" t="str">
        <f>IF(INDEX(Listado!L:L,ROW())="","",INDEX(Listado!L:L,ROW()))</f>
        <v/>
      </c>
      <c r="X618" s="17">
        <f>IF(N618="","",IF(INDEX(Listado!$M:$M,N618)="No","No","Sí"))</f>
        <v/>
      </c>
    </row>
    <row r="619" spans="2:24" ht="14.25">
      <c r="N619" s="17" t="str">
        <f>IF(V619=0,"",IFERROR(LOOKUP(2,1/(INDEX(Listado!A:A,2):INDEX(Listado!A:A,ROW())&lt;&gt;""),ROW(INDEX(Listado!A:A,2):INDEX(Listado!A:A,ROW()))),""))</f>
        <v/>
      </c>
      <c r="O619" s="17" t="str">
        <f>IFERROR(IF(N619="","",IF(INDEX(Listado!M:M,N619)="No",IF(INDEX(Listado!N:N,N619)=0,"",INDEX(Listado!N:N,N619)),IF(INDEX(Listado!I:I,N619)=0,"",INDEX(Listado!I:I,N619)))),"")</f>
        <v/>
      </c>
      <c r="P619" s="17">
        <f t="shared" ca="1" si="28"/>
        <v/>
      </c>
      <c r="Q619" s="17">
        <f>IFERROR(IF(AND(N619&lt;&gt;"",ISNUMBER(O619),O619&gt;0,O619&gt;=TODAY()-90),1,0),0)</f>
        <v/>
      </c>
      <c r="R619" s="17" t="str">
        <f t="shared" si="30"/>
        <v/>
      </c>
      <c r="S619" s="17" t="str">
        <f>IF(INDEX(Listado!A:A,ROW())="","",INDEX(Listado!A:A,ROW()))</f>
        <v/>
      </c>
      <c r="T619" s="17" t="str">
        <f ca="1">IF(INDEX(Listado!G:G,ROW())="","",INDEX(Listado!G:G,ROW()))</f>
        <v/>
      </c>
      <c r="U619" s="17" t="str">
        <f>IF(INDEX(Listado!F:F,ROW())="","",INDEX(Listado!F:F,ROW()))</f>
        <v/>
      </c>
      <c r="V619" s="17">
        <f>IF(COUNTA(INDEX(Listado!B:B,ROW()):INDEX(Listado!F:F,ROW()))&gt;0,1,0)</f>
        <v/>
      </c>
      <c r="W619" s="17" t="str">
        <f>IF(INDEX(Listado!L:L,ROW())="","",INDEX(Listado!L:L,ROW()))</f>
        <v/>
      </c>
      <c r="X619" s="17">
        <f>IF(N619="","",IF(INDEX(Listado!$M:$M,N619)="No","No","Sí"))</f>
        <v/>
      </c>
    </row>
    <row r="620" spans="2:24" ht="14.25">
      <c r="N620" s="17" t="str">
        <f>IF(V620=0,"",IFERROR(LOOKUP(2,1/(INDEX(Listado!A:A,2):INDEX(Listado!A:A,ROW())&lt;&gt;""),ROW(INDEX(Listado!A:A,2):INDEX(Listado!A:A,ROW()))),""))</f>
        <v/>
      </c>
      <c r="O620" s="17" t="str">
        <f>IFERROR(IF(N620="","",IF(INDEX(Listado!M:M,N620)="No",IF(INDEX(Listado!N:N,N620)=0,"",INDEX(Listado!N:N,N620)),IF(INDEX(Listado!I:I,N620)=0,"",INDEX(Listado!I:I,N620)))),"")</f>
        <v/>
      </c>
      <c r="P620" s="17">
        <f t="shared" ca="1" si="28"/>
        <v/>
      </c>
      <c r="Q620" s="17">
        <f>IFERROR(IF(AND(N620&lt;&gt;"",ISNUMBER(O620),O620&gt;0,O620&gt;=TODAY()-90),1,0),0)</f>
        <v/>
      </c>
      <c r="R620" s="17" t="str">
        <f t="shared" si="30"/>
        <v/>
      </c>
      <c r="S620" s="17" t="str">
        <f>IF(INDEX(Listado!A:A,ROW())="","",INDEX(Listado!A:A,ROW()))</f>
        <v/>
      </c>
      <c r="T620" s="17" t="str">
        <f ca="1">IF(INDEX(Listado!G:G,ROW())="","",INDEX(Listado!G:G,ROW()))</f>
        <v/>
      </c>
      <c r="U620" s="17" t="str">
        <f>IF(INDEX(Listado!F:F,ROW())="","",INDEX(Listado!F:F,ROW()))</f>
        <v/>
      </c>
      <c r="V620" s="17">
        <f>IF(COUNTA(INDEX(Listado!B:B,ROW()):INDEX(Listado!F:F,ROW()))&gt;0,1,0)</f>
        <v/>
      </c>
      <c r="W620" s="17" t="str">
        <f>IF(INDEX(Listado!L:L,ROW())="","",INDEX(Listado!L:L,ROW()))</f>
        <v/>
      </c>
      <c r="X620" s="17">
        <f>IF(N620="","",IF(INDEX(Listado!$M:$M,N620)="No","No","Sí"))</f>
        <v/>
      </c>
    </row>
    <row r="621" spans="2:24" ht="14.25">
      <c r="N621" s="17" t="str">
        <f>IF(V621=0,"",IFERROR(LOOKUP(2,1/(INDEX(Listado!A:A,2):INDEX(Listado!A:A,ROW())&lt;&gt;""),ROW(INDEX(Listado!A:A,2):INDEX(Listado!A:A,ROW()))),""))</f>
        <v/>
      </c>
      <c r="O621" s="17" t="str">
        <f>IFERROR(IF(N621="","",IF(INDEX(Listado!M:M,N621)="No",IF(INDEX(Listado!N:N,N621)=0,"",INDEX(Listado!N:N,N621)),IF(INDEX(Listado!I:I,N621)=0,"",INDEX(Listado!I:I,N621)))),"")</f>
        <v/>
      </c>
      <c r="P621" s="17">
        <f t="shared" ca="1" si="28"/>
        <v/>
      </c>
      <c r="Q621" s="17">
        <f>IFERROR(IF(AND(N621&lt;&gt;"",ISNUMBER(O621),O621&gt;0,O621&gt;=TODAY()-90),1,0),0)</f>
        <v/>
      </c>
      <c r="R621" s="17" t="str">
        <f t="shared" si="30"/>
        <v/>
      </c>
      <c r="S621" s="17" t="str">
        <f>IF(INDEX(Listado!A:A,ROW())="","",INDEX(Listado!A:A,ROW()))</f>
        <v/>
      </c>
      <c r="T621" s="17" t="str">
        <f ca="1">IF(INDEX(Listado!G:G,ROW())="","",INDEX(Listado!G:G,ROW()))</f>
        <v/>
      </c>
      <c r="U621" s="17" t="str">
        <f>IF(INDEX(Listado!F:F,ROW())="","",INDEX(Listado!F:F,ROW()))</f>
        <v/>
      </c>
      <c r="V621" s="17">
        <f>IF(COUNTA(INDEX(Listado!B:B,ROW()):INDEX(Listado!F:F,ROW()))&gt;0,1,0)</f>
        <v/>
      </c>
      <c r="W621" s="17" t="str">
        <f>IF(INDEX(Listado!L:L,ROW())="","",INDEX(Listado!L:L,ROW()))</f>
        <v/>
      </c>
      <c r="X621" s="17">
        <f>IF(N621="","",IF(INDEX(Listado!$M:$M,N621)="No","No","Sí"))</f>
        <v/>
      </c>
    </row>
    <row r="622" spans="2:24" ht="14.25">
      <c r="N622" s="17" t="str">
        <f>IF(V622=0,"",IFERROR(LOOKUP(2,1/(INDEX(Listado!A:A,2):INDEX(Listado!A:A,ROW())&lt;&gt;""),ROW(INDEX(Listado!A:A,2):INDEX(Listado!A:A,ROW()))),""))</f>
        <v/>
      </c>
      <c r="O622" s="17" t="str">
        <f>IFERROR(IF(N622="","",IF(INDEX(Listado!M:M,N622)="No",IF(INDEX(Listado!N:N,N622)=0,"",INDEX(Listado!N:N,N622)),IF(INDEX(Listado!I:I,N622)=0,"",INDEX(Listado!I:I,N622)))),"")</f>
        <v/>
      </c>
      <c r="P622" s="17">
        <f t="shared" ca="1" si="28"/>
        <v/>
      </c>
      <c r="Q622" s="17">
        <f>IFERROR(IF(AND(N622&lt;&gt;"",ISNUMBER(O622),O622&gt;0,O622&gt;=TODAY()-90),1,0),0)</f>
        <v/>
      </c>
      <c r="R622" s="17" t="str">
        <f t="shared" si="30"/>
        <v/>
      </c>
      <c r="S622" s="17" t="str">
        <f>IF(INDEX(Listado!A:A,ROW())="","",INDEX(Listado!A:A,ROW()))</f>
        <v/>
      </c>
      <c r="T622" s="17" t="str">
        <f ca="1">IF(INDEX(Listado!G:G,ROW())="","",INDEX(Listado!G:G,ROW()))</f>
        <v/>
      </c>
      <c r="U622" s="17" t="str">
        <f>IF(INDEX(Listado!F:F,ROW())="","",INDEX(Listado!F:F,ROW()))</f>
        <v/>
      </c>
      <c r="V622" s="17">
        <f>IF(COUNTA(INDEX(Listado!B:B,ROW()):INDEX(Listado!F:F,ROW()))&gt;0,1,0)</f>
        <v/>
      </c>
      <c r="W622" s="17" t="str">
        <f>IF(INDEX(Listado!L:L,ROW())="","",INDEX(Listado!L:L,ROW()))</f>
        <v/>
      </c>
      <c r="X622" s="17">
        <f>IF(N622="","",IF(INDEX(Listado!$M:$M,N622)="No","No","Sí"))</f>
        <v/>
      </c>
    </row>
    <row r="623" spans="2:24" ht="14.25">
      <c r="N623" s="17" t="str">
        <f>IF(V623=0,"",IFERROR(LOOKUP(2,1/(INDEX(Listado!A:A,2):INDEX(Listado!A:A,ROW())&lt;&gt;""),ROW(INDEX(Listado!A:A,2):INDEX(Listado!A:A,ROW()))),""))</f>
        <v/>
      </c>
      <c r="O623" s="17" t="str">
        <f>IFERROR(IF(N623="","",IF(INDEX(Listado!M:M,N623)="No",IF(INDEX(Listado!N:N,N623)=0,"",INDEX(Listado!N:N,N623)),IF(INDEX(Listado!I:I,N623)=0,"",INDEX(Listado!I:I,N623)))),"")</f>
        <v/>
      </c>
      <c r="P623" s="17">
        <f t="shared" ca="1" si="28"/>
        <v/>
      </c>
      <c r="Q623" s="17">
        <f>IFERROR(IF(AND(N623&lt;&gt;"",ISNUMBER(O623),O623&gt;0,O623&gt;=TODAY()-90),1,0),0)</f>
        <v/>
      </c>
      <c r="R623" s="17" t="str">
        <f t="shared" si="30"/>
        <v/>
      </c>
      <c r="S623" s="17" t="str">
        <f>IF(INDEX(Listado!A:A,ROW())="","",INDEX(Listado!A:A,ROW()))</f>
        <v/>
      </c>
      <c r="T623" s="17" t="str">
        <f ca="1">IF(INDEX(Listado!G:G,ROW())="","",INDEX(Listado!G:G,ROW()))</f>
        <v/>
      </c>
      <c r="U623" s="17" t="str">
        <f>IF(INDEX(Listado!F:F,ROW())="","",INDEX(Listado!F:F,ROW()))</f>
        <v/>
      </c>
      <c r="V623" s="17">
        <f>IF(COUNTA(INDEX(Listado!B:B,ROW()):INDEX(Listado!F:F,ROW()))&gt;0,1,0)</f>
        <v/>
      </c>
      <c r="W623" s="17" t="str">
        <f>IF(INDEX(Listado!L:L,ROW())="","",INDEX(Listado!L:L,ROW()))</f>
        <v/>
      </c>
      <c r="X623" s="17">
        <f>IF(N623="","",IF(INDEX(Listado!$M:$M,N623)="No","No","Sí"))</f>
        <v/>
      </c>
    </row>
    <row r="624" spans="2:24" ht="14.25">
      <c r="N624" s="17" t="str">
        <f>IF(V624=0,"",IFERROR(LOOKUP(2,1/(INDEX(Listado!A:A,2):INDEX(Listado!A:A,ROW())&lt;&gt;""),ROW(INDEX(Listado!A:A,2):INDEX(Listado!A:A,ROW()))),""))</f>
        <v/>
      </c>
      <c r="O624" s="17" t="str">
        <f>IFERROR(IF(N624="","",IF(INDEX(Listado!M:M,N624)="No",IF(INDEX(Listado!N:N,N624)=0,"",INDEX(Listado!N:N,N624)),IF(INDEX(Listado!I:I,N624)=0,"",INDEX(Listado!I:I,N624)))),"")</f>
        <v/>
      </c>
      <c r="P624" s="17">
        <f t="shared" ca="1" si="28"/>
        <v/>
      </c>
      <c r="Q624" s="17">
        <f>IFERROR(IF(AND(N624&lt;&gt;"",ISNUMBER(O624),O624&gt;0,O624&gt;=TODAY()-90),1,0),0)</f>
        <v/>
      </c>
      <c r="R624" s="17" t="str">
        <f t="shared" si="30"/>
        <v/>
      </c>
      <c r="S624" s="17" t="str">
        <f>IF(INDEX(Listado!A:A,ROW())="","",INDEX(Listado!A:A,ROW()))</f>
        <v/>
      </c>
      <c r="T624" s="17" t="str">
        <f ca="1">IF(INDEX(Listado!G:G,ROW())="","",INDEX(Listado!G:G,ROW()))</f>
        <v/>
      </c>
      <c r="U624" s="17" t="str">
        <f>IF(INDEX(Listado!F:F,ROW())="","",INDEX(Listado!F:F,ROW()))</f>
        <v/>
      </c>
      <c r="V624" s="17">
        <f>IF(COUNTA(INDEX(Listado!B:B,ROW()):INDEX(Listado!F:F,ROW()))&gt;0,1,0)</f>
        <v/>
      </c>
      <c r="W624" s="17" t="str">
        <f>IF(INDEX(Listado!L:L,ROW())="","",INDEX(Listado!L:L,ROW()))</f>
        <v/>
      </c>
      <c r="X624" s="17">
        <f>IF(N624="","",IF(INDEX(Listado!$M:$M,N624)="No","No","Sí"))</f>
        <v/>
      </c>
    </row>
    <row r="625" spans="2:24" ht="14.25">
      <c r="N625" s="17" t="str">
        <f>IF(V625=0,"",IFERROR(LOOKUP(2,1/(INDEX(Listado!A:A,2):INDEX(Listado!A:A,ROW())&lt;&gt;""),ROW(INDEX(Listado!A:A,2):INDEX(Listado!A:A,ROW()))),""))</f>
        <v/>
      </c>
      <c r="O625" s="17" t="str">
        <f>IFERROR(IF(N625="","",IF(INDEX(Listado!M:M,N625)="No",IF(INDEX(Listado!N:N,N625)=0,"",INDEX(Listado!N:N,N625)),IF(INDEX(Listado!I:I,N625)=0,"",INDEX(Listado!I:I,N625)))),"")</f>
        <v/>
      </c>
      <c r="P625" s="17">
        <f t="shared" ca="1" si="28"/>
        <v/>
      </c>
      <c r="Q625" s="17">
        <f>IFERROR(IF(AND(N625&lt;&gt;"",ISNUMBER(O625),O625&gt;0,O625&gt;=TODAY()-90),1,0),0)</f>
        <v/>
      </c>
      <c r="R625" s="17" t="str">
        <f t="shared" si="30"/>
        <v/>
      </c>
      <c r="S625" s="17" t="str">
        <f>IF(INDEX(Listado!A:A,ROW())="","",INDEX(Listado!A:A,ROW()))</f>
        <v/>
      </c>
      <c r="T625" s="17" t="str">
        <f ca="1">IF(INDEX(Listado!G:G,ROW())="","",INDEX(Listado!G:G,ROW()))</f>
        <v/>
      </c>
      <c r="U625" s="17" t="str">
        <f>IF(INDEX(Listado!F:F,ROW())="","",INDEX(Listado!F:F,ROW()))</f>
        <v/>
      </c>
      <c r="V625" s="17">
        <f>IF(COUNTA(INDEX(Listado!B:B,ROW()):INDEX(Listado!F:F,ROW()))&gt;0,1,0)</f>
        <v/>
      </c>
      <c r="W625" s="17" t="str">
        <f>IF(INDEX(Listado!L:L,ROW())="","",INDEX(Listado!L:L,ROW()))</f>
        <v/>
      </c>
      <c r="X625" s="17">
        <f>IF(N625="","",IF(INDEX(Listado!$M:$M,N625)="No","No","Sí"))</f>
        <v/>
      </c>
    </row>
    <row r="626" spans="2:24" ht="14.25">
      <c r="N626" s="17" t="str">
        <f>IF(V626=0,"",IFERROR(LOOKUP(2,1/(INDEX(Listado!A:A,2):INDEX(Listado!A:A,ROW())&lt;&gt;""),ROW(INDEX(Listado!A:A,2):INDEX(Listado!A:A,ROW()))),""))</f>
        <v/>
      </c>
      <c r="O626" s="17" t="str">
        <f>IFERROR(IF(N626="","",IF(INDEX(Listado!M:M,N626)="No",IF(INDEX(Listado!N:N,N626)=0,"",INDEX(Listado!N:N,N626)),IF(INDEX(Listado!I:I,N626)=0,"",INDEX(Listado!I:I,N626)))),"")</f>
        <v/>
      </c>
      <c r="P626" s="17">
        <f t="shared" ca="1" si="28"/>
        <v/>
      </c>
      <c r="Q626" s="17">
        <f>IFERROR(IF(AND(N626&lt;&gt;"",ISNUMBER(O626),O626&gt;0,O626&gt;=TODAY()-90),1,0),0)</f>
        <v/>
      </c>
      <c r="R626" s="17" t="str">
        <f t="shared" si="30"/>
        <v/>
      </c>
      <c r="S626" s="17" t="str">
        <f>IF(INDEX(Listado!A:A,ROW())="","",INDEX(Listado!A:A,ROW()))</f>
        <v/>
      </c>
      <c r="T626" s="17" t="str">
        <f ca="1">IF(INDEX(Listado!G:G,ROW())="","",INDEX(Listado!G:G,ROW()))</f>
        <v/>
      </c>
      <c r="U626" s="17" t="str">
        <f>IF(INDEX(Listado!F:F,ROW())="","",INDEX(Listado!F:F,ROW()))</f>
        <v/>
      </c>
      <c r="V626" s="17">
        <f>IF(COUNTA(INDEX(Listado!B:B,ROW()):INDEX(Listado!F:F,ROW()))&gt;0,1,0)</f>
        <v/>
      </c>
      <c r="W626" s="17" t="str">
        <f>IF(INDEX(Listado!L:L,ROW())="","",INDEX(Listado!L:L,ROW()))</f>
        <v/>
      </c>
      <c r="X626" s="17">
        <f>IF(N626="","",IF(INDEX(Listado!$M:$M,N626)="No","No","Sí"))</f>
        <v/>
      </c>
    </row>
    <row r="627" spans="2:24" ht="14.25">
      <c r="N627" s="17" t="str">
        <f>IF(V627=0,"",IFERROR(LOOKUP(2,1/(INDEX(Listado!A:A,2):INDEX(Listado!A:A,ROW())&lt;&gt;""),ROW(INDEX(Listado!A:A,2):INDEX(Listado!A:A,ROW()))),""))</f>
        <v/>
      </c>
      <c r="O627" s="17" t="str">
        <f>IFERROR(IF(N627="","",IF(INDEX(Listado!M:M,N627)="No",IF(INDEX(Listado!N:N,N627)=0,"",INDEX(Listado!N:N,N627)),IF(INDEX(Listado!I:I,N627)=0,"",INDEX(Listado!I:I,N627)))),"")</f>
        <v/>
      </c>
      <c r="P627" s="17">
        <f t="shared" ca="1" si="28"/>
        <v/>
      </c>
      <c r="Q627" s="17">
        <f>IFERROR(IF(AND(N627&lt;&gt;"",ISNUMBER(O627),O627&gt;0,O627&gt;=TODAY()-90),1,0),0)</f>
        <v/>
      </c>
      <c r="R627" s="17" t="str">
        <f t="shared" si="30"/>
        <v/>
      </c>
      <c r="S627" s="17" t="str">
        <f>IF(INDEX(Listado!A:A,ROW())="","",INDEX(Listado!A:A,ROW()))</f>
        <v/>
      </c>
      <c r="T627" s="17" t="str">
        <f ca="1">IF(INDEX(Listado!G:G,ROW())="","",INDEX(Listado!G:G,ROW()))</f>
        <v/>
      </c>
      <c r="U627" s="17" t="str">
        <f>IF(INDEX(Listado!F:F,ROW())="","",INDEX(Listado!F:F,ROW()))</f>
        <v/>
      </c>
      <c r="V627" s="17">
        <f>IF(COUNTA(INDEX(Listado!B:B,ROW()):INDEX(Listado!F:F,ROW()))&gt;0,1,0)</f>
        <v/>
      </c>
      <c r="W627" s="17" t="str">
        <f>IF(INDEX(Listado!L:L,ROW())="","",INDEX(Listado!L:L,ROW()))</f>
        <v/>
      </c>
      <c r="X627" s="17">
        <f>IF(N627="","",IF(INDEX(Listado!$M:$M,N627)="No","No","Sí"))</f>
        <v/>
      </c>
    </row>
    <row r="628" spans="2:24" ht="14.25">
      <c r="N628" s="17" t="str">
        <f>IF(V628=0,"",IFERROR(LOOKUP(2,1/(INDEX(Listado!A:A,2):INDEX(Listado!A:A,ROW())&lt;&gt;""),ROW(INDEX(Listado!A:A,2):INDEX(Listado!A:A,ROW()))),""))</f>
        <v/>
      </c>
      <c r="O628" s="17" t="str">
        <f>IFERROR(IF(N628="","",IF(INDEX(Listado!M:M,N628)="No",IF(INDEX(Listado!N:N,N628)=0,"",INDEX(Listado!N:N,N628)),IF(INDEX(Listado!I:I,N628)=0,"",INDEX(Listado!I:I,N628)))),"")</f>
        <v/>
      </c>
      <c r="P628" s="17">
        <f t="shared" ca="1" si="28"/>
        <v/>
      </c>
      <c r="Q628" s="17">
        <f>IFERROR(IF(AND(N628&lt;&gt;"",ISNUMBER(O628),O628&gt;0,O628&gt;=TODAY()-90),1,0),0)</f>
        <v/>
      </c>
      <c r="R628" s="17" t="str">
        <f t="shared" si="30"/>
        <v/>
      </c>
      <c r="S628" s="17" t="str">
        <f>IF(INDEX(Listado!A:A,ROW())="","",INDEX(Listado!A:A,ROW()))</f>
        <v/>
      </c>
      <c r="T628" s="17" t="str">
        <f ca="1">IF(INDEX(Listado!G:G,ROW())="","",INDEX(Listado!G:G,ROW()))</f>
        <v/>
      </c>
      <c r="U628" s="17" t="str">
        <f>IF(INDEX(Listado!F:F,ROW())="","",INDEX(Listado!F:F,ROW()))</f>
        <v/>
      </c>
      <c r="V628" s="17">
        <f>IF(COUNTA(INDEX(Listado!B:B,ROW()):INDEX(Listado!F:F,ROW()))&gt;0,1,0)</f>
        <v/>
      </c>
      <c r="W628" s="17" t="str">
        <f>IF(INDEX(Listado!L:L,ROW())="","",INDEX(Listado!L:L,ROW()))</f>
        <v/>
      </c>
      <c r="X628" s="17">
        <f>IF(N628="","",IF(INDEX(Listado!$M:$M,N628)="No","No","Sí"))</f>
        <v/>
      </c>
    </row>
    <row r="629" spans="2:24" ht="14.25">
      <c r="N629" s="17" t="str">
        <f>IF(V629=0,"",IFERROR(LOOKUP(2,1/(INDEX(Listado!A:A,2):INDEX(Listado!A:A,ROW())&lt;&gt;""),ROW(INDEX(Listado!A:A,2):INDEX(Listado!A:A,ROW()))),""))</f>
        <v/>
      </c>
      <c r="O629" s="17" t="str">
        <f>IFERROR(IF(N629="","",IF(INDEX(Listado!M:M,N629)="No",IF(INDEX(Listado!N:N,N629)=0,"",INDEX(Listado!N:N,N629)),IF(INDEX(Listado!I:I,N629)=0,"",INDEX(Listado!I:I,N629)))),"")</f>
        <v/>
      </c>
      <c r="P629" s="17">
        <f t="shared" ca="1" si="28"/>
        <v/>
      </c>
      <c r="Q629" s="17">
        <f>IFERROR(IF(AND(N629&lt;&gt;"",ISNUMBER(O629),O629&gt;0,O629&gt;=TODAY()-90),1,0),0)</f>
        <v/>
      </c>
      <c r="R629" s="17" t="str">
        <f t="shared" si="30"/>
        <v/>
      </c>
      <c r="S629" s="17" t="str">
        <f>IF(INDEX(Listado!A:A,ROW())="","",INDEX(Listado!A:A,ROW()))</f>
        <v/>
      </c>
      <c r="T629" s="17" t="str">
        <f ca="1">IF(INDEX(Listado!G:G,ROW())="","",INDEX(Listado!G:G,ROW()))</f>
        <v/>
      </c>
      <c r="U629" s="17" t="str">
        <f>IF(INDEX(Listado!F:F,ROW())="","",INDEX(Listado!F:F,ROW()))</f>
        <v/>
      </c>
      <c r="V629" s="17">
        <f>IF(COUNTA(INDEX(Listado!B:B,ROW()):INDEX(Listado!F:F,ROW()))&gt;0,1,0)</f>
        <v/>
      </c>
      <c r="W629" s="17" t="str">
        <f>IF(INDEX(Listado!L:L,ROW())="","",INDEX(Listado!L:L,ROW()))</f>
        <v/>
      </c>
      <c r="X629" s="17">
        <f>IF(N629="","",IF(INDEX(Listado!$M:$M,N629)="No","No","Sí"))</f>
        <v/>
      </c>
    </row>
    <row r="630" spans="2:24" ht="14.25">
      <c r="N630" s="17" t="str">
        <f>IF(V630=0,"",IFERROR(LOOKUP(2,1/(INDEX(Listado!A:A,2):INDEX(Listado!A:A,ROW())&lt;&gt;""),ROW(INDEX(Listado!A:A,2):INDEX(Listado!A:A,ROW()))),""))</f>
        <v/>
      </c>
      <c r="O630" s="17" t="str">
        <f>IFERROR(IF(N630="","",IF(INDEX(Listado!M:M,N630)="No",IF(INDEX(Listado!N:N,N630)=0,"",INDEX(Listado!N:N,N630)),IF(INDEX(Listado!I:I,N630)=0,"",INDEX(Listado!I:I,N630)))),"")</f>
        <v/>
      </c>
      <c r="P630" s="17">
        <f t="shared" ca="1" si="28"/>
        <v/>
      </c>
      <c r="Q630" s="17">
        <f>IFERROR(IF(AND(N630&lt;&gt;"",ISNUMBER(O630),O630&gt;0,O630&gt;=TODAY()-90),1,0),0)</f>
        <v/>
      </c>
      <c r="R630" s="17" t="str">
        <f t="shared" si="30"/>
        <v/>
      </c>
      <c r="S630" s="17" t="str">
        <f>IF(INDEX(Listado!A:A,ROW())="","",INDEX(Listado!A:A,ROW()))</f>
        <v/>
      </c>
      <c r="T630" s="17" t="str">
        <f ca="1">IF(INDEX(Listado!G:G,ROW())="","",INDEX(Listado!G:G,ROW()))</f>
        <v/>
      </c>
      <c r="U630" s="17" t="str">
        <f>IF(INDEX(Listado!F:F,ROW())="","",INDEX(Listado!F:F,ROW()))</f>
        <v/>
      </c>
      <c r="V630" s="17">
        <f>IF(COUNTA(INDEX(Listado!B:B,ROW()):INDEX(Listado!F:F,ROW()))&gt;0,1,0)</f>
        <v/>
      </c>
      <c r="W630" s="17" t="str">
        <f>IF(INDEX(Listado!L:L,ROW())="","",INDEX(Listado!L:L,ROW()))</f>
        <v/>
      </c>
      <c r="X630" s="17">
        <f>IF(N630="","",IF(INDEX(Listado!$M:$M,N630)="No","No","Sí"))</f>
        <v/>
      </c>
    </row>
    <row r="631" spans="2:24" ht="14.25">
      <c r="N631" s="17" t="str">
        <f>IF(V631=0,"",IFERROR(LOOKUP(2,1/(INDEX(Listado!A:A,2):INDEX(Listado!A:A,ROW())&lt;&gt;""),ROW(INDEX(Listado!A:A,2):INDEX(Listado!A:A,ROW()))),""))</f>
        <v/>
      </c>
      <c r="O631" s="17" t="str">
        <f>IFERROR(IF(N631="","",IF(INDEX(Listado!M:M,N631)="No",IF(INDEX(Listado!N:N,N631)=0,"",INDEX(Listado!N:N,N631)),IF(INDEX(Listado!I:I,N631)=0,"",INDEX(Listado!I:I,N631)))),"")</f>
        <v/>
      </c>
      <c r="P631" s="17">
        <f t="shared" ca="1" si="28"/>
        <v/>
      </c>
      <c r="Q631" s="17">
        <f>IFERROR(IF(AND(N631&lt;&gt;"",ISNUMBER(O631),O631&gt;0,O631&gt;=TODAY()-90),1,0),0)</f>
        <v/>
      </c>
      <c r="R631" s="17" t="str">
        <f t="shared" si="30"/>
        <v/>
      </c>
      <c r="S631" s="17" t="str">
        <f>IF(INDEX(Listado!A:A,ROW())="","",INDEX(Listado!A:A,ROW()))</f>
        <v/>
      </c>
      <c r="T631" s="17" t="str">
        <f ca="1">IF(INDEX(Listado!G:G,ROW())="","",INDEX(Listado!G:G,ROW()))</f>
        <v/>
      </c>
      <c r="U631" s="17" t="str">
        <f>IF(INDEX(Listado!F:F,ROW())="","",INDEX(Listado!F:F,ROW()))</f>
        <v/>
      </c>
      <c r="V631" s="17">
        <f>IF(COUNTA(INDEX(Listado!B:B,ROW()):INDEX(Listado!F:F,ROW()))&gt;0,1,0)</f>
        <v/>
      </c>
      <c r="W631" s="17" t="str">
        <f>IF(INDEX(Listado!L:L,ROW())="","",INDEX(Listado!L:L,ROW()))</f>
        <v/>
      </c>
      <c r="X631" s="17">
        <f>IF(N631="","",IF(INDEX(Listado!$M:$M,N631)="No","No","Sí"))</f>
        <v/>
      </c>
    </row>
    <row r="632" spans="2:24" ht="14.25">
      <c r="N632" s="17" t="str">
        <f>IF(V632=0,"",IFERROR(LOOKUP(2,1/(INDEX(Listado!A:A,2):INDEX(Listado!A:A,ROW())&lt;&gt;""),ROW(INDEX(Listado!A:A,2):INDEX(Listado!A:A,ROW()))),""))</f>
        <v/>
      </c>
      <c r="O632" s="17" t="str">
        <f>IFERROR(IF(N632="","",IF(INDEX(Listado!M:M,N632)="No",IF(INDEX(Listado!N:N,N632)=0,"",INDEX(Listado!N:N,N632)),IF(INDEX(Listado!I:I,N632)=0,"",INDEX(Listado!I:I,N632)))),"")</f>
        <v/>
      </c>
      <c r="P632" s="17">
        <f t="shared" ca="1" si="28"/>
        <v/>
      </c>
      <c r="Q632" s="17">
        <f>IFERROR(IF(AND(N632&lt;&gt;"",ISNUMBER(O632),O632&gt;0,O632&gt;=TODAY()-90),1,0),0)</f>
        <v/>
      </c>
      <c r="R632" s="17" t="str">
        <f t="shared" si="30"/>
        <v/>
      </c>
      <c r="S632" s="17" t="str">
        <f>IF(INDEX(Listado!A:A,ROW())="","",INDEX(Listado!A:A,ROW()))</f>
        <v/>
      </c>
      <c r="T632" s="17" t="str">
        <f ca="1">IF(INDEX(Listado!G:G,ROW())="","",INDEX(Listado!G:G,ROW()))</f>
        <v/>
      </c>
      <c r="U632" s="17" t="str">
        <f>IF(INDEX(Listado!F:F,ROW())="","",INDEX(Listado!F:F,ROW()))</f>
        <v/>
      </c>
      <c r="V632" s="17">
        <f>IF(COUNTA(INDEX(Listado!B:B,ROW()):INDEX(Listado!F:F,ROW()))&gt;0,1,0)</f>
        <v/>
      </c>
      <c r="W632" s="17" t="str">
        <f>IF(INDEX(Listado!L:L,ROW())="","",INDEX(Listado!L:L,ROW()))</f>
        <v/>
      </c>
      <c r="X632" s="17">
        <f>IF(N632="","",IF(INDEX(Listado!$M:$M,N632)="No","No","Sí"))</f>
        <v/>
      </c>
    </row>
    <row r="633" spans="2:24" ht="14.25">
      <c r="N633" s="17" t="str">
        <f>IF(V633=0,"",IFERROR(LOOKUP(2,1/(INDEX(Listado!A:A,2):INDEX(Listado!A:A,ROW())&lt;&gt;""),ROW(INDEX(Listado!A:A,2):INDEX(Listado!A:A,ROW()))),""))</f>
        <v/>
      </c>
      <c r="O633" s="17" t="str">
        <f>IFERROR(IF(N633="","",IF(INDEX(Listado!M:M,N633)="No",IF(INDEX(Listado!N:N,N633)=0,"",INDEX(Listado!N:N,N633)),IF(INDEX(Listado!I:I,N633)=0,"",INDEX(Listado!I:I,N633)))),"")</f>
        <v/>
      </c>
      <c r="P633" s="17">
        <f t="shared" ca="1" si="28"/>
        <v/>
      </c>
      <c r="Q633" s="17">
        <f>IFERROR(IF(AND(N633&lt;&gt;"",ISNUMBER(O633),O633&gt;0,O633&gt;=TODAY()-90),1,0),0)</f>
        <v/>
      </c>
      <c r="R633" s="17" t="str">
        <f t="shared" si="30"/>
        <v/>
      </c>
      <c r="S633" s="17" t="str">
        <f>IF(INDEX(Listado!A:A,ROW())="","",INDEX(Listado!A:A,ROW()))</f>
        <v/>
      </c>
      <c r="T633" s="17" t="str">
        <f ca="1">IF(INDEX(Listado!G:G,ROW())="","",INDEX(Listado!G:G,ROW()))</f>
        <v/>
      </c>
      <c r="U633" s="17" t="str">
        <f>IF(INDEX(Listado!F:F,ROW())="","",INDEX(Listado!F:F,ROW()))</f>
        <v/>
      </c>
      <c r="V633" s="17">
        <f>IF(COUNTA(INDEX(Listado!B:B,ROW()):INDEX(Listado!F:F,ROW()))&gt;0,1,0)</f>
        <v/>
      </c>
      <c r="W633" s="17" t="str">
        <f>IF(INDEX(Listado!L:L,ROW())="","",INDEX(Listado!L:L,ROW()))</f>
        <v/>
      </c>
      <c r="X633" s="17">
        <f>IF(N633="","",IF(INDEX(Listado!$M:$M,N633)="No","No","Sí"))</f>
        <v/>
      </c>
    </row>
    <row r="634" spans="2:24" ht="14.25">
      <c r="N634" s="17" t="str">
        <f>IF(V634=0,"",IFERROR(LOOKUP(2,1/(INDEX(Listado!A:A,2):INDEX(Listado!A:A,ROW())&lt;&gt;""),ROW(INDEX(Listado!A:A,2):INDEX(Listado!A:A,ROW()))),""))</f>
        <v/>
      </c>
      <c r="O634" s="17" t="str">
        <f>IFERROR(IF(N634="","",IF(INDEX(Listado!M:M,N634)="No",IF(INDEX(Listado!N:N,N634)=0,"",INDEX(Listado!N:N,N634)),IF(INDEX(Listado!I:I,N634)=0,"",INDEX(Listado!I:I,N634)))),"")</f>
        <v/>
      </c>
      <c r="P634" s="17">
        <f t="shared" ca="1" si="28"/>
        <v/>
      </c>
      <c r="Q634" s="17">
        <f>IFERROR(IF(AND(N634&lt;&gt;"",ISNUMBER(O634),O634&gt;0,O634&gt;=TODAY()-90),1,0),0)</f>
        <v/>
      </c>
      <c r="R634" s="17" t="str">
        <f t="shared" si="30"/>
        <v/>
      </c>
      <c r="S634" s="17" t="str">
        <f>IF(INDEX(Listado!A:A,ROW())="","",INDEX(Listado!A:A,ROW()))</f>
        <v/>
      </c>
      <c r="T634" s="17" t="str">
        <f ca="1">IF(INDEX(Listado!G:G,ROW())="","",INDEX(Listado!G:G,ROW()))</f>
        <v/>
      </c>
      <c r="U634" s="17" t="str">
        <f>IF(INDEX(Listado!F:F,ROW())="","",INDEX(Listado!F:F,ROW()))</f>
        <v/>
      </c>
      <c r="V634" s="17">
        <f>IF(COUNTA(INDEX(Listado!B:B,ROW()):INDEX(Listado!F:F,ROW()))&gt;0,1,0)</f>
        <v/>
      </c>
      <c r="W634" s="17" t="str">
        <f>IF(INDEX(Listado!L:L,ROW())="","",INDEX(Listado!L:L,ROW()))</f>
        <v/>
      </c>
      <c r="X634" s="17">
        <f>IF(N634="","",IF(INDEX(Listado!$M:$M,N634)="No","No","Sí"))</f>
        <v/>
      </c>
    </row>
    <row r="635" spans="2:24" ht="14.25">
      <c r="N635" s="17" t="str">
        <f>IF(V635=0,"",IFERROR(LOOKUP(2,1/(INDEX(Listado!A:A,2):INDEX(Listado!A:A,ROW())&lt;&gt;""),ROW(INDEX(Listado!A:A,2):INDEX(Listado!A:A,ROW()))),""))</f>
        <v/>
      </c>
      <c r="O635" s="17" t="str">
        <f>IFERROR(IF(N635="","",IF(INDEX(Listado!M:M,N635)="No",IF(INDEX(Listado!N:N,N635)=0,"",INDEX(Listado!N:N,N635)),IF(INDEX(Listado!I:I,N635)=0,"",INDEX(Listado!I:I,N635)))),"")</f>
        <v/>
      </c>
      <c r="P635" s="17">
        <f t="shared" ca="1" si="28"/>
        <v/>
      </c>
      <c r="Q635" s="17">
        <f>IFERROR(IF(AND(N635&lt;&gt;"",ISNUMBER(O635),O635&gt;0,O635&gt;=TODAY()-90),1,0),0)</f>
        <v/>
      </c>
      <c r="R635" s="17" t="str">
        <f t="shared" si="30"/>
        <v/>
      </c>
      <c r="S635" s="17" t="str">
        <f>IF(INDEX(Listado!A:A,ROW())="","",INDEX(Listado!A:A,ROW()))</f>
        <v/>
      </c>
      <c r="T635" s="17" t="str">
        <f ca="1">IF(INDEX(Listado!G:G,ROW())="","",INDEX(Listado!G:G,ROW()))</f>
        <v/>
      </c>
      <c r="U635" s="17" t="str">
        <f>IF(INDEX(Listado!F:F,ROW())="","",INDEX(Listado!F:F,ROW()))</f>
        <v/>
      </c>
      <c r="V635" s="17">
        <f>IF(COUNTA(INDEX(Listado!B:B,ROW()):INDEX(Listado!F:F,ROW()))&gt;0,1,0)</f>
        <v/>
      </c>
      <c r="W635" s="17" t="str">
        <f>IF(INDEX(Listado!L:L,ROW())="","",INDEX(Listado!L:L,ROW()))</f>
        <v/>
      </c>
      <c r="X635" s="17">
        <f>IF(N635="","",IF(INDEX(Listado!$M:$M,N635)="No","No","Sí"))</f>
        <v/>
      </c>
    </row>
    <row r="636" spans="2:24" ht="14.25">
      <c r="N636" s="17" t="str">
        <f>IF(V636=0,"",IFERROR(LOOKUP(2,1/(INDEX(Listado!A:A,2):INDEX(Listado!A:A,ROW())&lt;&gt;""),ROW(INDEX(Listado!A:A,2):INDEX(Listado!A:A,ROW()))),""))</f>
        <v/>
      </c>
      <c r="O636" s="17" t="str">
        <f>IFERROR(IF(N636="","",IF(INDEX(Listado!M:M,N636)="No",IF(INDEX(Listado!N:N,N636)=0,"",INDEX(Listado!N:N,N636)),IF(INDEX(Listado!I:I,N636)=0,"",INDEX(Listado!I:I,N636)))),"")</f>
        <v/>
      </c>
      <c r="P636" s="17">
        <f t="shared" ca="1" si="28"/>
        <v/>
      </c>
      <c r="Q636" s="17">
        <f>IFERROR(IF(AND(N636&lt;&gt;"",ISNUMBER(O636),O636&gt;0,O636&gt;=TODAY()-90),1,0),0)</f>
        <v/>
      </c>
      <c r="R636" s="17" t="str">
        <f t="shared" si="30"/>
        <v/>
      </c>
      <c r="S636" s="17" t="str">
        <f>IF(INDEX(Listado!A:A,ROW())="","",INDEX(Listado!A:A,ROW()))</f>
        <v/>
      </c>
      <c r="T636" s="17" t="str">
        <f ca="1">IF(INDEX(Listado!G:G,ROW())="","",INDEX(Listado!G:G,ROW()))</f>
        <v/>
      </c>
      <c r="U636" s="17" t="str">
        <f>IF(INDEX(Listado!F:F,ROW())="","",INDEX(Listado!F:F,ROW()))</f>
        <v/>
      </c>
      <c r="V636" s="17">
        <f>IF(COUNTA(INDEX(Listado!B:B,ROW()):INDEX(Listado!F:F,ROW()))&gt;0,1,0)</f>
        <v/>
      </c>
      <c r="W636" s="17" t="str">
        <f>IF(INDEX(Listado!L:L,ROW())="","",INDEX(Listado!L:L,ROW()))</f>
        <v/>
      </c>
      <c r="X636" s="17">
        <f>IF(N636="","",IF(INDEX(Listado!$M:$M,N636)="No","No","Sí"))</f>
        <v/>
      </c>
    </row>
    <row r="637" spans="2:24" ht="14.25">
      <c r="N637" s="17" t="str">
        <f>IF(V637=0,"",IFERROR(LOOKUP(2,1/(INDEX(Listado!A:A,2):INDEX(Listado!A:A,ROW())&lt;&gt;""),ROW(INDEX(Listado!A:A,2):INDEX(Listado!A:A,ROW()))),""))</f>
        <v/>
      </c>
      <c r="O637" s="17" t="str">
        <f>IFERROR(IF(N637="","",IF(INDEX(Listado!M:M,N637)="No",IF(INDEX(Listado!N:N,N637)=0,"",INDEX(Listado!N:N,N637)),IF(INDEX(Listado!I:I,N637)=0,"",INDEX(Listado!I:I,N637)))),"")</f>
        <v/>
      </c>
      <c r="P637" s="17">
        <f t="shared" ca="1" si="28"/>
        <v/>
      </c>
      <c r="Q637" s="17">
        <f>IFERROR(IF(AND(N637&lt;&gt;"",ISNUMBER(O637),O637&gt;0,O637&gt;=TODAY()-90),1,0),0)</f>
        <v/>
      </c>
      <c r="R637" s="17" t="str">
        <f t="shared" si="30"/>
        <v/>
      </c>
      <c r="S637" s="17" t="str">
        <f>IF(INDEX(Listado!A:A,ROW())="","",INDEX(Listado!A:A,ROW()))</f>
        <v/>
      </c>
      <c r="T637" s="17" t="str">
        <f ca="1">IF(INDEX(Listado!G:G,ROW())="","",INDEX(Listado!G:G,ROW()))</f>
        <v/>
      </c>
      <c r="U637" s="17" t="str">
        <f>IF(INDEX(Listado!F:F,ROW())="","",INDEX(Listado!F:F,ROW()))</f>
        <v/>
      </c>
      <c r="V637" s="17">
        <f>IF(COUNTA(INDEX(Listado!B:B,ROW()):INDEX(Listado!F:F,ROW()))&gt;0,1,0)</f>
        <v/>
      </c>
      <c r="W637" s="17" t="str">
        <f>IF(INDEX(Listado!L:L,ROW())="","",INDEX(Listado!L:L,ROW()))</f>
        <v/>
      </c>
      <c r="X637" s="17">
        <f>IF(N637="","",IF(INDEX(Listado!$M:$M,N637)="No","No","Sí"))</f>
        <v/>
      </c>
    </row>
    <row r="638" spans="2:24" ht="14.25">
      <c r="N638" s="17" t="str">
        <f>IF(V638=0,"",IFERROR(LOOKUP(2,1/(INDEX(Listado!A:A,2):INDEX(Listado!A:A,ROW())&lt;&gt;""),ROW(INDEX(Listado!A:A,2):INDEX(Listado!A:A,ROW()))),""))</f>
        <v/>
      </c>
      <c r="O638" s="17" t="str">
        <f>IFERROR(IF(N638="","",IF(INDEX(Listado!M:M,N638)="No",IF(INDEX(Listado!N:N,N638)=0,"",INDEX(Listado!N:N,N638)),IF(INDEX(Listado!I:I,N638)=0,"",INDEX(Listado!I:I,N638)))),"")</f>
        <v/>
      </c>
      <c r="P638" s="17">
        <f t="shared" ca="1" si="28"/>
        <v/>
      </c>
      <c r="Q638" s="17">
        <f>IFERROR(IF(AND(N638&lt;&gt;"",ISNUMBER(O638),O638&gt;0,O638&gt;=TODAY()-90),1,0),0)</f>
        <v/>
      </c>
      <c r="R638" s="17" t="str">
        <f t="shared" si="30"/>
        <v/>
      </c>
      <c r="S638" s="17" t="str">
        <f>IF(INDEX(Listado!A:A,ROW())="","",INDEX(Listado!A:A,ROW()))</f>
        <v/>
      </c>
      <c r="T638" s="17" t="str">
        <f ca="1">IF(INDEX(Listado!G:G,ROW())="","",INDEX(Listado!G:G,ROW()))</f>
        <v/>
      </c>
      <c r="U638" s="17" t="str">
        <f>IF(INDEX(Listado!F:F,ROW())="","",INDEX(Listado!F:F,ROW()))</f>
        <v/>
      </c>
      <c r="V638" s="17">
        <f>IF(COUNTA(INDEX(Listado!B:B,ROW()):INDEX(Listado!F:F,ROW()))&gt;0,1,0)</f>
        <v/>
      </c>
      <c r="W638" s="17" t="str">
        <f>IF(INDEX(Listado!L:L,ROW())="","",INDEX(Listado!L:L,ROW()))</f>
        <v/>
      </c>
      <c r="X638" s="17">
        <f>IF(N638="","",IF(INDEX(Listado!$M:$M,N638)="No","No","Sí"))</f>
        <v/>
      </c>
    </row>
    <row r="639" spans="2:24" ht="14.25">
      <c r="N639" s="17" t="str">
        <f>IF(V639=0,"",IFERROR(LOOKUP(2,1/(INDEX(Listado!A:A,2):INDEX(Listado!A:A,ROW())&lt;&gt;""),ROW(INDEX(Listado!A:A,2):INDEX(Listado!A:A,ROW()))),""))</f>
        <v/>
      </c>
      <c r="O639" s="17" t="str">
        <f>IFERROR(IF(N639="","",IF(INDEX(Listado!M:M,N639)="No",IF(INDEX(Listado!N:N,N639)=0,"",INDEX(Listado!N:N,N639)),IF(INDEX(Listado!I:I,N639)=0,"",INDEX(Listado!I:I,N639)))),"")</f>
        <v/>
      </c>
      <c r="P639" s="17">
        <f t="shared" ca="1" si="28"/>
        <v/>
      </c>
      <c r="Q639" s="17">
        <f>IFERROR(IF(AND(N639&lt;&gt;"",ISNUMBER(O639),O639&gt;0,O639&gt;=TODAY()-90),1,0),0)</f>
        <v/>
      </c>
      <c r="R639" s="17" t="str">
        <f t="shared" si="30"/>
        <v/>
      </c>
      <c r="S639" s="17" t="str">
        <f>IF(INDEX(Listado!A:A,ROW())="","",INDEX(Listado!A:A,ROW()))</f>
        <v/>
      </c>
      <c r="T639" s="17" t="str">
        <f ca="1">IF(INDEX(Listado!G:G,ROW())="","",INDEX(Listado!G:G,ROW()))</f>
        <v/>
      </c>
      <c r="U639" s="17" t="str">
        <f>IF(INDEX(Listado!F:F,ROW())="","",INDEX(Listado!F:F,ROW()))</f>
        <v/>
      </c>
      <c r="V639" s="17">
        <f>IF(COUNTA(INDEX(Listado!B:B,ROW()):INDEX(Listado!F:F,ROW()))&gt;0,1,0)</f>
        <v/>
      </c>
      <c r="W639" s="17" t="str">
        <f>IF(INDEX(Listado!L:L,ROW())="","",INDEX(Listado!L:L,ROW()))</f>
        <v/>
      </c>
      <c r="X639" s="17">
        <f>IF(N639="","",IF(INDEX(Listado!$M:$M,N639)="No","No","Sí"))</f>
        <v/>
      </c>
    </row>
    <row r="640" spans="2:24" ht="14.25">
      <c r="N640" s="17" t="str">
        <f>IF(V640=0,"",IFERROR(LOOKUP(2,1/(INDEX(Listado!A:A,2):INDEX(Listado!A:A,ROW())&lt;&gt;""),ROW(INDEX(Listado!A:A,2):INDEX(Listado!A:A,ROW()))),""))</f>
        <v/>
      </c>
      <c r="O640" s="17" t="str">
        <f>IFERROR(IF(N640="","",IF(INDEX(Listado!M:M,N640)="No",IF(INDEX(Listado!N:N,N640)=0,"",INDEX(Listado!N:N,N640)),IF(INDEX(Listado!I:I,N640)=0,"",INDEX(Listado!I:I,N640)))),"")</f>
        <v/>
      </c>
      <c r="P640" s="17">
        <f t="shared" ca="1" si="28"/>
        <v/>
      </c>
      <c r="Q640" s="17">
        <f>IFERROR(IF(AND(N640&lt;&gt;"",ISNUMBER(O640),O640&gt;0,O640&gt;=TODAY()-90),1,0),0)</f>
        <v/>
      </c>
      <c r="R640" s="17" t="str">
        <f t="shared" si="30"/>
        <v/>
      </c>
      <c r="S640" s="17" t="str">
        <f>IF(INDEX(Listado!A:A,ROW())="","",INDEX(Listado!A:A,ROW()))</f>
        <v/>
      </c>
      <c r="T640" s="17" t="str">
        <f ca="1">IF(INDEX(Listado!G:G,ROW())="","",INDEX(Listado!G:G,ROW()))</f>
        <v/>
      </c>
      <c r="U640" s="17" t="str">
        <f>IF(INDEX(Listado!F:F,ROW())="","",INDEX(Listado!F:F,ROW()))</f>
        <v/>
      </c>
      <c r="V640" s="17">
        <f>IF(COUNTA(INDEX(Listado!B:B,ROW()):INDEX(Listado!F:F,ROW()))&gt;0,1,0)</f>
        <v/>
      </c>
      <c r="W640" s="17" t="str">
        <f>IF(INDEX(Listado!L:L,ROW())="","",INDEX(Listado!L:L,ROW()))</f>
        <v/>
      </c>
      <c r="X640" s="17">
        <f>IF(N640="","",IF(INDEX(Listado!$M:$M,N640)="No","No","Sí"))</f>
        <v/>
      </c>
    </row>
    <row r="641" spans="2:24" ht="14.25">
      <c r="N641" s="17" t="str">
        <f>IF(V641=0,"",IFERROR(LOOKUP(2,1/(INDEX(Listado!A:A,2):INDEX(Listado!A:A,ROW())&lt;&gt;""),ROW(INDEX(Listado!A:A,2):INDEX(Listado!A:A,ROW()))),""))</f>
        <v/>
      </c>
      <c r="O641" s="17" t="str">
        <f>IFERROR(IF(N641="","",IF(INDEX(Listado!M:M,N641)="No",IF(INDEX(Listado!N:N,N641)=0,"",INDEX(Listado!N:N,N641)),IF(INDEX(Listado!I:I,N641)=0,"",INDEX(Listado!I:I,N641)))),"")</f>
        <v/>
      </c>
      <c r="P641" s="17">
        <f t="shared" ca="1" si="28"/>
        <v/>
      </c>
      <c r="Q641" s="17">
        <f>IFERROR(IF(AND(N641&lt;&gt;"",ISNUMBER(O641),O641&gt;0,O641&gt;=TODAY()-90),1,0),0)</f>
        <v/>
      </c>
      <c r="R641" s="17" t="str">
        <f t="shared" si="30"/>
        <v/>
      </c>
      <c r="S641" s="17" t="str">
        <f>IF(INDEX(Listado!A:A,ROW())="","",INDEX(Listado!A:A,ROW()))</f>
        <v/>
      </c>
      <c r="T641" s="17" t="str">
        <f ca="1">IF(INDEX(Listado!G:G,ROW())="","",INDEX(Listado!G:G,ROW()))</f>
        <v/>
      </c>
      <c r="U641" s="17" t="str">
        <f>IF(INDEX(Listado!F:F,ROW())="","",INDEX(Listado!F:F,ROW()))</f>
        <v/>
      </c>
      <c r="V641" s="17">
        <f>IF(COUNTA(INDEX(Listado!B:B,ROW()):INDEX(Listado!F:F,ROW()))&gt;0,1,0)</f>
        <v/>
      </c>
      <c r="W641" s="17" t="str">
        <f>IF(INDEX(Listado!L:L,ROW())="","",INDEX(Listado!L:L,ROW()))</f>
        <v/>
      </c>
      <c r="X641" s="17">
        <f>IF(N641="","",IF(INDEX(Listado!$M:$M,N641)="No","No","Sí"))</f>
        <v/>
      </c>
    </row>
    <row r="642" spans="2:24" ht="14.25">
      <c r="N642" s="17" t="str">
        <f>IF(V642=0,"",IFERROR(LOOKUP(2,1/(INDEX(Listado!A:A,2):INDEX(Listado!A:A,ROW())&lt;&gt;""),ROW(INDEX(Listado!A:A,2):INDEX(Listado!A:A,ROW()))),""))</f>
        <v/>
      </c>
      <c r="O642" s="17" t="str">
        <f>IFERROR(IF(N642="","",IF(INDEX(Listado!M:M,N642)="No",IF(INDEX(Listado!N:N,N642)=0,"",INDEX(Listado!N:N,N642)),IF(INDEX(Listado!I:I,N642)=0,"",INDEX(Listado!I:I,N642)))),"")</f>
        <v/>
      </c>
      <c r="P642" s="17">
        <f t="shared" ref="P642:P705" ca="1" si="31">IF(W642="",0,IFERROR(IF(AND(ISNUMBER(W642),W642=INT(W642),ISNUMBER(O642),O642&gt;0,W642&gt;=TODAY(),W642&lt;=O642+90),0,1),1))</f>
        <v/>
      </c>
      <c r="Q642" s="17">
        <f>IFERROR(IF(AND(N642&lt;&gt;"",ISNUMBER(O642),O642&gt;0,O642&gt;=TODAY()-90),1,0),0)</f>
        <v/>
      </c>
      <c r="R642" s="17" t="str">
        <f t="shared" ref="R642:R705" si="33">IF(S642="","",COUNTIFS($N$2:$N$2999,ROW(),$Q$2:$Q$2999,1))</f>
        <v/>
      </c>
      <c r="S642" s="17" t="str">
        <f>IF(INDEX(Listado!A:A,ROW())="","",INDEX(Listado!A:A,ROW()))</f>
        <v/>
      </c>
      <c r="T642" s="17" t="str">
        <f ca="1">IF(INDEX(Listado!G:G,ROW())="","",INDEX(Listado!G:G,ROW()))</f>
        <v/>
      </c>
      <c r="U642" s="17" t="str">
        <f>IF(INDEX(Listado!F:F,ROW())="","",INDEX(Listado!F:F,ROW()))</f>
        <v/>
      </c>
      <c r="V642" s="17">
        <f>IF(COUNTA(INDEX(Listado!B:B,ROW()):INDEX(Listado!F:F,ROW()))&gt;0,1,0)</f>
        <v/>
      </c>
      <c r="W642" s="17" t="str">
        <f>IF(INDEX(Listado!L:L,ROW())="","",INDEX(Listado!L:L,ROW()))</f>
        <v/>
      </c>
      <c r="X642" s="17">
        <f>IF(N642="","",IF(INDEX(Listado!$M:$M,N642)="No","No","Sí"))</f>
        <v/>
      </c>
    </row>
    <row r="643" spans="2:24" ht="14.25">
      <c r="N643" s="17" t="str">
        <f>IF(V643=0,"",IFERROR(LOOKUP(2,1/(INDEX(Listado!A:A,2):INDEX(Listado!A:A,ROW())&lt;&gt;""),ROW(INDEX(Listado!A:A,2):INDEX(Listado!A:A,ROW()))),""))</f>
        <v/>
      </c>
      <c r="O643" s="17" t="str">
        <f>IFERROR(IF(N643="","",IF(INDEX(Listado!M:M,N643)="No",IF(INDEX(Listado!N:N,N643)=0,"",INDEX(Listado!N:N,N643)),IF(INDEX(Listado!I:I,N643)=0,"",INDEX(Listado!I:I,N643)))),"")</f>
        <v/>
      </c>
      <c r="P643" s="17">
        <f t="shared" ca="1" si="31"/>
        <v/>
      </c>
      <c r="Q643" s="17">
        <f>IFERROR(IF(AND(N643&lt;&gt;"",ISNUMBER(O643),O643&gt;0,O643&gt;=TODAY()-90),1,0),0)</f>
        <v/>
      </c>
      <c r="R643" s="17" t="str">
        <f t="shared" si="33"/>
        <v/>
      </c>
      <c r="S643" s="17" t="str">
        <f>IF(INDEX(Listado!A:A,ROW())="","",INDEX(Listado!A:A,ROW()))</f>
        <v/>
      </c>
      <c r="T643" s="17" t="str">
        <f ca="1">IF(INDEX(Listado!G:G,ROW())="","",INDEX(Listado!G:G,ROW()))</f>
        <v/>
      </c>
      <c r="U643" s="17" t="str">
        <f>IF(INDEX(Listado!F:F,ROW())="","",INDEX(Listado!F:F,ROW()))</f>
        <v/>
      </c>
      <c r="V643" s="17">
        <f>IF(COUNTA(INDEX(Listado!B:B,ROW()):INDEX(Listado!F:F,ROW()))&gt;0,1,0)</f>
        <v/>
      </c>
      <c r="W643" s="17" t="str">
        <f>IF(INDEX(Listado!L:L,ROW())="","",INDEX(Listado!L:L,ROW()))</f>
        <v/>
      </c>
      <c r="X643" s="17">
        <f>IF(N643="","",IF(INDEX(Listado!$M:$M,N643)="No","No","Sí"))</f>
        <v/>
      </c>
    </row>
    <row r="644" spans="2:24" ht="14.25">
      <c r="N644" s="17" t="str">
        <f>IF(V644=0,"",IFERROR(LOOKUP(2,1/(INDEX(Listado!A:A,2):INDEX(Listado!A:A,ROW())&lt;&gt;""),ROW(INDEX(Listado!A:A,2):INDEX(Listado!A:A,ROW()))),""))</f>
        <v/>
      </c>
      <c r="O644" s="17" t="str">
        <f>IFERROR(IF(N644="","",IF(INDEX(Listado!M:M,N644)="No",IF(INDEX(Listado!N:N,N644)=0,"",INDEX(Listado!N:N,N644)),IF(INDEX(Listado!I:I,N644)=0,"",INDEX(Listado!I:I,N644)))),"")</f>
        <v/>
      </c>
      <c r="P644" s="17">
        <f t="shared" ca="1" si="31"/>
        <v/>
      </c>
      <c r="Q644" s="17">
        <f>IFERROR(IF(AND(N644&lt;&gt;"",ISNUMBER(O644),O644&gt;0,O644&gt;=TODAY()-90),1,0),0)</f>
        <v/>
      </c>
      <c r="R644" s="17" t="str">
        <f t="shared" si="33"/>
        <v/>
      </c>
      <c r="S644" s="17" t="str">
        <f>IF(INDEX(Listado!A:A,ROW())="","",INDEX(Listado!A:A,ROW()))</f>
        <v/>
      </c>
      <c r="T644" s="17" t="str">
        <f ca="1">IF(INDEX(Listado!G:G,ROW())="","",INDEX(Listado!G:G,ROW()))</f>
        <v/>
      </c>
      <c r="U644" s="17" t="str">
        <f>IF(INDEX(Listado!F:F,ROW())="","",INDEX(Listado!F:F,ROW()))</f>
        <v/>
      </c>
      <c r="V644" s="17">
        <f>IF(COUNTA(INDEX(Listado!B:B,ROW()):INDEX(Listado!F:F,ROW()))&gt;0,1,0)</f>
        <v/>
      </c>
      <c r="W644" s="17" t="str">
        <f>IF(INDEX(Listado!L:L,ROW())="","",INDEX(Listado!L:L,ROW()))</f>
        <v/>
      </c>
      <c r="X644" s="17">
        <f>IF(N644="","",IF(INDEX(Listado!$M:$M,N644)="No","No","Sí"))</f>
        <v/>
      </c>
    </row>
    <row r="645" spans="2:24" ht="14.25">
      <c r="N645" s="17" t="str">
        <f>IF(V645=0,"",IFERROR(LOOKUP(2,1/(INDEX(Listado!A:A,2):INDEX(Listado!A:A,ROW())&lt;&gt;""),ROW(INDEX(Listado!A:A,2):INDEX(Listado!A:A,ROW()))),""))</f>
        <v/>
      </c>
      <c r="O645" s="17" t="str">
        <f>IFERROR(IF(N645="","",IF(INDEX(Listado!M:M,N645)="No",IF(INDEX(Listado!N:N,N645)=0,"",INDEX(Listado!N:N,N645)),IF(INDEX(Listado!I:I,N645)=0,"",INDEX(Listado!I:I,N645)))),"")</f>
        <v/>
      </c>
      <c r="P645" s="17">
        <f t="shared" ca="1" si="31"/>
        <v/>
      </c>
      <c r="Q645" s="17">
        <f>IFERROR(IF(AND(N645&lt;&gt;"",ISNUMBER(O645),O645&gt;0,O645&gt;=TODAY()-90),1,0),0)</f>
        <v/>
      </c>
      <c r="R645" s="17" t="str">
        <f t="shared" si="33"/>
        <v/>
      </c>
      <c r="S645" s="17" t="str">
        <f>IF(INDEX(Listado!A:A,ROW())="","",INDEX(Listado!A:A,ROW()))</f>
        <v/>
      </c>
      <c r="T645" s="17" t="str">
        <f ca="1">IF(INDEX(Listado!G:G,ROW())="","",INDEX(Listado!G:G,ROW()))</f>
        <v/>
      </c>
      <c r="U645" s="17" t="str">
        <f>IF(INDEX(Listado!F:F,ROW())="","",INDEX(Listado!F:F,ROW()))</f>
        <v/>
      </c>
      <c r="V645" s="17">
        <f>IF(COUNTA(INDEX(Listado!B:B,ROW()):INDEX(Listado!F:F,ROW()))&gt;0,1,0)</f>
        <v/>
      </c>
      <c r="W645" s="17" t="str">
        <f>IF(INDEX(Listado!L:L,ROW())="","",INDEX(Listado!L:L,ROW()))</f>
        <v/>
      </c>
      <c r="X645" s="17">
        <f>IF(N645="","",IF(INDEX(Listado!$M:$M,N645)="No","No","Sí"))</f>
        <v/>
      </c>
    </row>
    <row r="646" spans="2:24" ht="14.25">
      <c r="N646" s="17" t="str">
        <f>IF(V646=0,"",IFERROR(LOOKUP(2,1/(INDEX(Listado!A:A,2):INDEX(Listado!A:A,ROW())&lt;&gt;""),ROW(INDEX(Listado!A:A,2):INDEX(Listado!A:A,ROW()))),""))</f>
        <v/>
      </c>
      <c r="O646" s="17" t="str">
        <f>IFERROR(IF(N646="","",IF(INDEX(Listado!M:M,N646)="No",IF(INDEX(Listado!N:N,N646)=0,"",INDEX(Listado!N:N,N646)),IF(INDEX(Listado!I:I,N646)=0,"",INDEX(Listado!I:I,N646)))),"")</f>
        <v/>
      </c>
      <c r="P646" s="17">
        <f t="shared" ca="1" si="31"/>
        <v/>
      </c>
      <c r="Q646" s="17">
        <f>IFERROR(IF(AND(N646&lt;&gt;"",ISNUMBER(O646),O646&gt;0,O646&gt;=TODAY()-90),1,0),0)</f>
        <v/>
      </c>
      <c r="R646" s="17" t="str">
        <f t="shared" si="33"/>
        <v/>
      </c>
      <c r="S646" s="17" t="str">
        <f>IF(INDEX(Listado!A:A,ROW())="","",INDEX(Listado!A:A,ROW()))</f>
        <v/>
      </c>
      <c r="T646" s="17" t="str">
        <f ca="1">IF(INDEX(Listado!G:G,ROW())="","",INDEX(Listado!G:G,ROW()))</f>
        <v/>
      </c>
      <c r="U646" s="17" t="str">
        <f>IF(INDEX(Listado!F:F,ROW())="","",INDEX(Listado!F:F,ROW()))</f>
        <v/>
      </c>
      <c r="V646" s="17">
        <f>IF(COUNTA(INDEX(Listado!B:B,ROW()):INDEX(Listado!F:F,ROW()))&gt;0,1,0)</f>
        <v/>
      </c>
      <c r="W646" s="17" t="str">
        <f>IF(INDEX(Listado!L:L,ROW())="","",INDEX(Listado!L:L,ROW()))</f>
        <v/>
      </c>
      <c r="X646" s="17">
        <f>IF(N646="","",IF(INDEX(Listado!$M:$M,N646)="No","No","Sí"))</f>
        <v/>
      </c>
    </row>
    <row r="647" spans="2:24" ht="14.25">
      <c r="N647" s="17" t="str">
        <f>IF(V647=0,"",IFERROR(LOOKUP(2,1/(INDEX(Listado!A:A,2):INDEX(Listado!A:A,ROW())&lt;&gt;""),ROW(INDEX(Listado!A:A,2):INDEX(Listado!A:A,ROW()))),""))</f>
        <v/>
      </c>
      <c r="O647" s="17" t="str">
        <f>IFERROR(IF(N647="","",IF(INDEX(Listado!M:M,N647)="No",IF(INDEX(Listado!N:N,N647)=0,"",INDEX(Listado!N:N,N647)),IF(INDEX(Listado!I:I,N647)=0,"",INDEX(Listado!I:I,N647)))),"")</f>
        <v/>
      </c>
      <c r="P647" s="17">
        <f t="shared" ca="1" si="31"/>
        <v/>
      </c>
      <c r="Q647" s="17">
        <f>IFERROR(IF(AND(N647&lt;&gt;"",ISNUMBER(O647),O647&gt;0,O647&gt;=TODAY()-90),1,0),0)</f>
        <v/>
      </c>
      <c r="R647" s="17" t="str">
        <f t="shared" si="33"/>
        <v/>
      </c>
      <c r="S647" s="17" t="str">
        <f>IF(INDEX(Listado!A:A,ROW())="","",INDEX(Listado!A:A,ROW()))</f>
        <v/>
      </c>
      <c r="T647" s="17" t="str">
        <f ca="1">IF(INDEX(Listado!G:G,ROW())="","",INDEX(Listado!G:G,ROW()))</f>
        <v/>
      </c>
      <c r="U647" s="17" t="str">
        <f>IF(INDEX(Listado!F:F,ROW())="","",INDEX(Listado!F:F,ROW()))</f>
        <v/>
      </c>
      <c r="V647" s="17">
        <f>IF(COUNTA(INDEX(Listado!B:B,ROW()):INDEX(Listado!F:F,ROW()))&gt;0,1,0)</f>
        <v/>
      </c>
      <c r="W647" s="17" t="str">
        <f>IF(INDEX(Listado!L:L,ROW())="","",INDEX(Listado!L:L,ROW()))</f>
        <v/>
      </c>
      <c r="X647" s="17">
        <f>IF(N647="","",IF(INDEX(Listado!$M:$M,N647)="No","No","Sí"))</f>
        <v/>
      </c>
    </row>
    <row r="648" spans="2:24" ht="14.25">
      <c r="N648" s="17" t="str">
        <f>IF(V648=0,"",IFERROR(LOOKUP(2,1/(INDEX(Listado!A:A,2):INDEX(Listado!A:A,ROW())&lt;&gt;""),ROW(INDEX(Listado!A:A,2):INDEX(Listado!A:A,ROW()))),""))</f>
        <v/>
      </c>
      <c r="O648" s="17" t="str">
        <f>IFERROR(IF(N648="","",IF(INDEX(Listado!M:M,N648)="No",IF(INDEX(Listado!N:N,N648)=0,"",INDEX(Listado!N:N,N648)),IF(INDEX(Listado!I:I,N648)=0,"",INDEX(Listado!I:I,N648)))),"")</f>
        <v/>
      </c>
      <c r="P648" s="17">
        <f t="shared" ca="1" si="31"/>
        <v/>
      </c>
      <c r="Q648" s="17">
        <f>IFERROR(IF(AND(N648&lt;&gt;"",ISNUMBER(O648),O648&gt;0,O648&gt;=TODAY()-90),1,0),0)</f>
        <v/>
      </c>
      <c r="R648" s="17" t="str">
        <f t="shared" si="33"/>
        <v/>
      </c>
      <c r="S648" s="17" t="str">
        <f>IF(INDEX(Listado!A:A,ROW())="","",INDEX(Listado!A:A,ROW()))</f>
        <v/>
      </c>
      <c r="T648" s="17" t="str">
        <f ca="1">IF(INDEX(Listado!G:G,ROW())="","",INDEX(Listado!G:G,ROW()))</f>
        <v/>
      </c>
      <c r="U648" s="17" t="str">
        <f>IF(INDEX(Listado!F:F,ROW())="","",INDEX(Listado!F:F,ROW()))</f>
        <v/>
      </c>
      <c r="V648" s="17">
        <f>IF(COUNTA(INDEX(Listado!B:B,ROW()):INDEX(Listado!F:F,ROW()))&gt;0,1,0)</f>
        <v/>
      </c>
      <c r="W648" s="17" t="str">
        <f>IF(INDEX(Listado!L:L,ROW())="","",INDEX(Listado!L:L,ROW()))</f>
        <v/>
      </c>
      <c r="X648" s="17">
        <f>IF(N648="","",IF(INDEX(Listado!$M:$M,N648)="No","No","Sí"))</f>
        <v/>
      </c>
    </row>
    <row r="649" spans="2:24" ht="14.25">
      <c r="N649" s="17" t="str">
        <f>IF(V649=0,"",IFERROR(LOOKUP(2,1/(INDEX(Listado!A:A,2):INDEX(Listado!A:A,ROW())&lt;&gt;""),ROW(INDEX(Listado!A:A,2):INDEX(Listado!A:A,ROW()))),""))</f>
        <v/>
      </c>
      <c r="O649" s="17" t="str">
        <f>IFERROR(IF(N649="","",IF(INDEX(Listado!M:M,N649)="No",IF(INDEX(Listado!N:N,N649)=0,"",INDEX(Listado!N:N,N649)),IF(INDEX(Listado!I:I,N649)=0,"",INDEX(Listado!I:I,N649)))),"")</f>
        <v/>
      </c>
      <c r="P649" s="17">
        <f t="shared" ca="1" si="31"/>
        <v/>
      </c>
      <c r="Q649" s="17">
        <f>IFERROR(IF(AND(N649&lt;&gt;"",ISNUMBER(O649),O649&gt;0,O649&gt;=TODAY()-90),1,0),0)</f>
        <v/>
      </c>
      <c r="R649" s="17" t="str">
        <f t="shared" si="33"/>
        <v/>
      </c>
      <c r="S649" s="17" t="str">
        <f>IF(INDEX(Listado!A:A,ROW())="","",INDEX(Listado!A:A,ROW()))</f>
        <v/>
      </c>
      <c r="T649" s="17" t="str">
        <f ca="1">IF(INDEX(Listado!G:G,ROW())="","",INDEX(Listado!G:G,ROW()))</f>
        <v/>
      </c>
      <c r="U649" s="17" t="str">
        <f>IF(INDEX(Listado!F:F,ROW())="","",INDEX(Listado!F:F,ROW()))</f>
        <v/>
      </c>
      <c r="V649" s="17">
        <f>IF(COUNTA(INDEX(Listado!B:B,ROW()):INDEX(Listado!F:F,ROW()))&gt;0,1,0)</f>
        <v/>
      </c>
      <c r="W649" s="17" t="str">
        <f>IF(INDEX(Listado!L:L,ROW())="","",INDEX(Listado!L:L,ROW()))</f>
        <v/>
      </c>
      <c r="X649" s="17">
        <f>IF(N649="","",IF(INDEX(Listado!$M:$M,N649)="No","No","Sí"))</f>
        <v/>
      </c>
    </row>
    <row r="650" spans="2:24" ht="14.25">
      <c r="N650" s="17" t="str">
        <f>IF(V650=0,"",IFERROR(LOOKUP(2,1/(INDEX(Listado!A:A,2):INDEX(Listado!A:A,ROW())&lt;&gt;""),ROW(INDEX(Listado!A:A,2):INDEX(Listado!A:A,ROW()))),""))</f>
        <v/>
      </c>
      <c r="O650" s="17" t="str">
        <f>IFERROR(IF(N650="","",IF(INDEX(Listado!M:M,N650)="No",IF(INDEX(Listado!N:N,N650)=0,"",INDEX(Listado!N:N,N650)),IF(INDEX(Listado!I:I,N650)=0,"",INDEX(Listado!I:I,N650)))),"")</f>
        <v/>
      </c>
      <c r="P650" s="17">
        <f t="shared" ca="1" si="31"/>
        <v/>
      </c>
      <c r="Q650" s="17">
        <f>IFERROR(IF(AND(N650&lt;&gt;"",ISNUMBER(O650),O650&gt;0,O650&gt;=TODAY()-90),1,0),0)</f>
        <v/>
      </c>
      <c r="R650" s="17" t="str">
        <f t="shared" si="33"/>
        <v/>
      </c>
      <c r="S650" s="17" t="str">
        <f>IF(INDEX(Listado!A:A,ROW())="","",INDEX(Listado!A:A,ROW()))</f>
        <v/>
      </c>
      <c r="T650" s="17" t="str">
        <f ca="1">IF(INDEX(Listado!G:G,ROW())="","",INDEX(Listado!G:G,ROW()))</f>
        <v/>
      </c>
      <c r="U650" s="17" t="str">
        <f>IF(INDEX(Listado!F:F,ROW())="","",INDEX(Listado!F:F,ROW()))</f>
        <v/>
      </c>
      <c r="V650" s="17">
        <f>IF(COUNTA(INDEX(Listado!B:B,ROW()):INDEX(Listado!F:F,ROW()))&gt;0,1,0)</f>
        <v/>
      </c>
      <c r="W650" s="17" t="str">
        <f>IF(INDEX(Listado!L:L,ROW())="","",INDEX(Listado!L:L,ROW()))</f>
        <v/>
      </c>
      <c r="X650" s="17">
        <f>IF(N650="","",IF(INDEX(Listado!$M:$M,N650)="No","No","Sí"))</f>
        <v/>
      </c>
    </row>
    <row r="651" spans="2:24" ht="14.25">
      <c r="N651" s="17" t="str">
        <f>IF(V651=0,"",IFERROR(LOOKUP(2,1/(INDEX(Listado!A:A,2):INDEX(Listado!A:A,ROW())&lt;&gt;""),ROW(INDEX(Listado!A:A,2):INDEX(Listado!A:A,ROW()))),""))</f>
        <v/>
      </c>
      <c r="O651" s="17" t="str">
        <f>IFERROR(IF(N651="","",IF(INDEX(Listado!M:M,N651)="No",IF(INDEX(Listado!N:N,N651)=0,"",INDEX(Listado!N:N,N651)),IF(INDEX(Listado!I:I,N651)=0,"",INDEX(Listado!I:I,N651)))),"")</f>
        <v/>
      </c>
      <c r="P651" s="17">
        <f t="shared" ca="1" si="31"/>
        <v/>
      </c>
      <c r="Q651" s="17">
        <f>IFERROR(IF(AND(N651&lt;&gt;"",ISNUMBER(O651),O651&gt;0,O651&gt;=TODAY()-90),1,0),0)</f>
        <v/>
      </c>
      <c r="R651" s="17" t="str">
        <f t="shared" si="33"/>
        <v/>
      </c>
      <c r="S651" s="17" t="str">
        <f>IF(INDEX(Listado!A:A,ROW())="","",INDEX(Listado!A:A,ROW()))</f>
        <v/>
      </c>
      <c r="T651" s="17" t="str">
        <f ca="1">IF(INDEX(Listado!G:G,ROW())="","",INDEX(Listado!G:G,ROW()))</f>
        <v/>
      </c>
      <c r="U651" s="17" t="str">
        <f>IF(INDEX(Listado!F:F,ROW())="","",INDEX(Listado!F:F,ROW()))</f>
        <v/>
      </c>
      <c r="V651" s="17">
        <f>IF(COUNTA(INDEX(Listado!B:B,ROW()):INDEX(Listado!F:F,ROW()))&gt;0,1,0)</f>
        <v/>
      </c>
      <c r="W651" s="17" t="str">
        <f>IF(INDEX(Listado!L:L,ROW())="","",INDEX(Listado!L:L,ROW()))</f>
        <v/>
      </c>
      <c r="X651" s="17">
        <f>IF(N651="","",IF(INDEX(Listado!$M:$M,N651)="No","No","Sí"))</f>
        <v/>
      </c>
    </row>
    <row r="652" spans="2:24" ht="14.25">
      <c r="N652" s="17" t="str">
        <f>IF(V652=0,"",IFERROR(LOOKUP(2,1/(INDEX(Listado!A:A,2):INDEX(Listado!A:A,ROW())&lt;&gt;""),ROW(INDEX(Listado!A:A,2):INDEX(Listado!A:A,ROW()))),""))</f>
        <v/>
      </c>
      <c r="O652" s="17" t="str">
        <f>IFERROR(IF(N652="","",IF(INDEX(Listado!M:M,N652)="No",IF(INDEX(Listado!N:N,N652)=0,"",INDEX(Listado!N:N,N652)),IF(INDEX(Listado!I:I,N652)=0,"",INDEX(Listado!I:I,N652)))),"")</f>
        <v/>
      </c>
      <c r="P652" s="17">
        <f t="shared" ca="1" si="31"/>
        <v/>
      </c>
      <c r="Q652" s="17">
        <f>IFERROR(IF(AND(N652&lt;&gt;"",ISNUMBER(O652),O652&gt;0,O652&gt;=TODAY()-90),1,0),0)</f>
        <v/>
      </c>
      <c r="R652" s="17" t="str">
        <f t="shared" si="33"/>
        <v/>
      </c>
      <c r="S652" s="17" t="str">
        <f>IF(INDEX(Listado!A:A,ROW())="","",INDEX(Listado!A:A,ROW()))</f>
        <v/>
      </c>
      <c r="T652" s="17" t="str">
        <f ca="1">IF(INDEX(Listado!G:G,ROW())="","",INDEX(Listado!G:G,ROW()))</f>
        <v/>
      </c>
      <c r="U652" s="17" t="str">
        <f>IF(INDEX(Listado!F:F,ROW())="","",INDEX(Listado!F:F,ROW()))</f>
        <v/>
      </c>
      <c r="V652" s="17">
        <f>IF(COUNTA(INDEX(Listado!B:B,ROW()):INDEX(Listado!F:F,ROW()))&gt;0,1,0)</f>
        <v/>
      </c>
      <c r="W652" s="17" t="str">
        <f>IF(INDEX(Listado!L:L,ROW())="","",INDEX(Listado!L:L,ROW()))</f>
        <v/>
      </c>
      <c r="X652" s="17">
        <f>IF(N652="","",IF(INDEX(Listado!$M:$M,N652)="No","No","Sí"))</f>
        <v/>
      </c>
    </row>
    <row r="653" spans="2:24" ht="14.25">
      <c r="N653" s="17" t="str">
        <f>IF(V653=0,"",IFERROR(LOOKUP(2,1/(INDEX(Listado!A:A,2):INDEX(Listado!A:A,ROW())&lt;&gt;""),ROW(INDEX(Listado!A:A,2):INDEX(Listado!A:A,ROW()))),""))</f>
        <v/>
      </c>
      <c r="O653" s="17" t="str">
        <f>IFERROR(IF(N653="","",IF(INDEX(Listado!M:M,N653)="No",IF(INDEX(Listado!N:N,N653)=0,"",INDEX(Listado!N:N,N653)),IF(INDEX(Listado!I:I,N653)=0,"",INDEX(Listado!I:I,N653)))),"")</f>
        <v/>
      </c>
      <c r="P653" s="17">
        <f t="shared" ca="1" si="31"/>
        <v/>
      </c>
      <c r="Q653" s="17">
        <f>IFERROR(IF(AND(N653&lt;&gt;"",ISNUMBER(O653),O653&gt;0,O653&gt;=TODAY()-90),1,0),0)</f>
        <v/>
      </c>
      <c r="R653" s="17" t="str">
        <f t="shared" si="33"/>
        <v/>
      </c>
      <c r="S653" s="17" t="str">
        <f>IF(INDEX(Listado!A:A,ROW())="","",INDEX(Listado!A:A,ROW()))</f>
        <v/>
      </c>
      <c r="T653" s="17" t="str">
        <f ca="1">IF(INDEX(Listado!G:G,ROW())="","",INDEX(Listado!G:G,ROW()))</f>
        <v/>
      </c>
      <c r="U653" s="17" t="str">
        <f>IF(INDEX(Listado!F:F,ROW())="","",INDEX(Listado!F:F,ROW()))</f>
        <v/>
      </c>
      <c r="V653" s="17">
        <f>IF(COUNTA(INDEX(Listado!B:B,ROW()):INDEX(Listado!F:F,ROW()))&gt;0,1,0)</f>
        <v/>
      </c>
      <c r="W653" s="17" t="str">
        <f>IF(INDEX(Listado!L:L,ROW())="","",INDEX(Listado!L:L,ROW()))</f>
        <v/>
      </c>
      <c r="X653" s="17">
        <f>IF(N653="","",IF(INDEX(Listado!$M:$M,N653)="No","No","Sí"))</f>
        <v/>
      </c>
    </row>
    <row r="654" spans="2:24" ht="14.25">
      <c r="N654" s="17" t="str">
        <f>IF(V654=0,"",IFERROR(LOOKUP(2,1/(INDEX(Listado!A:A,2):INDEX(Listado!A:A,ROW())&lt;&gt;""),ROW(INDEX(Listado!A:A,2):INDEX(Listado!A:A,ROW()))),""))</f>
        <v/>
      </c>
      <c r="O654" s="17" t="str">
        <f>IFERROR(IF(N654="","",IF(INDEX(Listado!M:M,N654)="No",IF(INDEX(Listado!N:N,N654)=0,"",INDEX(Listado!N:N,N654)),IF(INDEX(Listado!I:I,N654)=0,"",INDEX(Listado!I:I,N654)))),"")</f>
        <v/>
      </c>
      <c r="P654" s="17">
        <f t="shared" ca="1" si="31"/>
        <v/>
      </c>
      <c r="Q654" s="17">
        <f>IFERROR(IF(AND(N654&lt;&gt;"",ISNUMBER(O654),O654&gt;0,O654&gt;=TODAY()-90),1,0),0)</f>
        <v/>
      </c>
      <c r="R654" s="17" t="str">
        <f t="shared" si="33"/>
        <v/>
      </c>
      <c r="S654" s="17" t="str">
        <f>IF(INDEX(Listado!A:A,ROW())="","",INDEX(Listado!A:A,ROW()))</f>
        <v/>
      </c>
      <c r="T654" s="17" t="str">
        <f ca="1">IF(INDEX(Listado!G:G,ROW())="","",INDEX(Listado!G:G,ROW()))</f>
        <v/>
      </c>
      <c r="U654" s="17" t="str">
        <f>IF(INDEX(Listado!F:F,ROW())="","",INDEX(Listado!F:F,ROW()))</f>
        <v/>
      </c>
      <c r="V654" s="17">
        <f>IF(COUNTA(INDEX(Listado!B:B,ROW()):INDEX(Listado!F:F,ROW()))&gt;0,1,0)</f>
        <v/>
      </c>
      <c r="W654" s="17" t="str">
        <f>IF(INDEX(Listado!L:L,ROW())="","",INDEX(Listado!L:L,ROW()))</f>
        <v/>
      </c>
      <c r="X654" s="17">
        <f>IF(N654="","",IF(INDEX(Listado!$M:$M,N654)="No","No","Sí"))</f>
        <v/>
      </c>
    </row>
    <row r="655" spans="2:24" ht="14.25">
      <c r="N655" s="17" t="str">
        <f>IF(V655=0,"",IFERROR(LOOKUP(2,1/(INDEX(Listado!A:A,2):INDEX(Listado!A:A,ROW())&lt;&gt;""),ROW(INDEX(Listado!A:A,2):INDEX(Listado!A:A,ROW()))),""))</f>
        <v/>
      </c>
      <c r="O655" s="17" t="str">
        <f>IFERROR(IF(N655="","",IF(INDEX(Listado!M:M,N655)="No",IF(INDEX(Listado!N:N,N655)=0,"",INDEX(Listado!N:N,N655)),IF(INDEX(Listado!I:I,N655)=0,"",INDEX(Listado!I:I,N655)))),"")</f>
        <v/>
      </c>
      <c r="P655" s="17">
        <f t="shared" ca="1" si="31"/>
        <v/>
      </c>
      <c r="Q655" s="17">
        <f>IFERROR(IF(AND(N655&lt;&gt;"",ISNUMBER(O655),O655&gt;0,O655&gt;=TODAY()-90),1,0),0)</f>
        <v/>
      </c>
      <c r="R655" s="17" t="str">
        <f t="shared" si="33"/>
        <v/>
      </c>
      <c r="S655" s="17" t="str">
        <f>IF(INDEX(Listado!A:A,ROW())="","",INDEX(Listado!A:A,ROW()))</f>
        <v/>
      </c>
      <c r="T655" s="17" t="str">
        <f ca="1">IF(INDEX(Listado!G:G,ROW())="","",INDEX(Listado!G:G,ROW()))</f>
        <v/>
      </c>
      <c r="U655" s="17" t="str">
        <f>IF(INDEX(Listado!F:F,ROW())="","",INDEX(Listado!F:F,ROW()))</f>
        <v/>
      </c>
      <c r="V655" s="17">
        <f>IF(COUNTA(INDEX(Listado!B:B,ROW()):INDEX(Listado!F:F,ROW()))&gt;0,1,0)</f>
        <v/>
      </c>
      <c r="W655" s="17" t="str">
        <f>IF(INDEX(Listado!L:L,ROW())="","",INDEX(Listado!L:L,ROW()))</f>
        <v/>
      </c>
      <c r="X655" s="17">
        <f>IF(N655="","",IF(INDEX(Listado!$M:$M,N655)="No","No","Sí"))</f>
        <v/>
      </c>
    </row>
    <row r="656" spans="2:24" ht="14.25">
      <c r="N656" s="17" t="str">
        <f>IF(V656=0,"",IFERROR(LOOKUP(2,1/(INDEX(Listado!A:A,2):INDEX(Listado!A:A,ROW())&lt;&gt;""),ROW(INDEX(Listado!A:A,2):INDEX(Listado!A:A,ROW()))),""))</f>
        <v/>
      </c>
      <c r="O656" s="17" t="str">
        <f>IFERROR(IF(N656="","",IF(INDEX(Listado!M:M,N656)="No",IF(INDEX(Listado!N:N,N656)=0,"",INDEX(Listado!N:N,N656)),IF(INDEX(Listado!I:I,N656)=0,"",INDEX(Listado!I:I,N656)))),"")</f>
        <v/>
      </c>
      <c r="P656" s="17">
        <f t="shared" ca="1" si="31"/>
        <v/>
      </c>
      <c r="Q656" s="17">
        <f>IFERROR(IF(AND(N656&lt;&gt;"",ISNUMBER(O656),O656&gt;0,O656&gt;=TODAY()-90),1,0),0)</f>
        <v/>
      </c>
      <c r="R656" s="17" t="str">
        <f t="shared" si="33"/>
        <v/>
      </c>
      <c r="S656" s="17" t="str">
        <f>IF(INDEX(Listado!A:A,ROW())="","",INDEX(Listado!A:A,ROW()))</f>
        <v/>
      </c>
      <c r="T656" s="17" t="str">
        <f ca="1">IF(INDEX(Listado!G:G,ROW())="","",INDEX(Listado!G:G,ROW()))</f>
        <v/>
      </c>
      <c r="U656" s="17" t="str">
        <f>IF(INDEX(Listado!F:F,ROW())="","",INDEX(Listado!F:F,ROW()))</f>
        <v/>
      </c>
      <c r="V656" s="17">
        <f>IF(COUNTA(INDEX(Listado!B:B,ROW()):INDEX(Listado!F:F,ROW()))&gt;0,1,0)</f>
        <v/>
      </c>
      <c r="W656" s="17" t="str">
        <f>IF(INDEX(Listado!L:L,ROW())="","",INDEX(Listado!L:L,ROW()))</f>
        <v/>
      </c>
      <c r="X656" s="17">
        <f>IF(N656="","",IF(INDEX(Listado!$M:$M,N656)="No","No","Sí"))</f>
        <v/>
      </c>
    </row>
    <row r="657" spans="2:24" ht="14.25">
      <c r="N657" s="17" t="str">
        <f>IF(V657=0,"",IFERROR(LOOKUP(2,1/(INDEX(Listado!A:A,2):INDEX(Listado!A:A,ROW())&lt;&gt;""),ROW(INDEX(Listado!A:A,2):INDEX(Listado!A:A,ROW()))),""))</f>
        <v/>
      </c>
      <c r="O657" s="17" t="str">
        <f>IFERROR(IF(N657="","",IF(INDEX(Listado!M:M,N657)="No",IF(INDEX(Listado!N:N,N657)=0,"",INDEX(Listado!N:N,N657)),IF(INDEX(Listado!I:I,N657)=0,"",INDEX(Listado!I:I,N657)))),"")</f>
        <v/>
      </c>
      <c r="P657" s="17">
        <f t="shared" ca="1" si="31"/>
        <v/>
      </c>
      <c r="Q657" s="17">
        <f>IFERROR(IF(AND(N657&lt;&gt;"",ISNUMBER(O657),O657&gt;0,O657&gt;=TODAY()-90),1,0),0)</f>
        <v/>
      </c>
      <c r="R657" s="17" t="str">
        <f t="shared" si="33"/>
        <v/>
      </c>
      <c r="S657" s="17" t="str">
        <f>IF(INDEX(Listado!A:A,ROW())="","",INDEX(Listado!A:A,ROW()))</f>
        <v/>
      </c>
      <c r="T657" s="17" t="str">
        <f ca="1">IF(INDEX(Listado!G:G,ROW())="","",INDEX(Listado!G:G,ROW()))</f>
        <v/>
      </c>
      <c r="U657" s="17" t="str">
        <f>IF(INDEX(Listado!F:F,ROW())="","",INDEX(Listado!F:F,ROW()))</f>
        <v/>
      </c>
      <c r="V657" s="17">
        <f>IF(COUNTA(INDEX(Listado!B:B,ROW()):INDEX(Listado!F:F,ROW()))&gt;0,1,0)</f>
        <v/>
      </c>
      <c r="W657" s="17" t="str">
        <f>IF(INDEX(Listado!L:L,ROW())="","",INDEX(Listado!L:L,ROW()))</f>
        <v/>
      </c>
      <c r="X657" s="17">
        <f>IF(N657="","",IF(INDEX(Listado!$M:$M,N657)="No","No","Sí"))</f>
        <v/>
      </c>
    </row>
    <row r="658" spans="2:24" ht="14.25">
      <c r="N658" s="17" t="str">
        <f>IF(V658=0,"",IFERROR(LOOKUP(2,1/(INDEX(Listado!A:A,2):INDEX(Listado!A:A,ROW())&lt;&gt;""),ROW(INDEX(Listado!A:A,2):INDEX(Listado!A:A,ROW()))),""))</f>
        <v/>
      </c>
      <c r="O658" s="17" t="str">
        <f>IFERROR(IF(N658="","",IF(INDEX(Listado!M:M,N658)="No",IF(INDEX(Listado!N:N,N658)=0,"",INDEX(Listado!N:N,N658)),IF(INDEX(Listado!I:I,N658)=0,"",INDEX(Listado!I:I,N658)))),"")</f>
        <v/>
      </c>
      <c r="P658" s="17">
        <f t="shared" ca="1" si="31"/>
        <v/>
      </c>
      <c r="Q658" s="17">
        <f>IFERROR(IF(AND(N658&lt;&gt;"",ISNUMBER(O658),O658&gt;0,O658&gt;=TODAY()-90),1,0),0)</f>
        <v/>
      </c>
      <c r="R658" s="17" t="str">
        <f t="shared" si="33"/>
        <v/>
      </c>
      <c r="S658" s="17" t="str">
        <f>IF(INDEX(Listado!A:A,ROW())="","",INDEX(Listado!A:A,ROW()))</f>
        <v/>
      </c>
      <c r="T658" s="17" t="str">
        <f ca="1">IF(INDEX(Listado!G:G,ROW())="","",INDEX(Listado!G:G,ROW()))</f>
        <v/>
      </c>
      <c r="U658" s="17" t="str">
        <f>IF(INDEX(Listado!F:F,ROW())="","",INDEX(Listado!F:F,ROW()))</f>
        <v/>
      </c>
      <c r="V658" s="17">
        <f>IF(COUNTA(INDEX(Listado!B:B,ROW()):INDEX(Listado!F:F,ROW()))&gt;0,1,0)</f>
        <v/>
      </c>
      <c r="W658" s="17" t="str">
        <f>IF(INDEX(Listado!L:L,ROW())="","",INDEX(Listado!L:L,ROW()))</f>
        <v/>
      </c>
      <c r="X658" s="17">
        <f>IF(N658="","",IF(INDEX(Listado!$M:$M,N658)="No","No","Sí"))</f>
        <v/>
      </c>
    </row>
    <row r="659" spans="2:24" ht="14.25">
      <c r="N659" s="17" t="str">
        <f>IF(V659=0,"",IFERROR(LOOKUP(2,1/(INDEX(Listado!A:A,2):INDEX(Listado!A:A,ROW())&lt;&gt;""),ROW(INDEX(Listado!A:A,2):INDEX(Listado!A:A,ROW()))),""))</f>
        <v/>
      </c>
      <c r="O659" s="17" t="str">
        <f>IFERROR(IF(N659="","",IF(INDEX(Listado!M:M,N659)="No",IF(INDEX(Listado!N:N,N659)=0,"",INDEX(Listado!N:N,N659)),IF(INDEX(Listado!I:I,N659)=0,"",INDEX(Listado!I:I,N659)))),"")</f>
        <v/>
      </c>
      <c r="P659" s="17">
        <f t="shared" ca="1" si="31"/>
        <v/>
      </c>
      <c r="Q659" s="17">
        <f>IFERROR(IF(AND(N659&lt;&gt;"",ISNUMBER(O659),O659&gt;0,O659&gt;=TODAY()-90),1,0),0)</f>
        <v/>
      </c>
      <c r="R659" s="17" t="str">
        <f t="shared" si="33"/>
        <v/>
      </c>
      <c r="S659" s="17" t="str">
        <f>IF(INDEX(Listado!A:A,ROW())="","",INDEX(Listado!A:A,ROW()))</f>
        <v/>
      </c>
      <c r="T659" s="17" t="str">
        <f ca="1">IF(INDEX(Listado!G:G,ROW())="","",INDEX(Listado!G:G,ROW()))</f>
        <v/>
      </c>
      <c r="U659" s="17" t="str">
        <f>IF(INDEX(Listado!F:F,ROW())="","",INDEX(Listado!F:F,ROW()))</f>
        <v/>
      </c>
      <c r="V659" s="17">
        <f>IF(COUNTA(INDEX(Listado!B:B,ROW()):INDEX(Listado!F:F,ROW()))&gt;0,1,0)</f>
        <v/>
      </c>
      <c r="W659" s="17" t="str">
        <f>IF(INDEX(Listado!L:L,ROW())="","",INDEX(Listado!L:L,ROW()))</f>
        <v/>
      </c>
      <c r="X659" s="17">
        <f>IF(N659="","",IF(INDEX(Listado!$M:$M,N659)="No","No","Sí"))</f>
        <v/>
      </c>
    </row>
    <row r="660" spans="2:24" ht="14.25">
      <c r="N660" s="17" t="str">
        <f>IF(V660=0,"",IFERROR(LOOKUP(2,1/(INDEX(Listado!A:A,2):INDEX(Listado!A:A,ROW())&lt;&gt;""),ROW(INDEX(Listado!A:A,2):INDEX(Listado!A:A,ROW()))),""))</f>
        <v/>
      </c>
      <c r="O660" s="17" t="str">
        <f>IFERROR(IF(N660="","",IF(INDEX(Listado!M:M,N660)="No",IF(INDEX(Listado!N:N,N660)=0,"",INDEX(Listado!N:N,N660)),IF(INDEX(Listado!I:I,N660)=0,"",INDEX(Listado!I:I,N660)))),"")</f>
        <v/>
      </c>
      <c r="P660" s="17">
        <f t="shared" ca="1" si="31"/>
        <v/>
      </c>
      <c r="Q660" s="17">
        <f>IFERROR(IF(AND(N660&lt;&gt;"",ISNUMBER(O660),O660&gt;0,O660&gt;=TODAY()-90),1,0),0)</f>
        <v/>
      </c>
      <c r="R660" s="17" t="str">
        <f t="shared" si="33"/>
        <v/>
      </c>
      <c r="S660" s="17" t="str">
        <f>IF(INDEX(Listado!A:A,ROW())="","",INDEX(Listado!A:A,ROW()))</f>
        <v/>
      </c>
      <c r="T660" s="17" t="str">
        <f ca="1">IF(INDEX(Listado!G:G,ROW())="","",INDEX(Listado!G:G,ROW()))</f>
        <v/>
      </c>
      <c r="U660" s="17" t="str">
        <f>IF(INDEX(Listado!F:F,ROW())="","",INDEX(Listado!F:F,ROW()))</f>
        <v/>
      </c>
      <c r="V660" s="17">
        <f>IF(COUNTA(INDEX(Listado!B:B,ROW()):INDEX(Listado!F:F,ROW()))&gt;0,1,0)</f>
        <v/>
      </c>
      <c r="W660" s="17" t="str">
        <f>IF(INDEX(Listado!L:L,ROW())="","",INDEX(Listado!L:L,ROW()))</f>
        <v/>
      </c>
      <c r="X660" s="17">
        <f>IF(N660="","",IF(INDEX(Listado!$M:$M,N660)="No","No","Sí"))</f>
        <v/>
      </c>
    </row>
    <row r="661" spans="2:24" ht="14.25">
      <c r="N661" s="17" t="str">
        <f>IF(V661=0,"",IFERROR(LOOKUP(2,1/(INDEX(Listado!A:A,2):INDEX(Listado!A:A,ROW())&lt;&gt;""),ROW(INDEX(Listado!A:A,2):INDEX(Listado!A:A,ROW()))),""))</f>
        <v/>
      </c>
      <c r="O661" s="17" t="str">
        <f>IFERROR(IF(N661="","",IF(INDEX(Listado!M:M,N661)="No",IF(INDEX(Listado!N:N,N661)=0,"",INDEX(Listado!N:N,N661)),IF(INDEX(Listado!I:I,N661)=0,"",INDEX(Listado!I:I,N661)))),"")</f>
        <v/>
      </c>
      <c r="P661" s="17">
        <f t="shared" ca="1" si="31"/>
        <v/>
      </c>
      <c r="Q661" s="17">
        <f>IFERROR(IF(AND(N661&lt;&gt;"",ISNUMBER(O661),O661&gt;0,O661&gt;=TODAY()-90),1,0),0)</f>
        <v/>
      </c>
      <c r="R661" s="17" t="str">
        <f t="shared" si="33"/>
        <v/>
      </c>
      <c r="S661" s="17" t="str">
        <f>IF(INDEX(Listado!A:A,ROW())="","",INDEX(Listado!A:A,ROW()))</f>
        <v/>
      </c>
      <c r="T661" s="17" t="str">
        <f ca="1">IF(INDEX(Listado!G:G,ROW())="","",INDEX(Listado!G:G,ROW()))</f>
        <v/>
      </c>
      <c r="U661" s="17" t="str">
        <f>IF(INDEX(Listado!F:F,ROW())="","",INDEX(Listado!F:F,ROW()))</f>
        <v/>
      </c>
      <c r="V661" s="17">
        <f>IF(COUNTA(INDEX(Listado!B:B,ROW()):INDEX(Listado!F:F,ROW()))&gt;0,1,0)</f>
        <v/>
      </c>
      <c r="W661" s="17" t="str">
        <f>IF(INDEX(Listado!L:L,ROW())="","",INDEX(Listado!L:L,ROW()))</f>
        <v/>
      </c>
      <c r="X661" s="17">
        <f>IF(N661="","",IF(INDEX(Listado!$M:$M,N661)="No","No","Sí"))</f>
        <v/>
      </c>
    </row>
    <row r="662" spans="2:24" ht="14.25">
      <c r="N662" s="17" t="str">
        <f>IF(V662=0,"",IFERROR(LOOKUP(2,1/(INDEX(Listado!A:A,2):INDEX(Listado!A:A,ROW())&lt;&gt;""),ROW(INDEX(Listado!A:A,2):INDEX(Listado!A:A,ROW()))),""))</f>
        <v/>
      </c>
      <c r="O662" s="17" t="str">
        <f>IFERROR(IF(N662="","",IF(INDEX(Listado!M:M,N662)="No",IF(INDEX(Listado!N:N,N662)=0,"",INDEX(Listado!N:N,N662)),IF(INDEX(Listado!I:I,N662)=0,"",INDEX(Listado!I:I,N662)))),"")</f>
        <v/>
      </c>
      <c r="P662" s="17">
        <f t="shared" ca="1" si="31"/>
        <v/>
      </c>
      <c r="Q662" s="17">
        <f>IFERROR(IF(AND(N662&lt;&gt;"",ISNUMBER(O662),O662&gt;0,O662&gt;=TODAY()-90),1,0),0)</f>
        <v/>
      </c>
      <c r="R662" s="17" t="str">
        <f t="shared" si="33"/>
        <v/>
      </c>
      <c r="S662" s="17" t="str">
        <f>IF(INDEX(Listado!A:A,ROW())="","",INDEX(Listado!A:A,ROW()))</f>
        <v/>
      </c>
      <c r="T662" s="17" t="str">
        <f ca="1">IF(INDEX(Listado!G:G,ROW())="","",INDEX(Listado!G:G,ROW()))</f>
        <v/>
      </c>
      <c r="U662" s="17" t="str">
        <f>IF(INDEX(Listado!F:F,ROW())="","",INDEX(Listado!F:F,ROW()))</f>
        <v/>
      </c>
      <c r="V662" s="17">
        <f>IF(COUNTA(INDEX(Listado!B:B,ROW()):INDEX(Listado!F:F,ROW()))&gt;0,1,0)</f>
        <v/>
      </c>
      <c r="W662" s="17" t="str">
        <f>IF(INDEX(Listado!L:L,ROW())="","",INDEX(Listado!L:L,ROW()))</f>
        <v/>
      </c>
      <c r="X662" s="17">
        <f>IF(N662="","",IF(INDEX(Listado!$M:$M,N662)="No","No","Sí"))</f>
        <v/>
      </c>
    </row>
    <row r="663" spans="2:24" ht="14.25">
      <c r="N663" s="17" t="str">
        <f>IF(V663=0,"",IFERROR(LOOKUP(2,1/(INDEX(Listado!A:A,2):INDEX(Listado!A:A,ROW())&lt;&gt;""),ROW(INDEX(Listado!A:A,2):INDEX(Listado!A:A,ROW()))),""))</f>
        <v/>
      </c>
      <c r="O663" s="17" t="str">
        <f>IFERROR(IF(N663="","",IF(INDEX(Listado!M:M,N663)="No",IF(INDEX(Listado!N:N,N663)=0,"",INDEX(Listado!N:N,N663)),IF(INDEX(Listado!I:I,N663)=0,"",INDEX(Listado!I:I,N663)))),"")</f>
        <v/>
      </c>
      <c r="P663" s="17">
        <f t="shared" ca="1" si="31"/>
        <v/>
      </c>
      <c r="Q663" s="17">
        <f>IFERROR(IF(AND(N663&lt;&gt;"",ISNUMBER(O663),O663&gt;0,O663&gt;=TODAY()-90),1,0),0)</f>
        <v/>
      </c>
      <c r="R663" s="17" t="str">
        <f t="shared" si="33"/>
        <v/>
      </c>
      <c r="S663" s="17" t="str">
        <f>IF(INDEX(Listado!A:A,ROW())="","",INDEX(Listado!A:A,ROW()))</f>
        <v/>
      </c>
      <c r="T663" s="17" t="str">
        <f ca="1">IF(INDEX(Listado!G:G,ROW())="","",INDEX(Listado!G:G,ROW()))</f>
        <v/>
      </c>
      <c r="U663" s="17" t="str">
        <f>IF(INDEX(Listado!F:F,ROW())="","",INDEX(Listado!F:F,ROW()))</f>
        <v/>
      </c>
      <c r="V663" s="17">
        <f>IF(COUNTA(INDEX(Listado!B:B,ROW()):INDEX(Listado!F:F,ROW()))&gt;0,1,0)</f>
        <v/>
      </c>
      <c r="W663" s="17" t="str">
        <f>IF(INDEX(Listado!L:L,ROW())="","",INDEX(Listado!L:L,ROW()))</f>
        <v/>
      </c>
      <c r="X663" s="17">
        <f>IF(N663="","",IF(INDEX(Listado!$M:$M,N663)="No","No","Sí"))</f>
        <v/>
      </c>
    </row>
    <row r="664" spans="2:24" ht="14.25">
      <c r="N664" s="17" t="str">
        <f>IF(V664=0,"",IFERROR(LOOKUP(2,1/(INDEX(Listado!A:A,2):INDEX(Listado!A:A,ROW())&lt;&gt;""),ROW(INDEX(Listado!A:A,2):INDEX(Listado!A:A,ROW()))),""))</f>
        <v/>
      </c>
      <c r="O664" s="17" t="str">
        <f>IFERROR(IF(N664="","",IF(INDEX(Listado!M:M,N664)="No",IF(INDEX(Listado!N:N,N664)=0,"",INDEX(Listado!N:N,N664)),IF(INDEX(Listado!I:I,N664)=0,"",INDEX(Listado!I:I,N664)))),"")</f>
        <v/>
      </c>
      <c r="P664" s="17">
        <f t="shared" ca="1" si="31"/>
        <v/>
      </c>
      <c r="Q664" s="17">
        <f>IFERROR(IF(AND(N664&lt;&gt;"",ISNUMBER(O664),O664&gt;0,O664&gt;=TODAY()-90),1,0),0)</f>
        <v/>
      </c>
      <c r="R664" s="17" t="str">
        <f t="shared" si="33"/>
        <v/>
      </c>
      <c r="S664" s="17" t="str">
        <f>IF(INDEX(Listado!A:A,ROW())="","",INDEX(Listado!A:A,ROW()))</f>
        <v/>
      </c>
      <c r="T664" s="17" t="str">
        <f ca="1">IF(INDEX(Listado!G:G,ROW())="","",INDEX(Listado!G:G,ROW()))</f>
        <v/>
      </c>
      <c r="U664" s="17" t="str">
        <f>IF(INDEX(Listado!F:F,ROW())="","",INDEX(Listado!F:F,ROW()))</f>
        <v/>
      </c>
      <c r="V664" s="17">
        <f>IF(COUNTA(INDEX(Listado!B:B,ROW()):INDEX(Listado!F:F,ROW()))&gt;0,1,0)</f>
        <v/>
      </c>
      <c r="W664" s="17" t="str">
        <f>IF(INDEX(Listado!L:L,ROW())="","",INDEX(Listado!L:L,ROW()))</f>
        <v/>
      </c>
      <c r="X664" s="17">
        <f>IF(N664="","",IF(INDEX(Listado!$M:$M,N664)="No","No","Sí"))</f>
        <v/>
      </c>
    </row>
    <row r="665" spans="2:24" ht="14.25">
      <c r="N665" s="17" t="str">
        <f>IF(V665=0,"",IFERROR(LOOKUP(2,1/(INDEX(Listado!A:A,2):INDEX(Listado!A:A,ROW())&lt;&gt;""),ROW(INDEX(Listado!A:A,2):INDEX(Listado!A:A,ROW()))),""))</f>
        <v/>
      </c>
      <c r="O665" s="17" t="str">
        <f>IFERROR(IF(N665="","",IF(INDEX(Listado!M:M,N665)="No",IF(INDEX(Listado!N:N,N665)=0,"",INDEX(Listado!N:N,N665)),IF(INDEX(Listado!I:I,N665)=0,"",INDEX(Listado!I:I,N665)))),"")</f>
        <v/>
      </c>
      <c r="P665" s="17">
        <f t="shared" ca="1" si="31"/>
        <v/>
      </c>
      <c r="Q665" s="17">
        <f>IFERROR(IF(AND(N665&lt;&gt;"",ISNUMBER(O665),O665&gt;0,O665&gt;=TODAY()-90),1,0),0)</f>
        <v/>
      </c>
      <c r="R665" s="17" t="str">
        <f t="shared" si="33"/>
        <v/>
      </c>
      <c r="S665" s="17" t="str">
        <f>IF(INDEX(Listado!A:A,ROW())="","",INDEX(Listado!A:A,ROW()))</f>
        <v/>
      </c>
      <c r="T665" s="17" t="str">
        <f ca="1">IF(INDEX(Listado!G:G,ROW())="","",INDEX(Listado!G:G,ROW()))</f>
        <v/>
      </c>
      <c r="U665" s="17" t="str">
        <f>IF(INDEX(Listado!F:F,ROW())="","",INDEX(Listado!F:F,ROW()))</f>
        <v/>
      </c>
      <c r="V665" s="17">
        <f>IF(COUNTA(INDEX(Listado!B:B,ROW()):INDEX(Listado!F:F,ROW()))&gt;0,1,0)</f>
        <v/>
      </c>
      <c r="W665" s="17" t="str">
        <f>IF(INDEX(Listado!L:L,ROW())="","",INDEX(Listado!L:L,ROW()))</f>
        <v/>
      </c>
      <c r="X665" s="17">
        <f>IF(N665="","",IF(INDEX(Listado!$M:$M,N665)="No","No","Sí"))</f>
        <v/>
      </c>
    </row>
    <row r="666" spans="2:24" ht="14.25">
      <c r="N666" s="17" t="str">
        <f>IF(V666=0,"",IFERROR(LOOKUP(2,1/(INDEX(Listado!A:A,2):INDEX(Listado!A:A,ROW())&lt;&gt;""),ROW(INDEX(Listado!A:A,2):INDEX(Listado!A:A,ROW()))),""))</f>
        <v/>
      </c>
      <c r="O666" s="17" t="str">
        <f>IFERROR(IF(N666="","",IF(INDEX(Listado!M:M,N666)="No",IF(INDEX(Listado!N:N,N666)=0,"",INDEX(Listado!N:N,N666)),IF(INDEX(Listado!I:I,N666)=0,"",INDEX(Listado!I:I,N666)))),"")</f>
        <v/>
      </c>
      <c r="P666" s="17">
        <f t="shared" ca="1" si="31"/>
        <v/>
      </c>
      <c r="Q666" s="17">
        <f>IFERROR(IF(AND(N666&lt;&gt;"",ISNUMBER(O666),O666&gt;0,O666&gt;=TODAY()-90),1,0),0)</f>
        <v/>
      </c>
      <c r="R666" s="17" t="str">
        <f t="shared" si="33"/>
        <v/>
      </c>
      <c r="S666" s="17" t="str">
        <f>IF(INDEX(Listado!A:A,ROW())="","",INDEX(Listado!A:A,ROW()))</f>
        <v/>
      </c>
      <c r="T666" s="17" t="str">
        <f ca="1">IF(INDEX(Listado!G:G,ROW())="","",INDEX(Listado!G:G,ROW()))</f>
        <v/>
      </c>
      <c r="U666" s="17" t="str">
        <f>IF(INDEX(Listado!F:F,ROW())="","",INDEX(Listado!F:F,ROW()))</f>
        <v/>
      </c>
      <c r="V666" s="17">
        <f>IF(COUNTA(INDEX(Listado!B:B,ROW()):INDEX(Listado!F:F,ROW()))&gt;0,1,0)</f>
        <v/>
      </c>
      <c r="W666" s="17" t="str">
        <f>IF(INDEX(Listado!L:L,ROW())="","",INDEX(Listado!L:L,ROW()))</f>
        <v/>
      </c>
      <c r="X666" s="17">
        <f>IF(N666="","",IF(INDEX(Listado!$M:$M,N666)="No","No","Sí"))</f>
        <v/>
      </c>
    </row>
    <row r="667" spans="2:24" ht="14.25">
      <c r="N667" s="17" t="str">
        <f>IF(V667=0,"",IFERROR(LOOKUP(2,1/(INDEX(Listado!A:A,2):INDEX(Listado!A:A,ROW())&lt;&gt;""),ROW(INDEX(Listado!A:A,2):INDEX(Listado!A:A,ROW()))),""))</f>
        <v/>
      </c>
      <c r="O667" s="17" t="str">
        <f>IFERROR(IF(N667="","",IF(INDEX(Listado!M:M,N667)="No",IF(INDEX(Listado!N:N,N667)=0,"",INDEX(Listado!N:N,N667)),IF(INDEX(Listado!I:I,N667)=0,"",INDEX(Listado!I:I,N667)))),"")</f>
        <v/>
      </c>
      <c r="P667" s="17">
        <f t="shared" ca="1" si="31"/>
        <v/>
      </c>
      <c r="Q667" s="17">
        <f>IFERROR(IF(AND(N667&lt;&gt;"",ISNUMBER(O667),O667&gt;0,O667&gt;=TODAY()-90),1,0),0)</f>
        <v/>
      </c>
      <c r="R667" s="17" t="str">
        <f t="shared" si="33"/>
        <v/>
      </c>
      <c r="S667" s="17" t="str">
        <f>IF(INDEX(Listado!A:A,ROW())="","",INDEX(Listado!A:A,ROW()))</f>
        <v/>
      </c>
      <c r="T667" s="17" t="str">
        <f ca="1">IF(INDEX(Listado!G:G,ROW())="","",INDEX(Listado!G:G,ROW()))</f>
        <v/>
      </c>
      <c r="U667" s="17" t="str">
        <f>IF(INDEX(Listado!F:F,ROW())="","",INDEX(Listado!F:F,ROW()))</f>
        <v/>
      </c>
      <c r="V667" s="17">
        <f>IF(COUNTA(INDEX(Listado!B:B,ROW()):INDEX(Listado!F:F,ROW()))&gt;0,1,0)</f>
        <v/>
      </c>
      <c r="W667" s="17" t="str">
        <f>IF(INDEX(Listado!L:L,ROW())="","",INDEX(Listado!L:L,ROW()))</f>
        <v/>
      </c>
      <c r="X667" s="17">
        <f>IF(N667="","",IF(INDEX(Listado!$M:$M,N667)="No","No","Sí"))</f>
        <v/>
      </c>
    </row>
    <row r="668" spans="2:24" ht="14.25">
      <c r="N668" s="17" t="str">
        <f>IF(V668=0,"",IFERROR(LOOKUP(2,1/(INDEX(Listado!A:A,2):INDEX(Listado!A:A,ROW())&lt;&gt;""),ROW(INDEX(Listado!A:A,2):INDEX(Listado!A:A,ROW()))),""))</f>
        <v/>
      </c>
      <c r="O668" s="17" t="str">
        <f>IFERROR(IF(N668="","",IF(INDEX(Listado!M:M,N668)="No",IF(INDEX(Listado!N:N,N668)=0,"",INDEX(Listado!N:N,N668)),IF(INDEX(Listado!I:I,N668)=0,"",INDEX(Listado!I:I,N668)))),"")</f>
        <v/>
      </c>
      <c r="P668" s="17">
        <f t="shared" ca="1" si="31"/>
        <v/>
      </c>
      <c r="Q668" s="17">
        <f>IFERROR(IF(AND(N668&lt;&gt;"",ISNUMBER(O668),O668&gt;0,O668&gt;=TODAY()-90),1,0),0)</f>
        <v/>
      </c>
      <c r="R668" s="17" t="str">
        <f t="shared" si="33"/>
        <v/>
      </c>
      <c r="S668" s="17" t="str">
        <f>IF(INDEX(Listado!A:A,ROW())="","",INDEX(Listado!A:A,ROW()))</f>
        <v/>
      </c>
      <c r="T668" s="17" t="str">
        <f ca="1">IF(INDEX(Listado!G:G,ROW())="","",INDEX(Listado!G:G,ROW()))</f>
        <v/>
      </c>
      <c r="U668" s="17" t="str">
        <f>IF(INDEX(Listado!F:F,ROW())="","",INDEX(Listado!F:F,ROW()))</f>
        <v/>
      </c>
      <c r="V668" s="17">
        <f>IF(COUNTA(INDEX(Listado!B:B,ROW()):INDEX(Listado!F:F,ROW()))&gt;0,1,0)</f>
        <v/>
      </c>
      <c r="W668" s="17" t="str">
        <f>IF(INDEX(Listado!L:L,ROW())="","",INDEX(Listado!L:L,ROW()))</f>
        <v/>
      </c>
      <c r="X668" s="17">
        <f>IF(N668="","",IF(INDEX(Listado!$M:$M,N668)="No","No","Sí"))</f>
        <v/>
      </c>
    </row>
    <row r="669" spans="2:24" ht="14.25">
      <c r="N669" s="17" t="str">
        <f>IF(V669=0,"",IFERROR(LOOKUP(2,1/(INDEX(Listado!A:A,2):INDEX(Listado!A:A,ROW())&lt;&gt;""),ROW(INDEX(Listado!A:A,2):INDEX(Listado!A:A,ROW()))),""))</f>
        <v/>
      </c>
      <c r="O669" s="17" t="str">
        <f>IFERROR(IF(N669="","",IF(INDEX(Listado!M:M,N669)="No",IF(INDEX(Listado!N:N,N669)=0,"",INDEX(Listado!N:N,N669)),IF(INDEX(Listado!I:I,N669)=0,"",INDEX(Listado!I:I,N669)))),"")</f>
        <v/>
      </c>
      <c r="P669" s="17">
        <f t="shared" ca="1" si="31"/>
        <v/>
      </c>
      <c r="Q669" s="17">
        <f>IFERROR(IF(AND(N669&lt;&gt;"",ISNUMBER(O669),O669&gt;0,O669&gt;=TODAY()-90),1,0),0)</f>
        <v/>
      </c>
      <c r="R669" s="17" t="str">
        <f t="shared" si="33"/>
        <v/>
      </c>
      <c r="S669" s="17" t="str">
        <f>IF(INDEX(Listado!A:A,ROW())="","",INDEX(Listado!A:A,ROW()))</f>
        <v/>
      </c>
      <c r="T669" s="17" t="str">
        <f ca="1">IF(INDEX(Listado!G:G,ROW())="","",INDEX(Listado!G:G,ROW()))</f>
        <v/>
      </c>
      <c r="U669" s="17" t="str">
        <f>IF(INDEX(Listado!F:F,ROW())="","",INDEX(Listado!F:F,ROW()))</f>
        <v/>
      </c>
      <c r="V669" s="17">
        <f>IF(COUNTA(INDEX(Listado!B:B,ROW()):INDEX(Listado!F:F,ROW()))&gt;0,1,0)</f>
        <v/>
      </c>
      <c r="W669" s="17" t="str">
        <f>IF(INDEX(Listado!L:L,ROW())="","",INDEX(Listado!L:L,ROW()))</f>
        <v/>
      </c>
      <c r="X669" s="17">
        <f>IF(N669="","",IF(INDEX(Listado!$M:$M,N669)="No","No","Sí"))</f>
        <v/>
      </c>
    </row>
    <row r="670" spans="2:24" ht="14.25">
      <c r="N670" s="17" t="str">
        <f>IF(V670=0,"",IFERROR(LOOKUP(2,1/(INDEX(Listado!A:A,2):INDEX(Listado!A:A,ROW())&lt;&gt;""),ROW(INDEX(Listado!A:A,2):INDEX(Listado!A:A,ROW()))),""))</f>
        <v/>
      </c>
      <c r="O670" s="17" t="str">
        <f>IFERROR(IF(N670="","",IF(INDEX(Listado!M:M,N670)="No",IF(INDEX(Listado!N:N,N670)=0,"",INDEX(Listado!N:N,N670)),IF(INDEX(Listado!I:I,N670)=0,"",INDEX(Listado!I:I,N670)))),"")</f>
        <v/>
      </c>
      <c r="P670" s="17">
        <f t="shared" ca="1" si="31"/>
        <v/>
      </c>
      <c r="Q670" s="17">
        <f>IFERROR(IF(AND(N670&lt;&gt;"",ISNUMBER(O670),O670&gt;0,O670&gt;=TODAY()-90),1,0),0)</f>
        <v/>
      </c>
      <c r="R670" s="17" t="str">
        <f t="shared" si="33"/>
        <v/>
      </c>
      <c r="S670" s="17" t="str">
        <f>IF(INDEX(Listado!A:A,ROW())="","",INDEX(Listado!A:A,ROW()))</f>
        <v/>
      </c>
      <c r="T670" s="17" t="str">
        <f ca="1">IF(INDEX(Listado!G:G,ROW())="","",INDEX(Listado!G:G,ROW()))</f>
        <v/>
      </c>
      <c r="U670" s="17" t="str">
        <f>IF(INDEX(Listado!F:F,ROW())="","",INDEX(Listado!F:F,ROW()))</f>
        <v/>
      </c>
      <c r="V670" s="17">
        <f>IF(COUNTA(INDEX(Listado!B:B,ROW()):INDEX(Listado!F:F,ROW()))&gt;0,1,0)</f>
        <v/>
      </c>
      <c r="W670" s="17" t="str">
        <f>IF(INDEX(Listado!L:L,ROW())="","",INDEX(Listado!L:L,ROW()))</f>
        <v/>
      </c>
      <c r="X670" s="17">
        <f>IF(N670="","",IF(INDEX(Listado!$M:$M,N670)="No","No","Sí"))</f>
        <v/>
      </c>
    </row>
    <row r="671" spans="2:24" ht="14.25">
      <c r="N671" s="17" t="str">
        <f>IF(V671=0,"",IFERROR(LOOKUP(2,1/(INDEX(Listado!A:A,2):INDEX(Listado!A:A,ROW())&lt;&gt;""),ROW(INDEX(Listado!A:A,2):INDEX(Listado!A:A,ROW()))),""))</f>
        <v/>
      </c>
      <c r="O671" s="17" t="str">
        <f>IFERROR(IF(N671="","",IF(INDEX(Listado!M:M,N671)="No",IF(INDEX(Listado!N:N,N671)=0,"",INDEX(Listado!N:N,N671)),IF(INDEX(Listado!I:I,N671)=0,"",INDEX(Listado!I:I,N671)))),"")</f>
        <v/>
      </c>
      <c r="P671" s="17">
        <f t="shared" ca="1" si="31"/>
        <v/>
      </c>
      <c r="Q671" s="17">
        <f>IFERROR(IF(AND(N671&lt;&gt;"",ISNUMBER(O671),O671&gt;0,O671&gt;=TODAY()-90),1,0),0)</f>
        <v/>
      </c>
      <c r="R671" s="17" t="str">
        <f t="shared" si="33"/>
        <v/>
      </c>
      <c r="S671" s="17" t="str">
        <f>IF(INDEX(Listado!A:A,ROW())="","",INDEX(Listado!A:A,ROW()))</f>
        <v/>
      </c>
      <c r="T671" s="17" t="str">
        <f ca="1">IF(INDEX(Listado!G:G,ROW())="","",INDEX(Listado!G:G,ROW()))</f>
        <v/>
      </c>
      <c r="U671" s="17" t="str">
        <f>IF(INDEX(Listado!F:F,ROW())="","",INDEX(Listado!F:F,ROW()))</f>
        <v/>
      </c>
      <c r="V671" s="17">
        <f>IF(COUNTA(INDEX(Listado!B:B,ROW()):INDEX(Listado!F:F,ROW()))&gt;0,1,0)</f>
        <v/>
      </c>
      <c r="W671" s="17" t="str">
        <f>IF(INDEX(Listado!L:L,ROW())="","",INDEX(Listado!L:L,ROW()))</f>
        <v/>
      </c>
      <c r="X671" s="17">
        <f>IF(N671="","",IF(INDEX(Listado!$M:$M,N671)="No","No","Sí"))</f>
        <v/>
      </c>
    </row>
    <row r="672" spans="2:24" ht="14.25">
      <c r="N672" s="17" t="str">
        <f>IF(V672=0,"",IFERROR(LOOKUP(2,1/(INDEX(Listado!A:A,2):INDEX(Listado!A:A,ROW())&lt;&gt;""),ROW(INDEX(Listado!A:A,2):INDEX(Listado!A:A,ROW()))),""))</f>
        <v/>
      </c>
      <c r="O672" s="17" t="str">
        <f>IFERROR(IF(N672="","",IF(INDEX(Listado!M:M,N672)="No",IF(INDEX(Listado!N:N,N672)=0,"",INDEX(Listado!N:N,N672)),IF(INDEX(Listado!I:I,N672)=0,"",INDEX(Listado!I:I,N672)))),"")</f>
        <v/>
      </c>
      <c r="P672" s="17">
        <f t="shared" ca="1" si="31"/>
        <v/>
      </c>
      <c r="Q672" s="17">
        <f>IFERROR(IF(AND(N672&lt;&gt;"",ISNUMBER(O672),O672&gt;0,O672&gt;=TODAY()-90),1,0),0)</f>
        <v/>
      </c>
      <c r="R672" s="17" t="str">
        <f t="shared" si="33"/>
        <v/>
      </c>
      <c r="S672" s="17" t="str">
        <f>IF(INDEX(Listado!A:A,ROW())="","",INDEX(Listado!A:A,ROW()))</f>
        <v/>
      </c>
      <c r="T672" s="17" t="str">
        <f ca="1">IF(INDEX(Listado!G:G,ROW())="","",INDEX(Listado!G:G,ROW()))</f>
        <v/>
      </c>
      <c r="U672" s="17" t="str">
        <f>IF(INDEX(Listado!F:F,ROW())="","",INDEX(Listado!F:F,ROW()))</f>
        <v/>
      </c>
      <c r="V672" s="17">
        <f>IF(COUNTA(INDEX(Listado!B:B,ROW()):INDEX(Listado!F:F,ROW()))&gt;0,1,0)</f>
        <v/>
      </c>
      <c r="W672" s="17" t="str">
        <f>IF(INDEX(Listado!L:L,ROW())="","",INDEX(Listado!L:L,ROW()))</f>
        <v/>
      </c>
      <c r="X672" s="17">
        <f>IF(N672="","",IF(INDEX(Listado!$M:$M,N672)="No","No","Sí"))</f>
        <v/>
      </c>
    </row>
    <row r="673" spans="2:24" ht="14.25">
      <c r="N673" s="17" t="str">
        <f>IF(V673=0,"",IFERROR(LOOKUP(2,1/(INDEX(Listado!A:A,2):INDEX(Listado!A:A,ROW())&lt;&gt;""),ROW(INDEX(Listado!A:A,2):INDEX(Listado!A:A,ROW()))),""))</f>
        <v/>
      </c>
      <c r="O673" s="17" t="str">
        <f>IFERROR(IF(N673="","",IF(INDEX(Listado!M:M,N673)="No",IF(INDEX(Listado!N:N,N673)=0,"",INDEX(Listado!N:N,N673)),IF(INDEX(Listado!I:I,N673)=0,"",INDEX(Listado!I:I,N673)))),"")</f>
        <v/>
      </c>
      <c r="P673" s="17">
        <f t="shared" ca="1" si="31"/>
        <v/>
      </c>
      <c r="Q673" s="17">
        <f>IFERROR(IF(AND(N673&lt;&gt;"",ISNUMBER(O673),O673&gt;0,O673&gt;=TODAY()-90),1,0),0)</f>
        <v/>
      </c>
      <c r="R673" s="17" t="str">
        <f t="shared" si="33"/>
        <v/>
      </c>
      <c r="S673" s="17" t="str">
        <f>IF(INDEX(Listado!A:A,ROW())="","",INDEX(Listado!A:A,ROW()))</f>
        <v/>
      </c>
      <c r="T673" s="17" t="str">
        <f ca="1">IF(INDEX(Listado!G:G,ROW())="","",INDEX(Listado!G:G,ROW()))</f>
        <v/>
      </c>
      <c r="U673" s="17" t="str">
        <f>IF(INDEX(Listado!F:F,ROW())="","",INDEX(Listado!F:F,ROW()))</f>
        <v/>
      </c>
      <c r="V673" s="17">
        <f>IF(COUNTA(INDEX(Listado!B:B,ROW()):INDEX(Listado!F:F,ROW()))&gt;0,1,0)</f>
        <v/>
      </c>
      <c r="W673" s="17" t="str">
        <f>IF(INDEX(Listado!L:L,ROW())="","",INDEX(Listado!L:L,ROW()))</f>
        <v/>
      </c>
      <c r="X673" s="17">
        <f>IF(N673="","",IF(INDEX(Listado!$M:$M,N673)="No","No","Sí"))</f>
        <v/>
      </c>
    </row>
    <row r="674" spans="2:24" ht="14.25">
      <c r="N674" s="17" t="str">
        <f>IF(V674=0,"",IFERROR(LOOKUP(2,1/(INDEX(Listado!A:A,2):INDEX(Listado!A:A,ROW())&lt;&gt;""),ROW(INDEX(Listado!A:A,2):INDEX(Listado!A:A,ROW()))),""))</f>
        <v/>
      </c>
      <c r="O674" s="17" t="str">
        <f>IFERROR(IF(N674="","",IF(INDEX(Listado!M:M,N674)="No",IF(INDEX(Listado!N:N,N674)=0,"",INDEX(Listado!N:N,N674)),IF(INDEX(Listado!I:I,N674)=0,"",INDEX(Listado!I:I,N674)))),"")</f>
        <v/>
      </c>
      <c r="P674" s="17">
        <f t="shared" ca="1" si="31"/>
        <v/>
      </c>
      <c r="Q674" s="17">
        <f>IFERROR(IF(AND(N674&lt;&gt;"",ISNUMBER(O674),O674&gt;0,O674&gt;=TODAY()-90),1,0),0)</f>
        <v/>
      </c>
      <c r="R674" s="17" t="str">
        <f t="shared" si="33"/>
        <v/>
      </c>
      <c r="S674" s="17" t="str">
        <f>IF(INDEX(Listado!A:A,ROW())="","",INDEX(Listado!A:A,ROW()))</f>
        <v/>
      </c>
      <c r="T674" s="17" t="str">
        <f ca="1">IF(INDEX(Listado!G:G,ROW())="","",INDEX(Listado!G:G,ROW()))</f>
        <v/>
      </c>
      <c r="U674" s="17" t="str">
        <f>IF(INDEX(Listado!F:F,ROW())="","",INDEX(Listado!F:F,ROW()))</f>
        <v/>
      </c>
      <c r="V674" s="17">
        <f>IF(COUNTA(INDEX(Listado!B:B,ROW()):INDEX(Listado!F:F,ROW()))&gt;0,1,0)</f>
        <v/>
      </c>
      <c r="W674" s="17" t="str">
        <f>IF(INDEX(Listado!L:L,ROW())="","",INDEX(Listado!L:L,ROW()))</f>
        <v/>
      </c>
      <c r="X674" s="17">
        <f>IF(N674="","",IF(INDEX(Listado!$M:$M,N674)="No","No","Sí"))</f>
        <v/>
      </c>
    </row>
    <row r="675" spans="2:24" ht="14.25">
      <c r="N675" s="17" t="str">
        <f>IF(V675=0,"",IFERROR(LOOKUP(2,1/(INDEX(Listado!A:A,2):INDEX(Listado!A:A,ROW())&lt;&gt;""),ROW(INDEX(Listado!A:A,2):INDEX(Listado!A:A,ROW()))),""))</f>
        <v/>
      </c>
      <c r="O675" s="17" t="str">
        <f>IFERROR(IF(N675="","",IF(INDEX(Listado!M:M,N675)="No",IF(INDEX(Listado!N:N,N675)=0,"",INDEX(Listado!N:N,N675)),IF(INDEX(Listado!I:I,N675)=0,"",INDEX(Listado!I:I,N675)))),"")</f>
        <v/>
      </c>
      <c r="P675" s="17">
        <f t="shared" ca="1" si="31"/>
        <v/>
      </c>
      <c r="Q675" s="17">
        <f>IFERROR(IF(AND(N675&lt;&gt;"",ISNUMBER(O675),O675&gt;0,O675&gt;=TODAY()-90),1,0),0)</f>
        <v/>
      </c>
      <c r="R675" s="17" t="str">
        <f t="shared" si="33"/>
        <v/>
      </c>
      <c r="S675" s="17" t="str">
        <f>IF(INDEX(Listado!A:A,ROW())="","",INDEX(Listado!A:A,ROW()))</f>
        <v/>
      </c>
      <c r="T675" s="17" t="str">
        <f ca="1">IF(INDEX(Listado!G:G,ROW())="","",INDEX(Listado!G:G,ROW()))</f>
        <v/>
      </c>
      <c r="U675" s="17" t="str">
        <f>IF(INDEX(Listado!F:F,ROW())="","",INDEX(Listado!F:F,ROW()))</f>
        <v/>
      </c>
      <c r="V675" s="17">
        <f>IF(COUNTA(INDEX(Listado!B:B,ROW()):INDEX(Listado!F:F,ROW()))&gt;0,1,0)</f>
        <v/>
      </c>
      <c r="W675" s="17" t="str">
        <f>IF(INDEX(Listado!L:L,ROW())="","",INDEX(Listado!L:L,ROW()))</f>
        <v/>
      </c>
      <c r="X675" s="17">
        <f>IF(N675="","",IF(INDEX(Listado!$M:$M,N675)="No","No","Sí"))</f>
        <v/>
      </c>
    </row>
    <row r="676" spans="2:24" ht="14.25">
      <c r="N676" s="17" t="str">
        <f>IF(V676=0,"",IFERROR(LOOKUP(2,1/(INDEX(Listado!A:A,2):INDEX(Listado!A:A,ROW())&lt;&gt;""),ROW(INDEX(Listado!A:A,2):INDEX(Listado!A:A,ROW()))),""))</f>
        <v/>
      </c>
      <c r="O676" s="17" t="str">
        <f>IFERROR(IF(N676="","",IF(INDEX(Listado!M:M,N676)="No",IF(INDEX(Listado!N:N,N676)=0,"",INDEX(Listado!N:N,N676)),IF(INDEX(Listado!I:I,N676)=0,"",INDEX(Listado!I:I,N676)))),"")</f>
        <v/>
      </c>
      <c r="P676" s="17">
        <f t="shared" ca="1" si="31"/>
        <v/>
      </c>
      <c r="Q676" s="17">
        <f>IFERROR(IF(AND(N676&lt;&gt;"",ISNUMBER(O676),O676&gt;0,O676&gt;=TODAY()-90),1,0),0)</f>
        <v/>
      </c>
      <c r="R676" s="17" t="str">
        <f t="shared" si="33"/>
        <v/>
      </c>
      <c r="S676" s="17" t="str">
        <f>IF(INDEX(Listado!A:A,ROW())="","",INDEX(Listado!A:A,ROW()))</f>
        <v/>
      </c>
      <c r="T676" s="17" t="str">
        <f ca="1">IF(INDEX(Listado!G:G,ROW())="","",INDEX(Listado!G:G,ROW()))</f>
        <v/>
      </c>
      <c r="U676" s="17" t="str">
        <f>IF(INDEX(Listado!F:F,ROW())="","",INDEX(Listado!F:F,ROW()))</f>
        <v/>
      </c>
      <c r="V676" s="17">
        <f>IF(COUNTA(INDEX(Listado!B:B,ROW()):INDEX(Listado!F:F,ROW()))&gt;0,1,0)</f>
        <v/>
      </c>
      <c r="W676" s="17" t="str">
        <f>IF(INDEX(Listado!L:L,ROW())="","",INDEX(Listado!L:L,ROW()))</f>
        <v/>
      </c>
      <c r="X676" s="17">
        <f>IF(N676="","",IF(INDEX(Listado!$M:$M,N676)="No","No","Sí"))</f>
        <v/>
      </c>
    </row>
    <row r="677" spans="2:24" ht="14.25">
      <c r="N677" s="17" t="str">
        <f>IF(V677=0,"",IFERROR(LOOKUP(2,1/(INDEX(Listado!A:A,2):INDEX(Listado!A:A,ROW())&lt;&gt;""),ROW(INDEX(Listado!A:A,2):INDEX(Listado!A:A,ROW()))),""))</f>
        <v/>
      </c>
      <c r="O677" s="17" t="str">
        <f>IFERROR(IF(N677="","",IF(INDEX(Listado!M:M,N677)="No",IF(INDEX(Listado!N:N,N677)=0,"",INDEX(Listado!N:N,N677)),IF(INDEX(Listado!I:I,N677)=0,"",INDEX(Listado!I:I,N677)))),"")</f>
        <v/>
      </c>
      <c r="P677" s="17">
        <f t="shared" ca="1" si="31"/>
        <v/>
      </c>
      <c r="Q677" s="17">
        <f>IFERROR(IF(AND(N677&lt;&gt;"",ISNUMBER(O677),O677&gt;0,O677&gt;=TODAY()-90),1,0),0)</f>
        <v/>
      </c>
      <c r="R677" s="17" t="str">
        <f t="shared" si="33"/>
        <v/>
      </c>
      <c r="S677" s="17" t="str">
        <f>IF(INDEX(Listado!A:A,ROW())="","",INDEX(Listado!A:A,ROW()))</f>
        <v/>
      </c>
      <c r="T677" s="17" t="str">
        <f ca="1">IF(INDEX(Listado!G:G,ROW())="","",INDEX(Listado!G:G,ROW()))</f>
        <v/>
      </c>
      <c r="U677" s="17" t="str">
        <f>IF(INDEX(Listado!F:F,ROW())="","",INDEX(Listado!F:F,ROW()))</f>
        <v/>
      </c>
      <c r="V677" s="17">
        <f>IF(COUNTA(INDEX(Listado!B:B,ROW()):INDEX(Listado!F:F,ROW()))&gt;0,1,0)</f>
        <v/>
      </c>
      <c r="W677" s="17" t="str">
        <f>IF(INDEX(Listado!L:L,ROW())="","",INDEX(Listado!L:L,ROW()))</f>
        <v/>
      </c>
      <c r="X677" s="17">
        <f>IF(N677="","",IF(INDEX(Listado!$M:$M,N677)="No","No","Sí"))</f>
        <v/>
      </c>
    </row>
    <row r="678" spans="2:24" ht="14.25">
      <c r="N678" s="17" t="str">
        <f>IF(V678=0,"",IFERROR(LOOKUP(2,1/(INDEX(Listado!A:A,2):INDEX(Listado!A:A,ROW())&lt;&gt;""),ROW(INDEX(Listado!A:A,2):INDEX(Listado!A:A,ROW()))),""))</f>
        <v/>
      </c>
      <c r="O678" s="17" t="str">
        <f>IFERROR(IF(N678="","",IF(INDEX(Listado!M:M,N678)="No",IF(INDEX(Listado!N:N,N678)=0,"",INDEX(Listado!N:N,N678)),IF(INDEX(Listado!I:I,N678)=0,"",INDEX(Listado!I:I,N678)))),"")</f>
        <v/>
      </c>
      <c r="P678" s="17">
        <f t="shared" ca="1" si="31"/>
        <v/>
      </c>
      <c r="Q678" s="17">
        <f>IFERROR(IF(AND(N678&lt;&gt;"",ISNUMBER(O678),O678&gt;0,O678&gt;=TODAY()-90),1,0),0)</f>
        <v/>
      </c>
      <c r="R678" s="17" t="str">
        <f t="shared" si="33"/>
        <v/>
      </c>
      <c r="S678" s="17" t="str">
        <f>IF(INDEX(Listado!A:A,ROW())="","",INDEX(Listado!A:A,ROW()))</f>
        <v/>
      </c>
      <c r="T678" s="17" t="str">
        <f ca="1">IF(INDEX(Listado!G:G,ROW())="","",INDEX(Listado!G:G,ROW()))</f>
        <v/>
      </c>
      <c r="U678" s="17" t="str">
        <f>IF(INDEX(Listado!F:F,ROW())="","",INDEX(Listado!F:F,ROW()))</f>
        <v/>
      </c>
      <c r="V678" s="17">
        <f>IF(COUNTA(INDEX(Listado!B:B,ROW()):INDEX(Listado!F:F,ROW()))&gt;0,1,0)</f>
        <v/>
      </c>
      <c r="W678" s="17" t="str">
        <f>IF(INDEX(Listado!L:L,ROW())="","",INDEX(Listado!L:L,ROW()))</f>
        <v/>
      </c>
      <c r="X678" s="17">
        <f>IF(N678="","",IF(INDEX(Listado!$M:$M,N678)="No","No","Sí"))</f>
        <v/>
      </c>
    </row>
    <row r="679" spans="2:24" ht="14.25">
      <c r="N679" s="17" t="str">
        <f>IF(V679=0,"",IFERROR(LOOKUP(2,1/(INDEX(Listado!A:A,2):INDEX(Listado!A:A,ROW())&lt;&gt;""),ROW(INDEX(Listado!A:A,2):INDEX(Listado!A:A,ROW()))),""))</f>
        <v/>
      </c>
      <c r="O679" s="17" t="str">
        <f>IFERROR(IF(N679="","",IF(INDEX(Listado!M:M,N679)="No",IF(INDEX(Listado!N:N,N679)=0,"",INDEX(Listado!N:N,N679)),IF(INDEX(Listado!I:I,N679)=0,"",INDEX(Listado!I:I,N679)))),"")</f>
        <v/>
      </c>
      <c r="P679" s="17">
        <f t="shared" ca="1" si="31"/>
        <v/>
      </c>
      <c r="Q679" s="17">
        <f>IFERROR(IF(AND(N679&lt;&gt;"",ISNUMBER(O679),O679&gt;0,O679&gt;=TODAY()-90),1,0),0)</f>
        <v/>
      </c>
      <c r="R679" s="17" t="str">
        <f t="shared" si="33"/>
        <v/>
      </c>
      <c r="S679" s="17" t="str">
        <f>IF(INDEX(Listado!A:A,ROW())="","",INDEX(Listado!A:A,ROW()))</f>
        <v/>
      </c>
      <c r="T679" s="17" t="str">
        <f ca="1">IF(INDEX(Listado!G:G,ROW())="","",INDEX(Listado!G:G,ROW()))</f>
        <v/>
      </c>
      <c r="U679" s="17" t="str">
        <f>IF(INDEX(Listado!F:F,ROW())="","",INDEX(Listado!F:F,ROW()))</f>
        <v/>
      </c>
      <c r="V679" s="17">
        <f>IF(COUNTA(INDEX(Listado!B:B,ROW()):INDEX(Listado!F:F,ROW()))&gt;0,1,0)</f>
        <v/>
      </c>
      <c r="W679" s="17" t="str">
        <f>IF(INDEX(Listado!L:L,ROW())="","",INDEX(Listado!L:L,ROW()))</f>
        <v/>
      </c>
      <c r="X679" s="17">
        <f>IF(N679="","",IF(INDEX(Listado!$M:$M,N679)="No","No","Sí"))</f>
        <v/>
      </c>
    </row>
    <row r="680" spans="2:24" ht="14.25">
      <c r="N680" s="17" t="str">
        <f>IF(V680=0,"",IFERROR(LOOKUP(2,1/(INDEX(Listado!A:A,2):INDEX(Listado!A:A,ROW())&lt;&gt;""),ROW(INDEX(Listado!A:A,2):INDEX(Listado!A:A,ROW()))),""))</f>
        <v/>
      </c>
      <c r="O680" s="17" t="str">
        <f>IFERROR(IF(N680="","",IF(INDEX(Listado!M:M,N680)="No",IF(INDEX(Listado!N:N,N680)=0,"",INDEX(Listado!N:N,N680)),IF(INDEX(Listado!I:I,N680)=0,"",INDEX(Listado!I:I,N680)))),"")</f>
        <v/>
      </c>
      <c r="P680" s="17">
        <f t="shared" ca="1" si="31"/>
        <v/>
      </c>
      <c r="Q680" s="17">
        <f>IFERROR(IF(AND(N680&lt;&gt;"",ISNUMBER(O680),O680&gt;0,O680&gt;=TODAY()-90),1,0),0)</f>
        <v/>
      </c>
      <c r="R680" s="17" t="str">
        <f t="shared" si="33"/>
        <v/>
      </c>
      <c r="S680" s="17" t="str">
        <f>IF(INDEX(Listado!A:A,ROW())="","",INDEX(Listado!A:A,ROW()))</f>
        <v/>
      </c>
      <c r="T680" s="17" t="str">
        <f ca="1">IF(INDEX(Listado!G:G,ROW())="","",INDEX(Listado!G:G,ROW()))</f>
        <v/>
      </c>
      <c r="U680" s="17" t="str">
        <f>IF(INDEX(Listado!F:F,ROW())="","",INDEX(Listado!F:F,ROW()))</f>
        <v/>
      </c>
      <c r="V680" s="17">
        <f>IF(COUNTA(INDEX(Listado!B:B,ROW()):INDEX(Listado!F:F,ROW()))&gt;0,1,0)</f>
        <v/>
      </c>
      <c r="W680" s="17" t="str">
        <f>IF(INDEX(Listado!L:L,ROW())="","",INDEX(Listado!L:L,ROW()))</f>
        <v/>
      </c>
      <c r="X680" s="17">
        <f>IF(N680="","",IF(INDEX(Listado!$M:$M,N680)="No","No","Sí"))</f>
        <v/>
      </c>
    </row>
    <row r="681" spans="2:24" ht="14.25">
      <c r="N681" s="17" t="str">
        <f>IF(V681=0,"",IFERROR(LOOKUP(2,1/(INDEX(Listado!A:A,2):INDEX(Listado!A:A,ROW())&lt;&gt;""),ROW(INDEX(Listado!A:A,2):INDEX(Listado!A:A,ROW()))),""))</f>
        <v/>
      </c>
      <c r="O681" s="17" t="str">
        <f>IFERROR(IF(N681="","",IF(INDEX(Listado!M:M,N681)="No",IF(INDEX(Listado!N:N,N681)=0,"",INDEX(Listado!N:N,N681)),IF(INDEX(Listado!I:I,N681)=0,"",INDEX(Listado!I:I,N681)))),"")</f>
        <v/>
      </c>
      <c r="P681" s="17">
        <f t="shared" ca="1" si="31"/>
        <v/>
      </c>
      <c r="Q681" s="17">
        <f>IFERROR(IF(AND(N681&lt;&gt;"",ISNUMBER(O681),O681&gt;0,O681&gt;=TODAY()-90),1,0),0)</f>
        <v/>
      </c>
      <c r="R681" s="17" t="str">
        <f t="shared" si="33"/>
        <v/>
      </c>
      <c r="S681" s="17" t="str">
        <f>IF(INDEX(Listado!A:A,ROW())="","",INDEX(Listado!A:A,ROW()))</f>
        <v/>
      </c>
      <c r="T681" s="17" t="str">
        <f ca="1">IF(INDEX(Listado!G:G,ROW())="","",INDEX(Listado!G:G,ROW()))</f>
        <v/>
      </c>
      <c r="U681" s="17" t="str">
        <f>IF(INDEX(Listado!F:F,ROW())="","",INDEX(Listado!F:F,ROW()))</f>
        <v/>
      </c>
      <c r="V681" s="17">
        <f>IF(COUNTA(INDEX(Listado!B:B,ROW()):INDEX(Listado!F:F,ROW()))&gt;0,1,0)</f>
        <v/>
      </c>
      <c r="W681" s="17" t="str">
        <f>IF(INDEX(Listado!L:L,ROW())="","",INDEX(Listado!L:L,ROW()))</f>
        <v/>
      </c>
      <c r="X681" s="17">
        <f>IF(N681="","",IF(INDEX(Listado!$M:$M,N681)="No","No","Sí"))</f>
        <v/>
      </c>
    </row>
    <row r="682" spans="2:24" ht="14.25">
      <c r="N682" s="17" t="str">
        <f>IF(V682=0,"",IFERROR(LOOKUP(2,1/(INDEX(Listado!A:A,2):INDEX(Listado!A:A,ROW())&lt;&gt;""),ROW(INDEX(Listado!A:A,2):INDEX(Listado!A:A,ROW()))),""))</f>
        <v/>
      </c>
      <c r="O682" s="17" t="str">
        <f>IFERROR(IF(N682="","",IF(INDEX(Listado!M:M,N682)="No",IF(INDEX(Listado!N:N,N682)=0,"",INDEX(Listado!N:N,N682)),IF(INDEX(Listado!I:I,N682)=0,"",INDEX(Listado!I:I,N682)))),"")</f>
        <v/>
      </c>
      <c r="P682" s="17">
        <f t="shared" ca="1" si="31"/>
        <v/>
      </c>
      <c r="Q682" s="17">
        <f>IFERROR(IF(AND(N682&lt;&gt;"",ISNUMBER(O682),O682&gt;0,O682&gt;=TODAY()-90),1,0),0)</f>
        <v/>
      </c>
      <c r="R682" s="17" t="str">
        <f t="shared" si="33"/>
        <v/>
      </c>
      <c r="S682" s="17" t="str">
        <f>IF(INDEX(Listado!A:A,ROW())="","",INDEX(Listado!A:A,ROW()))</f>
        <v/>
      </c>
      <c r="T682" s="17" t="str">
        <f ca="1">IF(INDEX(Listado!G:G,ROW())="","",INDEX(Listado!G:G,ROW()))</f>
        <v/>
      </c>
      <c r="U682" s="17" t="str">
        <f>IF(INDEX(Listado!F:F,ROW())="","",INDEX(Listado!F:F,ROW()))</f>
        <v/>
      </c>
      <c r="V682" s="17">
        <f>IF(COUNTA(INDEX(Listado!B:B,ROW()):INDEX(Listado!F:F,ROW()))&gt;0,1,0)</f>
        <v/>
      </c>
      <c r="W682" s="17" t="str">
        <f>IF(INDEX(Listado!L:L,ROW())="","",INDEX(Listado!L:L,ROW()))</f>
        <v/>
      </c>
      <c r="X682" s="17">
        <f>IF(N682="","",IF(INDEX(Listado!$M:$M,N682)="No","No","Sí"))</f>
        <v/>
      </c>
    </row>
    <row r="683" spans="2:24" ht="14.25">
      <c r="N683" s="17" t="str">
        <f>IF(V683=0,"",IFERROR(LOOKUP(2,1/(INDEX(Listado!A:A,2):INDEX(Listado!A:A,ROW())&lt;&gt;""),ROW(INDEX(Listado!A:A,2):INDEX(Listado!A:A,ROW()))),""))</f>
        <v/>
      </c>
      <c r="O683" s="17" t="str">
        <f>IFERROR(IF(N683="","",IF(INDEX(Listado!M:M,N683)="No",IF(INDEX(Listado!N:N,N683)=0,"",INDEX(Listado!N:N,N683)),IF(INDEX(Listado!I:I,N683)=0,"",INDEX(Listado!I:I,N683)))),"")</f>
        <v/>
      </c>
      <c r="P683" s="17">
        <f t="shared" ca="1" si="31"/>
        <v/>
      </c>
      <c r="Q683" s="17">
        <f>IFERROR(IF(AND(N683&lt;&gt;"",ISNUMBER(O683),O683&gt;0,O683&gt;=TODAY()-90),1,0),0)</f>
        <v/>
      </c>
      <c r="R683" s="17" t="str">
        <f t="shared" si="33"/>
        <v/>
      </c>
      <c r="S683" s="17" t="str">
        <f>IF(INDEX(Listado!A:A,ROW())="","",INDEX(Listado!A:A,ROW()))</f>
        <v/>
      </c>
      <c r="T683" s="17" t="str">
        <f ca="1">IF(INDEX(Listado!G:G,ROW())="","",INDEX(Listado!G:G,ROW()))</f>
        <v/>
      </c>
      <c r="U683" s="17" t="str">
        <f>IF(INDEX(Listado!F:F,ROW())="","",INDEX(Listado!F:F,ROW()))</f>
        <v/>
      </c>
      <c r="V683" s="17">
        <f>IF(COUNTA(INDEX(Listado!B:B,ROW()):INDEX(Listado!F:F,ROW()))&gt;0,1,0)</f>
        <v/>
      </c>
      <c r="W683" s="17" t="str">
        <f>IF(INDEX(Listado!L:L,ROW())="","",INDEX(Listado!L:L,ROW()))</f>
        <v/>
      </c>
      <c r="X683" s="17">
        <f>IF(N683="","",IF(INDEX(Listado!$M:$M,N683)="No","No","Sí"))</f>
        <v/>
      </c>
    </row>
    <row r="684" spans="2:24" ht="14.25">
      <c r="N684" s="17" t="str">
        <f>IF(V684=0,"",IFERROR(LOOKUP(2,1/(INDEX(Listado!A:A,2):INDEX(Listado!A:A,ROW())&lt;&gt;""),ROW(INDEX(Listado!A:A,2):INDEX(Listado!A:A,ROW()))),""))</f>
        <v/>
      </c>
      <c r="O684" s="17" t="str">
        <f>IFERROR(IF(N684="","",IF(INDEX(Listado!M:M,N684)="No",IF(INDEX(Listado!N:N,N684)=0,"",INDEX(Listado!N:N,N684)),IF(INDEX(Listado!I:I,N684)=0,"",INDEX(Listado!I:I,N684)))),"")</f>
        <v/>
      </c>
      <c r="P684" s="17">
        <f t="shared" ca="1" si="31"/>
        <v/>
      </c>
      <c r="Q684" s="17">
        <f>IFERROR(IF(AND(N684&lt;&gt;"",ISNUMBER(O684),O684&gt;0,O684&gt;=TODAY()-90),1,0),0)</f>
        <v/>
      </c>
      <c r="R684" s="17" t="str">
        <f t="shared" si="33"/>
        <v/>
      </c>
      <c r="S684" s="17" t="str">
        <f>IF(INDEX(Listado!A:A,ROW())="","",INDEX(Listado!A:A,ROW()))</f>
        <v/>
      </c>
      <c r="T684" s="17" t="str">
        <f ca="1">IF(INDEX(Listado!G:G,ROW())="","",INDEX(Listado!G:G,ROW()))</f>
        <v/>
      </c>
      <c r="U684" s="17" t="str">
        <f>IF(INDEX(Listado!F:F,ROW())="","",INDEX(Listado!F:F,ROW()))</f>
        <v/>
      </c>
      <c r="V684" s="17">
        <f>IF(COUNTA(INDEX(Listado!B:B,ROW()):INDEX(Listado!F:F,ROW()))&gt;0,1,0)</f>
        <v/>
      </c>
      <c r="W684" s="17" t="str">
        <f>IF(INDEX(Listado!L:L,ROW())="","",INDEX(Listado!L:L,ROW()))</f>
        <v/>
      </c>
      <c r="X684" s="17">
        <f>IF(N684="","",IF(INDEX(Listado!$M:$M,N684)="No","No","Sí"))</f>
        <v/>
      </c>
    </row>
    <row r="685" spans="2:24" ht="14.25">
      <c r="N685" s="17" t="str">
        <f>IF(V685=0,"",IFERROR(LOOKUP(2,1/(INDEX(Listado!A:A,2):INDEX(Listado!A:A,ROW())&lt;&gt;""),ROW(INDEX(Listado!A:A,2):INDEX(Listado!A:A,ROW()))),""))</f>
        <v/>
      </c>
      <c r="O685" s="17" t="str">
        <f>IFERROR(IF(N685="","",IF(INDEX(Listado!M:M,N685)="No",IF(INDEX(Listado!N:N,N685)=0,"",INDEX(Listado!N:N,N685)),IF(INDEX(Listado!I:I,N685)=0,"",INDEX(Listado!I:I,N685)))),"")</f>
        <v/>
      </c>
      <c r="P685" s="17">
        <f t="shared" ca="1" si="31"/>
        <v/>
      </c>
      <c r="Q685" s="17">
        <f>IFERROR(IF(AND(N685&lt;&gt;"",ISNUMBER(O685),O685&gt;0,O685&gt;=TODAY()-90),1,0),0)</f>
        <v/>
      </c>
      <c r="R685" s="17" t="str">
        <f t="shared" si="33"/>
        <v/>
      </c>
      <c r="S685" s="17" t="str">
        <f>IF(INDEX(Listado!A:A,ROW())="","",INDEX(Listado!A:A,ROW()))</f>
        <v/>
      </c>
      <c r="T685" s="17" t="str">
        <f ca="1">IF(INDEX(Listado!G:G,ROW())="","",INDEX(Listado!G:G,ROW()))</f>
        <v/>
      </c>
      <c r="U685" s="17" t="str">
        <f>IF(INDEX(Listado!F:F,ROW())="","",INDEX(Listado!F:F,ROW()))</f>
        <v/>
      </c>
      <c r="V685" s="17">
        <f>IF(COUNTA(INDEX(Listado!B:B,ROW()):INDEX(Listado!F:F,ROW()))&gt;0,1,0)</f>
        <v/>
      </c>
      <c r="W685" s="17" t="str">
        <f>IF(INDEX(Listado!L:L,ROW())="","",INDEX(Listado!L:L,ROW()))</f>
        <v/>
      </c>
      <c r="X685" s="17">
        <f>IF(N685="","",IF(INDEX(Listado!$M:$M,N685)="No","No","Sí"))</f>
        <v/>
      </c>
    </row>
    <row r="686" spans="2:24" ht="14.25">
      <c r="N686" s="17" t="str">
        <f>IF(V686=0,"",IFERROR(LOOKUP(2,1/(INDEX(Listado!A:A,2):INDEX(Listado!A:A,ROW())&lt;&gt;""),ROW(INDEX(Listado!A:A,2):INDEX(Listado!A:A,ROW()))),""))</f>
        <v/>
      </c>
      <c r="O686" s="17" t="str">
        <f>IFERROR(IF(N686="","",IF(INDEX(Listado!M:M,N686)="No",IF(INDEX(Listado!N:N,N686)=0,"",INDEX(Listado!N:N,N686)),IF(INDEX(Listado!I:I,N686)=0,"",INDEX(Listado!I:I,N686)))),"")</f>
        <v/>
      </c>
      <c r="P686" s="17">
        <f t="shared" ca="1" si="31"/>
        <v/>
      </c>
      <c r="Q686" s="17">
        <f>IFERROR(IF(AND(N686&lt;&gt;"",ISNUMBER(O686),O686&gt;0,O686&gt;=TODAY()-90),1,0),0)</f>
        <v/>
      </c>
      <c r="R686" s="17" t="str">
        <f t="shared" si="33"/>
        <v/>
      </c>
      <c r="S686" s="17" t="str">
        <f>IF(INDEX(Listado!A:A,ROW())="","",INDEX(Listado!A:A,ROW()))</f>
        <v/>
      </c>
      <c r="T686" s="17" t="str">
        <f ca="1">IF(INDEX(Listado!G:G,ROW())="","",INDEX(Listado!G:G,ROW()))</f>
        <v/>
      </c>
      <c r="U686" s="17" t="str">
        <f>IF(INDEX(Listado!F:F,ROW())="","",INDEX(Listado!F:F,ROW()))</f>
        <v/>
      </c>
      <c r="V686" s="17">
        <f>IF(COUNTA(INDEX(Listado!B:B,ROW()):INDEX(Listado!F:F,ROW()))&gt;0,1,0)</f>
        <v/>
      </c>
      <c r="W686" s="17" t="str">
        <f>IF(INDEX(Listado!L:L,ROW())="","",INDEX(Listado!L:L,ROW()))</f>
        <v/>
      </c>
      <c r="X686" s="17">
        <f>IF(N686="","",IF(INDEX(Listado!$M:$M,N686)="No","No","Sí"))</f>
        <v/>
      </c>
    </row>
    <row r="687" spans="2:24" ht="14.25">
      <c r="N687" s="17" t="str">
        <f>IF(V687=0,"",IFERROR(LOOKUP(2,1/(INDEX(Listado!A:A,2):INDEX(Listado!A:A,ROW())&lt;&gt;""),ROW(INDEX(Listado!A:A,2):INDEX(Listado!A:A,ROW()))),""))</f>
        <v/>
      </c>
      <c r="O687" s="17" t="str">
        <f>IFERROR(IF(N687="","",IF(INDEX(Listado!M:M,N687)="No",IF(INDEX(Listado!N:N,N687)=0,"",INDEX(Listado!N:N,N687)),IF(INDEX(Listado!I:I,N687)=0,"",INDEX(Listado!I:I,N687)))),"")</f>
        <v/>
      </c>
      <c r="P687" s="17">
        <f t="shared" ca="1" si="31"/>
        <v/>
      </c>
      <c r="Q687" s="17">
        <f>IFERROR(IF(AND(N687&lt;&gt;"",ISNUMBER(O687),O687&gt;0,O687&gt;=TODAY()-90),1,0),0)</f>
        <v/>
      </c>
      <c r="R687" s="17" t="str">
        <f t="shared" si="33"/>
        <v/>
      </c>
      <c r="S687" s="17" t="str">
        <f>IF(INDEX(Listado!A:A,ROW())="","",INDEX(Listado!A:A,ROW()))</f>
        <v/>
      </c>
      <c r="T687" s="17" t="str">
        <f ca="1">IF(INDEX(Listado!G:G,ROW())="","",INDEX(Listado!G:G,ROW()))</f>
        <v/>
      </c>
      <c r="U687" s="17" t="str">
        <f>IF(INDEX(Listado!F:F,ROW())="","",INDEX(Listado!F:F,ROW()))</f>
        <v/>
      </c>
      <c r="V687" s="17">
        <f>IF(COUNTA(INDEX(Listado!B:B,ROW()):INDEX(Listado!F:F,ROW()))&gt;0,1,0)</f>
        <v/>
      </c>
      <c r="W687" s="17" t="str">
        <f>IF(INDEX(Listado!L:L,ROW())="","",INDEX(Listado!L:L,ROW()))</f>
        <v/>
      </c>
      <c r="X687" s="17">
        <f>IF(N687="","",IF(INDEX(Listado!$M:$M,N687)="No","No","Sí"))</f>
        <v/>
      </c>
    </row>
    <row r="688" spans="2:24" ht="14.25">
      <c r="N688" s="17" t="str">
        <f>IF(V688=0,"",IFERROR(LOOKUP(2,1/(INDEX(Listado!A:A,2):INDEX(Listado!A:A,ROW())&lt;&gt;""),ROW(INDEX(Listado!A:A,2):INDEX(Listado!A:A,ROW()))),""))</f>
        <v/>
      </c>
      <c r="O688" s="17" t="str">
        <f>IFERROR(IF(N688="","",IF(INDEX(Listado!M:M,N688)="No",IF(INDEX(Listado!N:N,N688)=0,"",INDEX(Listado!N:N,N688)),IF(INDEX(Listado!I:I,N688)=0,"",INDEX(Listado!I:I,N688)))),"")</f>
        <v/>
      </c>
      <c r="P688" s="17">
        <f t="shared" ca="1" si="31"/>
        <v/>
      </c>
      <c r="Q688" s="17">
        <f>IFERROR(IF(AND(N688&lt;&gt;"",ISNUMBER(O688),O688&gt;0,O688&gt;=TODAY()-90),1,0),0)</f>
        <v/>
      </c>
      <c r="R688" s="17" t="str">
        <f t="shared" si="33"/>
        <v/>
      </c>
      <c r="S688" s="17" t="str">
        <f>IF(INDEX(Listado!A:A,ROW())="","",INDEX(Listado!A:A,ROW()))</f>
        <v/>
      </c>
      <c r="T688" s="17" t="str">
        <f ca="1">IF(INDEX(Listado!G:G,ROW())="","",INDEX(Listado!G:G,ROW()))</f>
        <v/>
      </c>
      <c r="U688" s="17" t="str">
        <f>IF(INDEX(Listado!F:F,ROW())="","",INDEX(Listado!F:F,ROW()))</f>
        <v/>
      </c>
      <c r="V688" s="17">
        <f>IF(COUNTA(INDEX(Listado!B:B,ROW()):INDEX(Listado!F:F,ROW()))&gt;0,1,0)</f>
        <v/>
      </c>
      <c r="W688" s="17" t="str">
        <f>IF(INDEX(Listado!L:L,ROW())="","",INDEX(Listado!L:L,ROW()))</f>
        <v/>
      </c>
      <c r="X688" s="17">
        <f>IF(N688="","",IF(INDEX(Listado!$M:$M,N688)="No","No","Sí"))</f>
        <v/>
      </c>
    </row>
    <row r="689" spans="2:24" ht="14.25">
      <c r="N689" s="17" t="str">
        <f>IF(V689=0,"",IFERROR(LOOKUP(2,1/(INDEX(Listado!A:A,2):INDEX(Listado!A:A,ROW())&lt;&gt;""),ROW(INDEX(Listado!A:A,2):INDEX(Listado!A:A,ROW()))),""))</f>
        <v/>
      </c>
      <c r="O689" s="17" t="str">
        <f>IFERROR(IF(N689="","",IF(INDEX(Listado!M:M,N689)="No",IF(INDEX(Listado!N:N,N689)=0,"",INDEX(Listado!N:N,N689)),IF(INDEX(Listado!I:I,N689)=0,"",INDEX(Listado!I:I,N689)))),"")</f>
        <v/>
      </c>
      <c r="P689" s="17">
        <f t="shared" ca="1" si="31"/>
        <v/>
      </c>
      <c r="Q689" s="17">
        <f>IFERROR(IF(AND(N689&lt;&gt;"",ISNUMBER(O689),O689&gt;0,O689&gt;=TODAY()-90),1,0),0)</f>
        <v/>
      </c>
      <c r="R689" s="17" t="str">
        <f t="shared" si="33"/>
        <v/>
      </c>
      <c r="S689" s="17" t="str">
        <f>IF(INDEX(Listado!A:A,ROW())="","",INDEX(Listado!A:A,ROW()))</f>
        <v/>
      </c>
      <c r="T689" s="17" t="str">
        <f ca="1">IF(INDEX(Listado!G:G,ROW())="","",INDEX(Listado!G:G,ROW()))</f>
        <v/>
      </c>
      <c r="U689" s="17" t="str">
        <f>IF(INDEX(Listado!F:F,ROW())="","",INDEX(Listado!F:F,ROW()))</f>
        <v/>
      </c>
      <c r="V689" s="17">
        <f>IF(COUNTA(INDEX(Listado!B:B,ROW()):INDEX(Listado!F:F,ROW()))&gt;0,1,0)</f>
        <v/>
      </c>
      <c r="W689" s="17" t="str">
        <f>IF(INDEX(Listado!L:L,ROW())="","",INDEX(Listado!L:L,ROW()))</f>
        <v/>
      </c>
      <c r="X689" s="17">
        <f>IF(N689="","",IF(INDEX(Listado!$M:$M,N689)="No","No","Sí"))</f>
        <v/>
      </c>
    </row>
    <row r="690" spans="2:24" ht="14.25">
      <c r="N690" s="17" t="str">
        <f>IF(V690=0,"",IFERROR(LOOKUP(2,1/(INDEX(Listado!A:A,2):INDEX(Listado!A:A,ROW())&lt;&gt;""),ROW(INDEX(Listado!A:A,2):INDEX(Listado!A:A,ROW()))),""))</f>
        <v/>
      </c>
      <c r="O690" s="17" t="str">
        <f>IFERROR(IF(N690="","",IF(INDEX(Listado!M:M,N690)="No",IF(INDEX(Listado!N:N,N690)=0,"",INDEX(Listado!N:N,N690)),IF(INDEX(Listado!I:I,N690)=0,"",INDEX(Listado!I:I,N690)))),"")</f>
        <v/>
      </c>
      <c r="P690" s="17">
        <f t="shared" ca="1" si="31"/>
        <v/>
      </c>
      <c r="Q690" s="17">
        <f>IFERROR(IF(AND(N690&lt;&gt;"",ISNUMBER(O690),O690&gt;0,O690&gt;=TODAY()-90),1,0),0)</f>
        <v/>
      </c>
      <c r="R690" s="17" t="str">
        <f t="shared" si="33"/>
        <v/>
      </c>
      <c r="S690" s="17" t="str">
        <f>IF(INDEX(Listado!A:A,ROW())="","",INDEX(Listado!A:A,ROW()))</f>
        <v/>
      </c>
      <c r="T690" s="17" t="str">
        <f ca="1">IF(INDEX(Listado!G:G,ROW())="","",INDEX(Listado!G:G,ROW()))</f>
        <v/>
      </c>
      <c r="U690" s="17" t="str">
        <f>IF(INDEX(Listado!F:F,ROW())="","",INDEX(Listado!F:F,ROW()))</f>
        <v/>
      </c>
      <c r="V690" s="17">
        <f>IF(COUNTA(INDEX(Listado!B:B,ROW()):INDEX(Listado!F:F,ROW()))&gt;0,1,0)</f>
        <v/>
      </c>
      <c r="W690" s="17" t="str">
        <f>IF(INDEX(Listado!L:L,ROW())="","",INDEX(Listado!L:L,ROW()))</f>
        <v/>
      </c>
      <c r="X690" s="17">
        <f>IF(N690="","",IF(INDEX(Listado!$M:$M,N690)="No","No","Sí"))</f>
        <v/>
      </c>
    </row>
    <row r="691" spans="2:24" ht="14.25">
      <c r="N691" s="17" t="str">
        <f>IF(V691=0,"",IFERROR(LOOKUP(2,1/(INDEX(Listado!A:A,2):INDEX(Listado!A:A,ROW())&lt;&gt;""),ROW(INDEX(Listado!A:A,2):INDEX(Listado!A:A,ROW()))),""))</f>
        <v/>
      </c>
      <c r="O691" s="17" t="str">
        <f>IFERROR(IF(N691="","",IF(INDEX(Listado!M:M,N691)="No",IF(INDEX(Listado!N:N,N691)=0,"",INDEX(Listado!N:N,N691)),IF(INDEX(Listado!I:I,N691)=0,"",INDEX(Listado!I:I,N691)))),"")</f>
        <v/>
      </c>
      <c r="P691" s="17">
        <f t="shared" ca="1" si="31"/>
        <v/>
      </c>
      <c r="Q691" s="17">
        <f>IFERROR(IF(AND(N691&lt;&gt;"",ISNUMBER(O691),O691&gt;0,O691&gt;=TODAY()-90),1,0),0)</f>
        <v/>
      </c>
      <c r="R691" s="17" t="str">
        <f t="shared" si="33"/>
        <v/>
      </c>
      <c r="S691" s="17" t="str">
        <f>IF(INDEX(Listado!A:A,ROW())="","",INDEX(Listado!A:A,ROW()))</f>
        <v/>
      </c>
      <c r="T691" s="17" t="str">
        <f ca="1">IF(INDEX(Listado!G:G,ROW())="","",INDEX(Listado!G:G,ROW()))</f>
        <v/>
      </c>
      <c r="U691" s="17" t="str">
        <f>IF(INDEX(Listado!F:F,ROW())="","",INDEX(Listado!F:F,ROW()))</f>
        <v/>
      </c>
      <c r="V691" s="17">
        <f>IF(COUNTA(INDEX(Listado!B:B,ROW()):INDEX(Listado!F:F,ROW()))&gt;0,1,0)</f>
        <v/>
      </c>
      <c r="W691" s="17" t="str">
        <f>IF(INDEX(Listado!L:L,ROW())="","",INDEX(Listado!L:L,ROW()))</f>
        <v/>
      </c>
      <c r="X691" s="17">
        <f>IF(N691="","",IF(INDEX(Listado!$M:$M,N691)="No","No","Sí"))</f>
        <v/>
      </c>
    </row>
    <row r="692" spans="2:24" ht="14.25">
      <c r="N692" s="17" t="str">
        <f>IF(V692=0,"",IFERROR(LOOKUP(2,1/(INDEX(Listado!A:A,2):INDEX(Listado!A:A,ROW())&lt;&gt;""),ROW(INDEX(Listado!A:A,2):INDEX(Listado!A:A,ROW()))),""))</f>
        <v/>
      </c>
      <c r="O692" s="17" t="str">
        <f>IFERROR(IF(N692="","",IF(INDEX(Listado!M:M,N692)="No",IF(INDEX(Listado!N:N,N692)=0,"",INDEX(Listado!N:N,N692)),IF(INDEX(Listado!I:I,N692)=0,"",INDEX(Listado!I:I,N692)))),"")</f>
        <v/>
      </c>
      <c r="P692" s="17">
        <f t="shared" ca="1" si="31"/>
        <v/>
      </c>
      <c r="Q692" s="17">
        <f>IFERROR(IF(AND(N692&lt;&gt;"",ISNUMBER(O692),O692&gt;0,O692&gt;=TODAY()-90),1,0),0)</f>
        <v/>
      </c>
      <c r="R692" s="17" t="str">
        <f t="shared" si="33"/>
        <v/>
      </c>
      <c r="S692" s="17" t="str">
        <f>IF(INDEX(Listado!A:A,ROW())="","",INDEX(Listado!A:A,ROW()))</f>
        <v/>
      </c>
      <c r="T692" s="17" t="str">
        <f ca="1">IF(INDEX(Listado!G:G,ROW())="","",INDEX(Listado!G:G,ROW()))</f>
        <v/>
      </c>
      <c r="U692" s="17" t="str">
        <f>IF(INDEX(Listado!F:F,ROW())="","",INDEX(Listado!F:F,ROW()))</f>
        <v/>
      </c>
      <c r="V692" s="17">
        <f>IF(COUNTA(INDEX(Listado!B:B,ROW()):INDEX(Listado!F:F,ROW()))&gt;0,1,0)</f>
        <v/>
      </c>
      <c r="W692" s="17" t="str">
        <f>IF(INDEX(Listado!L:L,ROW())="","",INDEX(Listado!L:L,ROW()))</f>
        <v/>
      </c>
      <c r="X692" s="17">
        <f>IF(N692="","",IF(INDEX(Listado!$M:$M,N692)="No","No","Sí"))</f>
        <v/>
      </c>
    </row>
    <row r="693" spans="2:24" ht="14.25">
      <c r="N693" s="17" t="str">
        <f>IF(V693=0,"",IFERROR(LOOKUP(2,1/(INDEX(Listado!A:A,2):INDEX(Listado!A:A,ROW())&lt;&gt;""),ROW(INDEX(Listado!A:A,2):INDEX(Listado!A:A,ROW()))),""))</f>
        <v/>
      </c>
      <c r="O693" s="17" t="str">
        <f>IFERROR(IF(N693="","",IF(INDEX(Listado!M:M,N693)="No",IF(INDEX(Listado!N:N,N693)=0,"",INDEX(Listado!N:N,N693)),IF(INDEX(Listado!I:I,N693)=0,"",INDEX(Listado!I:I,N693)))),"")</f>
        <v/>
      </c>
      <c r="P693" s="17">
        <f t="shared" ca="1" si="31"/>
        <v/>
      </c>
      <c r="Q693" s="17">
        <f>IFERROR(IF(AND(N693&lt;&gt;"",ISNUMBER(O693),O693&gt;0,O693&gt;=TODAY()-90),1,0),0)</f>
        <v/>
      </c>
      <c r="R693" s="17" t="str">
        <f t="shared" si="33"/>
        <v/>
      </c>
      <c r="S693" s="17" t="str">
        <f>IF(INDEX(Listado!A:A,ROW())="","",INDEX(Listado!A:A,ROW()))</f>
        <v/>
      </c>
      <c r="T693" s="17" t="str">
        <f ca="1">IF(INDEX(Listado!G:G,ROW())="","",INDEX(Listado!G:G,ROW()))</f>
        <v/>
      </c>
      <c r="U693" s="17" t="str">
        <f>IF(INDEX(Listado!F:F,ROW())="","",INDEX(Listado!F:F,ROW()))</f>
        <v/>
      </c>
      <c r="V693" s="17">
        <f>IF(COUNTA(INDEX(Listado!B:B,ROW()):INDEX(Listado!F:F,ROW()))&gt;0,1,0)</f>
        <v/>
      </c>
      <c r="W693" s="17" t="str">
        <f>IF(INDEX(Listado!L:L,ROW())="","",INDEX(Listado!L:L,ROW()))</f>
        <v/>
      </c>
      <c r="X693" s="17">
        <f>IF(N693="","",IF(INDEX(Listado!$M:$M,N693)="No","No","Sí"))</f>
        <v/>
      </c>
    </row>
    <row r="694" spans="2:24" ht="14.25">
      <c r="N694" s="17" t="str">
        <f>IF(V694=0,"",IFERROR(LOOKUP(2,1/(INDEX(Listado!A:A,2):INDEX(Listado!A:A,ROW())&lt;&gt;""),ROW(INDEX(Listado!A:A,2):INDEX(Listado!A:A,ROW()))),""))</f>
        <v/>
      </c>
      <c r="O694" s="17" t="str">
        <f>IFERROR(IF(N694="","",IF(INDEX(Listado!M:M,N694)="No",IF(INDEX(Listado!N:N,N694)=0,"",INDEX(Listado!N:N,N694)),IF(INDEX(Listado!I:I,N694)=0,"",INDEX(Listado!I:I,N694)))),"")</f>
        <v/>
      </c>
      <c r="P694" s="17">
        <f t="shared" ca="1" si="31"/>
        <v/>
      </c>
      <c r="Q694" s="17">
        <f>IFERROR(IF(AND(N694&lt;&gt;"",ISNUMBER(O694),O694&gt;0,O694&gt;=TODAY()-90),1,0),0)</f>
        <v/>
      </c>
      <c r="R694" s="17" t="str">
        <f t="shared" si="33"/>
        <v/>
      </c>
      <c r="S694" s="17" t="str">
        <f>IF(INDEX(Listado!A:A,ROW())="","",INDEX(Listado!A:A,ROW()))</f>
        <v/>
      </c>
      <c r="T694" s="17" t="str">
        <f ca="1">IF(INDEX(Listado!G:G,ROW())="","",INDEX(Listado!G:G,ROW()))</f>
        <v/>
      </c>
      <c r="U694" s="17" t="str">
        <f>IF(INDEX(Listado!F:F,ROW())="","",INDEX(Listado!F:F,ROW()))</f>
        <v/>
      </c>
      <c r="V694" s="17">
        <f>IF(COUNTA(INDEX(Listado!B:B,ROW()):INDEX(Listado!F:F,ROW()))&gt;0,1,0)</f>
        <v/>
      </c>
      <c r="W694" s="17" t="str">
        <f>IF(INDEX(Listado!L:L,ROW())="","",INDEX(Listado!L:L,ROW()))</f>
        <v/>
      </c>
      <c r="X694" s="17">
        <f>IF(N694="","",IF(INDEX(Listado!$M:$M,N694)="No","No","Sí"))</f>
        <v/>
      </c>
    </row>
    <row r="695" spans="2:24" ht="14.25">
      <c r="N695" s="17" t="str">
        <f>IF(V695=0,"",IFERROR(LOOKUP(2,1/(INDEX(Listado!A:A,2):INDEX(Listado!A:A,ROW())&lt;&gt;""),ROW(INDEX(Listado!A:A,2):INDEX(Listado!A:A,ROW()))),""))</f>
        <v/>
      </c>
      <c r="O695" s="17" t="str">
        <f>IFERROR(IF(N695="","",IF(INDEX(Listado!M:M,N695)="No",IF(INDEX(Listado!N:N,N695)=0,"",INDEX(Listado!N:N,N695)),IF(INDEX(Listado!I:I,N695)=0,"",INDEX(Listado!I:I,N695)))),"")</f>
        <v/>
      </c>
      <c r="P695" s="17">
        <f t="shared" ca="1" si="31"/>
        <v/>
      </c>
      <c r="Q695" s="17">
        <f>IFERROR(IF(AND(N695&lt;&gt;"",ISNUMBER(O695),O695&gt;0,O695&gt;=TODAY()-90),1,0),0)</f>
        <v/>
      </c>
      <c r="R695" s="17" t="str">
        <f t="shared" si="33"/>
        <v/>
      </c>
      <c r="S695" s="17" t="str">
        <f>IF(INDEX(Listado!A:A,ROW())="","",INDEX(Listado!A:A,ROW()))</f>
        <v/>
      </c>
      <c r="T695" s="17" t="str">
        <f ca="1">IF(INDEX(Listado!G:G,ROW())="","",INDEX(Listado!G:G,ROW()))</f>
        <v/>
      </c>
      <c r="U695" s="17" t="str">
        <f>IF(INDEX(Listado!F:F,ROW())="","",INDEX(Listado!F:F,ROW()))</f>
        <v/>
      </c>
      <c r="V695" s="17">
        <f>IF(COUNTA(INDEX(Listado!B:B,ROW()):INDEX(Listado!F:F,ROW()))&gt;0,1,0)</f>
        <v/>
      </c>
      <c r="W695" s="17" t="str">
        <f>IF(INDEX(Listado!L:L,ROW())="","",INDEX(Listado!L:L,ROW()))</f>
        <v/>
      </c>
      <c r="X695" s="17">
        <f>IF(N695="","",IF(INDEX(Listado!$M:$M,N695)="No","No","Sí"))</f>
        <v/>
      </c>
    </row>
    <row r="696" spans="2:24" ht="14.25">
      <c r="N696" s="17" t="str">
        <f>IF(V696=0,"",IFERROR(LOOKUP(2,1/(INDEX(Listado!A:A,2):INDEX(Listado!A:A,ROW())&lt;&gt;""),ROW(INDEX(Listado!A:A,2):INDEX(Listado!A:A,ROW()))),""))</f>
        <v/>
      </c>
      <c r="O696" s="17" t="str">
        <f>IFERROR(IF(N696="","",IF(INDEX(Listado!M:M,N696)="No",IF(INDEX(Listado!N:N,N696)=0,"",INDEX(Listado!N:N,N696)),IF(INDEX(Listado!I:I,N696)=0,"",INDEX(Listado!I:I,N696)))),"")</f>
        <v/>
      </c>
      <c r="P696" s="17">
        <f t="shared" ca="1" si="31"/>
        <v/>
      </c>
      <c r="Q696" s="17">
        <f>IFERROR(IF(AND(N696&lt;&gt;"",ISNUMBER(O696),O696&gt;0,O696&gt;=TODAY()-90),1,0),0)</f>
        <v/>
      </c>
      <c r="R696" s="17" t="str">
        <f t="shared" si="33"/>
        <v/>
      </c>
      <c r="S696" s="17" t="str">
        <f>IF(INDEX(Listado!A:A,ROW())="","",INDEX(Listado!A:A,ROW()))</f>
        <v/>
      </c>
      <c r="T696" s="17" t="str">
        <f ca="1">IF(INDEX(Listado!G:G,ROW())="","",INDEX(Listado!G:G,ROW()))</f>
        <v/>
      </c>
      <c r="U696" s="17" t="str">
        <f>IF(INDEX(Listado!F:F,ROW())="","",INDEX(Listado!F:F,ROW()))</f>
        <v/>
      </c>
      <c r="V696" s="17">
        <f>IF(COUNTA(INDEX(Listado!B:B,ROW()):INDEX(Listado!F:F,ROW()))&gt;0,1,0)</f>
        <v/>
      </c>
      <c r="W696" s="17" t="str">
        <f>IF(INDEX(Listado!L:L,ROW())="","",INDEX(Listado!L:L,ROW()))</f>
        <v/>
      </c>
      <c r="X696" s="17">
        <f>IF(N696="","",IF(INDEX(Listado!$M:$M,N696)="No","No","Sí"))</f>
        <v/>
      </c>
    </row>
    <row r="697" spans="2:24" ht="14.25">
      <c r="N697" s="17" t="str">
        <f>IF(V697=0,"",IFERROR(LOOKUP(2,1/(INDEX(Listado!A:A,2):INDEX(Listado!A:A,ROW())&lt;&gt;""),ROW(INDEX(Listado!A:A,2):INDEX(Listado!A:A,ROW()))),""))</f>
        <v/>
      </c>
      <c r="O697" s="17" t="str">
        <f>IFERROR(IF(N697="","",IF(INDEX(Listado!M:M,N697)="No",IF(INDEX(Listado!N:N,N697)=0,"",INDEX(Listado!N:N,N697)),IF(INDEX(Listado!I:I,N697)=0,"",INDEX(Listado!I:I,N697)))),"")</f>
        <v/>
      </c>
      <c r="P697" s="17">
        <f t="shared" ca="1" si="31"/>
        <v/>
      </c>
      <c r="Q697" s="17">
        <f>IFERROR(IF(AND(N697&lt;&gt;"",ISNUMBER(O697),O697&gt;0,O697&gt;=TODAY()-90),1,0),0)</f>
        <v/>
      </c>
      <c r="R697" s="17" t="str">
        <f t="shared" si="33"/>
        <v/>
      </c>
      <c r="S697" s="17" t="str">
        <f>IF(INDEX(Listado!A:A,ROW())="","",INDEX(Listado!A:A,ROW()))</f>
        <v/>
      </c>
      <c r="T697" s="17" t="str">
        <f ca="1">IF(INDEX(Listado!G:G,ROW())="","",INDEX(Listado!G:G,ROW()))</f>
        <v/>
      </c>
      <c r="U697" s="17" t="str">
        <f>IF(INDEX(Listado!F:F,ROW())="","",INDEX(Listado!F:F,ROW()))</f>
        <v/>
      </c>
      <c r="V697" s="17">
        <f>IF(COUNTA(INDEX(Listado!B:B,ROW()):INDEX(Listado!F:F,ROW()))&gt;0,1,0)</f>
        <v/>
      </c>
      <c r="W697" s="17" t="str">
        <f>IF(INDEX(Listado!L:L,ROW())="","",INDEX(Listado!L:L,ROW()))</f>
        <v/>
      </c>
      <c r="X697" s="17">
        <f>IF(N697="","",IF(INDEX(Listado!$M:$M,N697)="No","No","Sí"))</f>
        <v/>
      </c>
    </row>
    <row r="698" spans="2:24" ht="14.25">
      <c r="N698" s="17" t="str">
        <f>IF(V698=0,"",IFERROR(LOOKUP(2,1/(INDEX(Listado!A:A,2):INDEX(Listado!A:A,ROW())&lt;&gt;""),ROW(INDEX(Listado!A:A,2):INDEX(Listado!A:A,ROW()))),""))</f>
        <v/>
      </c>
      <c r="O698" s="17" t="str">
        <f>IFERROR(IF(N698="","",IF(INDEX(Listado!M:M,N698)="No",IF(INDEX(Listado!N:N,N698)=0,"",INDEX(Listado!N:N,N698)),IF(INDEX(Listado!I:I,N698)=0,"",INDEX(Listado!I:I,N698)))),"")</f>
        <v/>
      </c>
      <c r="P698" s="17">
        <f t="shared" ca="1" si="31"/>
        <v/>
      </c>
      <c r="Q698" s="17">
        <f>IFERROR(IF(AND(N698&lt;&gt;"",ISNUMBER(O698),O698&gt;0,O698&gt;=TODAY()-90),1,0),0)</f>
        <v/>
      </c>
      <c r="R698" s="17" t="str">
        <f t="shared" si="33"/>
        <v/>
      </c>
      <c r="S698" s="17" t="str">
        <f>IF(INDEX(Listado!A:A,ROW())="","",INDEX(Listado!A:A,ROW()))</f>
        <v/>
      </c>
      <c r="T698" s="17" t="str">
        <f ca="1">IF(INDEX(Listado!G:G,ROW())="","",INDEX(Listado!G:G,ROW()))</f>
        <v/>
      </c>
      <c r="U698" s="17" t="str">
        <f>IF(INDEX(Listado!F:F,ROW())="","",INDEX(Listado!F:F,ROW()))</f>
        <v/>
      </c>
      <c r="V698" s="17">
        <f>IF(COUNTA(INDEX(Listado!B:B,ROW()):INDEX(Listado!F:F,ROW()))&gt;0,1,0)</f>
        <v/>
      </c>
      <c r="W698" s="17" t="str">
        <f>IF(INDEX(Listado!L:L,ROW())="","",INDEX(Listado!L:L,ROW()))</f>
        <v/>
      </c>
      <c r="X698" s="17">
        <f>IF(N698="","",IF(INDEX(Listado!$M:$M,N698)="No","No","Sí"))</f>
        <v/>
      </c>
    </row>
    <row r="699" spans="2:24" ht="14.25">
      <c r="N699" s="17" t="str">
        <f>IF(V699=0,"",IFERROR(LOOKUP(2,1/(INDEX(Listado!A:A,2):INDEX(Listado!A:A,ROW())&lt;&gt;""),ROW(INDEX(Listado!A:A,2):INDEX(Listado!A:A,ROW()))),""))</f>
        <v/>
      </c>
      <c r="O699" s="17" t="str">
        <f>IFERROR(IF(N699="","",IF(INDEX(Listado!M:M,N699)="No",IF(INDEX(Listado!N:N,N699)=0,"",INDEX(Listado!N:N,N699)),IF(INDEX(Listado!I:I,N699)=0,"",INDEX(Listado!I:I,N699)))),"")</f>
        <v/>
      </c>
      <c r="P699" s="17">
        <f t="shared" ca="1" si="31"/>
        <v/>
      </c>
      <c r="Q699" s="17">
        <f>IFERROR(IF(AND(N699&lt;&gt;"",ISNUMBER(O699),O699&gt;0,O699&gt;=TODAY()-90),1,0),0)</f>
        <v/>
      </c>
      <c r="R699" s="17" t="str">
        <f t="shared" si="33"/>
        <v/>
      </c>
      <c r="S699" s="17" t="str">
        <f>IF(INDEX(Listado!A:A,ROW())="","",INDEX(Listado!A:A,ROW()))</f>
        <v/>
      </c>
      <c r="T699" s="17" t="str">
        <f ca="1">IF(INDEX(Listado!G:G,ROW())="","",INDEX(Listado!G:G,ROW()))</f>
        <v/>
      </c>
      <c r="U699" s="17" t="str">
        <f>IF(INDEX(Listado!F:F,ROW())="","",INDEX(Listado!F:F,ROW()))</f>
        <v/>
      </c>
      <c r="V699" s="17">
        <f>IF(COUNTA(INDEX(Listado!B:B,ROW()):INDEX(Listado!F:F,ROW()))&gt;0,1,0)</f>
        <v/>
      </c>
      <c r="W699" s="17" t="str">
        <f>IF(INDEX(Listado!L:L,ROW())="","",INDEX(Listado!L:L,ROW()))</f>
        <v/>
      </c>
      <c r="X699" s="17">
        <f>IF(N699="","",IF(INDEX(Listado!$M:$M,N699)="No","No","Sí"))</f>
        <v/>
      </c>
    </row>
    <row r="700" spans="2:24" ht="14.25">
      <c r="N700" s="17" t="str">
        <f>IF(V700=0,"",IFERROR(LOOKUP(2,1/(INDEX(Listado!A:A,2):INDEX(Listado!A:A,ROW())&lt;&gt;""),ROW(INDEX(Listado!A:A,2):INDEX(Listado!A:A,ROW()))),""))</f>
        <v/>
      </c>
      <c r="O700" s="17" t="str">
        <f>IFERROR(IF(N700="","",IF(INDEX(Listado!M:M,N700)="No",IF(INDEX(Listado!N:N,N700)=0,"",INDEX(Listado!N:N,N700)),IF(INDEX(Listado!I:I,N700)=0,"",INDEX(Listado!I:I,N700)))),"")</f>
        <v/>
      </c>
      <c r="P700" s="17">
        <f t="shared" ca="1" si="31"/>
        <v/>
      </c>
      <c r="Q700" s="17">
        <f>IFERROR(IF(AND(N700&lt;&gt;"",ISNUMBER(O700),O700&gt;0,O700&gt;=TODAY()-90),1,0),0)</f>
        <v/>
      </c>
      <c r="R700" s="17" t="str">
        <f t="shared" si="33"/>
        <v/>
      </c>
      <c r="S700" s="17" t="str">
        <f>IF(INDEX(Listado!A:A,ROW())="","",INDEX(Listado!A:A,ROW()))</f>
        <v/>
      </c>
      <c r="T700" s="17" t="str">
        <f ca="1">IF(INDEX(Listado!G:G,ROW())="","",INDEX(Listado!G:G,ROW()))</f>
        <v/>
      </c>
      <c r="U700" s="17" t="str">
        <f>IF(INDEX(Listado!F:F,ROW())="","",INDEX(Listado!F:F,ROW()))</f>
        <v/>
      </c>
      <c r="V700" s="17">
        <f>IF(COUNTA(INDEX(Listado!B:B,ROW()):INDEX(Listado!F:F,ROW()))&gt;0,1,0)</f>
        <v/>
      </c>
      <c r="W700" s="17" t="str">
        <f>IF(INDEX(Listado!L:L,ROW())="","",INDEX(Listado!L:L,ROW()))</f>
        <v/>
      </c>
      <c r="X700" s="17">
        <f>IF(N700="","",IF(INDEX(Listado!$M:$M,N700)="No","No","Sí"))</f>
        <v/>
      </c>
    </row>
    <row r="701" spans="2:24" ht="14.25">
      <c r="N701" s="17" t="str">
        <f>IF(V701=0,"",IFERROR(LOOKUP(2,1/(INDEX(Listado!A:A,2):INDEX(Listado!A:A,ROW())&lt;&gt;""),ROW(INDEX(Listado!A:A,2):INDEX(Listado!A:A,ROW()))),""))</f>
        <v/>
      </c>
      <c r="O701" s="17" t="str">
        <f>IFERROR(IF(N701="","",IF(INDEX(Listado!M:M,N701)="No",IF(INDEX(Listado!N:N,N701)=0,"",INDEX(Listado!N:N,N701)),IF(INDEX(Listado!I:I,N701)=0,"",INDEX(Listado!I:I,N701)))),"")</f>
        <v/>
      </c>
      <c r="P701" s="17">
        <f t="shared" ca="1" si="31"/>
        <v/>
      </c>
      <c r="Q701" s="17">
        <f>IFERROR(IF(AND(N701&lt;&gt;"",ISNUMBER(O701),O701&gt;0,O701&gt;=TODAY()-90),1,0),0)</f>
        <v/>
      </c>
      <c r="R701" s="17" t="str">
        <f t="shared" si="33"/>
        <v/>
      </c>
      <c r="S701" s="17" t="str">
        <f>IF(INDEX(Listado!A:A,ROW())="","",INDEX(Listado!A:A,ROW()))</f>
        <v/>
      </c>
      <c r="T701" s="17" t="str">
        <f ca="1">IF(INDEX(Listado!G:G,ROW())="","",INDEX(Listado!G:G,ROW()))</f>
        <v/>
      </c>
      <c r="U701" s="17" t="str">
        <f>IF(INDEX(Listado!F:F,ROW())="","",INDEX(Listado!F:F,ROW()))</f>
        <v/>
      </c>
      <c r="V701" s="17">
        <f>IF(COUNTA(INDEX(Listado!B:B,ROW()):INDEX(Listado!F:F,ROW()))&gt;0,1,0)</f>
        <v/>
      </c>
      <c r="W701" s="17" t="str">
        <f>IF(INDEX(Listado!L:L,ROW())="","",INDEX(Listado!L:L,ROW()))</f>
        <v/>
      </c>
      <c r="X701" s="17">
        <f>IF(N701="","",IF(INDEX(Listado!$M:$M,N701)="No","No","Sí"))</f>
        <v/>
      </c>
    </row>
    <row r="702" spans="2:24" ht="14.25">
      <c r="N702" s="17" t="str">
        <f>IF(V702=0,"",IFERROR(LOOKUP(2,1/(INDEX(Listado!A:A,2):INDEX(Listado!A:A,ROW())&lt;&gt;""),ROW(INDEX(Listado!A:A,2):INDEX(Listado!A:A,ROW()))),""))</f>
        <v/>
      </c>
      <c r="O702" s="17" t="str">
        <f>IFERROR(IF(N702="","",IF(INDEX(Listado!M:M,N702)="No",IF(INDEX(Listado!N:N,N702)=0,"",INDEX(Listado!N:N,N702)),IF(INDEX(Listado!I:I,N702)=0,"",INDEX(Listado!I:I,N702)))),"")</f>
        <v/>
      </c>
      <c r="P702" s="17">
        <f t="shared" ca="1" si="31"/>
        <v/>
      </c>
      <c r="Q702" s="17">
        <f>IFERROR(IF(AND(N702&lt;&gt;"",ISNUMBER(O702),O702&gt;0,O702&gt;=TODAY()-90),1,0),0)</f>
        <v/>
      </c>
      <c r="R702" s="17" t="str">
        <f t="shared" si="33"/>
        <v/>
      </c>
      <c r="S702" s="17" t="str">
        <f>IF(INDEX(Listado!A:A,ROW())="","",INDEX(Listado!A:A,ROW()))</f>
        <v/>
      </c>
      <c r="T702" s="17" t="str">
        <f ca="1">IF(INDEX(Listado!G:G,ROW())="","",INDEX(Listado!G:G,ROW()))</f>
        <v/>
      </c>
      <c r="U702" s="17" t="str">
        <f>IF(INDEX(Listado!F:F,ROW())="","",INDEX(Listado!F:F,ROW()))</f>
        <v/>
      </c>
      <c r="V702" s="17">
        <f>IF(COUNTA(INDEX(Listado!B:B,ROW()):INDEX(Listado!F:F,ROW()))&gt;0,1,0)</f>
        <v/>
      </c>
      <c r="W702" s="17" t="str">
        <f>IF(INDEX(Listado!L:L,ROW())="","",INDEX(Listado!L:L,ROW()))</f>
        <v/>
      </c>
      <c r="X702" s="17">
        <f>IF(N702="","",IF(INDEX(Listado!$M:$M,N702)="No","No","Sí"))</f>
        <v/>
      </c>
    </row>
    <row r="703" spans="2:24" ht="14.25">
      <c r="N703" s="17" t="str">
        <f>IF(V703=0,"",IFERROR(LOOKUP(2,1/(INDEX(Listado!A:A,2):INDEX(Listado!A:A,ROW())&lt;&gt;""),ROW(INDEX(Listado!A:A,2):INDEX(Listado!A:A,ROW()))),""))</f>
        <v/>
      </c>
      <c r="O703" s="17" t="str">
        <f>IFERROR(IF(N703="","",IF(INDEX(Listado!M:M,N703)="No",IF(INDEX(Listado!N:N,N703)=0,"",INDEX(Listado!N:N,N703)),IF(INDEX(Listado!I:I,N703)=0,"",INDEX(Listado!I:I,N703)))),"")</f>
        <v/>
      </c>
      <c r="P703" s="17">
        <f t="shared" ca="1" si="31"/>
        <v/>
      </c>
      <c r="Q703" s="17">
        <f>IFERROR(IF(AND(N703&lt;&gt;"",ISNUMBER(O703),O703&gt;0,O703&gt;=TODAY()-90),1,0),0)</f>
        <v/>
      </c>
      <c r="R703" s="17" t="str">
        <f t="shared" si="33"/>
        <v/>
      </c>
      <c r="S703" s="17" t="str">
        <f>IF(INDEX(Listado!A:A,ROW())="","",INDEX(Listado!A:A,ROW()))</f>
        <v/>
      </c>
      <c r="T703" s="17" t="str">
        <f ca="1">IF(INDEX(Listado!G:G,ROW())="","",INDEX(Listado!G:G,ROW()))</f>
        <v/>
      </c>
      <c r="U703" s="17" t="str">
        <f>IF(INDEX(Listado!F:F,ROW())="","",INDEX(Listado!F:F,ROW()))</f>
        <v/>
      </c>
      <c r="V703" s="17">
        <f>IF(COUNTA(INDEX(Listado!B:B,ROW()):INDEX(Listado!F:F,ROW()))&gt;0,1,0)</f>
        <v/>
      </c>
      <c r="W703" s="17" t="str">
        <f>IF(INDEX(Listado!L:L,ROW())="","",INDEX(Listado!L:L,ROW()))</f>
        <v/>
      </c>
      <c r="X703" s="17">
        <f>IF(N703="","",IF(INDEX(Listado!$M:$M,N703)="No","No","Sí"))</f>
        <v/>
      </c>
    </row>
    <row r="704" spans="2:24" ht="14.25">
      <c r="N704" s="17" t="str">
        <f>IF(V704=0,"",IFERROR(LOOKUP(2,1/(INDEX(Listado!A:A,2):INDEX(Listado!A:A,ROW())&lt;&gt;""),ROW(INDEX(Listado!A:A,2):INDEX(Listado!A:A,ROW()))),""))</f>
        <v/>
      </c>
      <c r="O704" s="17" t="str">
        <f>IFERROR(IF(N704="","",IF(INDEX(Listado!M:M,N704)="No",IF(INDEX(Listado!N:N,N704)=0,"",INDEX(Listado!N:N,N704)),IF(INDEX(Listado!I:I,N704)=0,"",INDEX(Listado!I:I,N704)))),"")</f>
        <v/>
      </c>
      <c r="P704" s="17">
        <f t="shared" ca="1" si="31"/>
        <v/>
      </c>
      <c r="Q704" s="17">
        <f>IFERROR(IF(AND(N704&lt;&gt;"",ISNUMBER(O704),O704&gt;0,O704&gt;=TODAY()-90),1,0),0)</f>
        <v/>
      </c>
      <c r="R704" s="17" t="str">
        <f t="shared" si="33"/>
        <v/>
      </c>
      <c r="S704" s="17" t="str">
        <f>IF(INDEX(Listado!A:A,ROW())="","",INDEX(Listado!A:A,ROW()))</f>
        <v/>
      </c>
      <c r="T704" s="17" t="str">
        <f ca="1">IF(INDEX(Listado!G:G,ROW())="","",INDEX(Listado!G:G,ROW()))</f>
        <v/>
      </c>
      <c r="U704" s="17" t="str">
        <f>IF(INDEX(Listado!F:F,ROW())="","",INDEX(Listado!F:F,ROW()))</f>
        <v/>
      </c>
      <c r="V704" s="17">
        <f>IF(COUNTA(INDEX(Listado!B:B,ROW()):INDEX(Listado!F:F,ROW()))&gt;0,1,0)</f>
        <v/>
      </c>
      <c r="W704" s="17" t="str">
        <f>IF(INDEX(Listado!L:L,ROW())="","",INDEX(Listado!L:L,ROW()))</f>
        <v/>
      </c>
      <c r="X704" s="17">
        <f>IF(N704="","",IF(INDEX(Listado!$M:$M,N704)="No","No","Sí"))</f>
        <v/>
      </c>
    </row>
    <row r="705" spans="2:24" ht="14.25">
      <c r="N705" s="17" t="str">
        <f>IF(V705=0,"",IFERROR(LOOKUP(2,1/(INDEX(Listado!A:A,2):INDEX(Listado!A:A,ROW())&lt;&gt;""),ROW(INDEX(Listado!A:A,2):INDEX(Listado!A:A,ROW()))),""))</f>
        <v/>
      </c>
      <c r="O705" s="17" t="str">
        <f>IFERROR(IF(N705="","",IF(INDEX(Listado!M:M,N705)="No",IF(INDEX(Listado!N:N,N705)=0,"",INDEX(Listado!N:N,N705)),IF(INDEX(Listado!I:I,N705)=0,"",INDEX(Listado!I:I,N705)))),"")</f>
        <v/>
      </c>
      <c r="P705" s="17">
        <f t="shared" ca="1" si="31"/>
        <v/>
      </c>
      <c r="Q705" s="17">
        <f>IFERROR(IF(AND(N705&lt;&gt;"",ISNUMBER(O705),O705&gt;0,O705&gt;=TODAY()-90),1,0),0)</f>
        <v/>
      </c>
      <c r="R705" s="17" t="str">
        <f t="shared" si="33"/>
        <v/>
      </c>
      <c r="S705" s="17" t="str">
        <f>IF(INDEX(Listado!A:A,ROW())="","",INDEX(Listado!A:A,ROW()))</f>
        <v/>
      </c>
      <c r="T705" s="17" t="str">
        <f ca="1">IF(INDEX(Listado!G:G,ROW())="","",INDEX(Listado!G:G,ROW()))</f>
        <v/>
      </c>
      <c r="U705" s="17" t="str">
        <f>IF(INDEX(Listado!F:F,ROW())="","",INDEX(Listado!F:F,ROW()))</f>
        <v/>
      </c>
      <c r="V705" s="17">
        <f>IF(COUNTA(INDEX(Listado!B:B,ROW()):INDEX(Listado!F:F,ROW()))&gt;0,1,0)</f>
        <v/>
      </c>
      <c r="W705" s="17" t="str">
        <f>IF(INDEX(Listado!L:L,ROW())="","",INDEX(Listado!L:L,ROW()))</f>
        <v/>
      </c>
      <c r="X705" s="17">
        <f>IF(N705="","",IF(INDEX(Listado!$M:$M,N705)="No","No","Sí"))</f>
        <v/>
      </c>
    </row>
    <row r="706" spans="2:24" ht="14.25">
      <c r="N706" s="17" t="str">
        <f>IF(V706=0,"",IFERROR(LOOKUP(2,1/(INDEX(Listado!A:A,2):INDEX(Listado!A:A,ROW())&lt;&gt;""),ROW(INDEX(Listado!A:A,2):INDEX(Listado!A:A,ROW()))),""))</f>
        <v/>
      </c>
      <c r="O706" s="17" t="str">
        <f>IFERROR(IF(N706="","",IF(INDEX(Listado!M:M,N706)="No",IF(INDEX(Listado!N:N,N706)=0,"",INDEX(Listado!N:N,N706)),IF(INDEX(Listado!I:I,N706)=0,"",INDEX(Listado!I:I,N706)))),"")</f>
        <v/>
      </c>
      <c r="P706" s="17">
        <f t="shared" ref="P706:P769" ca="1" si="34">IF(W706="",0,IFERROR(IF(AND(ISNUMBER(W706),W706=INT(W706),ISNUMBER(O706),O706&gt;0,W706&gt;=TODAY(),W706&lt;=O706+90),0,1),1))</f>
        <v/>
      </c>
      <c r="Q706" s="17">
        <f>IFERROR(IF(AND(N706&lt;&gt;"",ISNUMBER(O706),O706&gt;0,O706&gt;=TODAY()-90),1,0),0)</f>
        <v/>
      </c>
      <c r="R706" s="17" t="str">
        <f t="shared" ref="R706:R769" si="36">IF(S706="","",COUNTIFS($N$2:$N$2999,ROW(),$Q$2:$Q$2999,1))</f>
        <v/>
      </c>
      <c r="S706" s="17" t="str">
        <f>IF(INDEX(Listado!A:A,ROW())="","",INDEX(Listado!A:A,ROW()))</f>
        <v/>
      </c>
      <c r="T706" s="17" t="str">
        <f ca="1">IF(INDEX(Listado!G:G,ROW())="","",INDEX(Listado!G:G,ROW()))</f>
        <v/>
      </c>
      <c r="U706" s="17" t="str">
        <f>IF(INDEX(Listado!F:F,ROW())="","",INDEX(Listado!F:F,ROW()))</f>
        <v/>
      </c>
      <c r="V706" s="17">
        <f>IF(COUNTA(INDEX(Listado!B:B,ROW()):INDEX(Listado!F:F,ROW()))&gt;0,1,0)</f>
        <v/>
      </c>
      <c r="W706" s="17" t="str">
        <f>IF(INDEX(Listado!L:L,ROW())="","",INDEX(Listado!L:L,ROW()))</f>
        <v/>
      </c>
      <c r="X706" s="17">
        <f>IF(N706="","",IF(INDEX(Listado!$M:$M,N706)="No","No","Sí"))</f>
        <v/>
      </c>
    </row>
    <row r="707" spans="2:24" ht="14.25">
      <c r="N707" s="17" t="str">
        <f>IF(V707=0,"",IFERROR(LOOKUP(2,1/(INDEX(Listado!A:A,2):INDEX(Listado!A:A,ROW())&lt;&gt;""),ROW(INDEX(Listado!A:A,2):INDEX(Listado!A:A,ROW()))),""))</f>
        <v/>
      </c>
      <c r="O707" s="17" t="str">
        <f>IFERROR(IF(N707="","",IF(INDEX(Listado!M:M,N707)="No",IF(INDEX(Listado!N:N,N707)=0,"",INDEX(Listado!N:N,N707)),IF(INDEX(Listado!I:I,N707)=0,"",INDEX(Listado!I:I,N707)))),"")</f>
        <v/>
      </c>
      <c r="P707" s="17">
        <f t="shared" ca="1" si="34"/>
        <v/>
      </c>
      <c r="Q707" s="17">
        <f>IFERROR(IF(AND(N707&lt;&gt;"",ISNUMBER(O707),O707&gt;0,O707&gt;=TODAY()-90),1,0),0)</f>
        <v/>
      </c>
      <c r="R707" s="17" t="str">
        <f t="shared" si="36"/>
        <v/>
      </c>
      <c r="S707" s="17" t="str">
        <f>IF(INDEX(Listado!A:A,ROW())="","",INDEX(Listado!A:A,ROW()))</f>
        <v/>
      </c>
      <c r="T707" s="17" t="str">
        <f ca="1">IF(INDEX(Listado!G:G,ROW())="","",INDEX(Listado!G:G,ROW()))</f>
        <v/>
      </c>
      <c r="U707" s="17" t="str">
        <f>IF(INDEX(Listado!F:F,ROW())="","",INDEX(Listado!F:F,ROW()))</f>
        <v/>
      </c>
      <c r="V707" s="17">
        <f>IF(COUNTA(INDEX(Listado!B:B,ROW()):INDEX(Listado!F:F,ROW()))&gt;0,1,0)</f>
        <v/>
      </c>
      <c r="W707" s="17" t="str">
        <f>IF(INDEX(Listado!L:L,ROW())="","",INDEX(Listado!L:L,ROW()))</f>
        <v/>
      </c>
      <c r="X707" s="17">
        <f>IF(N707="","",IF(INDEX(Listado!$M:$M,N707)="No","No","Sí"))</f>
        <v/>
      </c>
    </row>
    <row r="708" spans="2:24" ht="14.25">
      <c r="N708" s="17" t="str">
        <f>IF(V708=0,"",IFERROR(LOOKUP(2,1/(INDEX(Listado!A:A,2):INDEX(Listado!A:A,ROW())&lt;&gt;""),ROW(INDEX(Listado!A:A,2):INDEX(Listado!A:A,ROW()))),""))</f>
        <v/>
      </c>
      <c r="O708" s="17" t="str">
        <f>IFERROR(IF(N708="","",IF(INDEX(Listado!M:M,N708)="No",IF(INDEX(Listado!N:N,N708)=0,"",INDEX(Listado!N:N,N708)),IF(INDEX(Listado!I:I,N708)=0,"",INDEX(Listado!I:I,N708)))),"")</f>
        <v/>
      </c>
      <c r="P708" s="17">
        <f t="shared" ca="1" si="34"/>
        <v/>
      </c>
      <c r="Q708" s="17">
        <f>IFERROR(IF(AND(N708&lt;&gt;"",ISNUMBER(O708),O708&gt;0,O708&gt;=TODAY()-90),1,0),0)</f>
        <v/>
      </c>
      <c r="R708" s="17" t="str">
        <f t="shared" si="36"/>
        <v/>
      </c>
      <c r="S708" s="17" t="str">
        <f>IF(INDEX(Listado!A:A,ROW())="","",INDEX(Listado!A:A,ROW()))</f>
        <v/>
      </c>
      <c r="T708" s="17" t="str">
        <f ca="1">IF(INDEX(Listado!G:G,ROW())="","",INDEX(Listado!G:G,ROW()))</f>
        <v/>
      </c>
      <c r="U708" s="17" t="str">
        <f>IF(INDEX(Listado!F:F,ROW())="","",INDEX(Listado!F:F,ROW()))</f>
        <v/>
      </c>
      <c r="V708" s="17">
        <f>IF(COUNTA(INDEX(Listado!B:B,ROW()):INDEX(Listado!F:F,ROW()))&gt;0,1,0)</f>
        <v/>
      </c>
      <c r="W708" s="17" t="str">
        <f>IF(INDEX(Listado!L:L,ROW())="","",INDEX(Listado!L:L,ROW()))</f>
        <v/>
      </c>
      <c r="X708" s="17">
        <f>IF(N708="","",IF(INDEX(Listado!$M:$M,N708)="No","No","Sí"))</f>
        <v/>
      </c>
    </row>
    <row r="709" spans="2:24" ht="14.25">
      <c r="N709" s="17" t="str">
        <f>IF(V709=0,"",IFERROR(LOOKUP(2,1/(INDEX(Listado!A:A,2):INDEX(Listado!A:A,ROW())&lt;&gt;""),ROW(INDEX(Listado!A:A,2):INDEX(Listado!A:A,ROW()))),""))</f>
        <v/>
      </c>
      <c r="O709" s="17" t="str">
        <f>IFERROR(IF(N709="","",IF(INDEX(Listado!M:M,N709)="No",IF(INDEX(Listado!N:N,N709)=0,"",INDEX(Listado!N:N,N709)),IF(INDEX(Listado!I:I,N709)=0,"",INDEX(Listado!I:I,N709)))),"")</f>
        <v/>
      </c>
      <c r="P709" s="17">
        <f t="shared" ca="1" si="34"/>
        <v/>
      </c>
      <c r="Q709" s="17">
        <f>IFERROR(IF(AND(N709&lt;&gt;"",ISNUMBER(O709),O709&gt;0,O709&gt;=TODAY()-90),1,0),0)</f>
        <v/>
      </c>
      <c r="R709" s="17" t="str">
        <f t="shared" si="36"/>
        <v/>
      </c>
      <c r="S709" s="17" t="str">
        <f>IF(INDEX(Listado!A:A,ROW())="","",INDEX(Listado!A:A,ROW()))</f>
        <v/>
      </c>
      <c r="T709" s="17" t="str">
        <f ca="1">IF(INDEX(Listado!G:G,ROW())="","",INDEX(Listado!G:G,ROW()))</f>
        <v/>
      </c>
      <c r="U709" s="17" t="str">
        <f>IF(INDEX(Listado!F:F,ROW())="","",INDEX(Listado!F:F,ROW()))</f>
        <v/>
      </c>
      <c r="V709" s="17">
        <f>IF(COUNTA(INDEX(Listado!B:B,ROW()):INDEX(Listado!F:F,ROW()))&gt;0,1,0)</f>
        <v/>
      </c>
      <c r="W709" s="17" t="str">
        <f>IF(INDEX(Listado!L:L,ROW())="","",INDEX(Listado!L:L,ROW()))</f>
        <v/>
      </c>
      <c r="X709" s="17">
        <f>IF(N709="","",IF(INDEX(Listado!$M:$M,N709)="No","No","Sí"))</f>
        <v/>
      </c>
    </row>
    <row r="710" spans="2:24" ht="14.25">
      <c r="N710" s="17" t="str">
        <f>IF(V710=0,"",IFERROR(LOOKUP(2,1/(INDEX(Listado!A:A,2):INDEX(Listado!A:A,ROW())&lt;&gt;""),ROW(INDEX(Listado!A:A,2):INDEX(Listado!A:A,ROW()))),""))</f>
        <v/>
      </c>
      <c r="O710" s="17" t="str">
        <f>IFERROR(IF(N710="","",IF(INDEX(Listado!M:M,N710)="No",IF(INDEX(Listado!N:N,N710)=0,"",INDEX(Listado!N:N,N710)),IF(INDEX(Listado!I:I,N710)=0,"",INDEX(Listado!I:I,N710)))),"")</f>
        <v/>
      </c>
      <c r="P710" s="17">
        <f t="shared" ca="1" si="34"/>
        <v/>
      </c>
      <c r="Q710" s="17">
        <f>IFERROR(IF(AND(N710&lt;&gt;"",ISNUMBER(O710),O710&gt;0,O710&gt;=TODAY()-90),1,0),0)</f>
        <v/>
      </c>
      <c r="R710" s="17" t="str">
        <f t="shared" si="36"/>
        <v/>
      </c>
      <c r="S710" s="17" t="str">
        <f>IF(INDEX(Listado!A:A,ROW())="","",INDEX(Listado!A:A,ROW()))</f>
        <v/>
      </c>
      <c r="T710" s="17" t="str">
        <f ca="1">IF(INDEX(Listado!G:G,ROW())="","",INDEX(Listado!G:G,ROW()))</f>
        <v/>
      </c>
      <c r="U710" s="17" t="str">
        <f>IF(INDEX(Listado!F:F,ROW())="","",INDEX(Listado!F:F,ROW()))</f>
        <v/>
      </c>
      <c r="V710" s="17">
        <f>IF(COUNTA(INDEX(Listado!B:B,ROW()):INDEX(Listado!F:F,ROW()))&gt;0,1,0)</f>
        <v/>
      </c>
      <c r="W710" s="17" t="str">
        <f>IF(INDEX(Listado!L:L,ROW())="","",INDEX(Listado!L:L,ROW()))</f>
        <v/>
      </c>
      <c r="X710" s="17">
        <f>IF(N710="","",IF(INDEX(Listado!$M:$M,N710)="No","No","Sí"))</f>
        <v/>
      </c>
    </row>
    <row r="711" spans="2:24" ht="14.25">
      <c r="N711" s="17" t="str">
        <f>IF(V711=0,"",IFERROR(LOOKUP(2,1/(INDEX(Listado!A:A,2):INDEX(Listado!A:A,ROW())&lt;&gt;""),ROW(INDEX(Listado!A:A,2):INDEX(Listado!A:A,ROW()))),""))</f>
        <v/>
      </c>
      <c r="O711" s="17" t="str">
        <f>IFERROR(IF(N711="","",IF(INDEX(Listado!M:M,N711)="No",IF(INDEX(Listado!N:N,N711)=0,"",INDEX(Listado!N:N,N711)),IF(INDEX(Listado!I:I,N711)=0,"",INDEX(Listado!I:I,N711)))),"")</f>
        <v/>
      </c>
      <c r="P711" s="17">
        <f t="shared" ca="1" si="34"/>
        <v/>
      </c>
      <c r="Q711" s="17">
        <f>IFERROR(IF(AND(N711&lt;&gt;"",ISNUMBER(O711),O711&gt;0,O711&gt;=TODAY()-90),1,0),0)</f>
        <v/>
      </c>
      <c r="R711" s="17" t="str">
        <f t="shared" si="36"/>
        <v/>
      </c>
      <c r="S711" s="17" t="str">
        <f>IF(INDEX(Listado!A:A,ROW())="","",INDEX(Listado!A:A,ROW()))</f>
        <v/>
      </c>
      <c r="T711" s="17" t="str">
        <f ca="1">IF(INDEX(Listado!G:G,ROW())="","",INDEX(Listado!G:G,ROW()))</f>
        <v/>
      </c>
      <c r="U711" s="17" t="str">
        <f>IF(INDEX(Listado!F:F,ROW())="","",INDEX(Listado!F:F,ROW()))</f>
        <v/>
      </c>
      <c r="V711" s="17">
        <f>IF(COUNTA(INDEX(Listado!B:B,ROW()):INDEX(Listado!F:F,ROW()))&gt;0,1,0)</f>
        <v/>
      </c>
      <c r="W711" s="17" t="str">
        <f>IF(INDEX(Listado!L:L,ROW())="","",INDEX(Listado!L:L,ROW()))</f>
        <v/>
      </c>
      <c r="X711" s="17">
        <f>IF(N711="","",IF(INDEX(Listado!$M:$M,N711)="No","No","Sí"))</f>
        <v/>
      </c>
    </row>
    <row r="712" spans="2:24" ht="14.25">
      <c r="N712" s="17" t="str">
        <f>IF(V712=0,"",IFERROR(LOOKUP(2,1/(INDEX(Listado!A:A,2):INDEX(Listado!A:A,ROW())&lt;&gt;""),ROW(INDEX(Listado!A:A,2):INDEX(Listado!A:A,ROW()))),""))</f>
        <v/>
      </c>
      <c r="O712" s="17" t="str">
        <f>IFERROR(IF(N712="","",IF(INDEX(Listado!M:M,N712)="No",IF(INDEX(Listado!N:N,N712)=0,"",INDEX(Listado!N:N,N712)),IF(INDEX(Listado!I:I,N712)=0,"",INDEX(Listado!I:I,N712)))),"")</f>
        <v/>
      </c>
      <c r="P712" s="17">
        <f t="shared" ca="1" si="34"/>
        <v/>
      </c>
      <c r="Q712" s="17">
        <f>IFERROR(IF(AND(N712&lt;&gt;"",ISNUMBER(O712),O712&gt;0,O712&gt;=TODAY()-90),1,0),0)</f>
        <v/>
      </c>
      <c r="R712" s="17" t="str">
        <f t="shared" si="36"/>
        <v/>
      </c>
      <c r="S712" s="17" t="str">
        <f>IF(INDEX(Listado!A:A,ROW())="","",INDEX(Listado!A:A,ROW()))</f>
        <v/>
      </c>
      <c r="T712" s="17" t="str">
        <f ca="1">IF(INDEX(Listado!G:G,ROW())="","",INDEX(Listado!G:G,ROW()))</f>
        <v/>
      </c>
      <c r="U712" s="17" t="str">
        <f>IF(INDEX(Listado!F:F,ROW())="","",INDEX(Listado!F:F,ROW()))</f>
        <v/>
      </c>
      <c r="V712" s="17">
        <f>IF(COUNTA(INDEX(Listado!B:B,ROW()):INDEX(Listado!F:F,ROW()))&gt;0,1,0)</f>
        <v/>
      </c>
      <c r="W712" s="17" t="str">
        <f>IF(INDEX(Listado!L:L,ROW())="","",INDEX(Listado!L:L,ROW()))</f>
        <v/>
      </c>
      <c r="X712" s="17">
        <f>IF(N712="","",IF(INDEX(Listado!$M:$M,N712)="No","No","Sí"))</f>
        <v/>
      </c>
    </row>
    <row r="713" spans="2:24" ht="14.25">
      <c r="N713" s="17" t="str">
        <f>IF(V713=0,"",IFERROR(LOOKUP(2,1/(INDEX(Listado!A:A,2):INDEX(Listado!A:A,ROW())&lt;&gt;""),ROW(INDEX(Listado!A:A,2):INDEX(Listado!A:A,ROW()))),""))</f>
        <v/>
      </c>
      <c r="O713" s="17" t="str">
        <f>IFERROR(IF(N713="","",IF(INDEX(Listado!M:M,N713)="No",IF(INDEX(Listado!N:N,N713)=0,"",INDEX(Listado!N:N,N713)),IF(INDEX(Listado!I:I,N713)=0,"",INDEX(Listado!I:I,N713)))),"")</f>
        <v/>
      </c>
      <c r="P713" s="17">
        <f t="shared" ca="1" si="34"/>
        <v/>
      </c>
      <c r="Q713" s="17">
        <f>IFERROR(IF(AND(N713&lt;&gt;"",ISNUMBER(O713),O713&gt;0,O713&gt;=TODAY()-90),1,0),0)</f>
        <v/>
      </c>
      <c r="R713" s="17" t="str">
        <f t="shared" si="36"/>
        <v/>
      </c>
      <c r="S713" s="17" t="str">
        <f>IF(INDEX(Listado!A:A,ROW())="","",INDEX(Listado!A:A,ROW()))</f>
        <v/>
      </c>
      <c r="T713" s="17" t="str">
        <f ca="1">IF(INDEX(Listado!G:G,ROW())="","",INDEX(Listado!G:G,ROW()))</f>
        <v/>
      </c>
      <c r="U713" s="17" t="str">
        <f>IF(INDEX(Listado!F:F,ROW())="","",INDEX(Listado!F:F,ROW()))</f>
        <v/>
      </c>
      <c r="V713" s="17">
        <f>IF(COUNTA(INDEX(Listado!B:B,ROW()):INDEX(Listado!F:F,ROW()))&gt;0,1,0)</f>
        <v/>
      </c>
      <c r="W713" s="17" t="str">
        <f>IF(INDEX(Listado!L:L,ROW())="","",INDEX(Listado!L:L,ROW()))</f>
        <v/>
      </c>
      <c r="X713" s="17">
        <f>IF(N713="","",IF(INDEX(Listado!$M:$M,N713)="No","No","Sí"))</f>
        <v/>
      </c>
    </row>
    <row r="714" spans="2:24" ht="14.25">
      <c r="N714" s="17" t="str">
        <f>IF(V714=0,"",IFERROR(LOOKUP(2,1/(INDEX(Listado!A:A,2):INDEX(Listado!A:A,ROW())&lt;&gt;""),ROW(INDEX(Listado!A:A,2):INDEX(Listado!A:A,ROW()))),""))</f>
        <v/>
      </c>
      <c r="O714" s="17" t="str">
        <f>IFERROR(IF(N714="","",IF(INDEX(Listado!M:M,N714)="No",IF(INDEX(Listado!N:N,N714)=0,"",INDEX(Listado!N:N,N714)),IF(INDEX(Listado!I:I,N714)=0,"",INDEX(Listado!I:I,N714)))),"")</f>
        <v/>
      </c>
      <c r="P714" s="17">
        <f t="shared" ca="1" si="34"/>
        <v/>
      </c>
      <c r="Q714" s="17">
        <f>IFERROR(IF(AND(N714&lt;&gt;"",ISNUMBER(O714),O714&gt;0,O714&gt;=TODAY()-90),1,0),0)</f>
        <v/>
      </c>
      <c r="R714" s="17" t="str">
        <f t="shared" si="36"/>
        <v/>
      </c>
      <c r="S714" s="17" t="str">
        <f>IF(INDEX(Listado!A:A,ROW())="","",INDEX(Listado!A:A,ROW()))</f>
        <v/>
      </c>
      <c r="T714" s="17" t="str">
        <f ca="1">IF(INDEX(Listado!G:G,ROW())="","",INDEX(Listado!G:G,ROW()))</f>
        <v/>
      </c>
      <c r="U714" s="17" t="str">
        <f>IF(INDEX(Listado!F:F,ROW())="","",INDEX(Listado!F:F,ROW()))</f>
        <v/>
      </c>
      <c r="V714" s="17">
        <f>IF(COUNTA(INDEX(Listado!B:B,ROW()):INDEX(Listado!F:F,ROW()))&gt;0,1,0)</f>
        <v/>
      </c>
      <c r="W714" s="17" t="str">
        <f>IF(INDEX(Listado!L:L,ROW())="","",INDEX(Listado!L:L,ROW()))</f>
        <v/>
      </c>
      <c r="X714" s="17">
        <f>IF(N714="","",IF(INDEX(Listado!$M:$M,N714)="No","No","Sí"))</f>
        <v/>
      </c>
    </row>
    <row r="715" spans="2:24" ht="14.25">
      <c r="N715" s="17" t="str">
        <f>IF(V715=0,"",IFERROR(LOOKUP(2,1/(INDEX(Listado!A:A,2):INDEX(Listado!A:A,ROW())&lt;&gt;""),ROW(INDEX(Listado!A:A,2):INDEX(Listado!A:A,ROW()))),""))</f>
        <v/>
      </c>
      <c r="O715" s="17" t="str">
        <f>IFERROR(IF(N715="","",IF(INDEX(Listado!M:M,N715)="No",IF(INDEX(Listado!N:N,N715)=0,"",INDEX(Listado!N:N,N715)),IF(INDEX(Listado!I:I,N715)=0,"",INDEX(Listado!I:I,N715)))),"")</f>
        <v/>
      </c>
      <c r="P715" s="17">
        <f t="shared" ca="1" si="34"/>
        <v/>
      </c>
      <c r="Q715" s="17">
        <f>IFERROR(IF(AND(N715&lt;&gt;"",ISNUMBER(O715),O715&gt;0,O715&gt;=TODAY()-90),1,0),0)</f>
        <v/>
      </c>
      <c r="R715" s="17" t="str">
        <f t="shared" si="36"/>
        <v/>
      </c>
      <c r="S715" s="17" t="str">
        <f>IF(INDEX(Listado!A:A,ROW())="","",INDEX(Listado!A:A,ROW()))</f>
        <v/>
      </c>
      <c r="T715" s="17" t="str">
        <f ca="1">IF(INDEX(Listado!G:G,ROW())="","",INDEX(Listado!G:G,ROW()))</f>
        <v/>
      </c>
      <c r="U715" s="17" t="str">
        <f>IF(INDEX(Listado!F:F,ROW())="","",INDEX(Listado!F:F,ROW()))</f>
        <v/>
      </c>
      <c r="V715" s="17">
        <f>IF(COUNTA(INDEX(Listado!B:B,ROW()):INDEX(Listado!F:F,ROW()))&gt;0,1,0)</f>
        <v/>
      </c>
      <c r="W715" s="17" t="str">
        <f>IF(INDEX(Listado!L:L,ROW())="","",INDEX(Listado!L:L,ROW()))</f>
        <v/>
      </c>
      <c r="X715" s="17">
        <f>IF(N715="","",IF(INDEX(Listado!$M:$M,N715)="No","No","Sí"))</f>
        <v/>
      </c>
    </row>
    <row r="716" spans="2:24" ht="14.25">
      <c r="N716" s="17" t="str">
        <f>IF(V716=0,"",IFERROR(LOOKUP(2,1/(INDEX(Listado!A:A,2):INDEX(Listado!A:A,ROW())&lt;&gt;""),ROW(INDEX(Listado!A:A,2):INDEX(Listado!A:A,ROW()))),""))</f>
        <v/>
      </c>
      <c r="O716" s="17" t="str">
        <f>IFERROR(IF(N716="","",IF(INDEX(Listado!M:M,N716)="No",IF(INDEX(Listado!N:N,N716)=0,"",INDEX(Listado!N:N,N716)),IF(INDEX(Listado!I:I,N716)=0,"",INDEX(Listado!I:I,N716)))),"")</f>
        <v/>
      </c>
      <c r="P716" s="17">
        <f t="shared" ca="1" si="34"/>
        <v/>
      </c>
      <c r="Q716" s="17">
        <f>IFERROR(IF(AND(N716&lt;&gt;"",ISNUMBER(O716),O716&gt;0,O716&gt;=TODAY()-90),1,0),0)</f>
        <v/>
      </c>
      <c r="R716" s="17" t="str">
        <f t="shared" si="36"/>
        <v/>
      </c>
      <c r="S716" s="17" t="str">
        <f>IF(INDEX(Listado!A:A,ROW())="","",INDEX(Listado!A:A,ROW()))</f>
        <v/>
      </c>
      <c r="T716" s="17" t="str">
        <f ca="1">IF(INDEX(Listado!G:G,ROW())="","",INDEX(Listado!G:G,ROW()))</f>
        <v/>
      </c>
      <c r="U716" s="17" t="str">
        <f>IF(INDEX(Listado!F:F,ROW())="","",INDEX(Listado!F:F,ROW()))</f>
        <v/>
      </c>
      <c r="V716" s="17">
        <f>IF(COUNTA(INDEX(Listado!B:B,ROW()):INDEX(Listado!F:F,ROW()))&gt;0,1,0)</f>
        <v/>
      </c>
      <c r="W716" s="17" t="str">
        <f>IF(INDEX(Listado!L:L,ROW())="","",INDEX(Listado!L:L,ROW()))</f>
        <v/>
      </c>
      <c r="X716" s="17">
        <f>IF(N716="","",IF(INDEX(Listado!$M:$M,N716)="No","No","Sí"))</f>
        <v/>
      </c>
    </row>
    <row r="717" spans="2:24" ht="14.25">
      <c r="N717" s="17" t="str">
        <f>IF(V717=0,"",IFERROR(LOOKUP(2,1/(INDEX(Listado!A:A,2):INDEX(Listado!A:A,ROW())&lt;&gt;""),ROW(INDEX(Listado!A:A,2):INDEX(Listado!A:A,ROW()))),""))</f>
        <v/>
      </c>
      <c r="O717" s="17" t="str">
        <f>IFERROR(IF(N717="","",IF(INDEX(Listado!M:M,N717)="No",IF(INDEX(Listado!N:N,N717)=0,"",INDEX(Listado!N:N,N717)),IF(INDEX(Listado!I:I,N717)=0,"",INDEX(Listado!I:I,N717)))),"")</f>
        <v/>
      </c>
      <c r="P717" s="17">
        <f t="shared" ca="1" si="34"/>
        <v/>
      </c>
      <c r="Q717" s="17">
        <f>IFERROR(IF(AND(N717&lt;&gt;"",ISNUMBER(O717),O717&gt;0,O717&gt;=TODAY()-90),1,0),0)</f>
        <v/>
      </c>
      <c r="R717" s="17" t="str">
        <f t="shared" si="36"/>
        <v/>
      </c>
      <c r="S717" s="17" t="str">
        <f>IF(INDEX(Listado!A:A,ROW())="","",INDEX(Listado!A:A,ROW()))</f>
        <v/>
      </c>
      <c r="T717" s="17" t="str">
        <f ca="1">IF(INDEX(Listado!G:G,ROW())="","",INDEX(Listado!G:G,ROW()))</f>
        <v/>
      </c>
      <c r="U717" s="17" t="str">
        <f>IF(INDEX(Listado!F:F,ROW())="","",INDEX(Listado!F:F,ROW()))</f>
        <v/>
      </c>
      <c r="V717" s="17">
        <f>IF(COUNTA(INDEX(Listado!B:B,ROW()):INDEX(Listado!F:F,ROW()))&gt;0,1,0)</f>
        <v/>
      </c>
      <c r="W717" s="17" t="str">
        <f>IF(INDEX(Listado!L:L,ROW())="","",INDEX(Listado!L:L,ROW()))</f>
        <v/>
      </c>
      <c r="X717" s="17">
        <f>IF(N717="","",IF(INDEX(Listado!$M:$M,N717)="No","No","Sí"))</f>
        <v/>
      </c>
    </row>
    <row r="718" spans="2:24" ht="14.25">
      <c r="N718" s="17" t="str">
        <f>IF(V718=0,"",IFERROR(LOOKUP(2,1/(INDEX(Listado!A:A,2):INDEX(Listado!A:A,ROW())&lt;&gt;""),ROW(INDEX(Listado!A:A,2):INDEX(Listado!A:A,ROW()))),""))</f>
        <v/>
      </c>
      <c r="O718" s="17" t="str">
        <f>IFERROR(IF(N718="","",IF(INDEX(Listado!M:M,N718)="No",IF(INDEX(Listado!N:N,N718)=0,"",INDEX(Listado!N:N,N718)),IF(INDEX(Listado!I:I,N718)=0,"",INDEX(Listado!I:I,N718)))),"")</f>
        <v/>
      </c>
      <c r="P718" s="17">
        <f t="shared" ca="1" si="34"/>
        <v/>
      </c>
      <c r="Q718" s="17">
        <f>IFERROR(IF(AND(N718&lt;&gt;"",ISNUMBER(O718),O718&gt;0,O718&gt;=TODAY()-90),1,0),0)</f>
        <v/>
      </c>
      <c r="R718" s="17" t="str">
        <f t="shared" si="36"/>
        <v/>
      </c>
      <c r="S718" s="17" t="str">
        <f>IF(INDEX(Listado!A:A,ROW())="","",INDEX(Listado!A:A,ROW()))</f>
        <v/>
      </c>
      <c r="T718" s="17" t="str">
        <f ca="1">IF(INDEX(Listado!G:G,ROW())="","",INDEX(Listado!G:G,ROW()))</f>
        <v/>
      </c>
      <c r="U718" s="17" t="str">
        <f>IF(INDEX(Listado!F:F,ROW())="","",INDEX(Listado!F:F,ROW()))</f>
        <v/>
      </c>
      <c r="V718" s="17">
        <f>IF(COUNTA(INDEX(Listado!B:B,ROW()):INDEX(Listado!F:F,ROW()))&gt;0,1,0)</f>
        <v/>
      </c>
      <c r="W718" s="17" t="str">
        <f>IF(INDEX(Listado!L:L,ROW())="","",INDEX(Listado!L:L,ROW()))</f>
        <v/>
      </c>
      <c r="X718" s="17">
        <f>IF(N718="","",IF(INDEX(Listado!$M:$M,N718)="No","No","Sí"))</f>
        <v/>
      </c>
    </row>
    <row r="719" spans="2:24" ht="14.25">
      <c r="N719" s="17" t="str">
        <f>IF(V719=0,"",IFERROR(LOOKUP(2,1/(INDEX(Listado!A:A,2):INDEX(Listado!A:A,ROW())&lt;&gt;""),ROW(INDEX(Listado!A:A,2):INDEX(Listado!A:A,ROW()))),""))</f>
        <v/>
      </c>
      <c r="O719" s="17" t="str">
        <f>IFERROR(IF(N719="","",IF(INDEX(Listado!M:M,N719)="No",IF(INDEX(Listado!N:N,N719)=0,"",INDEX(Listado!N:N,N719)),IF(INDEX(Listado!I:I,N719)=0,"",INDEX(Listado!I:I,N719)))),"")</f>
        <v/>
      </c>
      <c r="P719" s="17">
        <f t="shared" ca="1" si="34"/>
        <v/>
      </c>
      <c r="Q719" s="17">
        <f>IFERROR(IF(AND(N719&lt;&gt;"",ISNUMBER(O719),O719&gt;0,O719&gt;=TODAY()-90),1,0),0)</f>
        <v/>
      </c>
      <c r="R719" s="17" t="str">
        <f t="shared" si="36"/>
        <v/>
      </c>
      <c r="S719" s="17" t="str">
        <f>IF(INDEX(Listado!A:A,ROW())="","",INDEX(Listado!A:A,ROW()))</f>
        <v/>
      </c>
      <c r="T719" s="17" t="str">
        <f ca="1">IF(INDEX(Listado!G:G,ROW())="","",INDEX(Listado!G:G,ROW()))</f>
        <v/>
      </c>
      <c r="U719" s="17" t="str">
        <f>IF(INDEX(Listado!F:F,ROW())="","",INDEX(Listado!F:F,ROW()))</f>
        <v/>
      </c>
      <c r="V719" s="17">
        <f>IF(COUNTA(INDEX(Listado!B:B,ROW()):INDEX(Listado!F:F,ROW()))&gt;0,1,0)</f>
        <v/>
      </c>
      <c r="W719" s="17" t="str">
        <f>IF(INDEX(Listado!L:L,ROW())="","",INDEX(Listado!L:L,ROW()))</f>
        <v/>
      </c>
      <c r="X719" s="17">
        <f>IF(N719="","",IF(INDEX(Listado!$M:$M,N719)="No","No","Sí"))</f>
        <v/>
      </c>
    </row>
    <row r="720" spans="2:24" ht="14.25">
      <c r="N720" s="17" t="str">
        <f>IF(V720=0,"",IFERROR(LOOKUP(2,1/(INDEX(Listado!A:A,2):INDEX(Listado!A:A,ROW())&lt;&gt;""),ROW(INDEX(Listado!A:A,2):INDEX(Listado!A:A,ROW()))),""))</f>
        <v/>
      </c>
      <c r="O720" s="17" t="str">
        <f>IFERROR(IF(N720="","",IF(INDEX(Listado!M:M,N720)="No",IF(INDEX(Listado!N:N,N720)=0,"",INDEX(Listado!N:N,N720)),IF(INDEX(Listado!I:I,N720)=0,"",INDEX(Listado!I:I,N720)))),"")</f>
        <v/>
      </c>
      <c r="P720" s="17">
        <f t="shared" ca="1" si="34"/>
        <v/>
      </c>
      <c r="Q720" s="17">
        <f>IFERROR(IF(AND(N720&lt;&gt;"",ISNUMBER(O720),O720&gt;0,O720&gt;=TODAY()-90),1,0),0)</f>
        <v/>
      </c>
      <c r="R720" s="17" t="str">
        <f t="shared" si="36"/>
        <v/>
      </c>
      <c r="S720" s="17" t="str">
        <f>IF(INDEX(Listado!A:A,ROW())="","",INDEX(Listado!A:A,ROW()))</f>
        <v/>
      </c>
      <c r="T720" s="17" t="str">
        <f ca="1">IF(INDEX(Listado!G:G,ROW())="","",INDEX(Listado!G:G,ROW()))</f>
        <v/>
      </c>
      <c r="U720" s="17" t="str">
        <f>IF(INDEX(Listado!F:F,ROW())="","",INDEX(Listado!F:F,ROW()))</f>
        <v/>
      </c>
      <c r="V720" s="17">
        <f>IF(COUNTA(INDEX(Listado!B:B,ROW()):INDEX(Listado!F:F,ROW()))&gt;0,1,0)</f>
        <v/>
      </c>
      <c r="W720" s="17" t="str">
        <f>IF(INDEX(Listado!L:L,ROW())="","",INDEX(Listado!L:L,ROW()))</f>
        <v/>
      </c>
      <c r="X720" s="17">
        <f>IF(N720="","",IF(INDEX(Listado!$M:$M,N720)="No","No","Sí"))</f>
        <v/>
      </c>
    </row>
    <row r="721" spans="2:24" ht="14.25">
      <c r="N721" s="17" t="str">
        <f>IF(V721=0,"",IFERROR(LOOKUP(2,1/(INDEX(Listado!A:A,2):INDEX(Listado!A:A,ROW())&lt;&gt;""),ROW(INDEX(Listado!A:A,2):INDEX(Listado!A:A,ROW()))),""))</f>
        <v/>
      </c>
      <c r="O721" s="17" t="str">
        <f>IFERROR(IF(N721="","",IF(INDEX(Listado!M:M,N721)="No",IF(INDEX(Listado!N:N,N721)=0,"",INDEX(Listado!N:N,N721)),IF(INDEX(Listado!I:I,N721)=0,"",INDEX(Listado!I:I,N721)))),"")</f>
        <v/>
      </c>
      <c r="P721" s="17">
        <f t="shared" ca="1" si="34"/>
        <v/>
      </c>
      <c r="Q721" s="17">
        <f>IFERROR(IF(AND(N721&lt;&gt;"",ISNUMBER(O721),O721&gt;0,O721&gt;=TODAY()-90),1,0),0)</f>
        <v/>
      </c>
      <c r="R721" s="17" t="str">
        <f t="shared" si="36"/>
        <v/>
      </c>
      <c r="S721" s="17" t="str">
        <f>IF(INDEX(Listado!A:A,ROW())="","",INDEX(Listado!A:A,ROW()))</f>
        <v/>
      </c>
      <c r="T721" s="17" t="str">
        <f ca="1">IF(INDEX(Listado!G:G,ROW())="","",INDEX(Listado!G:G,ROW()))</f>
        <v/>
      </c>
      <c r="U721" s="17" t="str">
        <f>IF(INDEX(Listado!F:F,ROW())="","",INDEX(Listado!F:F,ROW()))</f>
        <v/>
      </c>
      <c r="V721" s="17">
        <f>IF(COUNTA(INDEX(Listado!B:B,ROW()):INDEX(Listado!F:F,ROW()))&gt;0,1,0)</f>
        <v/>
      </c>
      <c r="W721" s="17" t="str">
        <f>IF(INDEX(Listado!L:L,ROW())="","",INDEX(Listado!L:L,ROW()))</f>
        <v/>
      </c>
      <c r="X721" s="17">
        <f>IF(N721="","",IF(INDEX(Listado!$M:$M,N721)="No","No","Sí"))</f>
        <v/>
      </c>
    </row>
    <row r="722" spans="2:24" ht="14.25">
      <c r="N722" s="17" t="str">
        <f>IF(V722=0,"",IFERROR(LOOKUP(2,1/(INDEX(Listado!A:A,2):INDEX(Listado!A:A,ROW())&lt;&gt;""),ROW(INDEX(Listado!A:A,2):INDEX(Listado!A:A,ROW()))),""))</f>
        <v/>
      </c>
      <c r="O722" s="17" t="str">
        <f>IFERROR(IF(N722="","",IF(INDEX(Listado!M:M,N722)="No",IF(INDEX(Listado!N:N,N722)=0,"",INDEX(Listado!N:N,N722)),IF(INDEX(Listado!I:I,N722)=0,"",INDEX(Listado!I:I,N722)))),"")</f>
        <v/>
      </c>
      <c r="P722" s="17">
        <f t="shared" ca="1" si="34"/>
        <v/>
      </c>
      <c r="Q722" s="17">
        <f>IFERROR(IF(AND(N722&lt;&gt;"",ISNUMBER(O722),O722&gt;0,O722&gt;=TODAY()-90),1,0),0)</f>
        <v/>
      </c>
      <c r="R722" s="17" t="str">
        <f t="shared" si="36"/>
        <v/>
      </c>
      <c r="S722" s="17" t="str">
        <f>IF(INDEX(Listado!A:A,ROW())="","",INDEX(Listado!A:A,ROW()))</f>
        <v/>
      </c>
      <c r="T722" s="17" t="str">
        <f ca="1">IF(INDEX(Listado!G:G,ROW())="","",INDEX(Listado!G:G,ROW()))</f>
        <v/>
      </c>
      <c r="U722" s="17" t="str">
        <f>IF(INDEX(Listado!F:F,ROW())="","",INDEX(Listado!F:F,ROW()))</f>
        <v/>
      </c>
      <c r="V722" s="17">
        <f>IF(COUNTA(INDEX(Listado!B:B,ROW()):INDEX(Listado!F:F,ROW()))&gt;0,1,0)</f>
        <v/>
      </c>
      <c r="W722" s="17" t="str">
        <f>IF(INDEX(Listado!L:L,ROW())="","",INDEX(Listado!L:L,ROW()))</f>
        <v/>
      </c>
      <c r="X722" s="17">
        <f>IF(N722="","",IF(INDEX(Listado!$M:$M,N722)="No","No","Sí"))</f>
        <v/>
      </c>
    </row>
    <row r="723" spans="2:24" ht="14.25">
      <c r="N723" s="17" t="str">
        <f>IF(V723=0,"",IFERROR(LOOKUP(2,1/(INDEX(Listado!A:A,2):INDEX(Listado!A:A,ROW())&lt;&gt;""),ROW(INDEX(Listado!A:A,2):INDEX(Listado!A:A,ROW()))),""))</f>
        <v/>
      </c>
      <c r="O723" s="17" t="str">
        <f>IFERROR(IF(N723="","",IF(INDEX(Listado!M:M,N723)="No",IF(INDEX(Listado!N:N,N723)=0,"",INDEX(Listado!N:N,N723)),IF(INDEX(Listado!I:I,N723)=0,"",INDEX(Listado!I:I,N723)))),"")</f>
        <v/>
      </c>
      <c r="P723" s="17">
        <f t="shared" ca="1" si="34"/>
        <v/>
      </c>
      <c r="Q723" s="17">
        <f>IFERROR(IF(AND(N723&lt;&gt;"",ISNUMBER(O723),O723&gt;0,O723&gt;=TODAY()-90),1,0),0)</f>
        <v/>
      </c>
      <c r="R723" s="17" t="str">
        <f t="shared" si="36"/>
        <v/>
      </c>
      <c r="S723" s="17" t="str">
        <f>IF(INDEX(Listado!A:A,ROW())="","",INDEX(Listado!A:A,ROW()))</f>
        <v/>
      </c>
      <c r="T723" s="17" t="str">
        <f ca="1">IF(INDEX(Listado!G:G,ROW())="","",INDEX(Listado!G:G,ROW()))</f>
        <v/>
      </c>
      <c r="U723" s="17" t="str">
        <f>IF(INDEX(Listado!F:F,ROW())="","",INDEX(Listado!F:F,ROW()))</f>
        <v/>
      </c>
      <c r="V723" s="17">
        <f>IF(COUNTA(INDEX(Listado!B:B,ROW()):INDEX(Listado!F:F,ROW()))&gt;0,1,0)</f>
        <v/>
      </c>
      <c r="W723" s="17" t="str">
        <f>IF(INDEX(Listado!L:L,ROW())="","",INDEX(Listado!L:L,ROW()))</f>
        <v/>
      </c>
      <c r="X723" s="17">
        <f>IF(N723="","",IF(INDEX(Listado!$M:$M,N723)="No","No","Sí"))</f>
        <v/>
      </c>
    </row>
    <row r="724" spans="2:24" ht="14.25">
      <c r="N724" s="17" t="str">
        <f>IF(V724=0,"",IFERROR(LOOKUP(2,1/(INDEX(Listado!A:A,2):INDEX(Listado!A:A,ROW())&lt;&gt;""),ROW(INDEX(Listado!A:A,2):INDEX(Listado!A:A,ROW()))),""))</f>
        <v/>
      </c>
      <c r="O724" s="17" t="str">
        <f>IFERROR(IF(N724="","",IF(INDEX(Listado!M:M,N724)="No",IF(INDEX(Listado!N:N,N724)=0,"",INDEX(Listado!N:N,N724)),IF(INDEX(Listado!I:I,N724)=0,"",INDEX(Listado!I:I,N724)))),"")</f>
        <v/>
      </c>
      <c r="P724" s="17">
        <f t="shared" ca="1" si="34"/>
        <v/>
      </c>
      <c r="Q724" s="17">
        <f>IFERROR(IF(AND(N724&lt;&gt;"",ISNUMBER(O724),O724&gt;0,O724&gt;=TODAY()-90),1,0),0)</f>
        <v/>
      </c>
      <c r="R724" s="17" t="str">
        <f t="shared" si="36"/>
        <v/>
      </c>
      <c r="S724" s="17" t="str">
        <f>IF(INDEX(Listado!A:A,ROW())="","",INDEX(Listado!A:A,ROW()))</f>
        <v/>
      </c>
      <c r="T724" s="17" t="str">
        <f ca="1">IF(INDEX(Listado!G:G,ROW())="","",INDEX(Listado!G:G,ROW()))</f>
        <v/>
      </c>
      <c r="U724" s="17" t="str">
        <f>IF(INDEX(Listado!F:F,ROW())="","",INDEX(Listado!F:F,ROW()))</f>
        <v/>
      </c>
      <c r="V724" s="17">
        <f>IF(COUNTA(INDEX(Listado!B:B,ROW()):INDEX(Listado!F:F,ROW()))&gt;0,1,0)</f>
        <v/>
      </c>
      <c r="W724" s="17" t="str">
        <f>IF(INDEX(Listado!L:L,ROW())="","",INDEX(Listado!L:L,ROW()))</f>
        <v/>
      </c>
      <c r="X724" s="17">
        <f>IF(N724="","",IF(INDEX(Listado!$M:$M,N724)="No","No","Sí"))</f>
        <v/>
      </c>
    </row>
    <row r="725" spans="2:24" ht="14.25">
      <c r="N725" s="17" t="str">
        <f>IF(V725=0,"",IFERROR(LOOKUP(2,1/(INDEX(Listado!A:A,2):INDEX(Listado!A:A,ROW())&lt;&gt;""),ROW(INDEX(Listado!A:A,2):INDEX(Listado!A:A,ROW()))),""))</f>
        <v/>
      </c>
      <c r="O725" s="17" t="str">
        <f>IFERROR(IF(N725="","",IF(INDEX(Listado!M:M,N725)="No",IF(INDEX(Listado!N:N,N725)=0,"",INDEX(Listado!N:N,N725)),IF(INDEX(Listado!I:I,N725)=0,"",INDEX(Listado!I:I,N725)))),"")</f>
        <v/>
      </c>
      <c r="P725" s="17">
        <f t="shared" ca="1" si="34"/>
        <v/>
      </c>
      <c r="Q725" s="17">
        <f>IFERROR(IF(AND(N725&lt;&gt;"",ISNUMBER(O725),O725&gt;0,O725&gt;=TODAY()-90),1,0),0)</f>
        <v/>
      </c>
      <c r="R725" s="17" t="str">
        <f t="shared" si="36"/>
        <v/>
      </c>
      <c r="S725" s="17" t="str">
        <f>IF(INDEX(Listado!A:A,ROW())="","",INDEX(Listado!A:A,ROW()))</f>
        <v/>
      </c>
      <c r="T725" s="17" t="str">
        <f ca="1">IF(INDEX(Listado!G:G,ROW())="","",INDEX(Listado!G:G,ROW()))</f>
        <v/>
      </c>
      <c r="U725" s="17" t="str">
        <f>IF(INDEX(Listado!F:F,ROW())="","",INDEX(Listado!F:F,ROW()))</f>
        <v/>
      </c>
      <c r="V725" s="17">
        <f>IF(COUNTA(INDEX(Listado!B:B,ROW()):INDEX(Listado!F:F,ROW()))&gt;0,1,0)</f>
        <v/>
      </c>
      <c r="W725" s="17" t="str">
        <f>IF(INDEX(Listado!L:L,ROW())="","",INDEX(Listado!L:L,ROW()))</f>
        <v/>
      </c>
      <c r="X725" s="17">
        <f>IF(N725="","",IF(INDEX(Listado!$M:$M,N725)="No","No","Sí"))</f>
        <v/>
      </c>
    </row>
    <row r="726" spans="2:24" ht="14.25">
      <c r="N726" s="17" t="str">
        <f>IF(V726=0,"",IFERROR(LOOKUP(2,1/(INDEX(Listado!A:A,2):INDEX(Listado!A:A,ROW())&lt;&gt;""),ROW(INDEX(Listado!A:A,2):INDEX(Listado!A:A,ROW()))),""))</f>
        <v/>
      </c>
      <c r="O726" s="17" t="str">
        <f>IFERROR(IF(N726="","",IF(INDEX(Listado!M:M,N726)="No",IF(INDEX(Listado!N:N,N726)=0,"",INDEX(Listado!N:N,N726)),IF(INDEX(Listado!I:I,N726)=0,"",INDEX(Listado!I:I,N726)))),"")</f>
        <v/>
      </c>
      <c r="P726" s="17">
        <f t="shared" ca="1" si="34"/>
        <v/>
      </c>
      <c r="Q726" s="17">
        <f>IFERROR(IF(AND(N726&lt;&gt;"",ISNUMBER(O726),O726&gt;0,O726&gt;=TODAY()-90),1,0),0)</f>
        <v/>
      </c>
      <c r="R726" s="17" t="str">
        <f t="shared" si="36"/>
        <v/>
      </c>
      <c r="S726" s="17" t="str">
        <f>IF(INDEX(Listado!A:A,ROW())="","",INDEX(Listado!A:A,ROW()))</f>
        <v/>
      </c>
      <c r="T726" s="17" t="str">
        <f ca="1">IF(INDEX(Listado!G:G,ROW())="","",INDEX(Listado!G:G,ROW()))</f>
        <v/>
      </c>
      <c r="U726" s="17" t="str">
        <f>IF(INDEX(Listado!F:F,ROW())="","",INDEX(Listado!F:F,ROW()))</f>
        <v/>
      </c>
      <c r="V726" s="17">
        <f>IF(COUNTA(INDEX(Listado!B:B,ROW()):INDEX(Listado!F:F,ROW()))&gt;0,1,0)</f>
        <v/>
      </c>
      <c r="W726" s="17" t="str">
        <f>IF(INDEX(Listado!L:L,ROW())="","",INDEX(Listado!L:L,ROW()))</f>
        <v/>
      </c>
      <c r="X726" s="17">
        <f>IF(N726="","",IF(INDEX(Listado!$M:$M,N726)="No","No","Sí"))</f>
        <v/>
      </c>
    </row>
    <row r="727" spans="2:24" ht="14.25">
      <c r="N727" s="17" t="str">
        <f>IF(V727=0,"",IFERROR(LOOKUP(2,1/(INDEX(Listado!A:A,2):INDEX(Listado!A:A,ROW())&lt;&gt;""),ROW(INDEX(Listado!A:A,2):INDEX(Listado!A:A,ROW()))),""))</f>
        <v/>
      </c>
      <c r="O727" s="17" t="str">
        <f>IFERROR(IF(N727="","",IF(INDEX(Listado!M:M,N727)="No",IF(INDEX(Listado!N:N,N727)=0,"",INDEX(Listado!N:N,N727)),IF(INDEX(Listado!I:I,N727)=0,"",INDEX(Listado!I:I,N727)))),"")</f>
        <v/>
      </c>
      <c r="P727" s="17">
        <f t="shared" ca="1" si="34"/>
        <v/>
      </c>
      <c r="Q727" s="17">
        <f>IFERROR(IF(AND(N727&lt;&gt;"",ISNUMBER(O727),O727&gt;0,O727&gt;=TODAY()-90),1,0),0)</f>
        <v/>
      </c>
      <c r="R727" s="17" t="str">
        <f t="shared" si="36"/>
        <v/>
      </c>
      <c r="S727" s="17" t="str">
        <f>IF(INDEX(Listado!A:A,ROW())="","",INDEX(Listado!A:A,ROW()))</f>
        <v/>
      </c>
      <c r="T727" s="17" t="str">
        <f ca="1">IF(INDEX(Listado!G:G,ROW())="","",INDEX(Listado!G:G,ROW()))</f>
        <v/>
      </c>
      <c r="U727" s="17" t="str">
        <f>IF(INDEX(Listado!F:F,ROW())="","",INDEX(Listado!F:F,ROW()))</f>
        <v/>
      </c>
      <c r="V727" s="17">
        <f>IF(COUNTA(INDEX(Listado!B:B,ROW()):INDEX(Listado!F:F,ROW()))&gt;0,1,0)</f>
        <v/>
      </c>
      <c r="W727" s="17" t="str">
        <f>IF(INDEX(Listado!L:L,ROW())="","",INDEX(Listado!L:L,ROW()))</f>
        <v/>
      </c>
      <c r="X727" s="17">
        <f>IF(N727="","",IF(INDEX(Listado!$M:$M,N727)="No","No","Sí"))</f>
        <v/>
      </c>
    </row>
    <row r="728" spans="2:24" ht="14.25">
      <c r="N728" s="17" t="str">
        <f>IF(V728=0,"",IFERROR(LOOKUP(2,1/(INDEX(Listado!A:A,2):INDEX(Listado!A:A,ROW())&lt;&gt;""),ROW(INDEX(Listado!A:A,2):INDEX(Listado!A:A,ROW()))),""))</f>
        <v/>
      </c>
      <c r="O728" s="17" t="str">
        <f>IFERROR(IF(N728="","",IF(INDEX(Listado!M:M,N728)="No",IF(INDEX(Listado!N:N,N728)=0,"",INDEX(Listado!N:N,N728)),IF(INDEX(Listado!I:I,N728)=0,"",INDEX(Listado!I:I,N728)))),"")</f>
        <v/>
      </c>
      <c r="P728" s="17">
        <f t="shared" ca="1" si="34"/>
        <v/>
      </c>
      <c r="Q728" s="17">
        <f>IFERROR(IF(AND(N728&lt;&gt;"",ISNUMBER(O728),O728&gt;0,O728&gt;=TODAY()-90),1,0),0)</f>
        <v/>
      </c>
      <c r="R728" s="17" t="str">
        <f t="shared" si="36"/>
        <v/>
      </c>
      <c r="S728" s="17" t="str">
        <f>IF(INDEX(Listado!A:A,ROW())="","",INDEX(Listado!A:A,ROW()))</f>
        <v/>
      </c>
      <c r="T728" s="17" t="str">
        <f ca="1">IF(INDEX(Listado!G:G,ROW())="","",INDEX(Listado!G:G,ROW()))</f>
        <v/>
      </c>
      <c r="U728" s="17" t="str">
        <f>IF(INDEX(Listado!F:F,ROW())="","",INDEX(Listado!F:F,ROW()))</f>
        <v/>
      </c>
      <c r="V728" s="17">
        <f>IF(COUNTA(INDEX(Listado!B:B,ROW()):INDEX(Listado!F:F,ROW()))&gt;0,1,0)</f>
        <v/>
      </c>
      <c r="W728" s="17" t="str">
        <f>IF(INDEX(Listado!L:L,ROW())="","",INDEX(Listado!L:L,ROW()))</f>
        <v/>
      </c>
      <c r="X728" s="17">
        <f>IF(N728="","",IF(INDEX(Listado!$M:$M,N728)="No","No","Sí"))</f>
        <v/>
      </c>
    </row>
    <row r="729" spans="2:24" ht="14.25">
      <c r="N729" s="17" t="str">
        <f>IF(V729=0,"",IFERROR(LOOKUP(2,1/(INDEX(Listado!A:A,2):INDEX(Listado!A:A,ROW())&lt;&gt;""),ROW(INDEX(Listado!A:A,2):INDEX(Listado!A:A,ROW()))),""))</f>
        <v/>
      </c>
      <c r="O729" s="17" t="str">
        <f>IFERROR(IF(N729="","",IF(INDEX(Listado!M:M,N729)="No",IF(INDEX(Listado!N:N,N729)=0,"",INDEX(Listado!N:N,N729)),IF(INDEX(Listado!I:I,N729)=0,"",INDEX(Listado!I:I,N729)))),"")</f>
        <v/>
      </c>
      <c r="P729" s="17">
        <f t="shared" ca="1" si="34"/>
        <v/>
      </c>
      <c r="Q729" s="17">
        <f>IFERROR(IF(AND(N729&lt;&gt;"",ISNUMBER(O729),O729&gt;0,O729&gt;=TODAY()-90),1,0),0)</f>
        <v/>
      </c>
      <c r="R729" s="17" t="str">
        <f t="shared" si="36"/>
        <v/>
      </c>
      <c r="S729" s="17" t="str">
        <f>IF(INDEX(Listado!A:A,ROW())="","",INDEX(Listado!A:A,ROW()))</f>
        <v/>
      </c>
      <c r="T729" s="17" t="str">
        <f ca="1">IF(INDEX(Listado!G:G,ROW())="","",INDEX(Listado!G:G,ROW()))</f>
        <v/>
      </c>
      <c r="U729" s="17" t="str">
        <f>IF(INDEX(Listado!F:F,ROW())="","",INDEX(Listado!F:F,ROW()))</f>
        <v/>
      </c>
      <c r="V729" s="17">
        <f>IF(COUNTA(INDEX(Listado!B:B,ROW()):INDEX(Listado!F:F,ROW()))&gt;0,1,0)</f>
        <v/>
      </c>
      <c r="W729" s="17" t="str">
        <f>IF(INDEX(Listado!L:L,ROW())="","",INDEX(Listado!L:L,ROW()))</f>
        <v/>
      </c>
      <c r="X729" s="17">
        <f>IF(N729="","",IF(INDEX(Listado!$M:$M,N729)="No","No","Sí"))</f>
        <v/>
      </c>
    </row>
    <row r="730" spans="2:24" ht="14.25">
      <c r="N730" s="17" t="str">
        <f>IF(V730=0,"",IFERROR(LOOKUP(2,1/(INDEX(Listado!A:A,2):INDEX(Listado!A:A,ROW())&lt;&gt;""),ROW(INDEX(Listado!A:A,2):INDEX(Listado!A:A,ROW()))),""))</f>
        <v/>
      </c>
      <c r="O730" s="17" t="str">
        <f>IFERROR(IF(N730="","",IF(INDEX(Listado!M:M,N730)="No",IF(INDEX(Listado!N:N,N730)=0,"",INDEX(Listado!N:N,N730)),IF(INDEX(Listado!I:I,N730)=0,"",INDEX(Listado!I:I,N730)))),"")</f>
        <v/>
      </c>
      <c r="P730" s="17">
        <f t="shared" ca="1" si="34"/>
        <v/>
      </c>
      <c r="Q730" s="17">
        <f>IFERROR(IF(AND(N730&lt;&gt;"",ISNUMBER(O730),O730&gt;0,O730&gt;=TODAY()-90),1,0),0)</f>
        <v/>
      </c>
      <c r="R730" s="17" t="str">
        <f t="shared" si="36"/>
        <v/>
      </c>
      <c r="S730" s="17" t="str">
        <f>IF(INDEX(Listado!A:A,ROW())="","",INDEX(Listado!A:A,ROW()))</f>
        <v/>
      </c>
      <c r="T730" s="17" t="str">
        <f ca="1">IF(INDEX(Listado!G:G,ROW())="","",INDEX(Listado!G:G,ROW()))</f>
        <v/>
      </c>
      <c r="U730" s="17" t="str">
        <f>IF(INDEX(Listado!F:F,ROW())="","",INDEX(Listado!F:F,ROW()))</f>
        <v/>
      </c>
      <c r="V730" s="17">
        <f>IF(COUNTA(INDEX(Listado!B:B,ROW()):INDEX(Listado!F:F,ROW()))&gt;0,1,0)</f>
        <v/>
      </c>
      <c r="W730" s="17" t="str">
        <f>IF(INDEX(Listado!L:L,ROW())="","",INDEX(Listado!L:L,ROW()))</f>
        <v/>
      </c>
      <c r="X730" s="17">
        <f>IF(N730="","",IF(INDEX(Listado!$M:$M,N730)="No","No","Sí"))</f>
        <v/>
      </c>
    </row>
    <row r="731" spans="2:24" ht="14.25">
      <c r="N731" s="17" t="str">
        <f>IF(V731=0,"",IFERROR(LOOKUP(2,1/(INDEX(Listado!A:A,2):INDEX(Listado!A:A,ROW())&lt;&gt;""),ROW(INDEX(Listado!A:A,2):INDEX(Listado!A:A,ROW()))),""))</f>
        <v/>
      </c>
      <c r="O731" s="17" t="str">
        <f>IFERROR(IF(N731="","",IF(INDEX(Listado!M:M,N731)="No",IF(INDEX(Listado!N:N,N731)=0,"",INDEX(Listado!N:N,N731)),IF(INDEX(Listado!I:I,N731)=0,"",INDEX(Listado!I:I,N731)))),"")</f>
        <v/>
      </c>
      <c r="P731" s="17">
        <f t="shared" ca="1" si="34"/>
        <v/>
      </c>
      <c r="Q731" s="17">
        <f>IFERROR(IF(AND(N731&lt;&gt;"",ISNUMBER(O731),O731&gt;0,O731&gt;=TODAY()-90),1,0),0)</f>
        <v/>
      </c>
      <c r="R731" s="17" t="str">
        <f t="shared" si="36"/>
        <v/>
      </c>
      <c r="S731" s="17" t="str">
        <f>IF(INDEX(Listado!A:A,ROW())="","",INDEX(Listado!A:A,ROW()))</f>
        <v/>
      </c>
      <c r="T731" s="17" t="str">
        <f ca="1">IF(INDEX(Listado!G:G,ROW())="","",INDEX(Listado!G:G,ROW()))</f>
        <v/>
      </c>
      <c r="U731" s="17" t="str">
        <f>IF(INDEX(Listado!F:F,ROW())="","",INDEX(Listado!F:F,ROW()))</f>
        <v/>
      </c>
      <c r="V731" s="17">
        <f>IF(COUNTA(INDEX(Listado!B:B,ROW()):INDEX(Listado!F:F,ROW()))&gt;0,1,0)</f>
        <v/>
      </c>
      <c r="W731" s="17" t="str">
        <f>IF(INDEX(Listado!L:L,ROW())="","",INDEX(Listado!L:L,ROW()))</f>
        <v/>
      </c>
      <c r="X731" s="17">
        <f>IF(N731="","",IF(INDEX(Listado!$M:$M,N731)="No","No","Sí"))</f>
        <v/>
      </c>
    </row>
    <row r="732" spans="2:24" ht="14.25">
      <c r="N732" s="17" t="str">
        <f>IF(V732=0,"",IFERROR(LOOKUP(2,1/(INDEX(Listado!A:A,2):INDEX(Listado!A:A,ROW())&lt;&gt;""),ROW(INDEX(Listado!A:A,2):INDEX(Listado!A:A,ROW()))),""))</f>
        <v/>
      </c>
      <c r="O732" s="17" t="str">
        <f>IFERROR(IF(N732="","",IF(INDEX(Listado!M:M,N732)="No",IF(INDEX(Listado!N:N,N732)=0,"",INDEX(Listado!N:N,N732)),IF(INDEX(Listado!I:I,N732)=0,"",INDEX(Listado!I:I,N732)))),"")</f>
        <v/>
      </c>
      <c r="P732" s="17">
        <f t="shared" ca="1" si="34"/>
        <v/>
      </c>
      <c r="Q732" s="17">
        <f>IFERROR(IF(AND(N732&lt;&gt;"",ISNUMBER(O732),O732&gt;0,O732&gt;=TODAY()-90),1,0),0)</f>
        <v/>
      </c>
      <c r="R732" s="17" t="str">
        <f t="shared" si="36"/>
        <v/>
      </c>
      <c r="S732" s="17" t="str">
        <f>IF(INDEX(Listado!A:A,ROW())="","",INDEX(Listado!A:A,ROW()))</f>
        <v/>
      </c>
      <c r="T732" s="17" t="str">
        <f ca="1">IF(INDEX(Listado!G:G,ROW())="","",INDEX(Listado!G:G,ROW()))</f>
        <v/>
      </c>
      <c r="U732" s="17" t="str">
        <f>IF(INDEX(Listado!F:F,ROW())="","",INDEX(Listado!F:F,ROW()))</f>
        <v/>
      </c>
      <c r="V732" s="17">
        <f>IF(COUNTA(INDEX(Listado!B:B,ROW()):INDEX(Listado!F:F,ROW()))&gt;0,1,0)</f>
        <v/>
      </c>
      <c r="W732" s="17" t="str">
        <f>IF(INDEX(Listado!L:L,ROW())="","",INDEX(Listado!L:L,ROW()))</f>
        <v/>
      </c>
      <c r="X732" s="17">
        <f>IF(N732="","",IF(INDEX(Listado!$M:$M,N732)="No","No","Sí"))</f>
        <v/>
      </c>
    </row>
    <row r="733" spans="2:24" ht="14.25">
      <c r="N733" s="17" t="str">
        <f>IF(V733=0,"",IFERROR(LOOKUP(2,1/(INDEX(Listado!A:A,2):INDEX(Listado!A:A,ROW())&lt;&gt;""),ROW(INDEX(Listado!A:A,2):INDEX(Listado!A:A,ROW()))),""))</f>
        <v/>
      </c>
      <c r="O733" s="17" t="str">
        <f>IFERROR(IF(N733="","",IF(INDEX(Listado!M:M,N733)="No",IF(INDEX(Listado!N:N,N733)=0,"",INDEX(Listado!N:N,N733)),IF(INDEX(Listado!I:I,N733)=0,"",INDEX(Listado!I:I,N733)))),"")</f>
        <v/>
      </c>
      <c r="P733" s="17">
        <f t="shared" ca="1" si="34"/>
        <v/>
      </c>
      <c r="Q733" s="17">
        <f>IFERROR(IF(AND(N733&lt;&gt;"",ISNUMBER(O733),O733&gt;0,O733&gt;=TODAY()-90),1,0),0)</f>
        <v/>
      </c>
      <c r="R733" s="17" t="str">
        <f t="shared" si="36"/>
        <v/>
      </c>
      <c r="S733" s="17" t="str">
        <f>IF(INDEX(Listado!A:A,ROW())="","",INDEX(Listado!A:A,ROW()))</f>
        <v/>
      </c>
      <c r="T733" s="17" t="str">
        <f ca="1">IF(INDEX(Listado!G:G,ROW())="","",INDEX(Listado!G:G,ROW()))</f>
        <v/>
      </c>
      <c r="U733" s="17" t="str">
        <f>IF(INDEX(Listado!F:F,ROW())="","",INDEX(Listado!F:F,ROW()))</f>
        <v/>
      </c>
      <c r="V733" s="17">
        <f>IF(COUNTA(INDEX(Listado!B:B,ROW()):INDEX(Listado!F:F,ROW()))&gt;0,1,0)</f>
        <v/>
      </c>
      <c r="W733" s="17" t="str">
        <f>IF(INDEX(Listado!L:L,ROW())="","",INDEX(Listado!L:L,ROW()))</f>
        <v/>
      </c>
      <c r="X733" s="17">
        <f>IF(N733="","",IF(INDEX(Listado!$M:$M,N733)="No","No","Sí"))</f>
        <v/>
      </c>
    </row>
    <row r="734" spans="2:24" ht="14.25">
      <c r="N734" s="17" t="str">
        <f>IF(V734=0,"",IFERROR(LOOKUP(2,1/(INDEX(Listado!A:A,2):INDEX(Listado!A:A,ROW())&lt;&gt;""),ROW(INDEX(Listado!A:A,2):INDEX(Listado!A:A,ROW()))),""))</f>
        <v/>
      </c>
      <c r="O734" s="17" t="str">
        <f>IFERROR(IF(N734="","",IF(INDEX(Listado!M:M,N734)="No",IF(INDEX(Listado!N:N,N734)=0,"",INDEX(Listado!N:N,N734)),IF(INDEX(Listado!I:I,N734)=0,"",INDEX(Listado!I:I,N734)))),"")</f>
        <v/>
      </c>
      <c r="P734" s="17">
        <f t="shared" ca="1" si="34"/>
        <v/>
      </c>
      <c r="Q734" s="17">
        <f>IFERROR(IF(AND(N734&lt;&gt;"",ISNUMBER(O734),O734&gt;0,O734&gt;=TODAY()-90),1,0),0)</f>
        <v/>
      </c>
      <c r="R734" s="17" t="str">
        <f t="shared" si="36"/>
        <v/>
      </c>
      <c r="S734" s="17" t="str">
        <f>IF(INDEX(Listado!A:A,ROW())="","",INDEX(Listado!A:A,ROW()))</f>
        <v/>
      </c>
      <c r="T734" s="17" t="str">
        <f ca="1">IF(INDEX(Listado!G:G,ROW())="","",INDEX(Listado!G:G,ROW()))</f>
        <v/>
      </c>
      <c r="U734" s="17" t="str">
        <f>IF(INDEX(Listado!F:F,ROW())="","",INDEX(Listado!F:F,ROW()))</f>
        <v/>
      </c>
      <c r="V734" s="17">
        <f>IF(COUNTA(INDEX(Listado!B:B,ROW()):INDEX(Listado!F:F,ROW()))&gt;0,1,0)</f>
        <v/>
      </c>
      <c r="W734" s="17" t="str">
        <f>IF(INDEX(Listado!L:L,ROW())="","",INDEX(Listado!L:L,ROW()))</f>
        <v/>
      </c>
      <c r="X734" s="17">
        <f>IF(N734="","",IF(INDEX(Listado!$M:$M,N734)="No","No","Sí"))</f>
        <v/>
      </c>
    </row>
    <row r="735" spans="2:24" ht="14.25">
      <c r="N735" s="17" t="str">
        <f>IF(V735=0,"",IFERROR(LOOKUP(2,1/(INDEX(Listado!A:A,2):INDEX(Listado!A:A,ROW())&lt;&gt;""),ROW(INDEX(Listado!A:A,2):INDEX(Listado!A:A,ROW()))),""))</f>
        <v/>
      </c>
      <c r="O735" s="17" t="str">
        <f>IFERROR(IF(N735="","",IF(INDEX(Listado!M:M,N735)="No",IF(INDEX(Listado!N:N,N735)=0,"",INDEX(Listado!N:N,N735)),IF(INDEX(Listado!I:I,N735)=0,"",INDEX(Listado!I:I,N735)))),"")</f>
        <v/>
      </c>
      <c r="P735" s="17">
        <f t="shared" ca="1" si="34"/>
        <v/>
      </c>
      <c r="Q735" s="17">
        <f>IFERROR(IF(AND(N735&lt;&gt;"",ISNUMBER(O735),O735&gt;0,O735&gt;=TODAY()-90),1,0),0)</f>
        <v/>
      </c>
      <c r="R735" s="17" t="str">
        <f t="shared" si="36"/>
        <v/>
      </c>
      <c r="S735" s="17" t="str">
        <f>IF(INDEX(Listado!A:A,ROW())="","",INDEX(Listado!A:A,ROW()))</f>
        <v/>
      </c>
      <c r="T735" s="17" t="str">
        <f ca="1">IF(INDEX(Listado!G:G,ROW())="","",INDEX(Listado!G:G,ROW()))</f>
        <v/>
      </c>
      <c r="U735" s="17" t="str">
        <f>IF(INDEX(Listado!F:F,ROW())="","",INDEX(Listado!F:F,ROW()))</f>
        <v/>
      </c>
      <c r="V735" s="17">
        <f>IF(COUNTA(INDEX(Listado!B:B,ROW()):INDEX(Listado!F:F,ROW()))&gt;0,1,0)</f>
        <v/>
      </c>
      <c r="W735" s="17" t="str">
        <f>IF(INDEX(Listado!L:L,ROW())="","",INDEX(Listado!L:L,ROW()))</f>
        <v/>
      </c>
      <c r="X735" s="17">
        <f>IF(N735="","",IF(INDEX(Listado!$M:$M,N735)="No","No","Sí"))</f>
        <v/>
      </c>
    </row>
    <row r="736" spans="2:24" ht="14.25">
      <c r="N736" s="17" t="str">
        <f>IF(V736=0,"",IFERROR(LOOKUP(2,1/(INDEX(Listado!A:A,2):INDEX(Listado!A:A,ROW())&lt;&gt;""),ROW(INDEX(Listado!A:A,2):INDEX(Listado!A:A,ROW()))),""))</f>
        <v/>
      </c>
      <c r="O736" s="17" t="str">
        <f>IFERROR(IF(N736="","",IF(INDEX(Listado!M:M,N736)="No",IF(INDEX(Listado!N:N,N736)=0,"",INDEX(Listado!N:N,N736)),IF(INDEX(Listado!I:I,N736)=0,"",INDEX(Listado!I:I,N736)))),"")</f>
        <v/>
      </c>
      <c r="P736" s="17">
        <f t="shared" ca="1" si="34"/>
        <v/>
      </c>
      <c r="Q736" s="17">
        <f>IFERROR(IF(AND(N736&lt;&gt;"",ISNUMBER(O736),O736&gt;0,O736&gt;=TODAY()-90),1,0),0)</f>
        <v/>
      </c>
      <c r="R736" s="17" t="str">
        <f t="shared" si="36"/>
        <v/>
      </c>
      <c r="S736" s="17" t="str">
        <f>IF(INDEX(Listado!A:A,ROW())="","",INDEX(Listado!A:A,ROW()))</f>
        <v/>
      </c>
      <c r="T736" s="17" t="str">
        <f ca="1">IF(INDEX(Listado!G:G,ROW())="","",INDEX(Listado!G:G,ROW()))</f>
        <v/>
      </c>
      <c r="U736" s="17" t="str">
        <f>IF(INDEX(Listado!F:F,ROW())="","",INDEX(Listado!F:F,ROW()))</f>
        <v/>
      </c>
      <c r="V736" s="17">
        <f>IF(COUNTA(INDEX(Listado!B:B,ROW()):INDEX(Listado!F:F,ROW()))&gt;0,1,0)</f>
        <v/>
      </c>
      <c r="W736" s="17" t="str">
        <f>IF(INDEX(Listado!L:L,ROW())="","",INDEX(Listado!L:L,ROW()))</f>
        <v/>
      </c>
      <c r="X736" s="17">
        <f>IF(N736="","",IF(INDEX(Listado!$M:$M,N736)="No","No","Sí"))</f>
        <v/>
      </c>
    </row>
    <row r="737" spans="2:24" ht="14.25">
      <c r="N737" s="17" t="str">
        <f>IF(V737=0,"",IFERROR(LOOKUP(2,1/(INDEX(Listado!A:A,2):INDEX(Listado!A:A,ROW())&lt;&gt;""),ROW(INDEX(Listado!A:A,2):INDEX(Listado!A:A,ROW()))),""))</f>
        <v/>
      </c>
      <c r="O737" s="17" t="str">
        <f>IFERROR(IF(N737="","",IF(INDEX(Listado!M:M,N737)="No",IF(INDEX(Listado!N:N,N737)=0,"",INDEX(Listado!N:N,N737)),IF(INDEX(Listado!I:I,N737)=0,"",INDEX(Listado!I:I,N737)))),"")</f>
        <v/>
      </c>
      <c r="P737" s="17">
        <f t="shared" ca="1" si="34"/>
        <v/>
      </c>
      <c r="Q737" s="17">
        <f>IFERROR(IF(AND(N737&lt;&gt;"",ISNUMBER(O737),O737&gt;0,O737&gt;=TODAY()-90),1,0),0)</f>
        <v/>
      </c>
      <c r="R737" s="17" t="str">
        <f t="shared" si="36"/>
        <v/>
      </c>
      <c r="S737" s="17" t="str">
        <f>IF(INDEX(Listado!A:A,ROW())="","",INDEX(Listado!A:A,ROW()))</f>
        <v/>
      </c>
      <c r="T737" s="17" t="str">
        <f ca="1">IF(INDEX(Listado!G:G,ROW())="","",INDEX(Listado!G:G,ROW()))</f>
        <v/>
      </c>
      <c r="U737" s="17" t="str">
        <f>IF(INDEX(Listado!F:F,ROW())="","",INDEX(Listado!F:F,ROW()))</f>
        <v/>
      </c>
      <c r="V737" s="17">
        <f>IF(COUNTA(INDEX(Listado!B:B,ROW()):INDEX(Listado!F:F,ROW()))&gt;0,1,0)</f>
        <v/>
      </c>
      <c r="W737" s="17" t="str">
        <f>IF(INDEX(Listado!L:L,ROW())="","",INDEX(Listado!L:L,ROW()))</f>
        <v/>
      </c>
      <c r="X737" s="17">
        <f>IF(N737="","",IF(INDEX(Listado!$M:$M,N737)="No","No","Sí"))</f>
        <v/>
      </c>
    </row>
    <row r="738" spans="2:24" ht="14.25">
      <c r="N738" s="17" t="str">
        <f>IF(V738=0,"",IFERROR(LOOKUP(2,1/(INDEX(Listado!A:A,2):INDEX(Listado!A:A,ROW())&lt;&gt;""),ROW(INDEX(Listado!A:A,2):INDEX(Listado!A:A,ROW()))),""))</f>
        <v/>
      </c>
      <c r="O738" s="17" t="str">
        <f>IFERROR(IF(N738="","",IF(INDEX(Listado!M:M,N738)="No",IF(INDEX(Listado!N:N,N738)=0,"",INDEX(Listado!N:N,N738)),IF(INDEX(Listado!I:I,N738)=0,"",INDEX(Listado!I:I,N738)))),"")</f>
        <v/>
      </c>
      <c r="P738" s="17">
        <f t="shared" ca="1" si="34"/>
        <v/>
      </c>
      <c r="Q738" s="17">
        <f>IFERROR(IF(AND(N738&lt;&gt;"",ISNUMBER(O738),O738&gt;0,O738&gt;=TODAY()-90),1,0),0)</f>
        <v/>
      </c>
      <c r="R738" s="17" t="str">
        <f t="shared" si="36"/>
        <v/>
      </c>
      <c r="S738" s="17" t="str">
        <f>IF(INDEX(Listado!A:A,ROW())="","",INDEX(Listado!A:A,ROW()))</f>
        <v/>
      </c>
      <c r="T738" s="17" t="str">
        <f ca="1">IF(INDEX(Listado!G:G,ROW())="","",INDEX(Listado!G:G,ROW()))</f>
        <v/>
      </c>
      <c r="U738" s="17" t="str">
        <f>IF(INDEX(Listado!F:F,ROW())="","",INDEX(Listado!F:F,ROW()))</f>
        <v/>
      </c>
      <c r="V738" s="17">
        <f>IF(COUNTA(INDEX(Listado!B:B,ROW()):INDEX(Listado!F:F,ROW()))&gt;0,1,0)</f>
        <v/>
      </c>
      <c r="W738" s="17" t="str">
        <f>IF(INDEX(Listado!L:L,ROW())="","",INDEX(Listado!L:L,ROW()))</f>
        <v/>
      </c>
      <c r="X738" s="17">
        <f>IF(N738="","",IF(INDEX(Listado!$M:$M,N738)="No","No","Sí"))</f>
        <v/>
      </c>
    </row>
    <row r="739" spans="2:24" ht="14.25">
      <c r="N739" s="17" t="str">
        <f>IF(V739=0,"",IFERROR(LOOKUP(2,1/(INDEX(Listado!A:A,2):INDEX(Listado!A:A,ROW())&lt;&gt;""),ROW(INDEX(Listado!A:A,2):INDEX(Listado!A:A,ROW()))),""))</f>
        <v/>
      </c>
      <c r="O739" s="17" t="str">
        <f>IFERROR(IF(N739="","",IF(INDEX(Listado!M:M,N739)="No",IF(INDEX(Listado!N:N,N739)=0,"",INDEX(Listado!N:N,N739)),IF(INDEX(Listado!I:I,N739)=0,"",INDEX(Listado!I:I,N739)))),"")</f>
        <v/>
      </c>
      <c r="P739" s="17">
        <f t="shared" ca="1" si="34"/>
        <v/>
      </c>
      <c r="Q739" s="17">
        <f>IFERROR(IF(AND(N739&lt;&gt;"",ISNUMBER(O739),O739&gt;0,O739&gt;=TODAY()-90),1,0),0)</f>
        <v/>
      </c>
      <c r="R739" s="17" t="str">
        <f t="shared" si="36"/>
        <v/>
      </c>
      <c r="S739" s="17" t="str">
        <f>IF(INDEX(Listado!A:A,ROW())="","",INDEX(Listado!A:A,ROW()))</f>
        <v/>
      </c>
      <c r="T739" s="17" t="str">
        <f ca="1">IF(INDEX(Listado!G:G,ROW())="","",INDEX(Listado!G:G,ROW()))</f>
        <v/>
      </c>
      <c r="U739" s="17" t="str">
        <f>IF(INDEX(Listado!F:F,ROW())="","",INDEX(Listado!F:F,ROW()))</f>
        <v/>
      </c>
      <c r="V739" s="17">
        <f>IF(COUNTA(INDEX(Listado!B:B,ROW()):INDEX(Listado!F:F,ROW()))&gt;0,1,0)</f>
        <v/>
      </c>
      <c r="W739" s="17" t="str">
        <f>IF(INDEX(Listado!L:L,ROW())="","",INDEX(Listado!L:L,ROW()))</f>
        <v/>
      </c>
      <c r="X739" s="17">
        <f>IF(N739="","",IF(INDEX(Listado!$M:$M,N739)="No","No","Sí"))</f>
        <v/>
      </c>
    </row>
    <row r="740" spans="2:24" ht="14.25">
      <c r="N740" s="17" t="str">
        <f>IF(V740=0,"",IFERROR(LOOKUP(2,1/(INDEX(Listado!A:A,2):INDEX(Listado!A:A,ROW())&lt;&gt;""),ROW(INDEX(Listado!A:A,2):INDEX(Listado!A:A,ROW()))),""))</f>
        <v/>
      </c>
      <c r="O740" s="17" t="str">
        <f>IFERROR(IF(N740="","",IF(INDEX(Listado!M:M,N740)="No",IF(INDEX(Listado!N:N,N740)=0,"",INDEX(Listado!N:N,N740)),IF(INDEX(Listado!I:I,N740)=0,"",INDEX(Listado!I:I,N740)))),"")</f>
        <v/>
      </c>
      <c r="P740" s="17">
        <f t="shared" ca="1" si="34"/>
        <v/>
      </c>
      <c r="Q740" s="17">
        <f>IFERROR(IF(AND(N740&lt;&gt;"",ISNUMBER(O740),O740&gt;0,O740&gt;=TODAY()-90),1,0),0)</f>
        <v/>
      </c>
      <c r="R740" s="17" t="str">
        <f t="shared" si="36"/>
        <v/>
      </c>
      <c r="S740" s="17" t="str">
        <f>IF(INDEX(Listado!A:A,ROW())="","",INDEX(Listado!A:A,ROW()))</f>
        <v/>
      </c>
      <c r="T740" s="17" t="str">
        <f ca="1">IF(INDEX(Listado!G:G,ROW())="","",INDEX(Listado!G:G,ROW()))</f>
        <v/>
      </c>
      <c r="U740" s="17" t="str">
        <f>IF(INDEX(Listado!F:F,ROW())="","",INDEX(Listado!F:F,ROW()))</f>
        <v/>
      </c>
      <c r="V740" s="17">
        <f>IF(COUNTA(INDEX(Listado!B:B,ROW()):INDEX(Listado!F:F,ROW()))&gt;0,1,0)</f>
        <v/>
      </c>
      <c r="W740" s="17" t="str">
        <f>IF(INDEX(Listado!L:L,ROW())="","",INDEX(Listado!L:L,ROW()))</f>
        <v/>
      </c>
      <c r="X740" s="17">
        <f>IF(N740="","",IF(INDEX(Listado!$M:$M,N740)="No","No","Sí"))</f>
        <v/>
      </c>
    </row>
    <row r="741" spans="2:24" ht="14.25">
      <c r="N741" s="17" t="str">
        <f>IF(V741=0,"",IFERROR(LOOKUP(2,1/(INDEX(Listado!A:A,2):INDEX(Listado!A:A,ROW())&lt;&gt;""),ROW(INDEX(Listado!A:A,2):INDEX(Listado!A:A,ROW()))),""))</f>
        <v/>
      </c>
      <c r="O741" s="17" t="str">
        <f>IFERROR(IF(N741="","",IF(INDEX(Listado!M:M,N741)="No",IF(INDEX(Listado!N:N,N741)=0,"",INDEX(Listado!N:N,N741)),IF(INDEX(Listado!I:I,N741)=0,"",INDEX(Listado!I:I,N741)))),"")</f>
        <v/>
      </c>
      <c r="P741" s="17">
        <f t="shared" ca="1" si="34"/>
        <v/>
      </c>
      <c r="Q741" s="17">
        <f>IFERROR(IF(AND(N741&lt;&gt;"",ISNUMBER(O741),O741&gt;0,O741&gt;=TODAY()-90),1,0),0)</f>
        <v/>
      </c>
      <c r="R741" s="17" t="str">
        <f t="shared" si="36"/>
        <v/>
      </c>
      <c r="S741" s="17" t="str">
        <f>IF(INDEX(Listado!A:A,ROW())="","",INDEX(Listado!A:A,ROW()))</f>
        <v/>
      </c>
      <c r="T741" s="17" t="str">
        <f ca="1">IF(INDEX(Listado!G:G,ROW())="","",INDEX(Listado!G:G,ROW()))</f>
        <v/>
      </c>
      <c r="U741" s="17" t="str">
        <f>IF(INDEX(Listado!F:F,ROW())="","",INDEX(Listado!F:F,ROW()))</f>
        <v/>
      </c>
      <c r="V741" s="17">
        <f>IF(COUNTA(INDEX(Listado!B:B,ROW()):INDEX(Listado!F:F,ROW()))&gt;0,1,0)</f>
        <v/>
      </c>
      <c r="W741" s="17" t="str">
        <f>IF(INDEX(Listado!L:L,ROW())="","",INDEX(Listado!L:L,ROW()))</f>
        <v/>
      </c>
      <c r="X741" s="17">
        <f>IF(N741="","",IF(INDEX(Listado!$M:$M,N741)="No","No","Sí"))</f>
        <v/>
      </c>
    </row>
    <row r="742" spans="2:24" ht="14.25">
      <c r="N742" s="17" t="str">
        <f>IF(V742=0,"",IFERROR(LOOKUP(2,1/(INDEX(Listado!A:A,2):INDEX(Listado!A:A,ROW())&lt;&gt;""),ROW(INDEX(Listado!A:A,2):INDEX(Listado!A:A,ROW()))),""))</f>
        <v/>
      </c>
      <c r="O742" s="17" t="str">
        <f>IFERROR(IF(N742="","",IF(INDEX(Listado!M:M,N742)="No",IF(INDEX(Listado!N:N,N742)=0,"",INDEX(Listado!N:N,N742)),IF(INDEX(Listado!I:I,N742)=0,"",INDEX(Listado!I:I,N742)))),"")</f>
        <v/>
      </c>
      <c r="P742" s="17">
        <f t="shared" ca="1" si="34"/>
        <v/>
      </c>
      <c r="Q742" s="17">
        <f>IFERROR(IF(AND(N742&lt;&gt;"",ISNUMBER(O742),O742&gt;0,O742&gt;=TODAY()-90),1,0),0)</f>
        <v/>
      </c>
      <c r="R742" s="17" t="str">
        <f t="shared" si="36"/>
        <v/>
      </c>
      <c r="S742" s="17" t="str">
        <f>IF(INDEX(Listado!A:A,ROW())="","",INDEX(Listado!A:A,ROW()))</f>
        <v/>
      </c>
      <c r="T742" s="17" t="str">
        <f ca="1">IF(INDEX(Listado!G:G,ROW())="","",INDEX(Listado!G:G,ROW()))</f>
        <v/>
      </c>
      <c r="U742" s="17" t="str">
        <f>IF(INDEX(Listado!F:F,ROW())="","",INDEX(Listado!F:F,ROW()))</f>
        <v/>
      </c>
      <c r="V742" s="17">
        <f>IF(COUNTA(INDEX(Listado!B:B,ROW()):INDEX(Listado!F:F,ROW()))&gt;0,1,0)</f>
        <v/>
      </c>
      <c r="W742" s="17" t="str">
        <f>IF(INDEX(Listado!L:L,ROW())="","",INDEX(Listado!L:L,ROW()))</f>
        <v/>
      </c>
      <c r="X742" s="17">
        <f>IF(N742="","",IF(INDEX(Listado!$M:$M,N742)="No","No","Sí"))</f>
        <v/>
      </c>
    </row>
    <row r="743" spans="2:24" ht="14.25">
      <c r="N743" s="17" t="str">
        <f>IF(V743=0,"",IFERROR(LOOKUP(2,1/(INDEX(Listado!A:A,2):INDEX(Listado!A:A,ROW())&lt;&gt;""),ROW(INDEX(Listado!A:A,2):INDEX(Listado!A:A,ROW()))),""))</f>
        <v/>
      </c>
      <c r="O743" s="17" t="str">
        <f>IFERROR(IF(N743="","",IF(INDEX(Listado!M:M,N743)="No",IF(INDEX(Listado!N:N,N743)=0,"",INDEX(Listado!N:N,N743)),IF(INDEX(Listado!I:I,N743)=0,"",INDEX(Listado!I:I,N743)))),"")</f>
        <v/>
      </c>
      <c r="P743" s="17">
        <f t="shared" ca="1" si="34"/>
        <v/>
      </c>
      <c r="Q743" s="17">
        <f>IFERROR(IF(AND(N743&lt;&gt;"",ISNUMBER(O743),O743&gt;0,O743&gt;=TODAY()-90),1,0),0)</f>
        <v/>
      </c>
      <c r="R743" s="17" t="str">
        <f t="shared" si="36"/>
        <v/>
      </c>
      <c r="S743" s="17" t="str">
        <f>IF(INDEX(Listado!A:A,ROW())="","",INDEX(Listado!A:A,ROW()))</f>
        <v/>
      </c>
      <c r="T743" s="17" t="str">
        <f ca="1">IF(INDEX(Listado!G:G,ROW())="","",INDEX(Listado!G:G,ROW()))</f>
        <v/>
      </c>
      <c r="U743" s="17" t="str">
        <f>IF(INDEX(Listado!F:F,ROW())="","",INDEX(Listado!F:F,ROW()))</f>
        <v/>
      </c>
      <c r="V743" s="17">
        <f>IF(COUNTA(INDEX(Listado!B:B,ROW()):INDEX(Listado!F:F,ROW()))&gt;0,1,0)</f>
        <v/>
      </c>
      <c r="W743" s="17" t="str">
        <f>IF(INDEX(Listado!L:L,ROW())="","",INDEX(Listado!L:L,ROW()))</f>
        <v/>
      </c>
      <c r="X743" s="17">
        <f>IF(N743="","",IF(INDEX(Listado!$M:$M,N743)="No","No","Sí"))</f>
        <v/>
      </c>
    </row>
    <row r="744" spans="2:24" ht="14.25">
      <c r="N744" s="17" t="str">
        <f>IF(V744=0,"",IFERROR(LOOKUP(2,1/(INDEX(Listado!A:A,2):INDEX(Listado!A:A,ROW())&lt;&gt;""),ROW(INDEX(Listado!A:A,2):INDEX(Listado!A:A,ROW()))),""))</f>
        <v/>
      </c>
      <c r="O744" s="17" t="str">
        <f>IFERROR(IF(N744="","",IF(INDEX(Listado!M:M,N744)="No",IF(INDEX(Listado!N:N,N744)=0,"",INDEX(Listado!N:N,N744)),IF(INDEX(Listado!I:I,N744)=0,"",INDEX(Listado!I:I,N744)))),"")</f>
        <v/>
      </c>
      <c r="P744" s="17">
        <f t="shared" ca="1" si="34"/>
        <v/>
      </c>
      <c r="Q744" s="17">
        <f>IFERROR(IF(AND(N744&lt;&gt;"",ISNUMBER(O744),O744&gt;0,O744&gt;=TODAY()-90),1,0),0)</f>
        <v/>
      </c>
      <c r="R744" s="17" t="str">
        <f t="shared" si="36"/>
        <v/>
      </c>
      <c r="S744" s="17" t="str">
        <f>IF(INDEX(Listado!A:A,ROW())="","",INDEX(Listado!A:A,ROW()))</f>
        <v/>
      </c>
      <c r="T744" s="17" t="str">
        <f ca="1">IF(INDEX(Listado!G:G,ROW())="","",INDEX(Listado!G:G,ROW()))</f>
        <v/>
      </c>
      <c r="U744" s="17" t="str">
        <f>IF(INDEX(Listado!F:F,ROW())="","",INDEX(Listado!F:F,ROW()))</f>
        <v/>
      </c>
      <c r="V744" s="17">
        <f>IF(COUNTA(INDEX(Listado!B:B,ROW()):INDEX(Listado!F:F,ROW()))&gt;0,1,0)</f>
        <v/>
      </c>
      <c r="W744" s="17" t="str">
        <f>IF(INDEX(Listado!L:L,ROW())="","",INDEX(Listado!L:L,ROW()))</f>
        <v/>
      </c>
      <c r="X744" s="17">
        <f>IF(N744="","",IF(INDEX(Listado!$M:$M,N744)="No","No","Sí"))</f>
        <v/>
      </c>
    </row>
    <row r="745" spans="2:24" ht="14.25">
      <c r="N745" s="17" t="str">
        <f>IF(V745=0,"",IFERROR(LOOKUP(2,1/(INDEX(Listado!A:A,2):INDEX(Listado!A:A,ROW())&lt;&gt;""),ROW(INDEX(Listado!A:A,2):INDEX(Listado!A:A,ROW()))),""))</f>
        <v/>
      </c>
      <c r="O745" s="17" t="str">
        <f>IFERROR(IF(N745="","",IF(INDEX(Listado!M:M,N745)="No",IF(INDEX(Listado!N:N,N745)=0,"",INDEX(Listado!N:N,N745)),IF(INDEX(Listado!I:I,N745)=0,"",INDEX(Listado!I:I,N745)))),"")</f>
        <v/>
      </c>
      <c r="P745" s="17">
        <f t="shared" ca="1" si="34"/>
        <v/>
      </c>
      <c r="Q745" s="17">
        <f>IFERROR(IF(AND(N745&lt;&gt;"",ISNUMBER(O745),O745&gt;0,O745&gt;=TODAY()-90),1,0),0)</f>
        <v/>
      </c>
      <c r="R745" s="17" t="str">
        <f t="shared" si="36"/>
        <v/>
      </c>
      <c r="S745" s="17" t="str">
        <f>IF(INDEX(Listado!A:A,ROW())="","",INDEX(Listado!A:A,ROW()))</f>
        <v/>
      </c>
      <c r="T745" s="17" t="str">
        <f ca="1">IF(INDEX(Listado!G:G,ROW())="","",INDEX(Listado!G:G,ROW()))</f>
        <v/>
      </c>
      <c r="U745" s="17" t="str">
        <f>IF(INDEX(Listado!F:F,ROW())="","",INDEX(Listado!F:F,ROW()))</f>
        <v/>
      </c>
      <c r="V745" s="17">
        <f>IF(COUNTA(INDEX(Listado!B:B,ROW()):INDEX(Listado!F:F,ROW()))&gt;0,1,0)</f>
        <v/>
      </c>
      <c r="W745" s="17" t="str">
        <f>IF(INDEX(Listado!L:L,ROW())="","",INDEX(Listado!L:L,ROW()))</f>
        <v/>
      </c>
      <c r="X745" s="17">
        <f>IF(N745="","",IF(INDEX(Listado!$M:$M,N745)="No","No","Sí"))</f>
        <v/>
      </c>
    </row>
    <row r="746" spans="2:24" ht="14.25">
      <c r="N746" s="17" t="str">
        <f>IF(V746=0,"",IFERROR(LOOKUP(2,1/(INDEX(Listado!A:A,2):INDEX(Listado!A:A,ROW())&lt;&gt;""),ROW(INDEX(Listado!A:A,2):INDEX(Listado!A:A,ROW()))),""))</f>
        <v/>
      </c>
      <c r="O746" s="17" t="str">
        <f>IFERROR(IF(N746="","",IF(INDEX(Listado!M:M,N746)="No",IF(INDEX(Listado!N:N,N746)=0,"",INDEX(Listado!N:N,N746)),IF(INDEX(Listado!I:I,N746)=0,"",INDEX(Listado!I:I,N746)))),"")</f>
        <v/>
      </c>
      <c r="P746" s="17">
        <f t="shared" ca="1" si="34"/>
        <v/>
      </c>
      <c r="Q746" s="17">
        <f>IFERROR(IF(AND(N746&lt;&gt;"",ISNUMBER(O746),O746&gt;0,O746&gt;=TODAY()-90),1,0),0)</f>
        <v/>
      </c>
      <c r="R746" s="17" t="str">
        <f t="shared" si="36"/>
        <v/>
      </c>
      <c r="S746" s="17" t="str">
        <f>IF(INDEX(Listado!A:A,ROW())="","",INDEX(Listado!A:A,ROW()))</f>
        <v/>
      </c>
      <c r="T746" s="17" t="str">
        <f ca="1">IF(INDEX(Listado!G:G,ROW())="","",INDEX(Listado!G:G,ROW()))</f>
        <v/>
      </c>
      <c r="U746" s="17" t="str">
        <f>IF(INDEX(Listado!F:F,ROW())="","",INDEX(Listado!F:F,ROW()))</f>
        <v/>
      </c>
      <c r="V746" s="17">
        <f>IF(COUNTA(INDEX(Listado!B:B,ROW()):INDEX(Listado!F:F,ROW()))&gt;0,1,0)</f>
        <v/>
      </c>
      <c r="W746" s="17" t="str">
        <f>IF(INDEX(Listado!L:L,ROW())="","",INDEX(Listado!L:L,ROW()))</f>
        <v/>
      </c>
      <c r="X746" s="17">
        <f>IF(N746="","",IF(INDEX(Listado!$M:$M,N746)="No","No","Sí"))</f>
        <v/>
      </c>
    </row>
    <row r="747" spans="2:24" ht="14.25">
      <c r="N747" s="17" t="str">
        <f>IF(V747=0,"",IFERROR(LOOKUP(2,1/(INDEX(Listado!A:A,2):INDEX(Listado!A:A,ROW())&lt;&gt;""),ROW(INDEX(Listado!A:A,2):INDEX(Listado!A:A,ROW()))),""))</f>
        <v/>
      </c>
      <c r="O747" s="17" t="str">
        <f>IFERROR(IF(N747="","",IF(INDEX(Listado!M:M,N747)="No",IF(INDEX(Listado!N:N,N747)=0,"",INDEX(Listado!N:N,N747)),IF(INDEX(Listado!I:I,N747)=0,"",INDEX(Listado!I:I,N747)))),"")</f>
        <v/>
      </c>
      <c r="P747" s="17">
        <f t="shared" ca="1" si="34"/>
        <v/>
      </c>
      <c r="Q747" s="17">
        <f>IFERROR(IF(AND(N747&lt;&gt;"",ISNUMBER(O747),O747&gt;0,O747&gt;=TODAY()-90),1,0),0)</f>
        <v/>
      </c>
      <c r="R747" s="17" t="str">
        <f t="shared" si="36"/>
        <v/>
      </c>
      <c r="S747" s="17" t="str">
        <f>IF(INDEX(Listado!A:A,ROW())="","",INDEX(Listado!A:A,ROW()))</f>
        <v/>
      </c>
      <c r="T747" s="17" t="str">
        <f ca="1">IF(INDEX(Listado!G:G,ROW())="","",INDEX(Listado!G:G,ROW()))</f>
        <v/>
      </c>
      <c r="U747" s="17" t="str">
        <f>IF(INDEX(Listado!F:F,ROW())="","",INDEX(Listado!F:F,ROW()))</f>
        <v/>
      </c>
      <c r="V747" s="17">
        <f>IF(COUNTA(INDEX(Listado!B:B,ROW()):INDEX(Listado!F:F,ROW()))&gt;0,1,0)</f>
        <v/>
      </c>
      <c r="W747" s="17" t="str">
        <f>IF(INDEX(Listado!L:L,ROW())="","",INDEX(Listado!L:L,ROW()))</f>
        <v/>
      </c>
      <c r="X747" s="17">
        <f>IF(N747="","",IF(INDEX(Listado!$M:$M,N747)="No","No","Sí"))</f>
        <v/>
      </c>
    </row>
    <row r="748" spans="2:24" ht="14.25">
      <c r="N748" s="17" t="str">
        <f>IF(V748=0,"",IFERROR(LOOKUP(2,1/(INDEX(Listado!A:A,2):INDEX(Listado!A:A,ROW())&lt;&gt;""),ROW(INDEX(Listado!A:A,2):INDEX(Listado!A:A,ROW()))),""))</f>
        <v/>
      </c>
      <c r="O748" s="17" t="str">
        <f>IFERROR(IF(N748="","",IF(INDEX(Listado!M:M,N748)="No",IF(INDEX(Listado!N:N,N748)=0,"",INDEX(Listado!N:N,N748)),IF(INDEX(Listado!I:I,N748)=0,"",INDEX(Listado!I:I,N748)))),"")</f>
        <v/>
      </c>
      <c r="P748" s="17">
        <f t="shared" ca="1" si="34"/>
        <v/>
      </c>
      <c r="Q748" s="17">
        <f>IFERROR(IF(AND(N748&lt;&gt;"",ISNUMBER(O748),O748&gt;0,O748&gt;=TODAY()-90),1,0),0)</f>
        <v/>
      </c>
      <c r="R748" s="17" t="str">
        <f t="shared" si="36"/>
        <v/>
      </c>
      <c r="S748" s="17" t="str">
        <f>IF(INDEX(Listado!A:A,ROW())="","",INDEX(Listado!A:A,ROW()))</f>
        <v/>
      </c>
      <c r="T748" s="17" t="str">
        <f ca="1">IF(INDEX(Listado!G:G,ROW())="","",INDEX(Listado!G:G,ROW()))</f>
        <v/>
      </c>
      <c r="U748" s="17" t="str">
        <f>IF(INDEX(Listado!F:F,ROW())="","",INDEX(Listado!F:F,ROW()))</f>
        <v/>
      </c>
      <c r="V748" s="17">
        <f>IF(COUNTA(INDEX(Listado!B:B,ROW()):INDEX(Listado!F:F,ROW()))&gt;0,1,0)</f>
        <v/>
      </c>
      <c r="W748" s="17" t="str">
        <f>IF(INDEX(Listado!L:L,ROW())="","",INDEX(Listado!L:L,ROW()))</f>
        <v/>
      </c>
      <c r="X748" s="17">
        <f>IF(N748="","",IF(INDEX(Listado!$M:$M,N748)="No","No","Sí"))</f>
        <v/>
      </c>
    </row>
    <row r="749" spans="2:24" ht="14.25">
      <c r="N749" s="17" t="str">
        <f>IF(V749=0,"",IFERROR(LOOKUP(2,1/(INDEX(Listado!A:A,2):INDEX(Listado!A:A,ROW())&lt;&gt;""),ROW(INDEX(Listado!A:A,2):INDEX(Listado!A:A,ROW()))),""))</f>
        <v/>
      </c>
      <c r="O749" s="17" t="str">
        <f>IFERROR(IF(N749="","",IF(INDEX(Listado!M:M,N749)="No",IF(INDEX(Listado!N:N,N749)=0,"",INDEX(Listado!N:N,N749)),IF(INDEX(Listado!I:I,N749)=0,"",INDEX(Listado!I:I,N749)))),"")</f>
        <v/>
      </c>
      <c r="P749" s="17">
        <f t="shared" ca="1" si="34"/>
        <v/>
      </c>
      <c r="Q749" s="17">
        <f>IFERROR(IF(AND(N749&lt;&gt;"",ISNUMBER(O749),O749&gt;0,O749&gt;=TODAY()-90),1,0),0)</f>
        <v/>
      </c>
      <c r="R749" s="17" t="str">
        <f t="shared" si="36"/>
        <v/>
      </c>
      <c r="S749" s="17" t="str">
        <f>IF(INDEX(Listado!A:A,ROW())="","",INDEX(Listado!A:A,ROW()))</f>
        <v/>
      </c>
      <c r="T749" s="17" t="str">
        <f ca="1">IF(INDEX(Listado!G:G,ROW())="","",INDEX(Listado!G:G,ROW()))</f>
        <v/>
      </c>
      <c r="U749" s="17" t="str">
        <f>IF(INDEX(Listado!F:F,ROW())="","",INDEX(Listado!F:F,ROW()))</f>
        <v/>
      </c>
      <c r="V749" s="17">
        <f>IF(COUNTA(INDEX(Listado!B:B,ROW()):INDEX(Listado!F:F,ROW()))&gt;0,1,0)</f>
        <v/>
      </c>
      <c r="W749" s="17" t="str">
        <f>IF(INDEX(Listado!L:L,ROW())="","",INDEX(Listado!L:L,ROW()))</f>
        <v/>
      </c>
      <c r="X749" s="17">
        <f>IF(N749="","",IF(INDEX(Listado!$M:$M,N749)="No","No","Sí"))</f>
        <v/>
      </c>
    </row>
    <row r="750" spans="2:24" ht="14.25">
      <c r="N750" s="17" t="str">
        <f>IF(V750=0,"",IFERROR(LOOKUP(2,1/(INDEX(Listado!A:A,2):INDEX(Listado!A:A,ROW())&lt;&gt;""),ROW(INDEX(Listado!A:A,2):INDEX(Listado!A:A,ROW()))),""))</f>
        <v/>
      </c>
      <c r="O750" s="17" t="str">
        <f>IFERROR(IF(N750="","",IF(INDEX(Listado!M:M,N750)="No",IF(INDEX(Listado!N:N,N750)=0,"",INDEX(Listado!N:N,N750)),IF(INDEX(Listado!I:I,N750)=0,"",INDEX(Listado!I:I,N750)))),"")</f>
        <v/>
      </c>
      <c r="P750" s="17">
        <f t="shared" ca="1" si="34"/>
        <v/>
      </c>
      <c r="Q750" s="17">
        <f>IFERROR(IF(AND(N750&lt;&gt;"",ISNUMBER(O750),O750&gt;0,O750&gt;=TODAY()-90),1,0),0)</f>
        <v/>
      </c>
      <c r="R750" s="17" t="str">
        <f t="shared" si="36"/>
        <v/>
      </c>
      <c r="S750" s="17" t="str">
        <f>IF(INDEX(Listado!A:A,ROW())="","",INDEX(Listado!A:A,ROW()))</f>
        <v/>
      </c>
      <c r="T750" s="17" t="str">
        <f ca="1">IF(INDEX(Listado!G:G,ROW())="","",INDEX(Listado!G:G,ROW()))</f>
        <v/>
      </c>
      <c r="U750" s="17" t="str">
        <f>IF(INDEX(Listado!F:F,ROW())="","",INDEX(Listado!F:F,ROW()))</f>
        <v/>
      </c>
      <c r="V750" s="17">
        <f>IF(COUNTA(INDEX(Listado!B:B,ROW()):INDEX(Listado!F:F,ROW()))&gt;0,1,0)</f>
        <v/>
      </c>
      <c r="W750" s="17" t="str">
        <f>IF(INDEX(Listado!L:L,ROW())="","",INDEX(Listado!L:L,ROW()))</f>
        <v/>
      </c>
      <c r="X750" s="17">
        <f>IF(N750="","",IF(INDEX(Listado!$M:$M,N750)="No","No","Sí"))</f>
        <v/>
      </c>
    </row>
    <row r="751" spans="2:24" ht="14.25">
      <c r="N751" s="17" t="str">
        <f>IF(V751=0,"",IFERROR(LOOKUP(2,1/(INDEX(Listado!A:A,2):INDEX(Listado!A:A,ROW())&lt;&gt;""),ROW(INDEX(Listado!A:A,2):INDEX(Listado!A:A,ROW()))),""))</f>
        <v/>
      </c>
      <c r="O751" s="17" t="str">
        <f>IFERROR(IF(N751="","",IF(INDEX(Listado!M:M,N751)="No",IF(INDEX(Listado!N:N,N751)=0,"",INDEX(Listado!N:N,N751)),IF(INDEX(Listado!I:I,N751)=0,"",INDEX(Listado!I:I,N751)))),"")</f>
        <v/>
      </c>
      <c r="P751" s="17">
        <f t="shared" ca="1" si="34"/>
        <v/>
      </c>
      <c r="Q751" s="17">
        <f>IFERROR(IF(AND(N751&lt;&gt;"",ISNUMBER(O751),O751&gt;0,O751&gt;=TODAY()-90),1,0),0)</f>
        <v/>
      </c>
      <c r="R751" s="17" t="str">
        <f t="shared" si="36"/>
        <v/>
      </c>
      <c r="S751" s="17" t="str">
        <f>IF(INDEX(Listado!A:A,ROW())="","",INDEX(Listado!A:A,ROW()))</f>
        <v/>
      </c>
      <c r="T751" s="17" t="str">
        <f ca="1">IF(INDEX(Listado!G:G,ROW())="","",INDEX(Listado!G:G,ROW()))</f>
        <v/>
      </c>
      <c r="U751" s="17" t="str">
        <f>IF(INDEX(Listado!F:F,ROW())="","",INDEX(Listado!F:F,ROW()))</f>
        <v/>
      </c>
      <c r="V751" s="17">
        <f>IF(COUNTA(INDEX(Listado!B:B,ROW()):INDEX(Listado!F:F,ROW()))&gt;0,1,0)</f>
        <v/>
      </c>
      <c r="W751" s="17" t="str">
        <f>IF(INDEX(Listado!L:L,ROW())="","",INDEX(Listado!L:L,ROW()))</f>
        <v/>
      </c>
      <c r="X751" s="17">
        <f>IF(N751="","",IF(INDEX(Listado!$M:$M,N751)="No","No","Sí"))</f>
        <v/>
      </c>
    </row>
    <row r="752" spans="2:24" ht="14.25">
      <c r="N752" s="17" t="str">
        <f>IF(V752=0,"",IFERROR(LOOKUP(2,1/(INDEX(Listado!A:A,2):INDEX(Listado!A:A,ROW())&lt;&gt;""),ROW(INDEX(Listado!A:A,2):INDEX(Listado!A:A,ROW()))),""))</f>
        <v/>
      </c>
      <c r="O752" s="17" t="str">
        <f>IFERROR(IF(N752="","",IF(INDEX(Listado!M:M,N752)="No",IF(INDEX(Listado!N:N,N752)=0,"",INDEX(Listado!N:N,N752)),IF(INDEX(Listado!I:I,N752)=0,"",INDEX(Listado!I:I,N752)))),"")</f>
        <v/>
      </c>
      <c r="P752" s="17">
        <f t="shared" ca="1" si="34"/>
        <v/>
      </c>
      <c r="Q752" s="17">
        <f>IFERROR(IF(AND(N752&lt;&gt;"",ISNUMBER(O752),O752&gt;0,O752&gt;=TODAY()-90),1,0),0)</f>
        <v/>
      </c>
      <c r="R752" s="17" t="str">
        <f t="shared" si="36"/>
        <v/>
      </c>
      <c r="S752" s="17" t="str">
        <f>IF(INDEX(Listado!A:A,ROW())="","",INDEX(Listado!A:A,ROW()))</f>
        <v/>
      </c>
      <c r="T752" s="17" t="str">
        <f ca="1">IF(INDEX(Listado!G:G,ROW())="","",INDEX(Listado!G:G,ROW()))</f>
        <v/>
      </c>
      <c r="U752" s="17" t="str">
        <f>IF(INDEX(Listado!F:F,ROW())="","",INDEX(Listado!F:F,ROW()))</f>
        <v/>
      </c>
      <c r="V752" s="17">
        <f>IF(COUNTA(INDEX(Listado!B:B,ROW()):INDEX(Listado!F:F,ROW()))&gt;0,1,0)</f>
        <v/>
      </c>
      <c r="W752" s="17" t="str">
        <f>IF(INDEX(Listado!L:L,ROW())="","",INDEX(Listado!L:L,ROW()))</f>
        <v/>
      </c>
      <c r="X752" s="17">
        <f>IF(N752="","",IF(INDEX(Listado!$M:$M,N752)="No","No","Sí"))</f>
        <v/>
      </c>
    </row>
    <row r="753" spans="2:24" ht="14.25">
      <c r="N753" s="17" t="str">
        <f>IF(V753=0,"",IFERROR(LOOKUP(2,1/(INDEX(Listado!A:A,2):INDEX(Listado!A:A,ROW())&lt;&gt;""),ROW(INDEX(Listado!A:A,2):INDEX(Listado!A:A,ROW()))),""))</f>
        <v/>
      </c>
      <c r="O753" s="17" t="str">
        <f>IFERROR(IF(N753="","",IF(INDEX(Listado!M:M,N753)="No",IF(INDEX(Listado!N:N,N753)=0,"",INDEX(Listado!N:N,N753)),IF(INDEX(Listado!I:I,N753)=0,"",INDEX(Listado!I:I,N753)))),"")</f>
        <v/>
      </c>
      <c r="P753" s="17">
        <f t="shared" ca="1" si="34"/>
        <v/>
      </c>
      <c r="Q753" s="17">
        <f>IFERROR(IF(AND(N753&lt;&gt;"",ISNUMBER(O753),O753&gt;0,O753&gt;=TODAY()-90),1,0),0)</f>
        <v/>
      </c>
      <c r="R753" s="17" t="str">
        <f t="shared" si="36"/>
        <v/>
      </c>
      <c r="S753" s="17" t="str">
        <f>IF(INDEX(Listado!A:A,ROW())="","",INDEX(Listado!A:A,ROW()))</f>
        <v/>
      </c>
      <c r="T753" s="17" t="str">
        <f ca="1">IF(INDEX(Listado!G:G,ROW())="","",INDEX(Listado!G:G,ROW()))</f>
        <v/>
      </c>
      <c r="U753" s="17" t="str">
        <f>IF(INDEX(Listado!F:F,ROW())="","",INDEX(Listado!F:F,ROW()))</f>
        <v/>
      </c>
      <c r="V753" s="17">
        <f>IF(COUNTA(INDEX(Listado!B:B,ROW()):INDEX(Listado!F:F,ROW()))&gt;0,1,0)</f>
        <v/>
      </c>
      <c r="W753" s="17" t="str">
        <f>IF(INDEX(Listado!L:L,ROW())="","",INDEX(Listado!L:L,ROW()))</f>
        <v/>
      </c>
      <c r="X753" s="17">
        <f>IF(N753="","",IF(INDEX(Listado!$M:$M,N753)="No","No","Sí"))</f>
        <v/>
      </c>
    </row>
    <row r="754" spans="2:24" ht="14.25">
      <c r="N754" s="17" t="str">
        <f>IF(V754=0,"",IFERROR(LOOKUP(2,1/(INDEX(Listado!A:A,2):INDEX(Listado!A:A,ROW())&lt;&gt;""),ROW(INDEX(Listado!A:A,2):INDEX(Listado!A:A,ROW()))),""))</f>
        <v/>
      </c>
      <c r="O754" s="17" t="str">
        <f>IFERROR(IF(N754="","",IF(INDEX(Listado!M:M,N754)="No",IF(INDEX(Listado!N:N,N754)=0,"",INDEX(Listado!N:N,N754)),IF(INDEX(Listado!I:I,N754)=0,"",INDEX(Listado!I:I,N754)))),"")</f>
        <v/>
      </c>
      <c r="P754" s="17">
        <f t="shared" ca="1" si="34"/>
        <v/>
      </c>
      <c r="Q754" s="17">
        <f>IFERROR(IF(AND(N754&lt;&gt;"",ISNUMBER(O754),O754&gt;0,O754&gt;=TODAY()-90),1,0),0)</f>
        <v/>
      </c>
      <c r="R754" s="17" t="str">
        <f t="shared" si="36"/>
        <v/>
      </c>
      <c r="S754" s="17" t="str">
        <f>IF(INDEX(Listado!A:A,ROW())="","",INDEX(Listado!A:A,ROW()))</f>
        <v/>
      </c>
      <c r="T754" s="17" t="str">
        <f ca="1">IF(INDEX(Listado!G:G,ROW())="","",INDEX(Listado!G:G,ROW()))</f>
        <v/>
      </c>
      <c r="U754" s="17" t="str">
        <f>IF(INDEX(Listado!F:F,ROW())="","",INDEX(Listado!F:F,ROW()))</f>
        <v/>
      </c>
      <c r="V754" s="17">
        <f>IF(COUNTA(INDEX(Listado!B:B,ROW()):INDEX(Listado!F:F,ROW()))&gt;0,1,0)</f>
        <v/>
      </c>
      <c r="W754" s="17" t="str">
        <f>IF(INDEX(Listado!L:L,ROW())="","",INDEX(Listado!L:L,ROW()))</f>
        <v/>
      </c>
      <c r="X754" s="17">
        <f>IF(N754="","",IF(INDEX(Listado!$M:$M,N754)="No","No","Sí"))</f>
        <v/>
      </c>
    </row>
    <row r="755" spans="2:24" ht="14.25">
      <c r="N755" s="17" t="str">
        <f>IF(V755=0,"",IFERROR(LOOKUP(2,1/(INDEX(Listado!A:A,2):INDEX(Listado!A:A,ROW())&lt;&gt;""),ROW(INDEX(Listado!A:A,2):INDEX(Listado!A:A,ROW()))),""))</f>
        <v/>
      </c>
      <c r="O755" s="17" t="str">
        <f>IFERROR(IF(N755="","",IF(INDEX(Listado!M:M,N755)="No",IF(INDEX(Listado!N:N,N755)=0,"",INDEX(Listado!N:N,N755)),IF(INDEX(Listado!I:I,N755)=0,"",INDEX(Listado!I:I,N755)))),"")</f>
        <v/>
      </c>
      <c r="P755" s="17">
        <f t="shared" ca="1" si="34"/>
        <v/>
      </c>
      <c r="Q755" s="17">
        <f>IFERROR(IF(AND(N755&lt;&gt;"",ISNUMBER(O755),O755&gt;0,O755&gt;=TODAY()-90),1,0),0)</f>
        <v/>
      </c>
      <c r="R755" s="17" t="str">
        <f t="shared" si="36"/>
        <v/>
      </c>
      <c r="S755" s="17" t="str">
        <f>IF(INDEX(Listado!A:A,ROW())="","",INDEX(Listado!A:A,ROW()))</f>
        <v/>
      </c>
      <c r="T755" s="17" t="str">
        <f ca="1">IF(INDEX(Listado!G:G,ROW())="","",INDEX(Listado!G:G,ROW()))</f>
        <v/>
      </c>
      <c r="U755" s="17" t="str">
        <f>IF(INDEX(Listado!F:F,ROW())="","",INDEX(Listado!F:F,ROW()))</f>
        <v/>
      </c>
      <c r="V755" s="17">
        <f>IF(COUNTA(INDEX(Listado!B:B,ROW()):INDEX(Listado!F:F,ROW()))&gt;0,1,0)</f>
        <v/>
      </c>
      <c r="W755" s="17" t="str">
        <f>IF(INDEX(Listado!L:L,ROW())="","",INDEX(Listado!L:L,ROW()))</f>
        <v/>
      </c>
      <c r="X755" s="17">
        <f>IF(N755="","",IF(INDEX(Listado!$M:$M,N755)="No","No","Sí"))</f>
        <v/>
      </c>
    </row>
    <row r="756" spans="2:24" ht="14.25">
      <c r="N756" s="17" t="str">
        <f>IF(V756=0,"",IFERROR(LOOKUP(2,1/(INDEX(Listado!A:A,2):INDEX(Listado!A:A,ROW())&lt;&gt;""),ROW(INDEX(Listado!A:A,2):INDEX(Listado!A:A,ROW()))),""))</f>
        <v/>
      </c>
      <c r="O756" s="17" t="str">
        <f>IFERROR(IF(N756="","",IF(INDEX(Listado!M:M,N756)="No",IF(INDEX(Listado!N:N,N756)=0,"",INDEX(Listado!N:N,N756)),IF(INDEX(Listado!I:I,N756)=0,"",INDEX(Listado!I:I,N756)))),"")</f>
        <v/>
      </c>
      <c r="P756" s="17">
        <f t="shared" ca="1" si="34"/>
        <v/>
      </c>
      <c r="Q756" s="17">
        <f>IFERROR(IF(AND(N756&lt;&gt;"",ISNUMBER(O756),O756&gt;0,O756&gt;=TODAY()-90),1,0),0)</f>
        <v/>
      </c>
      <c r="R756" s="17" t="str">
        <f t="shared" si="36"/>
        <v/>
      </c>
      <c r="S756" s="17" t="str">
        <f>IF(INDEX(Listado!A:A,ROW())="","",INDEX(Listado!A:A,ROW()))</f>
        <v/>
      </c>
      <c r="T756" s="17" t="str">
        <f ca="1">IF(INDEX(Listado!G:G,ROW())="","",INDEX(Listado!G:G,ROW()))</f>
        <v/>
      </c>
      <c r="U756" s="17" t="str">
        <f>IF(INDEX(Listado!F:F,ROW())="","",INDEX(Listado!F:F,ROW()))</f>
        <v/>
      </c>
      <c r="V756" s="17">
        <f>IF(COUNTA(INDEX(Listado!B:B,ROW()):INDEX(Listado!F:F,ROW()))&gt;0,1,0)</f>
        <v/>
      </c>
      <c r="W756" s="17" t="str">
        <f>IF(INDEX(Listado!L:L,ROW())="","",INDEX(Listado!L:L,ROW()))</f>
        <v/>
      </c>
      <c r="X756" s="17">
        <f>IF(N756="","",IF(INDEX(Listado!$M:$M,N756)="No","No","Sí"))</f>
        <v/>
      </c>
    </row>
    <row r="757" spans="2:24" ht="14.25">
      <c r="N757" s="17" t="str">
        <f>IF(V757=0,"",IFERROR(LOOKUP(2,1/(INDEX(Listado!A:A,2):INDEX(Listado!A:A,ROW())&lt;&gt;""),ROW(INDEX(Listado!A:A,2):INDEX(Listado!A:A,ROW()))),""))</f>
        <v/>
      </c>
      <c r="O757" s="17" t="str">
        <f>IFERROR(IF(N757="","",IF(INDEX(Listado!M:M,N757)="No",IF(INDEX(Listado!N:N,N757)=0,"",INDEX(Listado!N:N,N757)),IF(INDEX(Listado!I:I,N757)=0,"",INDEX(Listado!I:I,N757)))),"")</f>
        <v/>
      </c>
      <c r="P757" s="17">
        <f t="shared" ca="1" si="34"/>
        <v/>
      </c>
      <c r="Q757" s="17">
        <f>IFERROR(IF(AND(N757&lt;&gt;"",ISNUMBER(O757),O757&gt;0,O757&gt;=TODAY()-90),1,0),0)</f>
        <v/>
      </c>
      <c r="R757" s="17" t="str">
        <f t="shared" si="36"/>
        <v/>
      </c>
      <c r="S757" s="17" t="str">
        <f>IF(INDEX(Listado!A:A,ROW())="","",INDEX(Listado!A:A,ROW()))</f>
        <v/>
      </c>
      <c r="T757" s="17" t="str">
        <f ca="1">IF(INDEX(Listado!G:G,ROW())="","",INDEX(Listado!G:G,ROW()))</f>
        <v/>
      </c>
      <c r="U757" s="17" t="str">
        <f>IF(INDEX(Listado!F:F,ROW())="","",INDEX(Listado!F:F,ROW()))</f>
        <v/>
      </c>
      <c r="V757" s="17">
        <f>IF(COUNTA(INDEX(Listado!B:B,ROW()):INDEX(Listado!F:F,ROW()))&gt;0,1,0)</f>
        <v/>
      </c>
      <c r="W757" s="17" t="str">
        <f>IF(INDEX(Listado!L:L,ROW())="","",INDEX(Listado!L:L,ROW()))</f>
        <v/>
      </c>
      <c r="X757" s="17">
        <f>IF(N757="","",IF(INDEX(Listado!$M:$M,N757)="No","No","Sí"))</f>
        <v/>
      </c>
    </row>
    <row r="758" spans="2:24" ht="14.25">
      <c r="N758" s="17" t="str">
        <f>IF(V758=0,"",IFERROR(LOOKUP(2,1/(INDEX(Listado!A:A,2):INDEX(Listado!A:A,ROW())&lt;&gt;""),ROW(INDEX(Listado!A:A,2):INDEX(Listado!A:A,ROW()))),""))</f>
        <v/>
      </c>
      <c r="O758" s="17" t="str">
        <f>IFERROR(IF(N758="","",IF(INDEX(Listado!M:M,N758)="No",IF(INDEX(Listado!N:N,N758)=0,"",INDEX(Listado!N:N,N758)),IF(INDEX(Listado!I:I,N758)=0,"",INDEX(Listado!I:I,N758)))),"")</f>
        <v/>
      </c>
      <c r="P758" s="17">
        <f t="shared" ca="1" si="34"/>
        <v/>
      </c>
      <c r="Q758" s="17">
        <f>IFERROR(IF(AND(N758&lt;&gt;"",ISNUMBER(O758),O758&gt;0,O758&gt;=TODAY()-90),1,0),0)</f>
        <v/>
      </c>
      <c r="R758" s="17" t="str">
        <f t="shared" si="36"/>
        <v/>
      </c>
      <c r="S758" s="17" t="str">
        <f>IF(INDEX(Listado!A:A,ROW())="","",INDEX(Listado!A:A,ROW()))</f>
        <v/>
      </c>
      <c r="T758" s="17" t="str">
        <f ca="1">IF(INDEX(Listado!G:G,ROW())="","",INDEX(Listado!G:G,ROW()))</f>
        <v/>
      </c>
      <c r="U758" s="17" t="str">
        <f>IF(INDEX(Listado!F:F,ROW())="","",INDEX(Listado!F:F,ROW()))</f>
        <v/>
      </c>
      <c r="V758" s="17">
        <f>IF(COUNTA(INDEX(Listado!B:B,ROW()):INDEX(Listado!F:F,ROW()))&gt;0,1,0)</f>
        <v/>
      </c>
      <c r="W758" s="17" t="str">
        <f>IF(INDEX(Listado!L:L,ROW())="","",INDEX(Listado!L:L,ROW()))</f>
        <v/>
      </c>
      <c r="X758" s="17">
        <f>IF(N758="","",IF(INDEX(Listado!$M:$M,N758)="No","No","Sí"))</f>
        <v/>
      </c>
    </row>
    <row r="759" spans="2:24" ht="14.25">
      <c r="N759" s="17" t="str">
        <f>IF(V759=0,"",IFERROR(LOOKUP(2,1/(INDEX(Listado!A:A,2):INDEX(Listado!A:A,ROW())&lt;&gt;""),ROW(INDEX(Listado!A:A,2):INDEX(Listado!A:A,ROW()))),""))</f>
        <v/>
      </c>
      <c r="O759" s="17" t="str">
        <f>IFERROR(IF(N759="","",IF(INDEX(Listado!M:M,N759)="No",IF(INDEX(Listado!N:N,N759)=0,"",INDEX(Listado!N:N,N759)),IF(INDEX(Listado!I:I,N759)=0,"",INDEX(Listado!I:I,N759)))),"")</f>
        <v/>
      </c>
      <c r="P759" s="17">
        <f t="shared" ca="1" si="34"/>
        <v/>
      </c>
      <c r="Q759" s="17">
        <f>IFERROR(IF(AND(N759&lt;&gt;"",ISNUMBER(O759),O759&gt;0,O759&gt;=TODAY()-90),1,0),0)</f>
        <v/>
      </c>
      <c r="R759" s="17" t="str">
        <f t="shared" si="36"/>
        <v/>
      </c>
      <c r="S759" s="17" t="str">
        <f>IF(INDEX(Listado!A:A,ROW())="","",INDEX(Listado!A:A,ROW()))</f>
        <v/>
      </c>
      <c r="T759" s="17" t="str">
        <f ca="1">IF(INDEX(Listado!G:G,ROW())="","",INDEX(Listado!G:G,ROW()))</f>
        <v/>
      </c>
      <c r="U759" s="17" t="str">
        <f>IF(INDEX(Listado!F:F,ROW())="","",INDEX(Listado!F:F,ROW()))</f>
        <v/>
      </c>
      <c r="V759" s="17">
        <f>IF(COUNTA(INDEX(Listado!B:B,ROW()):INDEX(Listado!F:F,ROW()))&gt;0,1,0)</f>
        <v/>
      </c>
      <c r="W759" s="17" t="str">
        <f>IF(INDEX(Listado!L:L,ROW())="","",INDEX(Listado!L:L,ROW()))</f>
        <v/>
      </c>
      <c r="X759" s="17">
        <f>IF(N759="","",IF(INDEX(Listado!$M:$M,N759)="No","No","Sí"))</f>
        <v/>
      </c>
    </row>
    <row r="760" spans="2:24" ht="14.25">
      <c r="N760" s="17" t="str">
        <f>IF(V760=0,"",IFERROR(LOOKUP(2,1/(INDEX(Listado!A:A,2):INDEX(Listado!A:A,ROW())&lt;&gt;""),ROW(INDEX(Listado!A:A,2):INDEX(Listado!A:A,ROW()))),""))</f>
        <v/>
      </c>
      <c r="O760" s="17" t="str">
        <f>IFERROR(IF(N760="","",IF(INDEX(Listado!M:M,N760)="No",IF(INDEX(Listado!N:N,N760)=0,"",INDEX(Listado!N:N,N760)),IF(INDEX(Listado!I:I,N760)=0,"",INDEX(Listado!I:I,N760)))),"")</f>
        <v/>
      </c>
      <c r="P760" s="17">
        <f t="shared" ca="1" si="34"/>
        <v/>
      </c>
      <c r="Q760" s="17">
        <f>IFERROR(IF(AND(N760&lt;&gt;"",ISNUMBER(O760),O760&gt;0,O760&gt;=TODAY()-90),1,0),0)</f>
        <v/>
      </c>
      <c r="R760" s="17" t="str">
        <f t="shared" si="36"/>
        <v/>
      </c>
      <c r="S760" s="17" t="str">
        <f>IF(INDEX(Listado!A:A,ROW())="","",INDEX(Listado!A:A,ROW()))</f>
        <v/>
      </c>
      <c r="T760" s="17" t="str">
        <f ca="1">IF(INDEX(Listado!G:G,ROW())="","",INDEX(Listado!G:G,ROW()))</f>
        <v/>
      </c>
      <c r="U760" s="17" t="str">
        <f>IF(INDEX(Listado!F:F,ROW())="","",INDEX(Listado!F:F,ROW()))</f>
        <v/>
      </c>
      <c r="V760" s="17">
        <f>IF(COUNTA(INDEX(Listado!B:B,ROW()):INDEX(Listado!F:F,ROW()))&gt;0,1,0)</f>
        <v/>
      </c>
      <c r="W760" s="17" t="str">
        <f>IF(INDEX(Listado!L:L,ROW())="","",INDEX(Listado!L:L,ROW()))</f>
        <v/>
      </c>
      <c r="X760" s="17">
        <f>IF(N760="","",IF(INDEX(Listado!$M:$M,N760)="No","No","Sí"))</f>
        <v/>
      </c>
    </row>
    <row r="761" spans="2:24" ht="14.25">
      <c r="N761" s="17" t="str">
        <f>IF(V761=0,"",IFERROR(LOOKUP(2,1/(INDEX(Listado!A:A,2):INDEX(Listado!A:A,ROW())&lt;&gt;""),ROW(INDEX(Listado!A:A,2):INDEX(Listado!A:A,ROW()))),""))</f>
        <v/>
      </c>
      <c r="O761" s="17" t="str">
        <f>IFERROR(IF(N761="","",IF(INDEX(Listado!M:M,N761)="No",IF(INDEX(Listado!N:N,N761)=0,"",INDEX(Listado!N:N,N761)),IF(INDEX(Listado!I:I,N761)=0,"",INDEX(Listado!I:I,N761)))),"")</f>
        <v/>
      </c>
      <c r="P761" s="17">
        <f t="shared" ca="1" si="34"/>
        <v/>
      </c>
      <c r="Q761" s="17">
        <f>IFERROR(IF(AND(N761&lt;&gt;"",ISNUMBER(O761),O761&gt;0,O761&gt;=TODAY()-90),1,0),0)</f>
        <v/>
      </c>
      <c r="R761" s="17" t="str">
        <f t="shared" si="36"/>
        <v/>
      </c>
      <c r="S761" s="17" t="str">
        <f>IF(INDEX(Listado!A:A,ROW())="","",INDEX(Listado!A:A,ROW()))</f>
        <v/>
      </c>
      <c r="T761" s="17" t="str">
        <f ca="1">IF(INDEX(Listado!G:G,ROW())="","",INDEX(Listado!G:G,ROW()))</f>
        <v/>
      </c>
      <c r="U761" s="17" t="str">
        <f>IF(INDEX(Listado!F:F,ROW())="","",INDEX(Listado!F:F,ROW()))</f>
        <v/>
      </c>
      <c r="V761" s="17">
        <f>IF(COUNTA(INDEX(Listado!B:B,ROW()):INDEX(Listado!F:F,ROW()))&gt;0,1,0)</f>
        <v/>
      </c>
      <c r="W761" s="17" t="str">
        <f>IF(INDEX(Listado!L:L,ROW())="","",INDEX(Listado!L:L,ROW()))</f>
        <v/>
      </c>
      <c r="X761" s="17">
        <f>IF(N761="","",IF(INDEX(Listado!$M:$M,N761)="No","No","Sí"))</f>
        <v/>
      </c>
    </row>
    <row r="762" spans="2:24" ht="14.25">
      <c r="N762" s="17" t="str">
        <f>IF(V762=0,"",IFERROR(LOOKUP(2,1/(INDEX(Listado!A:A,2):INDEX(Listado!A:A,ROW())&lt;&gt;""),ROW(INDEX(Listado!A:A,2):INDEX(Listado!A:A,ROW()))),""))</f>
        <v/>
      </c>
      <c r="O762" s="17" t="str">
        <f>IFERROR(IF(N762="","",IF(INDEX(Listado!M:M,N762)="No",IF(INDEX(Listado!N:N,N762)=0,"",INDEX(Listado!N:N,N762)),IF(INDEX(Listado!I:I,N762)=0,"",INDEX(Listado!I:I,N762)))),"")</f>
        <v/>
      </c>
      <c r="P762" s="17">
        <f t="shared" ca="1" si="34"/>
        <v/>
      </c>
      <c r="Q762" s="17">
        <f>IFERROR(IF(AND(N762&lt;&gt;"",ISNUMBER(O762),O762&gt;0,O762&gt;=TODAY()-90),1,0),0)</f>
        <v/>
      </c>
      <c r="R762" s="17" t="str">
        <f t="shared" si="36"/>
        <v/>
      </c>
      <c r="S762" s="17" t="str">
        <f>IF(INDEX(Listado!A:A,ROW())="","",INDEX(Listado!A:A,ROW()))</f>
        <v/>
      </c>
      <c r="T762" s="17" t="str">
        <f ca="1">IF(INDEX(Listado!G:G,ROW())="","",INDEX(Listado!G:G,ROW()))</f>
        <v/>
      </c>
      <c r="U762" s="17" t="str">
        <f>IF(INDEX(Listado!F:F,ROW())="","",INDEX(Listado!F:F,ROW()))</f>
        <v/>
      </c>
      <c r="V762" s="17">
        <f>IF(COUNTA(INDEX(Listado!B:B,ROW()):INDEX(Listado!F:F,ROW()))&gt;0,1,0)</f>
        <v/>
      </c>
      <c r="W762" s="17" t="str">
        <f>IF(INDEX(Listado!L:L,ROW())="","",INDEX(Listado!L:L,ROW()))</f>
        <v/>
      </c>
      <c r="X762" s="17">
        <f>IF(N762="","",IF(INDEX(Listado!$M:$M,N762)="No","No","Sí"))</f>
        <v/>
      </c>
    </row>
    <row r="763" spans="2:24" ht="14.25">
      <c r="N763" s="17" t="str">
        <f>IF(V763=0,"",IFERROR(LOOKUP(2,1/(INDEX(Listado!A:A,2):INDEX(Listado!A:A,ROW())&lt;&gt;""),ROW(INDEX(Listado!A:A,2):INDEX(Listado!A:A,ROW()))),""))</f>
        <v/>
      </c>
      <c r="O763" s="17" t="str">
        <f>IFERROR(IF(N763="","",IF(INDEX(Listado!M:M,N763)="No",IF(INDEX(Listado!N:N,N763)=0,"",INDEX(Listado!N:N,N763)),IF(INDEX(Listado!I:I,N763)=0,"",INDEX(Listado!I:I,N763)))),"")</f>
        <v/>
      </c>
      <c r="P763" s="17">
        <f t="shared" ca="1" si="34"/>
        <v/>
      </c>
      <c r="Q763" s="17">
        <f>IFERROR(IF(AND(N763&lt;&gt;"",ISNUMBER(O763),O763&gt;0,O763&gt;=TODAY()-90),1,0),0)</f>
        <v/>
      </c>
      <c r="R763" s="17" t="str">
        <f t="shared" si="36"/>
        <v/>
      </c>
      <c r="S763" s="17" t="str">
        <f>IF(INDEX(Listado!A:A,ROW())="","",INDEX(Listado!A:A,ROW()))</f>
        <v/>
      </c>
      <c r="T763" s="17" t="str">
        <f ca="1">IF(INDEX(Listado!G:G,ROW())="","",INDEX(Listado!G:G,ROW()))</f>
        <v/>
      </c>
      <c r="U763" s="17" t="str">
        <f>IF(INDEX(Listado!F:F,ROW())="","",INDEX(Listado!F:F,ROW()))</f>
        <v/>
      </c>
      <c r="V763" s="17">
        <f>IF(COUNTA(INDEX(Listado!B:B,ROW()):INDEX(Listado!F:F,ROW()))&gt;0,1,0)</f>
        <v/>
      </c>
      <c r="W763" s="17" t="str">
        <f>IF(INDEX(Listado!L:L,ROW())="","",INDEX(Listado!L:L,ROW()))</f>
        <v/>
      </c>
      <c r="X763" s="17">
        <f>IF(N763="","",IF(INDEX(Listado!$M:$M,N763)="No","No","Sí"))</f>
        <v/>
      </c>
    </row>
    <row r="764" spans="2:24" ht="14.25">
      <c r="N764" s="17" t="str">
        <f>IF(V764=0,"",IFERROR(LOOKUP(2,1/(INDEX(Listado!A:A,2):INDEX(Listado!A:A,ROW())&lt;&gt;""),ROW(INDEX(Listado!A:A,2):INDEX(Listado!A:A,ROW()))),""))</f>
        <v/>
      </c>
      <c r="O764" s="17" t="str">
        <f>IFERROR(IF(N764="","",IF(INDEX(Listado!M:M,N764)="No",IF(INDEX(Listado!N:N,N764)=0,"",INDEX(Listado!N:N,N764)),IF(INDEX(Listado!I:I,N764)=0,"",INDEX(Listado!I:I,N764)))),"")</f>
        <v/>
      </c>
      <c r="P764" s="17">
        <f t="shared" ca="1" si="34"/>
        <v/>
      </c>
      <c r="Q764" s="17">
        <f>IFERROR(IF(AND(N764&lt;&gt;"",ISNUMBER(O764),O764&gt;0,O764&gt;=TODAY()-90),1,0),0)</f>
        <v/>
      </c>
      <c r="R764" s="17" t="str">
        <f t="shared" si="36"/>
        <v/>
      </c>
      <c r="S764" s="17" t="str">
        <f>IF(INDEX(Listado!A:A,ROW())="","",INDEX(Listado!A:A,ROW()))</f>
        <v/>
      </c>
      <c r="T764" s="17" t="str">
        <f ca="1">IF(INDEX(Listado!G:G,ROW())="","",INDEX(Listado!G:G,ROW()))</f>
        <v/>
      </c>
      <c r="U764" s="17" t="str">
        <f>IF(INDEX(Listado!F:F,ROW())="","",INDEX(Listado!F:F,ROW()))</f>
        <v/>
      </c>
      <c r="V764" s="17">
        <f>IF(COUNTA(INDEX(Listado!B:B,ROW()):INDEX(Listado!F:F,ROW()))&gt;0,1,0)</f>
        <v/>
      </c>
      <c r="W764" s="17" t="str">
        <f>IF(INDEX(Listado!L:L,ROW())="","",INDEX(Listado!L:L,ROW()))</f>
        <v/>
      </c>
      <c r="X764" s="17">
        <f>IF(N764="","",IF(INDEX(Listado!$M:$M,N764)="No","No","Sí"))</f>
        <v/>
      </c>
    </row>
    <row r="765" spans="2:24" ht="14.25">
      <c r="N765" s="17" t="str">
        <f>IF(V765=0,"",IFERROR(LOOKUP(2,1/(INDEX(Listado!A:A,2):INDEX(Listado!A:A,ROW())&lt;&gt;""),ROW(INDEX(Listado!A:A,2):INDEX(Listado!A:A,ROW()))),""))</f>
        <v/>
      </c>
      <c r="O765" s="17" t="str">
        <f>IFERROR(IF(N765="","",IF(INDEX(Listado!M:M,N765)="No",IF(INDEX(Listado!N:N,N765)=0,"",INDEX(Listado!N:N,N765)),IF(INDEX(Listado!I:I,N765)=0,"",INDEX(Listado!I:I,N765)))),"")</f>
        <v/>
      </c>
      <c r="P765" s="17">
        <f t="shared" ca="1" si="34"/>
        <v/>
      </c>
      <c r="Q765" s="17">
        <f>IFERROR(IF(AND(N765&lt;&gt;"",ISNUMBER(O765),O765&gt;0,O765&gt;=TODAY()-90),1,0),0)</f>
        <v/>
      </c>
      <c r="R765" s="17" t="str">
        <f t="shared" si="36"/>
        <v/>
      </c>
      <c r="S765" s="17" t="str">
        <f>IF(INDEX(Listado!A:A,ROW())="","",INDEX(Listado!A:A,ROW()))</f>
        <v/>
      </c>
      <c r="T765" s="17" t="str">
        <f ca="1">IF(INDEX(Listado!G:G,ROW())="","",INDEX(Listado!G:G,ROW()))</f>
        <v/>
      </c>
      <c r="U765" s="17" t="str">
        <f>IF(INDEX(Listado!F:F,ROW())="","",INDEX(Listado!F:F,ROW()))</f>
        <v/>
      </c>
      <c r="V765" s="17">
        <f>IF(COUNTA(INDEX(Listado!B:B,ROW()):INDEX(Listado!F:F,ROW()))&gt;0,1,0)</f>
        <v/>
      </c>
      <c r="W765" s="17" t="str">
        <f>IF(INDEX(Listado!L:L,ROW())="","",INDEX(Listado!L:L,ROW()))</f>
        <v/>
      </c>
      <c r="X765" s="17">
        <f>IF(N765="","",IF(INDEX(Listado!$M:$M,N765)="No","No","Sí"))</f>
        <v/>
      </c>
    </row>
    <row r="766" spans="2:24" ht="14.25">
      <c r="N766" s="17" t="str">
        <f>IF(V766=0,"",IFERROR(LOOKUP(2,1/(INDEX(Listado!A:A,2):INDEX(Listado!A:A,ROW())&lt;&gt;""),ROW(INDEX(Listado!A:A,2):INDEX(Listado!A:A,ROW()))),""))</f>
        <v/>
      </c>
      <c r="O766" s="17" t="str">
        <f>IFERROR(IF(N766="","",IF(INDEX(Listado!M:M,N766)="No",IF(INDEX(Listado!N:N,N766)=0,"",INDEX(Listado!N:N,N766)),IF(INDEX(Listado!I:I,N766)=0,"",INDEX(Listado!I:I,N766)))),"")</f>
        <v/>
      </c>
      <c r="P766" s="17">
        <f t="shared" ca="1" si="34"/>
        <v/>
      </c>
      <c r="Q766" s="17">
        <f>IFERROR(IF(AND(N766&lt;&gt;"",ISNUMBER(O766),O766&gt;0,O766&gt;=TODAY()-90),1,0),0)</f>
        <v/>
      </c>
      <c r="R766" s="17" t="str">
        <f t="shared" si="36"/>
        <v/>
      </c>
      <c r="S766" s="17" t="str">
        <f>IF(INDEX(Listado!A:A,ROW())="","",INDEX(Listado!A:A,ROW()))</f>
        <v/>
      </c>
      <c r="T766" s="17" t="str">
        <f ca="1">IF(INDEX(Listado!G:G,ROW())="","",INDEX(Listado!G:G,ROW()))</f>
        <v/>
      </c>
      <c r="U766" s="17" t="str">
        <f>IF(INDEX(Listado!F:F,ROW())="","",INDEX(Listado!F:F,ROW()))</f>
        <v/>
      </c>
      <c r="V766" s="17">
        <f>IF(COUNTA(INDEX(Listado!B:B,ROW()):INDEX(Listado!F:F,ROW()))&gt;0,1,0)</f>
        <v/>
      </c>
      <c r="W766" s="17" t="str">
        <f>IF(INDEX(Listado!L:L,ROW())="","",INDEX(Listado!L:L,ROW()))</f>
        <v/>
      </c>
      <c r="X766" s="17">
        <f>IF(N766="","",IF(INDEX(Listado!$M:$M,N766)="No","No","Sí"))</f>
        <v/>
      </c>
    </row>
    <row r="767" spans="2:24" ht="14.25">
      <c r="N767" s="17" t="str">
        <f>IF(V767=0,"",IFERROR(LOOKUP(2,1/(INDEX(Listado!A:A,2):INDEX(Listado!A:A,ROW())&lt;&gt;""),ROW(INDEX(Listado!A:A,2):INDEX(Listado!A:A,ROW()))),""))</f>
        <v/>
      </c>
      <c r="O767" s="17" t="str">
        <f>IFERROR(IF(N767="","",IF(INDEX(Listado!M:M,N767)="No",IF(INDEX(Listado!N:N,N767)=0,"",INDEX(Listado!N:N,N767)),IF(INDEX(Listado!I:I,N767)=0,"",INDEX(Listado!I:I,N767)))),"")</f>
        <v/>
      </c>
      <c r="P767" s="17">
        <f t="shared" ca="1" si="34"/>
        <v/>
      </c>
      <c r="Q767" s="17">
        <f>IFERROR(IF(AND(N767&lt;&gt;"",ISNUMBER(O767),O767&gt;0,O767&gt;=TODAY()-90),1,0),0)</f>
        <v/>
      </c>
      <c r="R767" s="17" t="str">
        <f t="shared" si="36"/>
        <v/>
      </c>
      <c r="S767" s="17" t="str">
        <f>IF(INDEX(Listado!A:A,ROW())="","",INDEX(Listado!A:A,ROW()))</f>
        <v/>
      </c>
      <c r="T767" s="17" t="str">
        <f ca="1">IF(INDEX(Listado!G:G,ROW())="","",INDEX(Listado!G:G,ROW()))</f>
        <v/>
      </c>
      <c r="U767" s="17" t="str">
        <f>IF(INDEX(Listado!F:F,ROW())="","",INDEX(Listado!F:F,ROW()))</f>
        <v/>
      </c>
      <c r="V767" s="17">
        <f>IF(COUNTA(INDEX(Listado!B:B,ROW()):INDEX(Listado!F:F,ROW()))&gt;0,1,0)</f>
        <v/>
      </c>
      <c r="W767" s="17" t="str">
        <f>IF(INDEX(Listado!L:L,ROW())="","",INDEX(Listado!L:L,ROW()))</f>
        <v/>
      </c>
      <c r="X767" s="17">
        <f>IF(N767="","",IF(INDEX(Listado!$M:$M,N767)="No","No","Sí"))</f>
        <v/>
      </c>
    </row>
    <row r="768" spans="2:24" ht="14.25">
      <c r="N768" s="17" t="str">
        <f>IF(V768=0,"",IFERROR(LOOKUP(2,1/(INDEX(Listado!A:A,2):INDEX(Listado!A:A,ROW())&lt;&gt;""),ROW(INDEX(Listado!A:A,2):INDEX(Listado!A:A,ROW()))),""))</f>
        <v/>
      </c>
      <c r="O768" s="17" t="str">
        <f>IFERROR(IF(N768="","",IF(INDEX(Listado!M:M,N768)="No",IF(INDEX(Listado!N:N,N768)=0,"",INDEX(Listado!N:N,N768)),IF(INDEX(Listado!I:I,N768)=0,"",INDEX(Listado!I:I,N768)))),"")</f>
        <v/>
      </c>
      <c r="P768" s="17">
        <f t="shared" ca="1" si="34"/>
        <v/>
      </c>
      <c r="Q768" s="17">
        <f>IFERROR(IF(AND(N768&lt;&gt;"",ISNUMBER(O768),O768&gt;0,O768&gt;=TODAY()-90),1,0),0)</f>
        <v/>
      </c>
      <c r="R768" s="17" t="str">
        <f t="shared" si="36"/>
        <v/>
      </c>
      <c r="S768" s="17" t="str">
        <f>IF(INDEX(Listado!A:A,ROW())="","",INDEX(Listado!A:A,ROW()))</f>
        <v/>
      </c>
      <c r="T768" s="17" t="str">
        <f ca="1">IF(INDEX(Listado!G:G,ROW())="","",INDEX(Listado!G:G,ROW()))</f>
        <v/>
      </c>
      <c r="U768" s="17" t="str">
        <f>IF(INDEX(Listado!F:F,ROW())="","",INDEX(Listado!F:F,ROW()))</f>
        <v/>
      </c>
      <c r="V768" s="17">
        <f>IF(COUNTA(INDEX(Listado!B:B,ROW()):INDEX(Listado!F:F,ROW()))&gt;0,1,0)</f>
        <v/>
      </c>
      <c r="W768" s="17" t="str">
        <f>IF(INDEX(Listado!L:L,ROW())="","",INDEX(Listado!L:L,ROW()))</f>
        <v/>
      </c>
      <c r="X768" s="17">
        <f>IF(N768="","",IF(INDEX(Listado!$M:$M,N768)="No","No","Sí"))</f>
        <v/>
      </c>
    </row>
    <row r="769" spans="2:24" ht="14.25">
      <c r="N769" s="17" t="str">
        <f>IF(V769=0,"",IFERROR(LOOKUP(2,1/(INDEX(Listado!A:A,2):INDEX(Listado!A:A,ROW())&lt;&gt;""),ROW(INDEX(Listado!A:A,2):INDEX(Listado!A:A,ROW()))),""))</f>
        <v/>
      </c>
      <c r="O769" s="17" t="str">
        <f>IFERROR(IF(N769="","",IF(INDEX(Listado!M:M,N769)="No",IF(INDEX(Listado!N:N,N769)=0,"",INDEX(Listado!N:N,N769)),IF(INDEX(Listado!I:I,N769)=0,"",INDEX(Listado!I:I,N769)))),"")</f>
        <v/>
      </c>
      <c r="P769" s="17">
        <f t="shared" ca="1" si="34"/>
        <v/>
      </c>
      <c r="Q769" s="17">
        <f>IFERROR(IF(AND(N769&lt;&gt;"",ISNUMBER(O769),O769&gt;0,O769&gt;=TODAY()-90),1,0),0)</f>
        <v/>
      </c>
      <c r="R769" s="17" t="str">
        <f t="shared" si="36"/>
        <v/>
      </c>
      <c r="S769" s="17" t="str">
        <f>IF(INDEX(Listado!A:A,ROW())="","",INDEX(Listado!A:A,ROW()))</f>
        <v/>
      </c>
      <c r="T769" s="17" t="str">
        <f ca="1">IF(INDEX(Listado!G:G,ROW())="","",INDEX(Listado!G:G,ROW()))</f>
        <v/>
      </c>
      <c r="U769" s="17" t="str">
        <f>IF(INDEX(Listado!F:F,ROW())="","",INDEX(Listado!F:F,ROW()))</f>
        <v/>
      </c>
      <c r="V769" s="17">
        <f>IF(COUNTA(INDEX(Listado!B:B,ROW()):INDEX(Listado!F:F,ROW()))&gt;0,1,0)</f>
        <v/>
      </c>
      <c r="W769" s="17" t="str">
        <f>IF(INDEX(Listado!L:L,ROW())="","",INDEX(Listado!L:L,ROW()))</f>
        <v/>
      </c>
      <c r="X769" s="17">
        <f>IF(N769="","",IF(INDEX(Listado!$M:$M,N769)="No","No","Sí"))</f>
        <v/>
      </c>
    </row>
    <row r="770" spans="2:24" ht="14.25">
      <c r="N770" s="17" t="str">
        <f>IF(V770=0,"",IFERROR(LOOKUP(2,1/(INDEX(Listado!A:A,2):INDEX(Listado!A:A,ROW())&lt;&gt;""),ROW(INDEX(Listado!A:A,2):INDEX(Listado!A:A,ROW()))),""))</f>
        <v/>
      </c>
      <c r="O770" s="17" t="str">
        <f>IFERROR(IF(N770="","",IF(INDEX(Listado!M:M,N770)="No",IF(INDEX(Listado!N:N,N770)=0,"",INDEX(Listado!N:N,N770)),IF(INDEX(Listado!I:I,N770)=0,"",INDEX(Listado!I:I,N770)))),"")</f>
        <v/>
      </c>
      <c r="P770" s="17">
        <f t="shared" ref="P770:P833" ca="1" si="37">IF(W770="",0,IFERROR(IF(AND(ISNUMBER(W770),W770=INT(W770),ISNUMBER(O770),O770&gt;0,W770&gt;=TODAY(),W770&lt;=O770+90),0,1),1))</f>
        <v/>
      </c>
      <c r="Q770" s="17">
        <f>IFERROR(IF(AND(N770&lt;&gt;"",ISNUMBER(O770),O770&gt;0,O770&gt;=TODAY()-90),1,0),0)</f>
        <v/>
      </c>
      <c r="R770" s="17" t="str">
        <f t="shared" ref="R770:R833" si="39">IF(S770="","",COUNTIFS($N$2:$N$2999,ROW(),$Q$2:$Q$2999,1))</f>
        <v/>
      </c>
      <c r="S770" s="17" t="str">
        <f>IF(INDEX(Listado!A:A,ROW())="","",INDEX(Listado!A:A,ROW()))</f>
        <v/>
      </c>
      <c r="T770" s="17" t="str">
        <f ca="1">IF(INDEX(Listado!G:G,ROW())="","",INDEX(Listado!G:G,ROW()))</f>
        <v/>
      </c>
      <c r="U770" s="17" t="str">
        <f>IF(INDEX(Listado!F:F,ROW())="","",INDEX(Listado!F:F,ROW()))</f>
        <v/>
      </c>
      <c r="V770" s="17">
        <f>IF(COUNTA(INDEX(Listado!B:B,ROW()):INDEX(Listado!F:F,ROW()))&gt;0,1,0)</f>
        <v/>
      </c>
      <c r="W770" s="17" t="str">
        <f>IF(INDEX(Listado!L:L,ROW())="","",INDEX(Listado!L:L,ROW()))</f>
        <v/>
      </c>
      <c r="X770" s="17">
        <f>IF(N770="","",IF(INDEX(Listado!$M:$M,N770)="No","No","Sí"))</f>
        <v/>
      </c>
    </row>
    <row r="771" spans="2:24" ht="14.25">
      <c r="N771" s="17" t="str">
        <f>IF(V771=0,"",IFERROR(LOOKUP(2,1/(INDEX(Listado!A:A,2):INDEX(Listado!A:A,ROW())&lt;&gt;""),ROW(INDEX(Listado!A:A,2):INDEX(Listado!A:A,ROW()))),""))</f>
        <v/>
      </c>
      <c r="O771" s="17" t="str">
        <f>IFERROR(IF(N771="","",IF(INDEX(Listado!M:M,N771)="No",IF(INDEX(Listado!N:N,N771)=0,"",INDEX(Listado!N:N,N771)),IF(INDEX(Listado!I:I,N771)=0,"",INDEX(Listado!I:I,N771)))),"")</f>
        <v/>
      </c>
      <c r="P771" s="17">
        <f t="shared" ca="1" si="37"/>
        <v/>
      </c>
      <c r="Q771" s="17">
        <f>IFERROR(IF(AND(N771&lt;&gt;"",ISNUMBER(O771),O771&gt;0,O771&gt;=TODAY()-90),1,0),0)</f>
        <v/>
      </c>
      <c r="R771" s="17" t="str">
        <f t="shared" si="39"/>
        <v/>
      </c>
      <c r="S771" s="17" t="str">
        <f>IF(INDEX(Listado!A:A,ROW())="","",INDEX(Listado!A:A,ROW()))</f>
        <v/>
      </c>
      <c r="T771" s="17" t="str">
        <f ca="1">IF(INDEX(Listado!G:G,ROW())="","",INDEX(Listado!G:G,ROW()))</f>
        <v/>
      </c>
      <c r="U771" s="17" t="str">
        <f>IF(INDEX(Listado!F:F,ROW())="","",INDEX(Listado!F:F,ROW()))</f>
        <v/>
      </c>
      <c r="V771" s="17">
        <f>IF(COUNTA(INDEX(Listado!B:B,ROW()):INDEX(Listado!F:F,ROW()))&gt;0,1,0)</f>
        <v/>
      </c>
      <c r="W771" s="17" t="str">
        <f>IF(INDEX(Listado!L:L,ROW())="","",INDEX(Listado!L:L,ROW()))</f>
        <v/>
      </c>
      <c r="X771" s="17">
        <f>IF(N771="","",IF(INDEX(Listado!$M:$M,N771)="No","No","Sí"))</f>
        <v/>
      </c>
    </row>
    <row r="772" spans="2:24" ht="14.25">
      <c r="N772" s="17" t="str">
        <f>IF(V772=0,"",IFERROR(LOOKUP(2,1/(INDEX(Listado!A:A,2):INDEX(Listado!A:A,ROW())&lt;&gt;""),ROW(INDEX(Listado!A:A,2):INDEX(Listado!A:A,ROW()))),""))</f>
        <v/>
      </c>
      <c r="O772" s="17" t="str">
        <f>IFERROR(IF(N772="","",IF(INDEX(Listado!M:M,N772)="No",IF(INDEX(Listado!N:N,N772)=0,"",INDEX(Listado!N:N,N772)),IF(INDEX(Listado!I:I,N772)=0,"",INDEX(Listado!I:I,N772)))),"")</f>
        <v/>
      </c>
      <c r="P772" s="17">
        <f t="shared" ca="1" si="37"/>
        <v/>
      </c>
      <c r="Q772" s="17">
        <f>IFERROR(IF(AND(N772&lt;&gt;"",ISNUMBER(O772),O772&gt;0,O772&gt;=TODAY()-90),1,0),0)</f>
        <v/>
      </c>
      <c r="R772" s="17" t="str">
        <f t="shared" si="39"/>
        <v/>
      </c>
      <c r="S772" s="17" t="str">
        <f>IF(INDEX(Listado!A:A,ROW())="","",INDEX(Listado!A:A,ROW()))</f>
        <v/>
      </c>
      <c r="T772" s="17" t="str">
        <f ca="1">IF(INDEX(Listado!G:G,ROW())="","",INDEX(Listado!G:G,ROW()))</f>
        <v/>
      </c>
      <c r="U772" s="17" t="str">
        <f>IF(INDEX(Listado!F:F,ROW())="","",INDEX(Listado!F:F,ROW()))</f>
        <v/>
      </c>
      <c r="V772" s="17">
        <f>IF(COUNTA(INDEX(Listado!B:B,ROW()):INDEX(Listado!F:F,ROW()))&gt;0,1,0)</f>
        <v/>
      </c>
      <c r="W772" s="17" t="str">
        <f>IF(INDEX(Listado!L:L,ROW())="","",INDEX(Listado!L:L,ROW()))</f>
        <v/>
      </c>
      <c r="X772" s="17">
        <f>IF(N772="","",IF(INDEX(Listado!$M:$M,N772)="No","No","Sí"))</f>
        <v/>
      </c>
    </row>
    <row r="773" spans="2:24" ht="14.25">
      <c r="N773" s="17" t="str">
        <f>IF(V773=0,"",IFERROR(LOOKUP(2,1/(INDEX(Listado!A:A,2):INDEX(Listado!A:A,ROW())&lt;&gt;""),ROW(INDEX(Listado!A:A,2):INDEX(Listado!A:A,ROW()))),""))</f>
        <v/>
      </c>
      <c r="O773" s="17" t="str">
        <f>IFERROR(IF(N773="","",IF(INDEX(Listado!M:M,N773)="No",IF(INDEX(Listado!N:N,N773)=0,"",INDEX(Listado!N:N,N773)),IF(INDEX(Listado!I:I,N773)=0,"",INDEX(Listado!I:I,N773)))),"")</f>
        <v/>
      </c>
      <c r="P773" s="17">
        <f t="shared" ca="1" si="37"/>
        <v/>
      </c>
      <c r="Q773" s="17">
        <f>IFERROR(IF(AND(N773&lt;&gt;"",ISNUMBER(O773),O773&gt;0,O773&gt;=TODAY()-90),1,0),0)</f>
        <v/>
      </c>
      <c r="R773" s="17" t="str">
        <f t="shared" si="39"/>
        <v/>
      </c>
      <c r="S773" s="17" t="str">
        <f>IF(INDEX(Listado!A:A,ROW())="","",INDEX(Listado!A:A,ROW()))</f>
        <v/>
      </c>
      <c r="T773" s="17" t="str">
        <f ca="1">IF(INDEX(Listado!G:G,ROW())="","",INDEX(Listado!G:G,ROW()))</f>
        <v/>
      </c>
      <c r="U773" s="17" t="str">
        <f>IF(INDEX(Listado!F:F,ROW())="","",INDEX(Listado!F:F,ROW()))</f>
        <v/>
      </c>
      <c r="V773" s="17">
        <f>IF(COUNTA(INDEX(Listado!B:B,ROW()):INDEX(Listado!F:F,ROW()))&gt;0,1,0)</f>
        <v/>
      </c>
      <c r="W773" s="17" t="str">
        <f>IF(INDEX(Listado!L:L,ROW())="","",INDEX(Listado!L:L,ROW()))</f>
        <v/>
      </c>
      <c r="X773" s="17">
        <f>IF(N773="","",IF(INDEX(Listado!$M:$M,N773)="No","No","Sí"))</f>
        <v/>
      </c>
    </row>
    <row r="774" spans="2:24" ht="14.25">
      <c r="N774" s="17" t="str">
        <f>IF(V774=0,"",IFERROR(LOOKUP(2,1/(INDEX(Listado!A:A,2):INDEX(Listado!A:A,ROW())&lt;&gt;""),ROW(INDEX(Listado!A:A,2):INDEX(Listado!A:A,ROW()))),""))</f>
        <v/>
      </c>
      <c r="O774" s="17" t="str">
        <f>IFERROR(IF(N774="","",IF(INDEX(Listado!M:M,N774)="No",IF(INDEX(Listado!N:N,N774)=0,"",INDEX(Listado!N:N,N774)),IF(INDEX(Listado!I:I,N774)=0,"",INDEX(Listado!I:I,N774)))),"")</f>
        <v/>
      </c>
      <c r="P774" s="17">
        <f t="shared" ca="1" si="37"/>
        <v/>
      </c>
      <c r="Q774" s="17">
        <f>IFERROR(IF(AND(N774&lt;&gt;"",ISNUMBER(O774),O774&gt;0,O774&gt;=TODAY()-90),1,0),0)</f>
        <v/>
      </c>
      <c r="R774" s="17" t="str">
        <f t="shared" si="39"/>
        <v/>
      </c>
      <c r="S774" s="17" t="str">
        <f>IF(INDEX(Listado!A:A,ROW())="","",INDEX(Listado!A:A,ROW()))</f>
        <v/>
      </c>
      <c r="T774" s="17" t="str">
        <f ca="1">IF(INDEX(Listado!G:G,ROW())="","",INDEX(Listado!G:G,ROW()))</f>
        <v/>
      </c>
      <c r="U774" s="17" t="str">
        <f>IF(INDEX(Listado!F:F,ROW())="","",INDEX(Listado!F:F,ROW()))</f>
        <v/>
      </c>
      <c r="V774" s="17">
        <f>IF(COUNTA(INDEX(Listado!B:B,ROW()):INDEX(Listado!F:F,ROW()))&gt;0,1,0)</f>
        <v/>
      </c>
      <c r="W774" s="17" t="str">
        <f>IF(INDEX(Listado!L:L,ROW())="","",INDEX(Listado!L:L,ROW()))</f>
        <v/>
      </c>
      <c r="X774" s="17">
        <f>IF(N774="","",IF(INDEX(Listado!$M:$M,N774)="No","No","Sí"))</f>
        <v/>
      </c>
    </row>
    <row r="775" spans="2:24" ht="14.25">
      <c r="N775" s="17" t="str">
        <f>IF(V775=0,"",IFERROR(LOOKUP(2,1/(INDEX(Listado!A:A,2):INDEX(Listado!A:A,ROW())&lt;&gt;""),ROW(INDEX(Listado!A:A,2):INDEX(Listado!A:A,ROW()))),""))</f>
        <v/>
      </c>
      <c r="O775" s="17" t="str">
        <f>IFERROR(IF(N775="","",IF(INDEX(Listado!M:M,N775)="No",IF(INDEX(Listado!N:N,N775)=0,"",INDEX(Listado!N:N,N775)),IF(INDEX(Listado!I:I,N775)=0,"",INDEX(Listado!I:I,N775)))),"")</f>
        <v/>
      </c>
      <c r="P775" s="17">
        <f t="shared" ca="1" si="37"/>
        <v/>
      </c>
      <c r="Q775" s="17">
        <f>IFERROR(IF(AND(N775&lt;&gt;"",ISNUMBER(O775),O775&gt;0,O775&gt;=TODAY()-90),1,0),0)</f>
        <v/>
      </c>
      <c r="R775" s="17" t="str">
        <f t="shared" si="39"/>
        <v/>
      </c>
      <c r="S775" s="17" t="str">
        <f>IF(INDEX(Listado!A:A,ROW())="","",INDEX(Listado!A:A,ROW()))</f>
        <v/>
      </c>
      <c r="T775" s="17" t="str">
        <f ca="1">IF(INDEX(Listado!G:G,ROW())="","",INDEX(Listado!G:G,ROW()))</f>
        <v/>
      </c>
      <c r="U775" s="17" t="str">
        <f>IF(INDEX(Listado!F:F,ROW())="","",INDEX(Listado!F:F,ROW()))</f>
        <v/>
      </c>
      <c r="V775" s="17">
        <f>IF(COUNTA(INDEX(Listado!B:B,ROW()):INDEX(Listado!F:F,ROW()))&gt;0,1,0)</f>
        <v/>
      </c>
      <c r="W775" s="17" t="str">
        <f>IF(INDEX(Listado!L:L,ROW())="","",INDEX(Listado!L:L,ROW()))</f>
        <v/>
      </c>
      <c r="X775" s="17">
        <f>IF(N775="","",IF(INDEX(Listado!$M:$M,N775)="No","No","Sí"))</f>
        <v/>
      </c>
    </row>
    <row r="776" spans="2:24" ht="14.25">
      <c r="N776" s="17" t="str">
        <f>IF(V776=0,"",IFERROR(LOOKUP(2,1/(INDEX(Listado!A:A,2):INDEX(Listado!A:A,ROW())&lt;&gt;""),ROW(INDEX(Listado!A:A,2):INDEX(Listado!A:A,ROW()))),""))</f>
        <v/>
      </c>
      <c r="O776" s="17" t="str">
        <f>IFERROR(IF(N776="","",IF(INDEX(Listado!M:M,N776)="No",IF(INDEX(Listado!N:N,N776)=0,"",INDEX(Listado!N:N,N776)),IF(INDEX(Listado!I:I,N776)=0,"",INDEX(Listado!I:I,N776)))),"")</f>
        <v/>
      </c>
      <c r="P776" s="17">
        <f t="shared" ca="1" si="37"/>
        <v/>
      </c>
      <c r="Q776" s="17">
        <f>IFERROR(IF(AND(N776&lt;&gt;"",ISNUMBER(O776),O776&gt;0,O776&gt;=TODAY()-90),1,0),0)</f>
        <v/>
      </c>
      <c r="R776" s="17" t="str">
        <f t="shared" si="39"/>
        <v/>
      </c>
      <c r="S776" s="17" t="str">
        <f>IF(INDEX(Listado!A:A,ROW())="","",INDEX(Listado!A:A,ROW()))</f>
        <v/>
      </c>
      <c r="T776" s="17" t="str">
        <f ca="1">IF(INDEX(Listado!G:G,ROW())="","",INDEX(Listado!G:G,ROW()))</f>
        <v/>
      </c>
      <c r="U776" s="17" t="str">
        <f>IF(INDEX(Listado!F:F,ROW())="","",INDEX(Listado!F:F,ROW()))</f>
        <v/>
      </c>
      <c r="V776" s="17">
        <f>IF(COUNTA(INDEX(Listado!B:B,ROW()):INDEX(Listado!F:F,ROW()))&gt;0,1,0)</f>
        <v/>
      </c>
      <c r="W776" s="17" t="str">
        <f>IF(INDEX(Listado!L:L,ROW())="","",INDEX(Listado!L:L,ROW()))</f>
        <v/>
      </c>
      <c r="X776" s="17">
        <f>IF(N776="","",IF(INDEX(Listado!$M:$M,N776)="No","No","Sí"))</f>
        <v/>
      </c>
    </row>
    <row r="777" spans="2:24" ht="14.25">
      <c r="N777" s="17" t="str">
        <f>IF(V777=0,"",IFERROR(LOOKUP(2,1/(INDEX(Listado!A:A,2):INDEX(Listado!A:A,ROW())&lt;&gt;""),ROW(INDEX(Listado!A:A,2):INDEX(Listado!A:A,ROW()))),""))</f>
        <v/>
      </c>
      <c r="O777" s="17" t="str">
        <f>IFERROR(IF(N777="","",IF(INDEX(Listado!M:M,N777)="No",IF(INDEX(Listado!N:N,N777)=0,"",INDEX(Listado!N:N,N777)),IF(INDEX(Listado!I:I,N777)=0,"",INDEX(Listado!I:I,N777)))),"")</f>
        <v/>
      </c>
      <c r="P777" s="17">
        <f t="shared" ca="1" si="37"/>
        <v/>
      </c>
      <c r="Q777" s="17">
        <f>IFERROR(IF(AND(N777&lt;&gt;"",ISNUMBER(O777),O777&gt;0,O777&gt;=TODAY()-90),1,0),0)</f>
        <v/>
      </c>
      <c r="R777" s="17" t="str">
        <f t="shared" si="39"/>
        <v/>
      </c>
      <c r="S777" s="17" t="str">
        <f>IF(INDEX(Listado!A:A,ROW())="","",INDEX(Listado!A:A,ROW()))</f>
        <v/>
      </c>
      <c r="T777" s="17" t="str">
        <f ca="1">IF(INDEX(Listado!G:G,ROW())="","",INDEX(Listado!G:G,ROW()))</f>
        <v/>
      </c>
      <c r="U777" s="17" t="str">
        <f>IF(INDEX(Listado!F:F,ROW())="","",INDEX(Listado!F:F,ROW()))</f>
        <v/>
      </c>
      <c r="V777" s="17">
        <f>IF(COUNTA(INDEX(Listado!B:B,ROW()):INDEX(Listado!F:F,ROW()))&gt;0,1,0)</f>
        <v/>
      </c>
      <c r="W777" s="17" t="str">
        <f>IF(INDEX(Listado!L:L,ROW())="","",INDEX(Listado!L:L,ROW()))</f>
        <v/>
      </c>
      <c r="X777" s="17">
        <f>IF(N777="","",IF(INDEX(Listado!$M:$M,N777)="No","No","Sí"))</f>
        <v/>
      </c>
    </row>
    <row r="778" spans="2:24" ht="14.25">
      <c r="N778" s="17" t="str">
        <f>IF(V778=0,"",IFERROR(LOOKUP(2,1/(INDEX(Listado!A:A,2):INDEX(Listado!A:A,ROW())&lt;&gt;""),ROW(INDEX(Listado!A:A,2):INDEX(Listado!A:A,ROW()))),""))</f>
        <v/>
      </c>
      <c r="O778" s="17" t="str">
        <f>IFERROR(IF(N778="","",IF(INDEX(Listado!M:M,N778)="No",IF(INDEX(Listado!N:N,N778)=0,"",INDEX(Listado!N:N,N778)),IF(INDEX(Listado!I:I,N778)=0,"",INDEX(Listado!I:I,N778)))),"")</f>
        <v/>
      </c>
      <c r="P778" s="17">
        <f t="shared" ca="1" si="37"/>
        <v/>
      </c>
      <c r="Q778" s="17">
        <f>IFERROR(IF(AND(N778&lt;&gt;"",ISNUMBER(O778),O778&gt;0,O778&gt;=TODAY()-90),1,0),0)</f>
        <v/>
      </c>
      <c r="R778" s="17" t="str">
        <f t="shared" si="39"/>
        <v/>
      </c>
      <c r="S778" s="17" t="str">
        <f>IF(INDEX(Listado!A:A,ROW())="","",INDEX(Listado!A:A,ROW()))</f>
        <v/>
      </c>
      <c r="T778" s="17" t="str">
        <f ca="1">IF(INDEX(Listado!G:G,ROW())="","",INDEX(Listado!G:G,ROW()))</f>
        <v/>
      </c>
      <c r="U778" s="17" t="str">
        <f>IF(INDEX(Listado!F:F,ROW())="","",INDEX(Listado!F:F,ROW()))</f>
        <v/>
      </c>
      <c r="V778" s="17">
        <f>IF(COUNTA(INDEX(Listado!B:B,ROW()):INDEX(Listado!F:F,ROW()))&gt;0,1,0)</f>
        <v/>
      </c>
      <c r="W778" s="17" t="str">
        <f>IF(INDEX(Listado!L:L,ROW())="","",INDEX(Listado!L:L,ROW()))</f>
        <v/>
      </c>
      <c r="X778" s="17">
        <f>IF(N778="","",IF(INDEX(Listado!$M:$M,N778)="No","No","Sí"))</f>
        <v/>
      </c>
    </row>
    <row r="779" spans="2:24" ht="14.25">
      <c r="N779" s="17" t="str">
        <f>IF(V779=0,"",IFERROR(LOOKUP(2,1/(INDEX(Listado!A:A,2):INDEX(Listado!A:A,ROW())&lt;&gt;""),ROW(INDEX(Listado!A:A,2):INDEX(Listado!A:A,ROW()))),""))</f>
        <v/>
      </c>
      <c r="O779" s="17" t="str">
        <f>IFERROR(IF(N779="","",IF(INDEX(Listado!M:M,N779)="No",IF(INDEX(Listado!N:N,N779)=0,"",INDEX(Listado!N:N,N779)),IF(INDEX(Listado!I:I,N779)=0,"",INDEX(Listado!I:I,N779)))),"")</f>
        <v/>
      </c>
      <c r="P779" s="17">
        <f t="shared" ca="1" si="37"/>
        <v/>
      </c>
      <c r="Q779" s="17">
        <f>IFERROR(IF(AND(N779&lt;&gt;"",ISNUMBER(O779),O779&gt;0,O779&gt;=TODAY()-90),1,0),0)</f>
        <v/>
      </c>
      <c r="R779" s="17" t="str">
        <f t="shared" si="39"/>
        <v/>
      </c>
      <c r="S779" s="17" t="str">
        <f>IF(INDEX(Listado!A:A,ROW())="","",INDEX(Listado!A:A,ROW()))</f>
        <v/>
      </c>
      <c r="T779" s="17" t="str">
        <f ca="1">IF(INDEX(Listado!G:G,ROW())="","",INDEX(Listado!G:G,ROW()))</f>
        <v/>
      </c>
      <c r="U779" s="17" t="str">
        <f>IF(INDEX(Listado!F:F,ROW())="","",INDEX(Listado!F:F,ROW()))</f>
        <v/>
      </c>
      <c r="V779" s="17">
        <f>IF(COUNTA(INDEX(Listado!B:B,ROW()):INDEX(Listado!F:F,ROW()))&gt;0,1,0)</f>
        <v/>
      </c>
      <c r="W779" s="17" t="str">
        <f>IF(INDEX(Listado!L:L,ROW())="","",INDEX(Listado!L:L,ROW()))</f>
        <v/>
      </c>
      <c r="X779" s="17">
        <f>IF(N779="","",IF(INDEX(Listado!$M:$M,N779)="No","No","Sí"))</f>
        <v/>
      </c>
    </row>
    <row r="780" spans="2:24" ht="14.25">
      <c r="N780" s="17" t="str">
        <f>IF(V780=0,"",IFERROR(LOOKUP(2,1/(INDEX(Listado!A:A,2):INDEX(Listado!A:A,ROW())&lt;&gt;""),ROW(INDEX(Listado!A:A,2):INDEX(Listado!A:A,ROW()))),""))</f>
        <v/>
      </c>
      <c r="O780" s="17" t="str">
        <f>IFERROR(IF(N780="","",IF(INDEX(Listado!M:M,N780)="No",IF(INDEX(Listado!N:N,N780)=0,"",INDEX(Listado!N:N,N780)),IF(INDEX(Listado!I:I,N780)=0,"",INDEX(Listado!I:I,N780)))),"")</f>
        <v/>
      </c>
      <c r="P780" s="17">
        <f t="shared" ca="1" si="37"/>
        <v/>
      </c>
      <c r="Q780" s="17">
        <f>IFERROR(IF(AND(N780&lt;&gt;"",ISNUMBER(O780),O780&gt;0,O780&gt;=TODAY()-90),1,0),0)</f>
        <v/>
      </c>
      <c r="R780" s="17" t="str">
        <f t="shared" si="39"/>
        <v/>
      </c>
      <c r="S780" s="17" t="str">
        <f>IF(INDEX(Listado!A:A,ROW())="","",INDEX(Listado!A:A,ROW()))</f>
        <v/>
      </c>
      <c r="T780" s="17" t="str">
        <f ca="1">IF(INDEX(Listado!G:G,ROW())="","",INDEX(Listado!G:G,ROW()))</f>
        <v/>
      </c>
      <c r="U780" s="17" t="str">
        <f>IF(INDEX(Listado!F:F,ROW())="","",INDEX(Listado!F:F,ROW()))</f>
        <v/>
      </c>
      <c r="V780" s="17">
        <f>IF(COUNTA(INDEX(Listado!B:B,ROW()):INDEX(Listado!F:F,ROW()))&gt;0,1,0)</f>
        <v/>
      </c>
      <c r="W780" s="17" t="str">
        <f>IF(INDEX(Listado!L:L,ROW())="","",INDEX(Listado!L:L,ROW()))</f>
        <v/>
      </c>
      <c r="X780" s="17">
        <f>IF(N780="","",IF(INDEX(Listado!$M:$M,N780)="No","No","Sí"))</f>
        <v/>
      </c>
    </row>
    <row r="781" spans="2:24" ht="14.25">
      <c r="N781" s="17" t="str">
        <f>IF(V781=0,"",IFERROR(LOOKUP(2,1/(INDEX(Listado!A:A,2):INDEX(Listado!A:A,ROW())&lt;&gt;""),ROW(INDEX(Listado!A:A,2):INDEX(Listado!A:A,ROW()))),""))</f>
        <v/>
      </c>
      <c r="O781" s="17" t="str">
        <f>IFERROR(IF(N781="","",IF(INDEX(Listado!M:M,N781)="No",IF(INDEX(Listado!N:N,N781)=0,"",INDEX(Listado!N:N,N781)),IF(INDEX(Listado!I:I,N781)=0,"",INDEX(Listado!I:I,N781)))),"")</f>
        <v/>
      </c>
      <c r="P781" s="17">
        <f t="shared" ca="1" si="37"/>
        <v/>
      </c>
      <c r="Q781" s="17">
        <f>IFERROR(IF(AND(N781&lt;&gt;"",ISNUMBER(O781),O781&gt;0,O781&gt;=TODAY()-90),1,0),0)</f>
        <v/>
      </c>
      <c r="R781" s="17" t="str">
        <f t="shared" si="39"/>
        <v/>
      </c>
      <c r="S781" s="17" t="str">
        <f>IF(INDEX(Listado!A:A,ROW())="","",INDEX(Listado!A:A,ROW()))</f>
        <v/>
      </c>
      <c r="T781" s="17" t="str">
        <f ca="1">IF(INDEX(Listado!G:G,ROW())="","",INDEX(Listado!G:G,ROW()))</f>
        <v/>
      </c>
      <c r="U781" s="17" t="str">
        <f>IF(INDEX(Listado!F:F,ROW())="","",INDEX(Listado!F:F,ROW()))</f>
        <v/>
      </c>
      <c r="V781" s="17">
        <f>IF(COUNTA(INDEX(Listado!B:B,ROW()):INDEX(Listado!F:F,ROW()))&gt;0,1,0)</f>
        <v/>
      </c>
      <c r="W781" s="17" t="str">
        <f>IF(INDEX(Listado!L:L,ROW())="","",INDEX(Listado!L:L,ROW()))</f>
        <v/>
      </c>
      <c r="X781" s="17">
        <f>IF(N781="","",IF(INDEX(Listado!$M:$M,N781)="No","No","Sí"))</f>
        <v/>
      </c>
    </row>
    <row r="782" spans="2:24" ht="14.25">
      <c r="N782" s="17" t="str">
        <f>IF(V782=0,"",IFERROR(LOOKUP(2,1/(INDEX(Listado!A:A,2):INDEX(Listado!A:A,ROW())&lt;&gt;""),ROW(INDEX(Listado!A:A,2):INDEX(Listado!A:A,ROW()))),""))</f>
        <v/>
      </c>
      <c r="O782" s="17" t="str">
        <f>IFERROR(IF(N782="","",IF(INDEX(Listado!M:M,N782)="No",IF(INDEX(Listado!N:N,N782)=0,"",INDEX(Listado!N:N,N782)),IF(INDEX(Listado!I:I,N782)=0,"",INDEX(Listado!I:I,N782)))),"")</f>
        <v/>
      </c>
      <c r="P782" s="17">
        <f t="shared" ca="1" si="37"/>
        <v/>
      </c>
      <c r="Q782" s="17">
        <f>IFERROR(IF(AND(N782&lt;&gt;"",ISNUMBER(O782),O782&gt;0,O782&gt;=TODAY()-90),1,0),0)</f>
        <v/>
      </c>
      <c r="R782" s="17" t="str">
        <f t="shared" si="39"/>
        <v/>
      </c>
      <c r="S782" s="17" t="str">
        <f>IF(INDEX(Listado!A:A,ROW())="","",INDEX(Listado!A:A,ROW()))</f>
        <v/>
      </c>
      <c r="T782" s="17" t="str">
        <f ca="1">IF(INDEX(Listado!G:G,ROW())="","",INDEX(Listado!G:G,ROW()))</f>
        <v/>
      </c>
      <c r="U782" s="17" t="str">
        <f>IF(INDEX(Listado!F:F,ROW())="","",INDEX(Listado!F:F,ROW()))</f>
        <v/>
      </c>
      <c r="V782" s="17">
        <f>IF(COUNTA(INDEX(Listado!B:B,ROW()):INDEX(Listado!F:F,ROW()))&gt;0,1,0)</f>
        <v/>
      </c>
      <c r="W782" s="17" t="str">
        <f>IF(INDEX(Listado!L:L,ROW())="","",INDEX(Listado!L:L,ROW()))</f>
        <v/>
      </c>
      <c r="X782" s="17">
        <f>IF(N782="","",IF(INDEX(Listado!$M:$M,N782)="No","No","Sí"))</f>
        <v/>
      </c>
    </row>
    <row r="783" spans="2:24" ht="14.25">
      <c r="N783" s="17" t="str">
        <f>IF(V783=0,"",IFERROR(LOOKUP(2,1/(INDEX(Listado!A:A,2):INDEX(Listado!A:A,ROW())&lt;&gt;""),ROW(INDEX(Listado!A:A,2):INDEX(Listado!A:A,ROW()))),""))</f>
        <v/>
      </c>
      <c r="O783" s="17" t="str">
        <f>IFERROR(IF(N783="","",IF(INDEX(Listado!M:M,N783)="No",IF(INDEX(Listado!N:N,N783)=0,"",INDEX(Listado!N:N,N783)),IF(INDEX(Listado!I:I,N783)=0,"",INDEX(Listado!I:I,N783)))),"")</f>
        <v/>
      </c>
      <c r="P783" s="17">
        <f t="shared" ca="1" si="37"/>
        <v/>
      </c>
      <c r="Q783" s="17">
        <f>IFERROR(IF(AND(N783&lt;&gt;"",ISNUMBER(O783),O783&gt;0,O783&gt;=TODAY()-90),1,0),0)</f>
        <v/>
      </c>
      <c r="R783" s="17" t="str">
        <f t="shared" si="39"/>
        <v/>
      </c>
      <c r="S783" s="17" t="str">
        <f>IF(INDEX(Listado!A:A,ROW())="","",INDEX(Listado!A:A,ROW()))</f>
        <v/>
      </c>
      <c r="T783" s="17" t="str">
        <f ca="1">IF(INDEX(Listado!G:G,ROW())="","",INDEX(Listado!G:G,ROW()))</f>
        <v/>
      </c>
      <c r="U783" s="17" t="str">
        <f>IF(INDEX(Listado!F:F,ROW())="","",INDEX(Listado!F:F,ROW()))</f>
        <v/>
      </c>
      <c r="V783" s="17">
        <f>IF(COUNTA(INDEX(Listado!B:B,ROW()):INDEX(Listado!F:F,ROW()))&gt;0,1,0)</f>
        <v/>
      </c>
      <c r="W783" s="17" t="str">
        <f>IF(INDEX(Listado!L:L,ROW())="","",INDEX(Listado!L:L,ROW()))</f>
        <v/>
      </c>
      <c r="X783" s="17">
        <f>IF(N783="","",IF(INDEX(Listado!$M:$M,N783)="No","No","Sí"))</f>
        <v/>
      </c>
    </row>
    <row r="784" spans="2:24" ht="14.25">
      <c r="N784" s="17" t="str">
        <f>IF(V784=0,"",IFERROR(LOOKUP(2,1/(INDEX(Listado!A:A,2):INDEX(Listado!A:A,ROW())&lt;&gt;""),ROW(INDEX(Listado!A:A,2):INDEX(Listado!A:A,ROW()))),""))</f>
        <v/>
      </c>
      <c r="O784" s="17" t="str">
        <f>IFERROR(IF(N784="","",IF(INDEX(Listado!M:M,N784)="No",IF(INDEX(Listado!N:N,N784)=0,"",INDEX(Listado!N:N,N784)),IF(INDEX(Listado!I:I,N784)=0,"",INDEX(Listado!I:I,N784)))),"")</f>
        <v/>
      </c>
      <c r="P784" s="17">
        <f t="shared" ca="1" si="37"/>
        <v/>
      </c>
      <c r="Q784" s="17">
        <f>IFERROR(IF(AND(N784&lt;&gt;"",ISNUMBER(O784),O784&gt;0,O784&gt;=TODAY()-90),1,0),0)</f>
        <v/>
      </c>
      <c r="R784" s="17" t="str">
        <f t="shared" si="39"/>
        <v/>
      </c>
      <c r="S784" s="17" t="str">
        <f>IF(INDEX(Listado!A:A,ROW())="","",INDEX(Listado!A:A,ROW()))</f>
        <v/>
      </c>
      <c r="T784" s="17" t="str">
        <f ca="1">IF(INDEX(Listado!G:G,ROW())="","",INDEX(Listado!G:G,ROW()))</f>
        <v/>
      </c>
      <c r="U784" s="17" t="str">
        <f>IF(INDEX(Listado!F:F,ROW())="","",INDEX(Listado!F:F,ROW()))</f>
        <v/>
      </c>
      <c r="V784" s="17">
        <f>IF(COUNTA(INDEX(Listado!B:B,ROW()):INDEX(Listado!F:F,ROW()))&gt;0,1,0)</f>
        <v/>
      </c>
      <c r="W784" s="17" t="str">
        <f>IF(INDEX(Listado!L:L,ROW())="","",INDEX(Listado!L:L,ROW()))</f>
        <v/>
      </c>
      <c r="X784" s="17">
        <f>IF(N784="","",IF(INDEX(Listado!$M:$M,N784)="No","No","Sí"))</f>
        <v/>
      </c>
    </row>
    <row r="785" spans="2:24" ht="14.25">
      <c r="N785" s="17" t="str">
        <f>IF(V785=0,"",IFERROR(LOOKUP(2,1/(INDEX(Listado!A:A,2):INDEX(Listado!A:A,ROW())&lt;&gt;""),ROW(INDEX(Listado!A:A,2):INDEX(Listado!A:A,ROW()))),""))</f>
        <v/>
      </c>
      <c r="O785" s="17" t="str">
        <f>IFERROR(IF(N785="","",IF(INDEX(Listado!M:M,N785)="No",IF(INDEX(Listado!N:N,N785)=0,"",INDEX(Listado!N:N,N785)),IF(INDEX(Listado!I:I,N785)=0,"",INDEX(Listado!I:I,N785)))),"")</f>
        <v/>
      </c>
      <c r="P785" s="17">
        <f t="shared" ca="1" si="37"/>
        <v/>
      </c>
      <c r="Q785" s="17">
        <f>IFERROR(IF(AND(N785&lt;&gt;"",ISNUMBER(O785),O785&gt;0,O785&gt;=TODAY()-90),1,0),0)</f>
        <v/>
      </c>
      <c r="R785" s="17" t="str">
        <f t="shared" si="39"/>
        <v/>
      </c>
      <c r="S785" s="17" t="str">
        <f>IF(INDEX(Listado!A:A,ROW())="","",INDEX(Listado!A:A,ROW()))</f>
        <v/>
      </c>
      <c r="T785" s="17" t="str">
        <f ca="1">IF(INDEX(Listado!G:G,ROW())="","",INDEX(Listado!G:G,ROW()))</f>
        <v/>
      </c>
      <c r="U785" s="17" t="str">
        <f>IF(INDEX(Listado!F:F,ROW())="","",INDEX(Listado!F:F,ROW()))</f>
        <v/>
      </c>
      <c r="V785" s="17">
        <f>IF(COUNTA(INDEX(Listado!B:B,ROW()):INDEX(Listado!F:F,ROW()))&gt;0,1,0)</f>
        <v/>
      </c>
      <c r="W785" s="17" t="str">
        <f>IF(INDEX(Listado!L:L,ROW())="","",INDEX(Listado!L:L,ROW()))</f>
        <v/>
      </c>
      <c r="X785" s="17">
        <f>IF(N785="","",IF(INDEX(Listado!$M:$M,N785)="No","No","Sí"))</f>
        <v/>
      </c>
    </row>
    <row r="786" spans="2:24" ht="14.25">
      <c r="N786" s="17" t="str">
        <f>IF(V786=0,"",IFERROR(LOOKUP(2,1/(INDEX(Listado!A:A,2):INDEX(Listado!A:A,ROW())&lt;&gt;""),ROW(INDEX(Listado!A:A,2):INDEX(Listado!A:A,ROW()))),""))</f>
        <v/>
      </c>
      <c r="O786" s="17" t="str">
        <f>IFERROR(IF(N786="","",IF(INDEX(Listado!M:M,N786)="No",IF(INDEX(Listado!N:N,N786)=0,"",INDEX(Listado!N:N,N786)),IF(INDEX(Listado!I:I,N786)=0,"",INDEX(Listado!I:I,N786)))),"")</f>
        <v/>
      </c>
      <c r="P786" s="17">
        <f t="shared" ca="1" si="37"/>
        <v/>
      </c>
      <c r="Q786" s="17">
        <f>IFERROR(IF(AND(N786&lt;&gt;"",ISNUMBER(O786),O786&gt;0,O786&gt;=TODAY()-90),1,0),0)</f>
        <v/>
      </c>
      <c r="R786" s="17" t="str">
        <f t="shared" si="39"/>
        <v/>
      </c>
      <c r="S786" s="17" t="str">
        <f>IF(INDEX(Listado!A:A,ROW())="","",INDEX(Listado!A:A,ROW()))</f>
        <v/>
      </c>
      <c r="T786" s="17" t="str">
        <f ca="1">IF(INDEX(Listado!G:G,ROW())="","",INDEX(Listado!G:G,ROW()))</f>
        <v/>
      </c>
      <c r="U786" s="17" t="str">
        <f>IF(INDEX(Listado!F:F,ROW())="","",INDEX(Listado!F:F,ROW()))</f>
        <v/>
      </c>
      <c r="V786" s="17">
        <f>IF(COUNTA(INDEX(Listado!B:B,ROW()):INDEX(Listado!F:F,ROW()))&gt;0,1,0)</f>
        <v/>
      </c>
      <c r="W786" s="17" t="str">
        <f>IF(INDEX(Listado!L:L,ROW())="","",INDEX(Listado!L:L,ROW()))</f>
        <v/>
      </c>
      <c r="X786" s="17">
        <f>IF(N786="","",IF(INDEX(Listado!$M:$M,N786)="No","No","Sí"))</f>
        <v/>
      </c>
    </row>
    <row r="787" spans="2:24" ht="14.25">
      <c r="N787" s="17" t="str">
        <f>IF(V787=0,"",IFERROR(LOOKUP(2,1/(INDEX(Listado!A:A,2):INDEX(Listado!A:A,ROW())&lt;&gt;""),ROW(INDEX(Listado!A:A,2):INDEX(Listado!A:A,ROW()))),""))</f>
        <v/>
      </c>
      <c r="O787" s="17" t="str">
        <f>IFERROR(IF(N787="","",IF(INDEX(Listado!M:M,N787)="No",IF(INDEX(Listado!N:N,N787)=0,"",INDEX(Listado!N:N,N787)),IF(INDEX(Listado!I:I,N787)=0,"",INDEX(Listado!I:I,N787)))),"")</f>
        <v/>
      </c>
      <c r="P787" s="17">
        <f t="shared" ca="1" si="37"/>
        <v/>
      </c>
      <c r="Q787" s="17">
        <f>IFERROR(IF(AND(N787&lt;&gt;"",ISNUMBER(O787),O787&gt;0,O787&gt;=TODAY()-90),1,0),0)</f>
        <v/>
      </c>
      <c r="R787" s="17" t="str">
        <f t="shared" si="39"/>
        <v/>
      </c>
      <c r="S787" s="17" t="str">
        <f>IF(INDEX(Listado!A:A,ROW())="","",INDEX(Listado!A:A,ROW()))</f>
        <v/>
      </c>
      <c r="T787" s="17" t="str">
        <f ca="1">IF(INDEX(Listado!G:G,ROW())="","",INDEX(Listado!G:G,ROW()))</f>
        <v/>
      </c>
      <c r="U787" s="17" t="str">
        <f>IF(INDEX(Listado!F:F,ROW())="","",INDEX(Listado!F:F,ROW()))</f>
        <v/>
      </c>
      <c r="V787" s="17">
        <f>IF(COUNTA(INDEX(Listado!B:B,ROW()):INDEX(Listado!F:F,ROW()))&gt;0,1,0)</f>
        <v/>
      </c>
      <c r="W787" s="17" t="str">
        <f>IF(INDEX(Listado!L:L,ROW())="","",INDEX(Listado!L:L,ROW()))</f>
        <v/>
      </c>
      <c r="X787" s="17">
        <f>IF(N787="","",IF(INDEX(Listado!$M:$M,N787)="No","No","Sí"))</f>
        <v/>
      </c>
    </row>
    <row r="788" spans="2:24" ht="14.25">
      <c r="N788" s="17" t="str">
        <f>IF(V788=0,"",IFERROR(LOOKUP(2,1/(INDEX(Listado!A:A,2):INDEX(Listado!A:A,ROW())&lt;&gt;""),ROW(INDEX(Listado!A:A,2):INDEX(Listado!A:A,ROW()))),""))</f>
        <v/>
      </c>
      <c r="O788" s="17" t="str">
        <f>IFERROR(IF(N788="","",IF(INDEX(Listado!M:M,N788)="No",IF(INDEX(Listado!N:N,N788)=0,"",INDEX(Listado!N:N,N788)),IF(INDEX(Listado!I:I,N788)=0,"",INDEX(Listado!I:I,N788)))),"")</f>
        <v/>
      </c>
      <c r="P788" s="17">
        <f t="shared" ca="1" si="37"/>
        <v/>
      </c>
      <c r="Q788" s="17">
        <f>IFERROR(IF(AND(N788&lt;&gt;"",ISNUMBER(O788),O788&gt;0,O788&gt;=TODAY()-90),1,0),0)</f>
        <v/>
      </c>
      <c r="R788" s="17" t="str">
        <f t="shared" si="39"/>
        <v/>
      </c>
      <c r="S788" s="17" t="str">
        <f>IF(INDEX(Listado!A:A,ROW())="","",INDEX(Listado!A:A,ROW()))</f>
        <v/>
      </c>
      <c r="T788" s="17" t="str">
        <f ca="1">IF(INDEX(Listado!G:G,ROW())="","",INDEX(Listado!G:G,ROW()))</f>
        <v/>
      </c>
      <c r="U788" s="17" t="str">
        <f>IF(INDEX(Listado!F:F,ROW())="","",INDEX(Listado!F:F,ROW()))</f>
        <v/>
      </c>
      <c r="V788" s="17">
        <f>IF(COUNTA(INDEX(Listado!B:B,ROW()):INDEX(Listado!F:F,ROW()))&gt;0,1,0)</f>
        <v/>
      </c>
      <c r="W788" s="17" t="str">
        <f>IF(INDEX(Listado!L:L,ROW())="","",INDEX(Listado!L:L,ROW()))</f>
        <v/>
      </c>
      <c r="X788" s="17">
        <f>IF(N788="","",IF(INDEX(Listado!$M:$M,N788)="No","No","Sí"))</f>
        <v/>
      </c>
    </row>
    <row r="789" spans="2:24" ht="14.25">
      <c r="N789" s="17" t="str">
        <f>IF(V789=0,"",IFERROR(LOOKUP(2,1/(INDEX(Listado!A:A,2):INDEX(Listado!A:A,ROW())&lt;&gt;""),ROW(INDEX(Listado!A:A,2):INDEX(Listado!A:A,ROW()))),""))</f>
        <v/>
      </c>
      <c r="O789" s="17" t="str">
        <f>IFERROR(IF(N789="","",IF(INDEX(Listado!M:M,N789)="No",IF(INDEX(Listado!N:N,N789)=0,"",INDEX(Listado!N:N,N789)),IF(INDEX(Listado!I:I,N789)=0,"",INDEX(Listado!I:I,N789)))),"")</f>
        <v/>
      </c>
      <c r="P789" s="17">
        <f t="shared" ca="1" si="37"/>
        <v/>
      </c>
      <c r="Q789" s="17">
        <f>IFERROR(IF(AND(N789&lt;&gt;"",ISNUMBER(O789),O789&gt;0,O789&gt;=TODAY()-90),1,0),0)</f>
        <v/>
      </c>
      <c r="R789" s="17" t="str">
        <f t="shared" si="39"/>
        <v/>
      </c>
      <c r="S789" s="17" t="str">
        <f>IF(INDEX(Listado!A:A,ROW())="","",INDEX(Listado!A:A,ROW()))</f>
        <v/>
      </c>
      <c r="T789" s="17" t="str">
        <f ca="1">IF(INDEX(Listado!G:G,ROW())="","",INDEX(Listado!G:G,ROW()))</f>
        <v/>
      </c>
      <c r="U789" s="17" t="str">
        <f>IF(INDEX(Listado!F:F,ROW())="","",INDEX(Listado!F:F,ROW()))</f>
        <v/>
      </c>
      <c r="V789" s="17">
        <f>IF(COUNTA(INDEX(Listado!B:B,ROW()):INDEX(Listado!F:F,ROW()))&gt;0,1,0)</f>
        <v/>
      </c>
      <c r="W789" s="17" t="str">
        <f>IF(INDEX(Listado!L:L,ROW())="","",INDEX(Listado!L:L,ROW()))</f>
        <v/>
      </c>
      <c r="X789" s="17">
        <f>IF(N789="","",IF(INDEX(Listado!$M:$M,N789)="No","No","Sí"))</f>
        <v/>
      </c>
    </row>
    <row r="790" spans="2:24" ht="14.25">
      <c r="N790" s="17" t="str">
        <f>IF(V790=0,"",IFERROR(LOOKUP(2,1/(INDEX(Listado!A:A,2):INDEX(Listado!A:A,ROW())&lt;&gt;""),ROW(INDEX(Listado!A:A,2):INDEX(Listado!A:A,ROW()))),""))</f>
        <v/>
      </c>
      <c r="O790" s="17" t="str">
        <f>IFERROR(IF(N790="","",IF(INDEX(Listado!M:M,N790)="No",IF(INDEX(Listado!N:N,N790)=0,"",INDEX(Listado!N:N,N790)),IF(INDEX(Listado!I:I,N790)=0,"",INDEX(Listado!I:I,N790)))),"")</f>
        <v/>
      </c>
      <c r="P790" s="17">
        <f t="shared" ca="1" si="37"/>
        <v/>
      </c>
      <c r="Q790" s="17">
        <f>IFERROR(IF(AND(N790&lt;&gt;"",ISNUMBER(O790),O790&gt;0,O790&gt;=TODAY()-90),1,0),0)</f>
        <v/>
      </c>
      <c r="R790" s="17" t="str">
        <f t="shared" si="39"/>
        <v/>
      </c>
      <c r="S790" s="17" t="str">
        <f>IF(INDEX(Listado!A:A,ROW())="","",INDEX(Listado!A:A,ROW()))</f>
        <v/>
      </c>
      <c r="T790" s="17" t="str">
        <f ca="1">IF(INDEX(Listado!G:G,ROW())="","",INDEX(Listado!G:G,ROW()))</f>
        <v/>
      </c>
      <c r="U790" s="17" t="str">
        <f>IF(INDEX(Listado!F:F,ROW())="","",INDEX(Listado!F:F,ROW()))</f>
        <v/>
      </c>
      <c r="V790" s="17">
        <f>IF(COUNTA(INDEX(Listado!B:B,ROW()):INDEX(Listado!F:F,ROW()))&gt;0,1,0)</f>
        <v/>
      </c>
      <c r="W790" s="17" t="str">
        <f>IF(INDEX(Listado!L:L,ROW())="","",INDEX(Listado!L:L,ROW()))</f>
        <v/>
      </c>
      <c r="X790" s="17">
        <f>IF(N790="","",IF(INDEX(Listado!$M:$M,N790)="No","No","Sí"))</f>
        <v/>
      </c>
    </row>
    <row r="791" spans="2:24" ht="14.25">
      <c r="N791" s="17" t="str">
        <f>IF(V791=0,"",IFERROR(LOOKUP(2,1/(INDEX(Listado!A:A,2):INDEX(Listado!A:A,ROW())&lt;&gt;""),ROW(INDEX(Listado!A:A,2):INDEX(Listado!A:A,ROW()))),""))</f>
        <v/>
      </c>
      <c r="O791" s="17" t="str">
        <f>IFERROR(IF(N791="","",IF(INDEX(Listado!M:M,N791)="No",IF(INDEX(Listado!N:N,N791)=0,"",INDEX(Listado!N:N,N791)),IF(INDEX(Listado!I:I,N791)=0,"",INDEX(Listado!I:I,N791)))),"")</f>
        <v/>
      </c>
      <c r="P791" s="17">
        <f t="shared" ca="1" si="37"/>
        <v/>
      </c>
      <c r="Q791" s="17">
        <f>IFERROR(IF(AND(N791&lt;&gt;"",ISNUMBER(O791),O791&gt;0,O791&gt;=TODAY()-90),1,0),0)</f>
        <v/>
      </c>
      <c r="R791" s="17" t="str">
        <f t="shared" si="39"/>
        <v/>
      </c>
      <c r="S791" s="17" t="str">
        <f>IF(INDEX(Listado!A:A,ROW())="","",INDEX(Listado!A:A,ROW()))</f>
        <v/>
      </c>
      <c r="T791" s="17" t="str">
        <f ca="1">IF(INDEX(Listado!G:G,ROW())="","",INDEX(Listado!G:G,ROW()))</f>
        <v/>
      </c>
      <c r="U791" s="17" t="str">
        <f>IF(INDEX(Listado!F:F,ROW())="","",INDEX(Listado!F:F,ROW()))</f>
        <v/>
      </c>
      <c r="V791" s="17">
        <f>IF(COUNTA(INDEX(Listado!B:B,ROW()):INDEX(Listado!F:F,ROW()))&gt;0,1,0)</f>
        <v/>
      </c>
      <c r="W791" s="17" t="str">
        <f>IF(INDEX(Listado!L:L,ROW())="","",INDEX(Listado!L:L,ROW()))</f>
        <v/>
      </c>
      <c r="X791" s="17">
        <f>IF(N791="","",IF(INDEX(Listado!$M:$M,N791)="No","No","Sí"))</f>
        <v/>
      </c>
    </row>
    <row r="792" spans="2:24" ht="14.25">
      <c r="N792" s="17" t="str">
        <f>IF(V792=0,"",IFERROR(LOOKUP(2,1/(INDEX(Listado!A:A,2):INDEX(Listado!A:A,ROW())&lt;&gt;""),ROW(INDEX(Listado!A:A,2):INDEX(Listado!A:A,ROW()))),""))</f>
        <v/>
      </c>
      <c r="O792" s="17" t="str">
        <f>IFERROR(IF(N792="","",IF(INDEX(Listado!M:M,N792)="No",IF(INDEX(Listado!N:N,N792)=0,"",INDEX(Listado!N:N,N792)),IF(INDEX(Listado!I:I,N792)=0,"",INDEX(Listado!I:I,N792)))),"")</f>
        <v/>
      </c>
      <c r="P792" s="17">
        <f t="shared" ca="1" si="37"/>
        <v/>
      </c>
      <c r="Q792" s="17">
        <f>IFERROR(IF(AND(N792&lt;&gt;"",ISNUMBER(O792),O792&gt;0,O792&gt;=TODAY()-90),1,0),0)</f>
        <v/>
      </c>
      <c r="R792" s="17" t="str">
        <f t="shared" si="39"/>
        <v/>
      </c>
      <c r="S792" s="17" t="str">
        <f>IF(INDEX(Listado!A:A,ROW())="","",INDEX(Listado!A:A,ROW()))</f>
        <v/>
      </c>
      <c r="T792" s="17" t="str">
        <f ca="1">IF(INDEX(Listado!G:G,ROW())="","",INDEX(Listado!G:G,ROW()))</f>
        <v/>
      </c>
      <c r="U792" s="17" t="str">
        <f>IF(INDEX(Listado!F:F,ROW())="","",INDEX(Listado!F:F,ROW()))</f>
        <v/>
      </c>
      <c r="V792" s="17">
        <f>IF(COUNTA(INDEX(Listado!B:B,ROW()):INDEX(Listado!F:F,ROW()))&gt;0,1,0)</f>
        <v/>
      </c>
      <c r="W792" s="17" t="str">
        <f>IF(INDEX(Listado!L:L,ROW())="","",INDEX(Listado!L:L,ROW()))</f>
        <v/>
      </c>
      <c r="X792" s="17">
        <f>IF(N792="","",IF(INDEX(Listado!$M:$M,N792)="No","No","Sí"))</f>
        <v/>
      </c>
    </row>
    <row r="793" spans="2:24" ht="14.25">
      <c r="N793" s="17" t="str">
        <f>IF(V793=0,"",IFERROR(LOOKUP(2,1/(INDEX(Listado!A:A,2):INDEX(Listado!A:A,ROW())&lt;&gt;""),ROW(INDEX(Listado!A:A,2):INDEX(Listado!A:A,ROW()))),""))</f>
        <v/>
      </c>
      <c r="O793" s="17" t="str">
        <f>IFERROR(IF(N793="","",IF(INDEX(Listado!M:M,N793)="No",IF(INDEX(Listado!N:N,N793)=0,"",INDEX(Listado!N:N,N793)),IF(INDEX(Listado!I:I,N793)=0,"",INDEX(Listado!I:I,N793)))),"")</f>
        <v/>
      </c>
      <c r="P793" s="17">
        <f t="shared" ca="1" si="37"/>
        <v/>
      </c>
      <c r="Q793" s="17">
        <f>IFERROR(IF(AND(N793&lt;&gt;"",ISNUMBER(O793),O793&gt;0,O793&gt;=TODAY()-90),1,0),0)</f>
        <v/>
      </c>
      <c r="R793" s="17" t="str">
        <f t="shared" si="39"/>
        <v/>
      </c>
      <c r="S793" s="17" t="str">
        <f>IF(INDEX(Listado!A:A,ROW())="","",INDEX(Listado!A:A,ROW()))</f>
        <v/>
      </c>
      <c r="T793" s="17" t="str">
        <f ca="1">IF(INDEX(Listado!G:G,ROW())="","",INDEX(Listado!G:G,ROW()))</f>
        <v/>
      </c>
      <c r="U793" s="17" t="str">
        <f>IF(INDEX(Listado!F:F,ROW())="","",INDEX(Listado!F:F,ROW()))</f>
        <v/>
      </c>
      <c r="V793" s="17">
        <f>IF(COUNTA(INDEX(Listado!B:B,ROW()):INDEX(Listado!F:F,ROW()))&gt;0,1,0)</f>
        <v/>
      </c>
      <c r="W793" s="17" t="str">
        <f>IF(INDEX(Listado!L:L,ROW())="","",INDEX(Listado!L:L,ROW()))</f>
        <v/>
      </c>
      <c r="X793" s="17">
        <f>IF(N793="","",IF(INDEX(Listado!$M:$M,N793)="No","No","Sí"))</f>
        <v/>
      </c>
    </row>
    <row r="794" spans="2:24" ht="14.25">
      <c r="N794" s="17" t="str">
        <f>IF(V794=0,"",IFERROR(LOOKUP(2,1/(INDEX(Listado!A:A,2):INDEX(Listado!A:A,ROW())&lt;&gt;""),ROW(INDEX(Listado!A:A,2):INDEX(Listado!A:A,ROW()))),""))</f>
        <v/>
      </c>
      <c r="O794" s="17" t="str">
        <f>IFERROR(IF(N794="","",IF(INDEX(Listado!M:M,N794)="No",IF(INDEX(Listado!N:N,N794)=0,"",INDEX(Listado!N:N,N794)),IF(INDEX(Listado!I:I,N794)=0,"",INDEX(Listado!I:I,N794)))),"")</f>
        <v/>
      </c>
      <c r="P794" s="17">
        <f t="shared" ca="1" si="37"/>
        <v/>
      </c>
      <c r="Q794" s="17">
        <f>IFERROR(IF(AND(N794&lt;&gt;"",ISNUMBER(O794),O794&gt;0,O794&gt;=TODAY()-90),1,0),0)</f>
        <v/>
      </c>
      <c r="R794" s="17" t="str">
        <f t="shared" si="39"/>
        <v/>
      </c>
      <c r="S794" s="17" t="str">
        <f>IF(INDEX(Listado!A:A,ROW())="","",INDEX(Listado!A:A,ROW()))</f>
        <v/>
      </c>
      <c r="T794" s="17" t="str">
        <f ca="1">IF(INDEX(Listado!G:G,ROW())="","",INDEX(Listado!G:G,ROW()))</f>
        <v/>
      </c>
      <c r="U794" s="17" t="str">
        <f>IF(INDEX(Listado!F:F,ROW())="","",INDEX(Listado!F:F,ROW()))</f>
        <v/>
      </c>
      <c r="V794" s="17">
        <f>IF(COUNTA(INDEX(Listado!B:B,ROW()):INDEX(Listado!F:F,ROW()))&gt;0,1,0)</f>
        <v/>
      </c>
      <c r="W794" s="17" t="str">
        <f>IF(INDEX(Listado!L:L,ROW())="","",INDEX(Listado!L:L,ROW()))</f>
        <v/>
      </c>
      <c r="X794" s="17">
        <f>IF(N794="","",IF(INDEX(Listado!$M:$M,N794)="No","No","Sí"))</f>
        <v/>
      </c>
    </row>
    <row r="795" spans="2:24" ht="14.25">
      <c r="N795" s="17" t="str">
        <f>IF(V795=0,"",IFERROR(LOOKUP(2,1/(INDEX(Listado!A:A,2):INDEX(Listado!A:A,ROW())&lt;&gt;""),ROW(INDEX(Listado!A:A,2):INDEX(Listado!A:A,ROW()))),""))</f>
        <v/>
      </c>
      <c r="O795" s="17" t="str">
        <f>IFERROR(IF(N795="","",IF(INDEX(Listado!M:M,N795)="No",IF(INDEX(Listado!N:N,N795)=0,"",INDEX(Listado!N:N,N795)),IF(INDEX(Listado!I:I,N795)=0,"",INDEX(Listado!I:I,N795)))),"")</f>
        <v/>
      </c>
      <c r="P795" s="17">
        <f t="shared" ca="1" si="37"/>
        <v/>
      </c>
      <c r="Q795" s="17">
        <f>IFERROR(IF(AND(N795&lt;&gt;"",ISNUMBER(O795),O795&gt;0,O795&gt;=TODAY()-90),1,0),0)</f>
        <v/>
      </c>
      <c r="R795" s="17" t="str">
        <f t="shared" si="39"/>
        <v/>
      </c>
      <c r="S795" s="17" t="str">
        <f>IF(INDEX(Listado!A:A,ROW())="","",INDEX(Listado!A:A,ROW()))</f>
        <v/>
      </c>
      <c r="T795" s="17" t="str">
        <f ca="1">IF(INDEX(Listado!G:G,ROW())="","",INDEX(Listado!G:G,ROW()))</f>
        <v/>
      </c>
      <c r="U795" s="17" t="str">
        <f>IF(INDEX(Listado!F:F,ROW())="","",INDEX(Listado!F:F,ROW()))</f>
        <v/>
      </c>
      <c r="V795" s="17">
        <f>IF(COUNTA(INDEX(Listado!B:B,ROW()):INDEX(Listado!F:F,ROW()))&gt;0,1,0)</f>
        <v/>
      </c>
      <c r="W795" s="17" t="str">
        <f>IF(INDEX(Listado!L:L,ROW())="","",INDEX(Listado!L:L,ROW()))</f>
        <v/>
      </c>
      <c r="X795" s="17">
        <f>IF(N795="","",IF(INDEX(Listado!$M:$M,N795)="No","No","Sí"))</f>
        <v/>
      </c>
    </row>
    <row r="796" spans="2:24" ht="14.25">
      <c r="N796" s="17" t="str">
        <f>IF(V796=0,"",IFERROR(LOOKUP(2,1/(INDEX(Listado!A:A,2):INDEX(Listado!A:A,ROW())&lt;&gt;""),ROW(INDEX(Listado!A:A,2):INDEX(Listado!A:A,ROW()))),""))</f>
        <v/>
      </c>
      <c r="O796" s="17" t="str">
        <f>IFERROR(IF(N796="","",IF(INDEX(Listado!M:M,N796)="No",IF(INDEX(Listado!N:N,N796)=0,"",INDEX(Listado!N:N,N796)),IF(INDEX(Listado!I:I,N796)=0,"",INDEX(Listado!I:I,N796)))),"")</f>
        <v/>
      </c>
      <c r="P796" s="17">
        <f t="shared" ca="1" si="37"/>
        <v/>
      </c>
      <c r="Q796" s="17">
        <f>IFERROR(IF(AND(N796&lt;&gt;"",ISNUMBER(O796),O796&gt;0,O796&gt;=TODAY()-90),1,0),0)</f>
        <v/>
      </c>
      <c r="R796" s="17" t="str">
        <f t="shared" si="39"/>
        <v/>
      </c>
      <c r="S796" s="17" t="str">
        <f>IF(INDEX(Listado!A:A,ROW())="","",INDEX(Listado!A:A,ROW()))</f>
        <v/>
      </c>
      <c r="T796" s="17" t="str">
        <f ca="1">IF(INDEX(Listado!G:G,ROW())="","",INDEX(Listado!G:G,ROW()))</f>
        <v/>
      </c>
      <c r="U796" s="17" t="str">
        <f>IF(INDEX(Listado!F:F,ROW())="","",INDEX(Listado!F:F,ROW()))</f>
        <v/>
      </c>
      <c r="V796" s="17">
        <f>IF(COUNTA(INDEX(Listado!B:B,ROW()):INDEX(Listado!F:F,ROW()))&gt;0,1,0)</f>
        <v/>
      </c>
      <c r="W796" s="17" t="str">
        <f>IF(INDEX(Listado!L:L,ROW())="","",INDEX(Listado!L:L,ROW()))</f>
        <v/>
      </c>
      <c r="X796" s="17">
        <f>IF(N796="","",IF(INDEX(Listado!$M:$M,N796)="No","No","Sí"))</f>
        <v/>
      </c>
    </row>
    <row r="797" spans="2:24" ht="14.25">
      <c r="N797" s="17" t="str">
        <f>IF(V797=0,"",IFERROR(LOOKUP(2,1/(INDEX(Listado!A:A,2):INDEX(Listado!A:A,ROW())&lt;&gt;""),ROW(INDEX(Listado!A:A,2):INDEX(Listado!A:A,ROW()))),""))</f>
        <v/>
      </c>
      <c r="O797" s="17" t="str">
        <f>IFERROR(IF(N797="","",IF(INDEX(Listado!M:M,N797)="No",IF(INDEX(Listado!N:N,N797)=0,"",INDEX(Listado!N:N,N797)),IF(INDEX(Listado!I:I,N797)=0,"",INDEX(Listado!I:I,N797)))),"")</f>
        <v/>
      </c>
      <c r="P797" s="17">
        <f t="shared" ca="1" si="37"/>
        <v/>
      </c>
      <c r="Q797" s="17">
        <f>IFERROR(IF(AND(N797&lt;&gt;"",ISNUMBER(O797),O797&gt;0,O797&gt;=TODAY()-90),1,0),0)</f>
        <v/>
      </c>
      <c r="R797" s="17" t="str">
        <f t="shared" si="39"/>
        <v/>
      </c>
      <c r="S797" s="17" t="str">
        <f>IF(INDEX(Listado!A:A,ROW())="","",INDEX(Listado!A:A,ROW()))</f>
        <v/>
      </c>
      <c r="T797" s="17" t="str">
        <f ca="1">IF(INDEX(Listado!G:G,ROW())="","",INDEX(Listado!G:G,ROW()))</f>
        <v/>
      </c>
      <c r="U797" s="17" t="str">
        <f>IF(INDEX(Listado!F:F,ROW())="","",INDEX(Listado!F:F,ROW()))</f>
        <v/>
      </c>
      <c r="V797" s="17">
        <f>IF(COUNTA(INDEX(Listado!B:B,ROW()):INDEX(Listado!F:F,ROW()))&gt;0,1,0)</f>
        <v/>
      </c>
      <c r="W797" s="17" t="str">
        <f>IF(INDEX(Listado!L:L,ROW())="","",INDEX(Listado!L:L,ROW()))</f>
        <v/>
      </c>
      <c r="X797" s="17">
        <f>IF(N797="","",IF(INDEX(Listado!$M:$M,N797)="No","No","Sí"))</f>
        <v/>
      </c>
    </row>
    <row r="798" spans="2:24" ht="14.25">
      <c r="N798" s="17" t="str">
        <f>IF(V798=0,"",IFERROR(LOOKUP(2,1/(INDEX(Listado!A:A,2):INDEX(Listado!A:A,ROW())&lt;&gt;""),ROW(INDEX(Listado!A:A,2):INDEX(Listado!A:A,ROW()))),""))</f>
        <v/>
      </c>
      <c r="O798" s="17" t="str">
        <f>IFERROR(IF(N798="","",IF(INDEX(Listado!M:M,N798)="No",IF(INDEX(Listado!N:N,N798)=0,"",INDEX(Listado!N:N,N798)),IF(INDEX(Listado!I:I,N798)=0,"",INDEX(Listado!I:I,N798)))),"")</f>
        <v/>
      </c>
      <c r="P798" s="17">
        <f t="shared" ca="1" si="37"/>
        <v/>
      </c>
      <c r="Q798" s="17">
        <f>IFERROR(IF(AND(N798&lt;&gt;"",ISNUMBER(O798),O798&gt;0,O798&gt;=TODAY()-90),1,0),0)</f>
        <v/>
      </c>
      <c r="R798" s="17" t="str">
        <f t="shared" si="39"/>
        <v/>
      </c>
      <c r="S798" s="17" t="str">
        <f>IF(INDEX(Listado!A:A,ROW())="","",INDEX(Listado!A:A,ROW()))</f>
        <v/>
      </c>
      <c r="T798" s="17" t="str">
        <f ca="1">IF(INDEX(Listado!G:G,ROW())="","",INDEX(Listado!G:G,ROW()))</f>
        <v/>
      </c>
      <c r="U798" s="17" t="str">
        <f>IF(INDEX(Listado!F:F,ROW())="","",INDEX(Listado!F:F,ROW()))</f>
        <v/>
      </c>
      <c r="V798" s="17">
        <f>IF(COUNTA(INDEX(Listado!B:B,ROW()):INDEX(Listado!F:F,ROW()))&gt;0,1,0)</f>
        <v/>
      </c>
      <c r="W798" s="17" t="str">
        <f>IF(INDEX(Listado!L:L,ROW())="","",INDEX(Listado!L:L,ROW()))</f>
        <v/>
      </c>
      <c r="X798" s="17">
        <f>IF(N798="","",IF(INDEX(Listado!$M:$M,N798)="No","No","Sí"))</f>
        <v/>
      </c>
    </row>
    <row r="799" spans="2:24" ht="14.25">
      <c r="N799" s="17" t="str">
        <f>IF(V799=0,"",IFERROR(LOOKUP(2,1/(INDEX(Listado!A:A,2):INDEX(Listado!A:A,ROW())&lt;&gt;""),ROW(INDEX(Listado!A:A,2):INDEX(Listado!A:A,ROW()))),""))</f>
        <v/>
      </c>
      <c r="O799" s="17" t="str">
        <f>IFERROR(IF(N799="","",IF(INDEX(Listado!M:M,N799)="No",IF(INDEX(Listado!N:N,N799)=0,"",INDEX(Listado!N:N,N799)),IF(INDEX(Listado!I:I,N799)=0,"",INDEX(Listado!I:I,N799)))),"")</f>
        <v/>
      </c>
      <c r="P799" s="17">
        <f t="shared" ca="1" si="37"/>
        <v/>
      </c>
      <c r="Q799" s="17">
        <f>IFERROR(IF(AND(N799&lt;&gt;"",ISNUMBER(O799),O799&gt;0,O799&gt;=TODAY()-90),1,0),0)</f>
        <v/>
      </c>
      <c r="R799" s="17" t="str">
        <f t="shared" si="39"/>
        <v/>
      </c>
      <c r="S799" s="17" t="str">
        <f>IF(INDEX(Listado!A:A,ROW())="","",INDEX(Listado!A:A,ROW()))</f>
        <v/>
      </c>
      <c r="T799" s="17" t="str">
        <f ca="1">IF(INDEX(Listado!G:G,ROW())="","",INDEX(Listado!G:G,ROW()))</f>
        <v/>
      </c>
      <c r="U799" s="17" t="str">
        <f>IF(INDEX(Listado!F:F,ROW())="","",INDEX(Listado!F:F,ROW()))</f>
        <v/>
      </c>
      <c r="V799" s="17">
        <f>IF(COUNTA(INDEX(Listado!B:B,ROW()):INDEX(Listado!F:F,ROW()))&gt;0,1,0)</f>
        <v/>
      </c>
      <c r="W799" s="17" t="str">
        <f>IF(INDEX(Listado!L:L,ROW())="","",INDEX(Listado!L:L,ROW()))</f>
        <v/>
      </c>
      <c r="X799" s="17">
        <f>IF(N799="","",IF(INDEX(Listado!$M:$M,N799)="No","No","Sí"))</f>
        <v/>
      </c>
    </row>
    <row r="800" spans="2:24" ht="14.25">
      <c r="N800" s="17" t="str">
        <f>IF(V800=0,"",IFERROR(LOOKUP(2,1/(INDEX(Listado!A:A,2):INDEX(Listado!A:A,ROW())&lt;&gt;""),ROW(INDEX(Listado!A:A,2):INDEX(Listado!A:A,ROW()))),""))</f>
        <v/>
      </c>
      <c r="O800" s="17" t="str">
        <f>IFERROR(IF(N800="","",IF(INDEX(Listado!M:M,N800)="No",IF(INDEX(Listado!N:N,N800)=0,"",INDEX(Listado!N:N,N800)),IF(INDEX(Listado!I:I,N800)=0,"",INDEX(Listado!I:I,N800)))),"")</f>
        <v/>
      </c>
      <c r="P800" s="17">
        <f t="shared" ca="1" si="37"/>
        <v/>
      </c>
      <c r="Q800" s="17">
        <f>IFERROR(IF(AND(N800&lt;&gt;"",ISNUMBER(O800),O800&gt;0,O800&gt;=TODAY()-90),1,0),0)</f>
        <v/>
      </c>
      <c r="R800" s="17" t="str">
        <f t="shared" si="39"/>
        <v/>
      </c>
      <c r="S800" s="17" t="str">
        <f>IF(INDEX(Listado!A:A,ROW())="","",INDEX(Listado!A:A,ROW()))</f>
        <v/>
      </c>
      <c r="T800" s="17" t="str">
        <f ca="1">IF(INDEX(Listado!G:G,ROW())="","",INDEX(Listado!G:G,ROW()))</f>
        <v/>
      </c>
      <c r="U800" s="17" t="str">
        <f>IF(INDEX(Listado!F:F,ROW())="","",INDEX(Listado!F:F,ROW()))</f>
        <v/>
      </c>
      <c r="V800" s="17">
        <f>IF(COUNTA(INDEX(Listado!B:B,ROW()):INDEX(Listado!F:F,ROW()))&gt;0,1,0)</f>
        <v/>
      </c>
      <c r="W800" s="17" t="str">
        <f>IF(INDEX(Listado!L:L,ROW())="","",INDEX(Listado!L:L,ROW()))</f>
        <v/>
      </c>
      <c r="X800" s="17">
        <f>IF(N800="","",IF(INDEX(Listado!$M:$M,N800)="No","No","Sí"))</f>
        <v/>
      </c>
    </row>
    <row r="801" spans="2:24" ht="14.25">
      <c r="N801" s="17" t="str">
        <f>IF(V801=0,"",IFERROR(LOOKUP(2,1/(INDEX(Listado!A:A,2):INDEX(Listado!A:A,ROW())&lt;&gt;""),ROW(INDEX(Listado!A:A,2):INDEX(Listado!A:A,ROW()))),""))</f>
        <v/>
      </c>
      <c r="O801" s="17" t="str">
        <f>IFERROR(IF(N801="","",IF(INDEX(Listado!M:M,N801)="No",IF(INDEX(Listado!N:N,N801)=0,"",INDEX(Listado!N:N,N801)),IF(INDEX(Listado!I:I,N801)=0,"",INDEX(Listado!I:I,N801)))),"")</f>
        <v/>
      </c>
      <c r="P801" s="17">
        <f t="shared" ca="1" si="37"/>
        <v/>
      </c>
      <c r="Q801" s="17">
        <f>IFERROR(IF(AND(N801&lt;&gt;"",ISNUMBER(O801),O801&gt;0,O801&gt;=TODAY()-90),1,0),0)</f>
        <v/>
      </c>
      <c r="R801" s="17" t="str">
        <f t="shared" si="39"/>
        <v/>
      </c>
      <c r="S801" s="17" t="str">
        <f>IF(INDEX(Listado!A:A,ROW())="","",INDEX(Listado!A:A,ROW()))</f>
        <v/>
      </c>
      <c r="T801" s="17" t="str">
        <f ca="1">IF(INDEX(Listado!G:G,ROW())="","",INDEX(Listado!G:G,ROW()))</f>
        <v/>
      </c>
      <c r="U801" s="17" t="str">
        <f>IF(INDEX(Listado!F:F,ROW())="","",INDEX(Listado!F:F,ROW()))</f>
        <v/>
      </c>
      <c r="V801" s="17">
        <f>IF(COUNTA(INDEX(Listado!B:B,ROW()):INDEX(Listado!F:F,ROW()))&gt;0,1,0)</f>
        <v/>
      </c>
      <c r="W801" s="17" t="str">
        <f>IF(INDEX(Listado!L:L,ROW())="","",INDEX(Listado!L:L,ROW()))</f>
        <v/>
      </c>
      <c r="X801" s="17">
        <f>IF(N801="","",IF(INDEX(Listado!$M:$M,N801)="No","No","Sí"))</f>
        <v/>
      </c>
    </row>
    <row r="802" spans="2:24" ht="14.25">
      <c r="N802" s="17" t="str">
        <f>IF(V802=0,"",IFERROR(LOOKUP(2,1/(INDEX(Listado!A:A,2):INDEX(Listado!A:A,ROW())&lt;&gt;""),ROW(INDEX(Listado!A:A,2):INDEX(Listado!A:A,ROW()))),""))</f>
        <v/>
      </c>
      <c r="O802" s="17" t="str">
        <f>IFERROR(IF(N802="","",IF(INDEX(Listado!M:M,N802)="No",IF(INDEX(Listado!N:N,N802)=0,"",INDEX(Listado!N:N,N802)),IF(INDEX(Listado!I:I,N802)=0,"",INDEX(Listado!I:I,N802)))),"")</f>
        <v/>
      </c>
      <c r="P802" s="17">
        <f t="shared" ca="1" si="37"/>
        <v/>
      </c>
      <c r="Q802" s="17">
        <f>IFERROR(IF(AND(N802&lt;&gt;"",ISNUMBER(O802),O802&gt;0,O802&gt;=TODAY()-90),1,0),0)</f>
        <v/>
      </c>
      <c r="R802" s="17" t="str">
        <f t="shared" si="39"/>
        <v/>
      </c>
      <c r="S802" s="17" t="str">
        <f>IF(INDEX(Listado!A:A,ROW())="","",INDEX(Listado!A:A,ROW()))</f>
        <v/>
      </c>
      <c r="T802" s="17" t="str">
        <f ca="1">IF(INDEX(Listado!G:G,ROW())="","",INDEX(Listado!G:G,ROW()))</f>
        <v/>
      </c>
      <c r="U802" s="17" t="str">
        <f>IF(INDEX(Listado!F:F,ROW())="","",INDEX(Listado!F:F,ROW()))</f>
        <v/>
      </c>
      <c r="V802" s="17">
        <f>IF(COUNTA(INDEX(Listado!B:B,ROW()):INDEX(Listado!F:F,ROW()))&gt;0,1,0)</f>
        <v/>
      </c>
      <c r="W802" s="17" t="str">
        <f>IF(INDEX(Listado!L:L,ROW())="","",INDEX(Listado!L:L,ROW()))</f>
        <v/>
      </c>
      <c r="X802" s="17">
        <f>IF(N802="","",IF(INDEX(Listado!$M:$M,N802)="No","No","Sí"))</f>
        <v/>
      </c>
    </row>
    <row r="803" spans="2:24" ht="14.25">
      <c r="N803" s="17" t="str">
        <f>IF(V803=0,"",IFERROR(LOOKUP(2,1/(INDEX(Listado!A:A,2):INDEX(Listado!A:A,ROW())&lt;&gt;""),ROW(INDEX(Listado!A:A,2):INDEX(Listado!A:A,ROW()))),""))</f>
        <v/>
      </c>
      <c r="O803" s="17" t="str">
        <f>IFERROR(IF(N803="","",IF(INDEX(Listado!M:M,N803)="No",IF(INDEX(Listado!N:N,N803)=0,"",INDEX(Listado!N:N,N803)),IF(INDEX(Listado!I:I,N803)=0,"",INDEX(Listado!I:I,N803)))),"")</f>
        <v/>
      </c>
      <c r="P803" s="17">
        <f t="shared" ca="1" si="37"/>
        <v/>
      </c>
      <c r="Q803" s="17">
        <f>IFERROR(IF(AND(N803&lt;&gt;"",ISNUMBER(O803),O803&gt;0,O803&gt;=TODAY()-90),1,0),0)</f>
        <v/>
      </c>
      <c r="R803" s="17" t="str">
        <f t="shared" si="39"/>
        <v/>
      </c>
      <c r="S803" s="17" t="str">
        <f>IF(INDEX(Listado!A:A,ROW())="","",INDEX(Listado!A:A,ROW()))</f>
        <v/>
      </c>
      <c r="T803" s="17" t="str">
        <f ca="1">IF(INDEX(Listado!G:G,ROW())="","",INDEX(Listado!G:G,ROW()))</f>
        <v/>
      </c>
      <c r="U803" s="17" t="str">
        <f>IF(INDEX(Listado!F:F,ROW())="","",INDEX(Listado!F:F,ROW()))</f>
        <v/>
      </c>
      <c r="V803" s="17">
        <f>IF(COUNTA(INDEX(Listado!B:B,ROW()):INDEX(Listado!F:F,ROW()))&gt;0,1,0)</f>
        <v/>
      </c>
      <c r="W803" s="17" t="str">
        <f>IF(INDEX(Listado!L:L,ROW())="","",INDEX(Listado!L:L,ROW()))</f>
        <v/>
      </c>
      <c r="X803" s="17">
        <f>IF(N803="","",IF(INDEX(Listado!$M:$M,N803)="No","No","Sí"))</f>
        <v/>
      </c>
    </row>
    <row r="804" spans="2:24" ht="14.25">
      <c r="N804" s="17" t="str">
        <f>IF(V804=0,"",IFERROR(LOOKUP(2,1/(INDEX(Listado!A:A,2):INDEX(Listado!A:A,ROW())&lt;&gt;""),ROW(INDEX(Listado!A:A,2):INDEX(Listado!A:A,ROW()))),""))</f>
        <v/>
      </c>
      <c r="O804" s="17" t="str">
        <f>IFERROR(IF(N804="","",IF(INDEX(Listado!M:M,N804)="No",IF(INDEX(Listado!N:N,N804)=0,"",INDEX(Listado!N:N,N804)),IF(INDEX(Listado!I:I,N804)=0,"",INDEX(Listado!I:I,N804)))),"")</f>
        <v/>
      </c>
      <c r="P804" s="17">
        <f t="shared" ca="1" si="37"/>
        <v/>
      </c>
      <c r="Q804" s="17">
        <f>IFERROR(IF(AND(N804&lt;&gt;"",ISNUMBER(O804),O804&gt;0,O804&gt;=TODAY()-90),1,0),0)</f>
        <v/>
      </c>
      <c r="R804" s="17" t="str">
        <f t="shared" si="39"/>
        <v/>
      </c>
      <c r="S804" s="17" t="str">
        <f>IF(INDEX(Listado!A:A,ROW())="","",INDEX(Listado!A:A,ROW()))</f>
        <v/>
      </c>
      <c r="T804" s="17" t="str">
        <f ca="1">IF(INDEX(Listado!G:G,ROW())="","",INDEX(Listado!G:G,ROW()))</f>
        <v/>
      </c>
      <c r="U804" s="17" t="str">
        <f>IF(INDEX(Listado!F:F,ROW())="","",INDEX(Listado!F:F,ROW()))</f>
        <v/>
      </c>
      <c r="V804" s="17">
        <f>IF(COUNTA(INDEX(Listado!B:B,ROW()):INDEX(Listado!F:F,ROW()))&gt;0,1,0)</f>
        <v/>
      </c>
      <c r="W804" s="17" t="str">
        <f>IF(INDEX(Listado!L:L,ROW())="","",INDEX(Listado!L:L,ROW()))</f>
        <v/>
      </c>
      <c r="X804" s="17">
        <f>IF(N804="","",IF(INDEX(Listado!$M:$M,N804)="No","No","Sí"))</f>
        <v/>
      </c>
    </row>
    <row r="805" spans="2:24" ht="14.25">
      <c r="N805" s="17" t="str">
        <f>IF(V805=0,"",IFERROR(LOOKUP(2,1/(INDEX(Listado!A:A,2):INDEX(Listado!A:A,ROW())&lt;&gt;""),ROW(INDEX(Listado!A:A,2):INDEX(Listado!A:A,ROW()))),""))</f>
        <v/>
      </c>
      <c r="O805" s="17" t="str">
        <f>IFERROR(IF(N805="","",IF(INDEX(Listado!M:M,N805)="No",IF(INDEX(Listado!N:N,N805)=0,"",INDEX(Listado!N:N,N805)),IF(INDEX(Listado!I:I,N805)=0,"",INDEX(Listado!I:I,N805)))),"")</f>
        <v/>
      </c>
      <c r="P805" s="17">
        <f t="shared" ca="1" si="37"/>
        <v/>
      </c>
      <c r="Q805" s="17">
        <f>IFERROR(IF(AND(N805&lt;&gt;"",ISNUMBER(O805),O805&gt;0,O805&gt;=TODAY()-90),1,0),0)</f>
        <v/>
      </c>
      <c r="R805" s="17" t="str">
        <f t="shared" si="39"/>
        <v/>
      </c>
      <c r="S805" s="17" t="str">
        <f>IF(INDEX(Listado!A:A,ROW())="","",INDEX(Listado!A:A,ROW()))</f>
        <v/>
      </c>
      <c r="T805" s="17" t="str">
        <f ca="1">IF(INDEX(Listado!G:G,ROW())="","",INDEX(Listado!G:G,ROW()))</f>
        <v/>
      </c>
      <c r="U805" s="17" t="str">
        <f>IF(INDEX(Listado!F:F,ROW())="","",INDEX(Listado!F:F,ROW()))</f>
        <v/>
      </c>
      <c r="V805" s="17">
        <f>IF(COUNTA(INDEX(Listado!B:B,ROW()):INDEX(Listado!F:F,ROW()))&gt;0,1,0)</f>
        <v/>
      </c>
      <c r="W805" s="17" t="str">
        <f>IF(INDEX(Listado!L:L,ROW())="","",INDEX(Listado!L:L,ROW()))</f>
        <v/>
      </c>
      <c r="X805" s="17">
        <f>IF(N805="","",IF(INDEX(Listado!$M:$M,N805)="No","No","Sí"))</f>
        <v/>
      </c>
    </row>
    <row r="806" spans="2:24" ht="14.25">
      <c r="N806" s="17" t="str">
        <f>IF(V806=0,"",IFERROR(LOOKUP(2,1/(INDEX(Listado!A:A,2):INDEX(Listado!A:A,ROW())&lt;&gt;""),ROW(INDEX(Listado!A:A,2):INDEX(Listado!A:A,ROW()))),""))</f>
        <v/>
      </c>
      <c r="O806" s="17" t="str">
        <f>IFERROR(IF(N806="","",IF(INDEX(Listado!M:M,N806)="No",IF(INDEX(Listado!N:N,N806)=0,"",INDEX(Listado!N:N,N806)),IF(INDEX(Listado!I:I,N806)=0,"",INDEX(Listado!I:I,N806)))),"")</f>
        <v/>
      </c>
      <c r="P806" s="17">
        <f t="shared" ca="1" si="37"/>
        <v/>
      </c>
      <c r="Q806" s="17">
        <f>IFERROR(IF(AND(N806&lt;&gt;"",ISNUMBER(O806),O806&gt;0,O806&gt;=TODAY()-90),1,0),0)</f>
        <v/>
      </c>
      <c r="R806" s="17" t="str">
        <f t="shared" si="39"/>
        <v/>
      </c>
      <c r="S806" s="17" t="str">
        <f>IF(INDEX(Listado!A:A,ROW())="","",INDEX(Listado!A:A,ROW()))</f>
        <v/>
      </c>
      <c r="T806" s="17" t="str">
        <f ca="1">IF(INDEX(Listado!G:G,ROW())="","",INDEX(Listado!G:G,ROW()))</f>
        <v/>
      </c>
      <c r="U806" s="17" t="str">
        <f>IF(INDEX(Listado!F:F,ROW())="","",INDEX(Listado!F:F,ROW()))</f>
        <v/>
      </c>
      <c r="V806" s="17">
        <f>IF(COUNTA(INDEX(Listado!B:B,ROW()):INDEX(Listado!F:F,ROW()))&gt;0,1,0)</f>
        <v/>
      </c>
      <c r="W806" s="17" t="str">
        <f>IF(INDEX(Listado!L:L,ROW())="","",INDEX(Listado!L:L,ROW()))</f>
        <v/>
      </c>
      <c r="X806" s="17">
        <f>IF(N806="","",IF(INDEX(Listado!$M:$M,N806)="No","No","Sí"))</f>
        <v/>
      </c>
    </row>
    <row r="807" spans="2:24" ht="14.25">
      <c r="N807" s="17" t="str">
        <f>IF(V807=0,"",IFERROR(LOOKUP(2,1/(INDEX(Listado!A:A,2):INDEX(Listado!A:A,ROW())&lt;&gt;""),ROW(INDEX(Listado!A:A,2):INDEX(Listado!A:A,ROW()))),""))</f>
        <v/>
      </c>
      <c r="O807" s="17" t="str">
        <f>IFERROR(IF(N807="","",IF(INDEX(Listado!M:M,N807)="No",IF(INDEX(Listado!N:N,N807)=0,"",INDEX(Listado!N:N,N807)),IF(INDEX(Listado!I:I,N807)=0,"",INDEX(Listado!I:I,N807)))),"")</f>
        <v/>
      </c>
      <c r="P807" s="17">
        <f t="shared" ca="1" si="37"/>
        <v/>
      </c>
      <c r="Q807" s="17">
        <f>IFERROR(IF(AND(N807&lt;&gt;"",ISNUMBER(O807),O807&gt;0,O807&gt;=TODAY()-90),1,0),0)</f>
        <v/>
      </c>
      <c r="R807" s="17" t="str">
        <f t="shared" si="39"/>
        <v/>
      </c>
      <c r="S807" s="17" t="str">
        <f>IF(INDEX(Listado!A:A,ROW())="","",INDEX(Listado!A:A,ROW()))</f>
        <v/>
      </c>
      <c r="T807" s="17" t="str">
        <f ca="1">IF(INDEX(Listado!G:G,ROW())="","",INDEX(Listado!G:G,ROW()))</f>
        <v/>
      </c>
      <c r="U807" s="17" t="str">
        <f>IF(INDEX(Listado!F:F,ROW())="","",INDEX(Listado!F:F,ROW()))</f>
        <v/>
      </c>
      <c r="V807" s="17">
        <f>IF(COUNTA(INDEX(Listado!B:B,ROW()):INDEX(Listado!F:F,ROW()))&gt;0,1,0)</f>
        <v/>
      </c>
      <c r="W807" s="17" t="str">
        <f>IF(INDEX(Listado!L:L,ROW())="","",INDEX(Listado!L:L,ROW()))</f>
        <v/>
      </c>
      <c r="X807" s="17">
        <f>IF(N807="","",IF(INDEX(Listado!$M:$M,N807)="No","No","Sí"))</f>
        <v/>
      </c>
    </row>
    <row r="808" spans="2:24" ht="14.25">
      <c r="N808" s="17" t="str">
        <f>IF(V808=0,"",IFERROR(LOOKUP(2,1/(INDEX(Listado!A:A,2):INDEX(Listado!A:A,ROW())&lt;&gt;""),ROW(INDEX(Listado!A:A,2):INDEX(Listado!A:A,ROW()))),""))</f>
        <v/>
      </c>
      <c r="O808" s="17" t="str">
        <f>IFERROR(IF(N808="","",IF(INDEX(Listado!M:M,N808)="No",IF(INDEX(Listado!N:N,N808)=0,"",INDEX(Listado!N:N,N808)),IF(INDEX(Listado!I:I,N808)=0,"",INDEX(Listado!I:I,N808)))),"")</f>
        <v/>
      </c>
      <c r="P808" s="17">
        <f t="shared" ca="1" si="37"/>
        <v/>
      </c>
      <c r="Q808" s="17">
        <f>IFERROR(IF(AND(N808&lt;&gt;"",ISNUMBER(O808),O808&gt;0,O808&gt;=TODAY()-90),1,0),0)</f>
        <v/>
      </c>
      <c r="R808" s="17" t="str">
        <f t="shared" si="39"/>
        <v/>
      </c>
      <c r="S808" s="17" t="str">
        <f>IF(INDEX(Listado!A:A,ROW())="","",INDEX(Listado!A:A,ROW()))</f>
        <v/>
      </c>
      <c r="T808" s="17" t="str">
        <f ca="1">IF(INDEX(Listado!G:G,ROW())="","",INDEX(Listado!G:G,ROW()))</f>
        <v/>
      </c>
      <c r="U808" s="17" t="str">
        <f>IF(INDEX(Listado!F:F,ROW())="","",INDEX(Listado!F:F,ROW()))</f>
        <v/>
      </c>
      <c r="V808" s="17">
        <f>IF(COUNTA(INDEX(Listado!B:B,ROW()):INDEX(Listado!F:F,ROW()))&gt;0,1,0)</f>
        <v/>
      </c>
      <c r="W808" s="17" t="str">
        <f>IF(INDEX(Listado!L:L,ROW())="","",INDEX(Listado!L:L,ROW()))</f>
        <v/>
      </c>
      <c r="X808" s="17">
        <f>IF(N808="","",IF(INDEX(Listado!$M:$M,N808)="No","No","Sí"))</f>
        <v/>
      </c>
    </row>
    <row r="809" spans="2:24" ht="14.25">
      <c r="N809" s="17" t="str">
        <f>IF(V809=0,"",IFERROR(LOOKUP(2,1/(INDEX(Listado!A:A,2):INDEX(Listado!A:A,ROW())&lt;&gt;""),ROW(INDEX(Listado!A:A,2):INDEX(Listado!A:A,ROW()))),""))</f>
        <v/>
      </c>
      <c r="O809" s="17" t="str">
        <f>IFERROR(IF(N809="","",IF(INDEX(Listado!M:M,N809)="No",IF(INDEX(Listado!N:N,N809)=0,"",INDEX(Listado!N:N,N809)),IF(INDEX(Listado!I:I,N809)=0,"",INDEX(Listado!I:I,N809)))),"")</f>
        <v/>
      </c>
      <c r="P809" s="17">
        <f t="shared" ca="1" si="37"/>
        <v/>
      </c>
      <c r="Q809" s="17">
        <f>IFERROR(IF(AND(N809&lt;&gt;"",ISNUMBER(O809),O809&gt;0,O809&gt;=TODAY()-90),1,0),0)</f>
        <v/>
      </c>
      <c r="R809" s="17" t="str">
        <f t="shared" si="39"/>
        <v/>
      </c>
      <c r="S809" s="17" t="str">
        <f>IF(INDEX(Listado!A:A,ROW())="","",INDEX(Listado!A:A,ROW()))</f>
        <v/>
      </c>
      <c r="T809" s="17" t="str">
        <f ca="1">IF(INDEX(Listado!G:G,ROW())="","",INDEX(Listado!G:G,ROW()))</f>
        <v/>
      </c>
      <c r="U809" s="17" t="str">
        <f>IF(INDEX(Listado!F:F,ROW())="","",INDEX(Listado!F:F,ROW()))</f>
        <v/>
      </c>
      <c r="V809" s="17">
        <f>IF(COUNTA(INDEX(Listado!B:B,ROW()):INDEX(Listado!F:F,ROW()))&gt;0,1,0)</f>
        <v/>
      </c>
      <c r="W809" s="17" t="str">
        <f>IF(INDEX(Listado!L:L,ROW())="","",INDEX(Listado!L:L,ROW()))</f>
        <v/>
      </c>
      <c r="X809" s="17">
        <f>IF(N809="","",IF(INDEX(Listado!$M:$M,N809)="No","No","Sí"))</f>
        <v/>
      </c>
    </row>
    <row r="810" spans="2:24" ht="14.25">
      <c r="N810" s="17" t="str">
        <f>IF(V810=0,"",IFERROR(LOOKUP(2,1/(INDEX(Listado!A:A,2):INDEX(Listado!A:A,ROW())&lt;&gt;""),ROW(INDEX(Listado!A:A,2):INDEX(Listado!A:A,ROW()))),""))</f>
        <v/>
      </c>
      <c r="O810" s="17" t="str">
        <f>IFERROR(IF(N810="","",IF(INDEX(Listado!M:M,N810)="No",IF(INDEX(Listado!N:N,N810)=0,"",INDEX(Listado!N:N,N810)),IF(INDEX(Listado!I:I,N810)=0,"",INDEX(Listado!I:I,N810)))),"")</f>
        <v/>
      </c>
      <c r="P810" s="17">
        <f t="shared" ca="1" si="37"/>
        <v/>
      </c>
      <c r="Q810" s="17">
        <f>IFERROR(IF(AND(N810&lt;&gt;"",ISNUMBER(O810),O810&gt;0,O810&gt;=TODAY()-90),1,0),0)</f>
        <v/>
      </c>
      <c r="R810" s="17" t="str">
        <f t="shared" si="39"/>
        <v/>
      </c>
      <c r="S810" s="17" t="str">
        <f>IF(INDEX(Listado!A:A,ROW())="","",INDEX(Listado!A:A,ROW()))</f>
        <v/>
      </c>
      <c r="T810" s="17" t="str">
        <f ca="1">IF(INDEX(Listado!G:G,ROW())="","",INDEX(Listado!G:G,ROW()))</f>
        <v/>
      </c>
      <c r="U810" s="17" t="str">
        <f>IF(INDEX(Listado!F:F,ROW())="","",INDEX(Listado!F:F,ROW()))</f>
        <v/>
      </c>
      <c r="V810" s="17">
        <f>IF(COUNTA(INDEX(Listado!B:B,ROW()):INDEX(Listado!F:F,ROW()))&gt;0,1,0)</f>
        <v/>
      </c>
      <c r="W810" s="17" t="str">
        <f>IF(INDEX(Listado!L:L,ROW())="","",INDEX(Listado!L:L,ROW()))</f>
        <v/>
      </c>
      <c r="X810" s="17">
        <f>IF(N810="","",IF(INDEX(Listado!$M:$M,N810)="No","No","Sí"))</f>
        <v/>
      </c>
    </row>
    <row r="811" spans="2:24" ht="14.25">
      <c r="N811" s="17" t="str">
        <f>IF(V811=0,"",IFERROR(LOOKUP(2,1/(INDEX(Listado!A:A,2):INDEX(Listado!A:A,ROW())&lt;&gt;""),ROW(INDEX(Listado!A:A,2):INDEX(Listado!A:A,ROW()))),""))</f>
        <v/>
      </c>
      <c r="O811" s="17" t="str">
        <f>IFERROR(IF(N811="","",IF(INDEX(Listado!M:M,N811)="No",IF(INDEX(Listado!N:N,N811)=0,"",INDEX(Listado!N:N,N811)),IF(INDEX(Listado!I:I,N811)=0,"",INDEX(Listado!I:I,N811)))),"")</f>
        <v/>
      </c>
      <c r="P811" s="17">
        <f t="shared" ca="1" si="37"/>
        <v/>
      </c>
      <c r="Q811" s="17">
        <f>IFERROR(IF(AND(N811&lt;&gt;"",ISNUMBER(O811),O811&gt;0,O811&gt;=TODAY()-90),1,0),0)</f>
        <v/>
      </c>
      <c r="R811" s="17" t="str">
        <f t="shared" si="39"/>
        <v/>
      </c>
      <c r="S811" s="17" t="str">
        <f>IF(INDEX(Listado!A:A,ROW())="","",INDEX(Listado!A:A,ROW()))</f>
        <v/>
      </c>
      <c r="T811" s="17" t="str">
        <f ca="1">IF(INDEX(Listado!G:G,ROW())="","",INDEX(Listado!G:G,ROW()))</f>
        <v/>
      </c>
      <c r="U811" s="17" t="str">
        <f>IF(INDEX(Listado!F:F,ROW())="","",INDEX(Listado!F:F,ROW()))</f>
        <v/>
      </c>
      <c r="V811" s="17">
        <f>IF(COUNTA(INDEX(Listado!B:B,ROW()):INDEX(Listado!F:F,ROW()))&gt;0,1,0)</f>
        <v/>
      </c>
      <c r="W811" s="17" t="str">
        <f>IF(INDEX(Listado!L:L,ROW())="","",INDEX(Listado!L:L,ROW()))</f>
        <v/>
      </c>
      <c r="X811" s="17">
        <f>IF(N811="","",IF(INDEX(Listado!$M:$M,N811)="No","No","Sí"))</f>
        <v/>
      </c>
    </row>
    <row r="812" spans="2:24" ht="14.25">
      <c r="N812" s="17" t="str">
        <f>IF(V812=0,"",IFERROR(LOOKUP(2,1/(INDEX(Listado!A:A,2):INDEX(Listado!A:A,ROW())&lt;&gt;""),ROW(INDEX(Listado!A:A,2):INDEX(Listado!A:A,ROW()))),""))</f>
        <v/>
      </c>
      <c r="O812" s="17" t="str">
        <f>IFERROR(IF(N812="","",IF(INDEX(Listado!M:M,N812)="No",IF(INDEX(Listado!N:N,N812)=0,"",INDEX(Listado!N:N,N812)),IF(INDEX(Listado!I:I,N812)=0,"",INDEX(Listado!I:I,N812)))),"")</f>
        <v/>
      </c>
      <c r="P812" s="17">
        <f t="shared" ca="1" si="37"/>
        <v/>
      </c>
      <c r="Q812" s="17">
        <f>IFERROR(IF(AND(N812&lt;&gt;"",ISNUMBER(O812),O812&gt;0,O812&gt;=TODAY()-90),1,0),0)</f>
        <v/>
      </c>
      <c r="R812" s="17" t="str">
        <f t="shared" si="39"/>
        <v/>
      </c>
      <c r="S812" s="17" t="str">
        <f>IF(INDEX(Listado!A:A,ROW())="","",INDEX(Listado!A:A,ROW()))</f>
        <v/>
      </c>
      <c r="T812" s="17" t="str">
        <f ca="1">IF(INDEX(Listado!G:G,ROW())="","",INDEX(Listado!G:G,ROW()))</f>
        <v/>
      </c>
      <c r="U812" s="17" t="str">
        <f>IF(INDEX(Listado!F:F,ROW())="","",INDEX(Listado!F:F,ROW()))</f>
        <v/>
      </c>
      <c r="V812" s="17">
        <f>IF(COUNTA(INDEX(Listado!B:B,ROW()):INDEX(Listado!F:F,ROW()))&gt;0,1,0)</f>
        <v/>
      </c>
      <c r="W812" s="17" t="str">
        <f>IF(INDEX(Listado!L:L,ROW())="","",INDEX(Listado!L:L,ROW()))</f>
        <v/>
      </c>
      <c r="X812" s="17">
        <f>IF(N812="","",IF(INDEX(Listado!$M:$M,N812)="No","No","Sí"))</f>
        <v/>
      </c>
    </row>
    <row r="813" spans="2:24" ht="14.25">
      <c r="N813" s="17" t="str">
        <f>IF(V813=0,"",IFERROR(LOOKUP(2,1/(INDEX(Listado!A:A,2):INDEX(Listado!A:A,ROW())&lt;&gt;""),ROW(INDEX(Listado!A:A,2):INDEX(Listado!A:A,ROW()))),""))</f>
        <v/>
      </c>
      <c r="O813" s="17" t="str">
        <f>IFERROR(IF(N813="","",IF(INDEX(Listado!M:M,N813)="No",IF(INDEX(Listado!N:N,N813)=0,"",INDEX(Listado!N:N,N813)),IF(INDEX(Listado!I:I,N813)=0,"",INDEX(Listado!I:I,N813)))),"")</f>
        <v/>
      </c>
      <c r="P813" s="17">
        <f t="shared" ca="1" si="37"/>
        <v/>
      </c>
      <c r="Q813" s="17">
        <f>IFERROR(IF(AND(N813&lt;&gt;"",ISNUMBER(O813),O813&gt;0,O813&gt;=TODAY()-90),1,0),0)</f>
        <v/>
      </c>
      <c r="R813" s="17" t="str">
        <f t="shared" si="39"/>
        <v/>
      </c>
      <c r="S813" s="17" t="str">
        <f>IF(INDEX(Listado!A:A,ROW())="","",INDEX(Listado!A:A,ROW()))</f>
        <v/>
      </c>
      <c r="T813" s="17" t="str">
        <f ca="1">IF(INDEX(Listado!G:G,ROW())="","",INDEX(Listado!G:G,ROW()))</f>
        <v/>
      </c>
      <c r="U813" s="17" t="str">
        <f>IF(INDEX(Listado!F:F,ROW())="","",INDEX(Listado!F:F,ROW()))</f>
        <v/>
      </c>
      <c r="V813" s="17">
        <f>IF(COUNTA(INDEX(Listado!B:B,ROW()):INDEX(Listado!F:F,ROW()))&gt;0,1,0)</f>
        <v/>
      </c>
      <c r="W813" s="17" t="str">
        <f>IF(INDEX(Listado!L:L,ROW())="","",INDEX(Listado!L:L,ROW()))</f>
        <v/>
      </c>
      <c r="X813" s="17">
        <f>IF(N813="","",IF(INDEX(Listado!$M:$M,N813)="No","No","Sí"))</f>
        <v/>
      </c>
    </row>
    <row r="814" spans="2:24" ht="14.25">
      <c r="N814" s="17" t="str">
        <f>IF(V814=0,"",IFERROR(LOOKUP(2,1/(INDEX(Listado!A:A,2):INDEX(Listado!A:A,ROW())&lt;&gt;""),ROW(INDEX(Listado!A:A,2):INDEX(Listado!A:A,ROW()))),""))</f>
        <v/>
      </c>
      <c r="O814" s="17" t="str">
        <f>IFERROR(IF(N814="","",IF(INDEX(Listado!M:M,N814)="No",IF(INDEX(Listado!N:N,N814)=0,"",INDEX(Listado!N:N,N814)),IF(INDEX(Listado!I:I,N814)=0,"",INDEX(Listado!I:I,N814)))),"")</f>
        <v/>
      </c>
      <c r="P814" s="17">
        <f t="shared" ca="1" si="37"/>
        <v/>
      </c>
      <c r="Q814" s="17">
        <f>IFERROR(IF(AND(N814&lt;&gt;"",ISNUMBER(O814),O814&gt;0,O814&gt;=TODAY()-90),1,0),0)</f>
        <v/>
      </c>
      <c r="R814" s="17" t="str">
        <f t="shared" si="39"/>
        <v/>
      </c>
      <c r="S814" s="17" t="str">
        <f>IF(INDEX(Listado!A:A,ROW())="","",INDEX(Listado!A:A,ROW()))</f>
        <v/>
      </c>
      <c r="T814" s="17" t="str">
        <f ca="1">IF(INDEX(Listado!G:G,ROW())="","",INDEX(Listado!G:G,ROW()))</f>
        <v/>
      </c>
      <c r="U814" s="17" t="str">
        <f>IF(INDEX(Listado!F:F,ROW())="","",INDEX(Listado!F:F,ROW()))</f>
        <v/>
      </c>
      <c r="V814" s="17">
        <f>IF(COUNTA(INDEX(Listado!B:B,ROW()):INDEX(Listado!F:F,ROW()))&gt;0,1,0)</f>
        <v/>
      </c>
      <c r="W814" s="17" t="str">
        <f>IF(INDEX(Listado!L:L,ROW())="","",INDEX(Listado!L:L,ROW()))</f>
        <v/>
      </c>
      <c r="X814" s="17">
        <f>IF(N814="","",IF(INDEX(Listado!$M:$M,N814)="No","No","Sí"))</f>
        <v/>
      </c>
    </row>
    <row r="815" spans="2:24" ht="14.25">
      <c r="N815" s="17" t="str">
        <f>IF(V815=0,"",IFERROR(LOOKUP(2,1/(INDEX(Listado!A:A,2):INDEX(Listado!A:A,ROW())&lt;&gt;""),ROW(INDEX(Listado!A:A,2):INDEX(Listado!A:A,ROW()))),""))</f>
        <v/>
      </c>
      <c r="O815" s="17" t="str">
        <f>IFERROR(IF(N815="","",IF(INDEX(Listado!M:M,N815)="No",IF(INDEX(Listado!N:N,N815)=0,"",INDEX(Listado!N:N,N815)),IF(INDEX(Listado!I:I,N815)=0,"",INDEX(Listado!I:I,N815)))),"")</f>
        <v/>
      </c>
      <c r="P815" s="17">
        <f t="shared" ca="1" si="37"/>
        <v/>
      </c>
      <c r="Q815" s="17">
        <f>IFERROR(IF(AND(N815&lt;&gt;"",ISNUMBER(O815),O815&gt;0,O815&gt;=TODAY()-90),1,0),0)</f>
        <v/>
      </c>
      <c r="R815" s="17" t="str">
        <f t="shared" si="39"/>
        <v/>
      </c>
      <c r="S815" s="17" t="str">
        <f>IF(INDEX(Listado!A:A,ROW())="","",INDEX(Listado!A:A,ROW()))</f>
        <v/>
      </c>
      <c r="T815" s="17" t="str">
        <f ca="1">IF(INDEX(Listado!G:G,ROW())="","",INDEX(Listado!G:G,ROW()))</f>
        <v/>
      </c>
      <c r="U815" s="17" t="str">
        <f>IF(INDEX(Listado!F:F,ROW())="","",INDEX(Listado!F:F,ROW()))</f>
        <v/>
      </c>
      <c r="V815" s="17">
        <f>IF(COUNTA(INDEX(Listado!B:B,ROW()):INDEX(Listado!F:F,ROW()))&gt;0,1,0)</f>
        <v/>
      </c>
      <c r="W815" s="17" t="str">
        <f>IF(INDEX(Listado!L:L,ROW())="","",INDEX(Listado!L:L,ROW()))</f>
        <v/>
      </c>
      <c r="X815" s="17">
        <f>IF(N815="","",IF(INDEX(Listado!$M:$M,N815)="No","No","Sí"))</f>
        <v/>
      </c>
    </row>
    <row r="816" spans="2:24" ht="14.25">
      <c r="N816" s="17" t="str">
        <f>IF(V816=0,"",IFERROR(LOOKUP(2,1/(INDEX(Listado!A:A,2):INDEX(Listado!A:A,ROW())&lt;&gt;""),ROW(INDEX(Listado!A:A,2):INDEX(Listado!A:A,ROW()))),""))</f>
        <v/>
      </c>
      <c r="O816" s="17" t="str">
        <f>IFERROR(IF(N816="","",IF(INDEX(Listado!M:M,N816)="No",IF(INDEX(Listado!N:N,N816)=0,"",INDEX(Listado!N:N,N816)),IF(INDEX(Listado!I:I,N816)=0,"",INDEX(Listado!I:I,N816)))),"")</f>
        <v/>
      </c>
      <c r="P816" s="17">
        <f t="shared" ca="1" si="37"/>
        <v/>
      </c>
      <c r="Q816" s="17">
        <f>IFERROR(IF(AND(N816&lt;&gt;"",ISNUMBER(O816),O816&gt;0,O816&gt;=TODAY()-90),1,0),0)</f>
        <v/>
      </c>
      <c r="R816" s="17" t="str">
        <f t="shared" si="39"/>
        <v/>
      </c>
      <c r="S816" s="17" t="str">
        <f>IF(INDEX(Listado!A:A,ROW())="","",INDEX(Listado!A:A,ROW()))</f>
        <v/>
      </c>
      <c r="T816" s="17" t="str">
        <f ca="1">IF(INDEX(Listado!G:G,ROW())="","",INDEX(Listado!G:G,ROW()))</f>
        <v/>
      </c>
      <c r="U816" s="17" t="str">
        <f>IF(INDEX(Listado!F:F,ROW())="","",INDEX(Listado!F:F,ROW()))</f>
        <v/>
      </c>
      <c r="V816" s="17">
        <f>IF(COUNTA(INDEX(Listado!B:B,ROW()):INDEX(Listado!F:F,ROW()))&gt;0,1,0)</f>
        <v/>
      </c>
      <c r="W816" s="17" t="str">
        <f>IF(INDEX(Listado!L:L,ROW())="","",INDEX(Listado!L:L,ROW()))</f>
        <v/>
      </c>
      <c r="X816" s="17">
        <f>IF(N816="","",IF(INDEX(Listado!$M:$M,N816)="No","No","Sí"))</f>
        <v/>
      </c>
    </row>
    <row r="817" spans="2:24" ht="14.25">
      <c r="N817" s="17" t="str">
        <f>IF(V817=0,"",IFERROR(LOOKUP(2,1/(INDEX(Listado!A:A,2):INDEX(Listado!A:A,ROW())&lt;&gt;""),ROW(INDEX(Listado!A:A,2):INDEX(Listado!A:A,ROW()))),""))</f>
        <v/>
      </c>
      <c r="O817" s="17" t="str">
        <f>IFERROR(IF(N817="","",IF(INDEX(Listado!M:M,N817)="No",IF(INDEX(Listado!N:N,N817)=0,"",INDEX(Listado!N:N,N817)),IF(INDEX(Listado!I:I,N817)=0,"",INDEX(Listado!I:I,N817)))),"")</f>
        <v/>
      </c>
      <c r="P817" s="17">
        <f t="shared" ca="1" si="37"/>
        <v/>
      </c>
      <c r="Q817" s="17">
        <f>IFERROR(IF(AND(N817&lt;&gt;"",ISNUMBER(O817),O817&gt;0,O817&gt;=TODAY()-90),1,0),0)</f>
        <v/>
      </c>
      <c r="R817" s="17" t="str">
        <f t="shared" si="39"/>
        <v/>
      </c>
      <c r="S817" s="17" t="str">
        <f>IF(INDEX(Listado!A:A,ROW())="","",INDEX(Listado!A:A,ROW()))</f>
        <v/>
      </c>
      <c r="T817" s="17" t="str">
        <f ca="1">IF(INDEX(Listado!G:G,ROW())="","",INDEX(Listado!G:G,ROW()))</f>
        <v/>
      </c>
      <c r="U817" s="17" t="str">
        <f>IF(INDEX(Listado!F:F,ROW())="","",INDEX(Listado!F:F,ROW()))</f>
        <v/>
      </c>
      <c r="V817" s="17">
        <f>IF(COUNTA(INDEX(Listado!B:B,ROW()):INDEX(Listado!F:F,ROW()))&gt;0,1,0)</f>
        <v/>
      </c>
      <c r="W817" s="17" t="str">
        <f>IF(INDEX(Listado!L:L,ROW())="","",INDEX(Listado!L:L,ROW()))</f>
        <v/>
      </c>
      <c r="X817" s="17">
        <f>IF(N817="","",IF(INDEX(Listado!$M:$M,N817)="No","No","Sí"))</f>
        <v/>
      </c>
    </row>
    <row r="818" spans="2:24" ht="14.25">
      <c r="N818" s="17" t="str">
        <f>IF(V818=0,"",IFERROR(LOOKUP(2,1/(INDEX(Listado!A:A,2):INDEX(Listado!A:A,ROW())&lt;&gt;""),ROW(INDEX(Listado!A:A,2):INDEX(Listado!A:A,ROW()))),""))</f>
        <v/>
      </c>
      <c r="O818" s="17" t="str">
        <f>IFERROR(IF(N818="","",IF(INDEX(Listado!M:M,N818)="No",IF(INDEX(Listado!N:N,N818)=0,"",INDEX(Listado!N:N,N818)),IF(INDEX(Listado!I:I,N818)=0,"",INDEX(Listado!I:I,N818)))),"")</f>
        <v/>
      </c>
      <c r="P818" s="17">
        <f t="shared" ca="1" si="37"/>
        <v/>
      </c>
      <c r="Q818" s="17">
        <f>IFERROR(IF(AND(N818&lt;&gt;"",ISNUMBER(O818),O818&gt;0,O818&gt;=TODAY()-90),1,0),0)</f>
        <v/>
      </c>
      <c r="R818" s="17" t="str">
        <f t="shared" si="39"/>
        <v/>
      </c>
      <c r="S818" s="17" t="str">
        <f>IF(INDEX(Listado!A:A,ROW())="","",INDEX(Listado!A:A,ROW()))</f>
        <v/>
      </c>
      <c r="T818" s="17" t="str">
        <f ca="1">IF(INDEX(Listado!G:G,ROW())="","",INDEX(Listado!G:G,ROW()))</f>
        <v/>
      </c>
      <c r="U818" s="17" t="str">
        <f>IF(INDEX(Listado!F:F,ROW())="","",INDEX(Listado!F:F,ROW()))</f>
        <v/>
      </c>
      <c r="V818" s="17">
        <f>IF(COUNTA(INDEX(Listado!B:B,ROW()):INDEX(Listado!F:F,ROW()))&gt;0,1,0)</f>
        <v/>
      </c>
      <c r="W818" s="17" t="str">
        <f>IF(INDEX(Listado!L:L,ROW())="","",INDEX(Listado!L:L,ROW()))</f>
        <v/>
      </c>
      <c r="X818" s="17">
        <f>IF(N818="","",IF(INDEX(Listado!$M:$M,N818)="No","No","Sí"))</f>
        <v/>
      </c>
    </row>
    <row r="819" spans="2:24" ht="14.25">
      <c r="N819" s="17" t="str">
        <f>IF(V819=0,"",IFERROR(LOOKUP(2,1/(INDEX(Listado!A:A,2):INDEX(Listado!A:A,ROW())&lt;&gt;""),ROW(INDEX(Listado!A:A,2):INDEX(Listado!A:A,ROW()))),""))</f>
        <v/>
      </c>
      <c r="O819" s="17" t="str">
        <f>IFERROR(IF(N819="","",IF(INDEX(Listado!M:M,N819)="No",IF(INDEX(Listado!N:N,N819)=0,"",INDEX(Listado!N:N,N819)),IF(INDEX(Listado!I:I,N819)=0,"",INDEX(Listado!I:I,N819)))),"")</f>
        <v/>
      </c>
      <c r="P819" s="17">
        <f t="shared" ca="1" si="37"/>
        <v/>
      </c>
      <c r="Q819" s="17">
        <f>IFERROR(IF(AND(N819&lt;&gt;"",ISNUMBER(O819),O819&gt;0,O819&gt;=TODAY()-90),1,0),0)</f>
        <v/>
      </c>
      <c r="R819" s="17" t="str">
        <f t="shared" si="39"/>
        <v/>
      </c>
      <c r="S819" s="17" t="str">
        <f>IF(INDEX(Listado!A:A,ROW())="","",INDEX(Listado!A:A,ROW()))</f>
        <v/>
      </c>
      <c r="T819" s="17" t="str">
        <f ca="1">IF(INDEX(Listado!G:G,ROW())="","",INDEX(Listado!G:G,ROW()))</f>
        <v/>
      </c>
      <c r="U819" s="17" t="str">
        <f>IF(INDEX(Listado!F:F,ROW())="","",INDEX(Listado!F:F,ROW()))</f>
        <v/>
      </c>
      <c r="V819" s="17">
        <f>IF(COUNTA(INDEX(Listado!B:B,ROW()):INDEX(Listado!F:F,ROW()))&gt;0,1,0)</f>
        <v/>
      </c>
      <c r="W819" s="17" t="str">
        <f>IF(INDEX(Listado!L:L,ROW())="","",INDEX(Listado!L:L,ROW()))</f>
        <v/>
      </c>
      <c r="X819" s="17">
        <f>IF(N819="","",IF(INDEX(Listado!$M:$M,N819)="No","No","Sí"))</f>
        <v/>
      </c>
    </row>
    <row r="820" spans="2:24" ht="14.25">
      <c r="N820" s="17" t="str">
        <f>IF(V820=0,"",IFERROR(LOOKUP(2,1/(INDEX(Listado!A:A,2):INDEX(Listado!A:A,ROW())&lt;&gt;""),ROW(INDEX(Listado!A:A,2):INDEX(Listado!A:A,ROW()))),""))</f>
        <v/>
      </c>
      <c r="O820" s="17" t="str">
        <f>IFERROR(IF(N820="","",IF(INDEX(Listado!M:M,N820)="No",IF(INDEX(Listado!N:N,N820)=0,"",INDEX(Listado!N:N,N820)),IF(INDEX(Listado!I:I,N820)=0,"",INDEX(Listado!I:I,N820)))),"")</f>
        <v/>
      </c>
      <c r="P820" s="17">
        <f t="shared" ca="1" si="37"/>
        <v/>
      </c>
      <c r="Q820" s="17">
        <f>IFERROR(IF(AND(N820&lt;&gt;"",ISNUMBER(O820),O820&gt;0,O820&gt;=TODAY()-90),1,0),0)</f>
        <v/>
      </c>
      <c r="R820" s="17" t="str">
        <f t="shared" si="39"/>
        <v/>
      </c>
      <c r="S820" s="17" t="str">
        <f>IF(INDEX(Listado!A:A,ROW())="","",INDEX(Listado!A:A,ROW()))</f>
        <v/>
      </c>
      <c r="T820" s="17" t="str">
        <f ca="1">IF(INDEX(Listado!G:G,ROW())="","",INDEX(Listado!G:G,ROW()))</f>
        <v/>
      </c>
      <c r="U820" s="17" t="str">
        <f>IF(INDEX(Listado!F:F,ROW())="","",INDEX(Listado!F:F,ROW()))</f>
        <v/>
      </c>
      <c r="V820" s="17">
        <f>IF(COUNTA(INDEX(Listado!B:B,ROW()):INDEX(Listado!F:F,ROW()))&gt;0,1,0)</f>
        <v/>
      </c>
      <c r="W820" s="17" t="str">
        <f>IF(INDEX(Listado!L:L,ROW())="","",INDEX(Listado!L:L,ROW()))</f>
        <v/>
      </c>
      <c r="X820" s="17">
        <f>IF(N820="","",IF(INDEX(Listado!$M:$M,N820)="No","No","Sí"))</f>
        <v/>
      </c>
    </row>
    <row r="821" spans="2:24" ht="14.25">
      <c r="N821" s="17" t="str">
        <f>IF(V821=0,"",IFERROR(LOOKUP(2,1/(INDEX(Listado!A:A,2):INDEX(Listado!A:A,ROW())&lt;&gt;""),ROW(INDEX(Listado!A:A,2):INDEX(Listado!A:A,ROW()))),""))</f>
        <v/>
      </c>
      <c r="O821" s="17" t="str">
        <f>IFERROR(IF(N821="","",IF(INDEX(Listado!M:M,N821)="No",IF(INDEX(Listado!N:N,N821)=0,"",INDEX(Listado!N:N,N821)),IF(INDEX(Listado!I:I,N821)=0,"",INDEX(Listado!I:I,N821)))),"")</f>
        <v/>
      </c>
      <c r="P821" s="17">
        <f t="shared" ca="1" si="37"/>
        <v/>
      </c>
      <c r="Q821" s="17">
        <f>IFERROR(IF(AND(N821&lt;&gt;"",ISNUMBER(O821),O821&gt;0,O821&gt;=TODAY()-90),1,0),0)</f>
        <v/>
      </c>
      <c r="R821" s="17" t="str">
        <f t="shared" si="39"/>
        <v/>
      </c>
      <c r="S821" s="17" t="str">
        <f>IF(INDEX(Listado!A:A,ROW())="","",INDEX(Listado!A:A,ROW()))</f>
        <v/>
      </c>
      <c r="T821" s="17" t="str">
        <f ca="1">IF(INDEX(Listado!G:G,ROW())="","",INDEX(Listado!G:G,ROW()))</f>
        <v/>
      </c>
      <c r="U821" s="17" t="str">
        <f>IF(INDEX(Listado!F:F,ROW())="","",INDEX(Listado!F:F,ROW()))</f>
        <v/>
      </c>
      <c r="V821" s="17">
        <f>IF(COUNTA(INDEX(Listado!B:B,ROW()):INDEX(Listado!F:F,ROW()))&gt;0,1,0)</f>
        <v/>
      </c>
      <c r="W821" s="17" t="str">
        <f>IF(INDEX(Listado!L:L,ROW())="","",INDEX(Listado!L:L,ROW()))</f>
        <v/>
      </c>
      <c r="X821" s="17">
        <f>IF(N821="","",IF(INDEX(Listado!$M:$M,N821)="No","No","Sí"))</f>
        <v/>
      </c>
    </row>
    <row r="822" spans="2:24" ht="14.25">
      <c r="N822" s="17" t="str">
        <f>IF(V822=0,"",IFERROR(LOOKUP(2,1/(INDEX(Listado!A:A,2):INDEX(Listado!A:A,ROW())&lt;&gt;""),ROW(INDEX(Listado!A:A,2):INDEX(Listado!A:A,ROW()))),""))</f>
        <v/>
      </c>
      <c r="O822" s="17" t="str">
        <f>IFERROR(IF(N822="","",IF(INDEX(Listado!M:M,N822)="No",IF(INDEX(Listado!N:N,N822)=0,"",INDEX(Listado!N:N,N822)),IF(INDEX(Listado!I:I,N822)=0,"",INDEX(Listado!I:I,N822)))),"")</f>
        <v/>
      </c>
      <c r="P822" s="17">
        <f t="shared" ca="1" si="37"/>
        <v/>
      </c>
      <c r="Q822" s="17">
        <f>IFERROR(IF(AND(N822&lt;&gt;"",ISNUMBER(O822),O822&gt;0,O822&gt;=TODAY()-90),1,0),0)</f>
        <v/>
      </c>
      <c r="R822" s="17" t="str">
        <f t="shared" si="39"/>
        <v/>
      </c>
      <c r="S822" s="17" t="str">
        <f>IF(INDEX(Listado!A:A,ROW())="","",INDEX(Listado!A:A,ROW()))</f>
        <v/>
      </c>
      <c r="T822" s="17" t="str">
        <f ca="1">IF(INDEX(Listado!G:G,ROW())="","",INDEX(Listado!G:G,ROW()))</f>
        <v/>
      </c>
      <c r="U822" s="17" t="str">
        <f>IF(INDEX(Listado!F:F,ROW())="","",INDEX(Listado!F:F,ROW()))</f>
        <v/>
      </c>
      <c r="V822" s="17">
        <f>IF(COUNTA(INDEX(Listado!B:B,ROW()):INDEX(Listado!F:F,ROW()))&gt;0,1,0)</f>
        <v/>
      </c>
      <c r="W822" s="17" t="str">
        <f>IF(INDEX(Listado!L:L,ROW())="","",INDEX(Listado!L:L,ROW()))</f>
        <v/>
      </c>
      <c r="X822" s="17">
        <f>IF(N822="","",IF(INDEX(Listado!$M:$M,N822)="No","No","Sí"))</f>
        <v/>
      </c>
    </row>
    <row r="823" spans="2:24" ht="14.25">
      <c r="N823" s="17" t="str">
        <f>IF(V823=0,"",IFERROR(LOOKUP(2,1/(INDEX(Listado!A:A,2):INDEX(Listado!A:A,ROW())&lt;&gt;""),ROW(INDEX(Listado!A:A,2):INDEX(Listado!A:A,ROW()))),""))</f>
        <v/>
      </c>
      <c r="O823" s="17" t="str">
        <f>IFERROR(IF(N823="","",IF(INDEX(Listado!M:M,N823)="No",IF(INDEX(Listado!N:N,N823)=0,"",INDEX(Listado!N:N,N823)),IF(INDEX(Listado!I:I,N823)=0,"",INDEX(Listado!I:I,N823)))),"")</f>
        <v/>
      </c>
      <c r="P823" s="17">
        <f t="shared" ca="1" si="37"/>
        <v/>
      </c>
      <c r="Q823" s="17">
        <f>IFERROR(IF(AND(N823&lt;&gt;"",ISNUMBER(O823),O823&gt;0,O823&gt;=TODAY()-90),1,0),0)</f>
        <v/>
      </c>
      <c r="R823" s="17" t="str">
        <f t="shared" si="39"/>
        <v/>
      </c>
      <c r="S823" s="17" t="str">
        <f>IF(INDEX(Listado!A:A,ROW())="","",INDEX(Listado!A:A,ROW()))</f>
        <v/>
      </c>
      <c r="T823" s="17" t="str">
        <f ca="1">IF(INDEX(Listado!G:G,ROW())="","",INDEX(Listado!G:G,ROW()))</f>
        <v/>
      </c>
      <c r="U823" s="17" t="str">
        <f>IF(INDEX(Listado!F:F,ROW())="","",INDEX(Listado!F:F,ROW()))</f>
        <v/>
      </c>
      <c r="V823" s="17">
        <f>IF(COUNTA(INDEX(Listado!B:B,ROW()):INDEX(Listado!F:F,ROW()))&gt;0,1,0)</f>
        <v/>
      </c>
      <c r="W823" s="17" t="str">
        <f>IF(INDEX(Listado!L:L,ROW())="","",INDEX(Listado!L:L,ROW()))</f>
        <v/>
      </c>
      <c r="X823" s="17">
        <f>IF(N823="","",IF(INDEX(Listado!$M:$M,N823)="No","No","Sí"))</f>
        <v/>
      </c>
    </row>
    <row r="824" spans="2:24" ht="14.25">
      <c r="N824" s="17" t="str">
        <f>IF(V824=0,"",IFERROR(LOOKUP(2,1/(INDEX(Listado!A:A,2):INDEX(Listado!A:A,ROW())&lt;&gt;""),ROW(INDEX(Listado!A:A,2):INDEX(Listado!A:A,ROW()))),""))</f>
        <v/>
      </c>
      <c r="O824" s="17" t="str">
        <f>IFERROR(IF(N824="","",IF(INDEX(Listado!M:M,N824)="No",IF(INDEX(Listado!N:N,N824)=0,"",INDEX(Listado!N:N,N824)),IF(INDEX(Listado!I:I,N824)=0,"",INDEX(Listado!I:I,N824)))),"")</f>
        <v/>
      </c>
      <c r="P824" s="17">
        <f t="shared" ca="1" si="37"/>
        <v/>
      </c>
      <c r="Q824" s="17">
        <f>IFERROR(IF(AND(N824&lt;&gt;"",ISNUMBER(O824),O824&gt;0,O824&gt;=TODAY()-90),1,0),0)</f>
        <v/>
      </c>
      <c r="R824" s="17" t="str">
        <f t="shared" si="39"/>
        <v/>
      </c>
      <c r="S824" s="17" t="str">
        <f>IF(INDEX(Listado!A:A,ROW())="","",INDEX(Listado!A:A,ROW()))</f>
        <v/>
      </c>
      <c r="T824" s="17" t="str">
        <f ca="1">IF(INDEX(Listado!G:G,ROW())="","",INDEX(Listado!G:G,ROW()))</f>
        <v/>
      </c>
      <c r="U824" s="17" t="str">
        <f>IF(INDEX(Listado!F:F,ROW())="","",INDEX(Listado!F:F,ROW()))</f>
        <v/>
      </c>
      <c r="V824" s="17">
        <f>IF(COUNTA(INDEX(Listado!B:B,ROW()):INDEX(Listado!F:F,ROW()))&gt;0,1,0)</f>
        <v/>
      </c>
      <c r="W824" s="17" t="str">
        <f>IF(INDEX(Listado!L:L,ROW())="","",INDEX(Listado!L:L,ROW()))</f>
        <v/>
      </c>
      <c r="X824" s="17">
        <f>IF(N824="","",IF(INDEX(Listado!$M:$M,N824)="No","No","Sí"))</f>
        <v/>
      </c>
    </row>
    <row r="825" spans="2:24" ht="14.25">
      <c r="N825" s="17" t="str">
        <f>IF(V825=0,"",IFERROR(LOOKUP(2,1/(INDEX(Listado!A:A,2):INDEX(Listado!A:A,ROW())&lt;&gt;""),ROW(INDEX(Listado!A:A,2):INDEX(Listado!A:A,ROW()))),""))</f>
        <v/>
      </c>
      <c r="O825" s="17" t="str">
        <f>IFERROR(IF(N825="","",IF(INDEX(Listado!M:M,N825)="No",IF(INDEX(Listado!N:N,N825)=0,"",INDEX(Listado!N:N,N825)),IF(INDEX(Listado!I:I,N825)=0,"",INDEX(Listado!I:I,N825)))),"")</f>
        <v/>
      </c>
      <c r="P825" s="17">
        <f t="shared" ca="1" si="37"/>
        <v/>
      </c>
      <c r="Q825" s="17">
        <f>IFERROR(IF(AND(N825&lt;&gt;"",ISNUMBER(O825),O825&gt;0,O825&gt;=TODAY()-90),1,0),0)</f>
        <v/>
      </c>
      <c r="R825" s="17" t="str">
        <f t="shared" si="39"/>
        <v/>
      </c>
      <c r="S825" s="17" t="str">
        <f>IF(INDEX(Listado!A:A,ROW())="","",INDEX(Listado!A:A,ROW()))</f>
        <v/>
      </c>
      <c r="T825" s="17" t="str">
        <f ca="1">IF(INDEX(Listado!G:G,ROW())="","",INDEX(Listado!G:G,ROW()))</f>
        <v/>
      </c>
      <c r="U825" s="17" t="str">
        <f>IF(INDEX(Listado!F:F,ROW())="","",INDEX(Listado!F:F,ROW()))</f>
        <v/>
      </c>
      <c r="V825" s="17">
        <f>IF(COUNTA(INDEX(Listado!B:B,ROW()):INDEX(Listado!F:F,ROW()))&gt;0,1,0)</f>
        <v/>
      </c>
      <c r="W825" s="17" t="str">
        <f>IF(INDEX(Listado!L:L,ROW())="","",INDEX(Listado!L:L,ROW()))</f>
        <v/>
      </c>
      <c r="X825" s="17">
        <f>IF(N825="","",IF(INDEX(Listado!$M:$M,N825)="No","No","Sí"))</f>
        <v/>
      </c>
    </row>
    <row r="826" spans="2:24" ht="14.25">
      <c r="N826" s="17" t="str">
        <f>IF(V826=0,"",IFERROR(LOOKUP(2,1/(INDEX(Listado!A:A,2):INDEX(Listado!A:A,ROW())&lt;&gt;""),ROW(INDEX(Listado!A:A,2):INDEX(Listado!A:A,ROW()))),""))</f>
        <v/>
      </c>
      <c r="O826" s="17" t="str">
        <f>IFERROR(IF(N826="","",IF(INDEX(Listado!M:M,N826)="No",IF(INDEX(Listado!N:N,N826)=0,"",INDEX(Listado!N:N,N826)),IF(INDEX(Listado!I:I,N826)=0,"",INDEX(Listado!I:I,N826)))),"")</f>
        <v/>
      </c>
      <c r="P826" s="17">
        <f t="shared" ca="1" si="37"/>
        <v/>
      </c>
      <c r="Q826" s="17">
        <f>IFERROR(IF(AND(N826&lt;&gt;"",ISNUMBER(O826),O826&gt;0,O826&gt;=TODAY()-90),1,0),0)</f>
        <v/>
      </c>
      <c r="R826" s="17" t="str">
        <f t="shared" si="39"/>
        <v/>
      </c>
      <c r="S826" s="17" t="str">
        <f>IF(INDEX(Listado!A:A,ROW())="","",INDEX(Listado!A:A,ROW()))</f>
        <v/>
      </c>
      <c r="T826" s="17" t="str">
        <f ca="1">IF(INDEX(Listado!G:G,ROW())="","",INDEX(Listado!G:G,ROW()))</f>
        <v/>
      </c>
      <c r="U826" s="17" t="str">
        <f>IF(INDEX(Listado!F:F,ROW())="","",INDEX(Listado!F:F,ROW()))</f>
        <v/>
      </c>
      <c r="V826" s="17">
        <f>IF(COUNTA(INDEX(Listado!B:B,ROW()):INDEX(Listado!F:F,ROW()))&gt;0,1,0)</f>
        <v/>
      </c>
      <c r="W826" s="17" t="str">
        <f>IF(INDEX(Listado!L:L,ROW())="","",INDEX(Listado!L:L,ROW()))</f>
        <v/>
      </c>
      <c r="X826" s="17">
        <f>IF(N826="","",IF(INDEX(Listado!$M:$M,N826)="No","No","Sí"))</f>
        <v/>
      </c>
    </row>
    <row r="827" spans="2:24" ht="14.25">
      <c r="N827" s="17" t="str">
        <f>IF(V827=0,"",IFERROR(LOOKUP(2,1/(INDEX(Listado!A:A,2):INDEX(Listado!A:A,ROW())&lt;&gt;""),ROW(INDEX(Listado!A:A,2):INDEX(Listado!A:A,ROW()))),""))</f>
        <v/>
      </c>
      <c r="O827" s="17" t="str">
        <f>IFERROR(IF(N827="","",IF(INDEX(Listado!M:M,N827)="No",IF(INDEX(Listado!N:N,N827)=0,"",INDEX(Listado!N:N,N827)),IF(INDEX(Listado!I:I,N827)=0,"",INDEX(Listado!I:I,N827)))),"")</f>
        <v/>
      </c>
      <c r="P827" s="17">
        <f t="shared" ca="1" si="37"/>
        <v/>
      </c>
      <c r="Q827" s="17">
        <f>IFERROR(IF(AND(N827&lt;&gt;"",ISNUMBER(O827),O827&gt;0,O827&gt;=TODAY()-90),1,0),0)</f>
        <v/>
      </c>
      <c r="R827" s="17" t="str">
        <f t="shared" si="39"/>
        <v/>
      </c>
      <c r="S827" s="17" t="str">
        <f>IF(INDEX(Listado!A:A,ROW())="","",INDEX(Listado!A:A,ROW()))</f>
        <v/>
      </c>
      <c r="T827" s="17" t="str">
        <f ca="1">IF(INDEX(Listado!G:G,ROW())="","",INDEX(Listado!G:G,ROW()))</f>
        <v/>
      </c>
      <c r="U827" s="17" t="str">
        <f>IF(INDEX(Listado!F:F,ROW())="","",INDEX(Listado!F:F,ROW()))</f>
        <v/>
      </c>
      <c r="V827" s="17">
        <f>IF(COUNTA(INDEX(Listado!B:B,ROW()):INDEX(Listado!F:F,ROW()))&gt;0,1,0)</f>
        <v/>
      </c>
      <c r="W827" s="17" t="str">
        <f>IF(INDEX(Listado!L:L,ROW())="","",INDEX(Listado!L:L,ROW()))</f>
        <v/>
      </c>
      <c r="X827" s="17">
        <f>IF(N827="","",IF(INDEX(Listado!$M:$M,N827)="No","No","Sí"))</f>
        <v/>
      </c>
    </row>
    <row r="828" spans="2:24" ht="14.25">
      <c r="N828" s="17" t="str">
        <f>IF(V828=0,"",IFERROR(LOOKUP(2,1/(INDEX(Listado!A:A,2):INDEX(Listado!A:A,ROW())&lt;&gt;""),ROW(INDEX(Listado!A:A,2):INDEX(Listado!A:A,ROW()))),""))</f>
        <v/>
      </c>
      <c r="O828" s="17" t="str">
        <f>IFERROR(IF(N828="","",IF(INDEX(Listado!M:M,N828)="No",IF(INDEX(Listado!N:N,N828)=0,"",INDEX(Listado!N:N,N828)),IF(INDEX(Listado!I:I,N828)=0,"",INDEX(Listado!I:I,N828)))),"")</f>
        <v/>
      </c>
      <c r="P828" s="17">
        <f t="shared" ca="1" si="37"/>
        <v/>
      </c>
      <c r="Q828" s="17">
        <f>IFERROR(IF(AND(N828&lt;&gt;"",ISNUMBER(O828),O828&gt;0,O828&gt;=TODAY()-90),1,0),0)</f>
        <v/>
      </c>
      <c r="R828" s="17" t="str">
        <f t="shared" si="39"/>
        <v/>
      </c>
      <c r="S828" s="17" t="str">
        <f>IF(INDEX(Listado!A:A,ROW())="","",INDEX(Listado!A:A,ROW()))</f>
        <v/>
      </c>
      <c r="T828" s="17" t="str">
        <f ca="1">IF(INDEX(Listado!G:G,ROW())="","",INDEX(Listado!G:G,ROW()))</f>
        <v/>
      </c>
      <c r="U828" s="17" t="str">
        <f>IF(INDEX(Listado!F:F,ROW())="","",INDEX(Listado!F:F,ROW()))</f>
        <v/>
      </c>
      <c r="V828" s="17">
        <f>IF(COUNTA(INDEX(Listado!B:B,ROW()):INDEX(Listado!F:F,ROW()))&gt;0,1,0)</f>
        <v/>
      </c>
      <c r="W828" s="17" t="str">
        <f>IF(INDEX(Listado!L:L,ROW())="","",INDEX(Listado!L:L,ROW()))</f>
        <v/>
      </c>
      <c r="X828" s="17">
        <f>IF(N828="","",IF(INDEX(Listado!$M:$M,N828)="No","No","Sí"))</f>
        <v/>
      </c>
    </row>
    <row r="829" spans="2:24" ht="14.25">
      <c r="N829" s="17" t="str">
        <f>IF(V829=0,"",IFERROR(LOOKUP(2,1/(INDEX(Listado!A:A,2):INDEX(Listado!A:A,ROW())&lt;&gt;""),ROW(INDEX(Listado!A:A,2):INDEX(Listado!A:A,ROW()))),""))</f>
        <v/>
      </c>
      <c r="O829" s="17" t="str">
        <f>IFERROR(IF(N829="","",IF(INDEX(Listado!M:M,N829)="No",IF(INDEX(Listado!N:N,N829)=0,"",INDEX(Listado!N:N,N829)),IF(INDEX(Listado!I:I,N829)=0,"",INDEX(Listado!I:I,N829)))),"")</f>
        <v/>
      </c>
      <c r="P829" s="17">
        <f t="shared" ca="1" si="37"/>
        <v/>
      </c>
      <c r="Q829" s="17">
        <f>IFERROR(IF(AND(N829&lt;&gt;"",ISNUMBER(O829),O829&gt;0,O829&gt;=TODAY()-90),1,0),0)</f>
        <v/>
      </c>
      <c r="R829" s="17" t="str">
        <f t="shared" si="39"/>
        <v/>
      </c>
      <c r="S829" s="17" t="str">
        <f>IF(INDEX(Listado!A:A,ROW())="","",INDEX(Listado!A:A,ROW()))</f>
        <v/>
      </c>
      <c r="T829" s="17" t="str">
        <f ca="1">IF(INDEX(Listado!G:G,ROW())="","",INDEX(Listado!G:G,ROW()))</f>
        <v/>
      </c>
      <c r="U829" s="17" t="str">
        <f>IF(INDEX(Listado!F:F,ROW())="","",INDEX(Listado!F:F,ROW()))</f>
        <v/>
      </c>
      <c r="V829" s="17">
        <f>IF(COUNTA(INDEX(Listado!B:B,ROW()):INDEX(Listado!F:F,ROW()))&gt;0,1,0)</f>
        <v/>
      </c>
      <c r="W829" s="17" t="str">
        <f>IF(INDEX(Listado!L:L,ROW())="","",INDEX(Listado!L:L,ROW()))</f>
        <v/>
      </c>
      <c r="X829" s="17">
        <f>IF(N829="","",IF(INDEX(Listado!$M:$M,N829)="No","No","Sí"))</f>
        <v/>
      </c>
    </row>
    <row r="830" spans="2:24" ht="14.25">
      <c r="N830" s="17" t="str">
        <f>IF(V830=0,"",IFERROR(LOOKUP(2,1/(INDEX(Listado!A:A,2):INDEX(Listado!A:A,ROW())&lt;&gt;""),ROW(INDEX(Listado!A:A,2):INDEX(Listado!A:A,ROW()))),""))</f>
        <v/>
      </c>
      <c r="O830" s="17" t="str">
        <f>IFERROR(IF(N830="","",IF(INDEX(Listado!M:M,N830)="No",IF(INDEX(Listado!N:N,N830)=0,"",INDEX(Listado!N:N,N830)),IF(INDEX(Listado!I:I,N830)=0,"",INDEX(Listado!I:I,N830)))),"")</f>
        <v/>
      </c>
      <c r="P830" s="17">
        <f t="shared" ca="1" si="37"/>
        <v/>
      </c>
      <c r="Q830" s="17">
        <f>IFERROR(IF(AND(N830&lt;&gt;"",ISNUMBER(O830),O830&gt;0,O830&gt;=TODAY()-90),1,0),0)</f>
        <v/>
      </c>
      <c r="R830" s="17" t="str">
        <f t="shared" si="39"/>
        <v/>
      </c>
      <c r="S830" s="17" t="str">
        <f>IF(INDEX(Listado!A:A,ROW())="","",INDEX(Listado!A:A,ROW()))</f>
        <v/>
      </c>
      <c r="T830" s="17" t="str">
        <f ca="1">IF(INDEX(Listado!G:G,ROW())="","",INDEX(Listado!G:G,ROW()))</f>
        <v/>
      </c>
      <c r="U830" s="17" t="str">
        <f>IF(INDEX(Listado!F:F,ROW())="","",INDEX(Listado!F:F,ROW()))</f>
        <v/>
      </c>
      <c r="V830" s="17">
        <f>IF(COUNTA(INDEX(Listado!B:B,ROW()):INDEX(Listado!F:F,ROW()))&gt;0,1,0)</f>
        <v/>
      </c>
      <c r="W830" s="17" t="str">
        <f>IF(INDEX(Listado!L:L,ROW())="","",INDEX(Listado!L:L,ROW()))</f>
        <v/>
      </c>
      <c r="X830" s="17">
        <f>IF(N830="","",IF(INDEX(Listado!$M:$M,N830)="No","No","Sí"))</f>
        <v/>
      </c>
    </row>
    <row r="831" spans="2:24" ht="14.25">
      <c r="N831" s="17" t="str">
        <f>IF(V831=0,"",IFERROR(LOOKUP(2,1/(INDEX(Listado!A:A,2):INDEX(Listado!A:A,ROW())&lt;&gt;""),ROW(INDEX(Listado!A:A,2):INDEX(Listado!A:A,ROW()))),""))</f>
        <v/>
      </c>
      <c r="O831" s="17" t="str">
        <f>IFERROR(IF(N831="","",IF(INDEX(Listado!M:M,N831)="No",IF(INDEX(Listado!N:N,N831)=0,"",INDEX(Listado!N:N,N831)),IF(INDEX(Listado!I:I,N831)=0,"",INDEX(Listado!I:I,N831)))),"")</f>
        <v/>
      </c>
      <c r="P831" s="17">
        <f t="shared" ca="1" si="37"/>
        <v/>
      </c>
      <c r="Q831" s="17">
        <f>IFERROR(IF(AND(N831&lt;&gt;"",ISNUMBER(O831),O831&gt;0,O831&gt;=TODAY()-90),1,0),0)</f>
        <v/>
      </c>
      <c r="R831" s="17" t="str">
        <f t="shared" si="39"/>
        <v/>
      </c>
      <c r="S831" s="17" t="str">
        <f>IF(INDEX(Listado!A:A,ROW())="","",INDEX(Listado!A:A,ROW()))</f>
        <v/>
      </c>
      <c r="T831" s="17" t="str">
        <f ca="1">IF(INDEX(Listado!G:G,ROW())="","",INDEX(Listado!G:G,ROW()))</f>
        <v/>
      </c>
      <c r="U831" s="17" t="str">
        <f>IF(INDEX(Listado!F:F,ROW())="","",INDEX(Listado!F:F,ROW()))</f>
        <v/>
      </c>
      <c r="V831" s="17">
        <f>IF(COUNTA(INDEX(Listado!B:B,ROW()):INDEX(Listado!F:F,ROW()))&gt;0,1,0)</f>
        <v/>
      </c>
      <c r="W831" s="17" t="str">
        <f>IF(INDEX(Listado!L:L,ROW())="","",INDEX(Listado!L:L,ROW()))</f>
        <v/>
      </c>
      <c r="X831" s="17">
        <f>IF(N831="","",IF(INDEX(Listado!$M:$M,N831)="No","No","Sí"))</f>
        <v/>
      </c>
    </row>
    <row r="832" spans="2:24" ht="14.25">
      <c r="N832" s="17" t="str">
        <f>IF(V832=0,"",IFERROR(LOOKUP(2,1/(INDEX(Listado!A:A,2):INDEX(Listado!A:A,ROW())&lt;&gt;""),ROW(INDEX(Listado!A:A,2):INDEX(Listado!A:A,ROW()))),""))</f>
        <v/>
      </c>
      <c r="O832" s="17" t="str">
        <f>IFERROR(IF(N832="","",IF(INDEX(Listado!M:M,N832)="No",IF(INDEX(Listado!N:N,N832)=0,"",INDEX(Listado!N:N,N832)),IF(INDEX(Listado!I:I,N832)=0,"",INDEX(Listado!I:I,N832)))),"")</f>
        <v/>
      </c>
      <c r="P832" s="17">
        <f t="shared" ca="1" si="37"/>
        <v/>
      </c>
      <c r="Q832" s="17">
        <f>IFERROR(IF(AND(N832&lt;&gt;"",ISNUMBER(O832),O832&gt;0,O832&gt;=TODAY()-90),1,0),0)</f>
        <v/>
      </c>
      <c r="R832" s="17" t="str">
        <f t="shared" si="39"/>
        <v/>
      </c>
      <c r="S832" s="17" t="str">
        <f>IF(INDEX(Listado!A:A,ROW())="","",INDEX(Listado!A:A,ROW()))</f>
        <v/>
      </c>
      <c r="T832" s="17" t="str">
        <f ca="1">IF(INDEX(Listado!G:G,ROW())="","",INDEX(Listado!G:G,ROW()))</f>
        <v/>
      </c>
      <c r="U832" s="17" t="str">
        <f>IF(INDEX(Listado!F:F,ROW())="","",INDEX(Listado!F:F,ROW()))</f>
        <v/>
      </c>
      <c r="V832" s="17">
        <f>IF(COUNTA(INDEX(Listado!B:B,ROW()):INDEX(Listado!F:F,ROW()))&gt;0,1,0)</f>
        <v/>
      </c>
      <c r="W832" s="17" t="str">
        <f>IF(INDEX(Listado!L:L,ROW())="","",INDEX(Listado!L:L,ROW()))</f>
        <v/>
      </c>
      <c r="X832" s="17">
        <f>IF(N832="","",IF(INDEX(Listado!$M:$M,N832)="No","No","Sí"))</f>
        <v/>
      </c>
    </row>
    <row r="833" spans="2:24" ht="14.25">
      <c r="N833" s="17" t="str">
        <f>IF(V833=0,"",IFERROR(LOOKUP(2,1/(INDEX(Listado!A:A,2):INDEX(Listado!A:A,ROW())&lt;&gt;""),ROW(INDEX(Listado!A:A,2):INDEX(Listado!A:A,ROW()))),""))</f>
        <v/>
      </c>
      <c r="O833" s="17" t="str">
        <f>IFERROR(IF(N833="","",IF(INDEX(Listado!M:M,N833)="No",IF(INDEX(Listado!N:N,N833)=0,"",INDEX(Listado!N:N,N833)),IF(INDEX(Listado!I:I,N833)=0,"",INDEX(Listado!I:I,N833)))),"")</f>
        <v/>
      </c>
      <c r="P833" s="17">
        <f t="shared" ca="1" si="37"/>
        <v/>
      </c>
      <c r="Q833" s="17">
        <f>IFERROR(IF(AND(N833&lt;&gt;"",ISNUMBER(O833),O833&gt;0,O833&gt;=TODAY()-90),1,0),0)</f>
        <v/>
      </c>
      <c r="R833" s="17" t="str">
        <f t="shared" si="39"/>
        <v/>
      </c>
      <c r="S833" s="17" t="str">
        <f>IF(INDEX(Listado!A:A,ROW())="","",INDEX(Listado!A:A,ROW()))</f>
        <v/>
      </c>
      <c r="T833" s="17" t="str">
        <f ca="1">IF(INDEX(Listado!G:G,ROW())="","",INDEX(Listado!G:G,ROW()))</f>
        <v/>
      </c>
      <c r="U833" s="17" t="str">
        <f>IF(INDEX(Listado!F:F,ROW())="","",INDEX(Listado!F:F,ROW()))</f>
        <v/>
      </c>
      <c r="V833" s="17">
        <f>IF(COUNTA(INDEX(Listado!B:B,ROW()):INDEX(Listado!F:F,ROW()))&gt;0,1,0)</f>
        <v/>
      </c>
      <c r="W833" s="17" t="str">
        <f>IF(INDEX(Listado!L:L,ROW())="","",INDEX(Listado!L:L,ROW()))</f>
        <v/>
      </c>
      <c r="X833" s="17">
        <f>IF(N833="","",IF(INDEX(Listado!$M:$M,N833)="No","No","Sí"))</f>
        <v/>
      </c>
    </row>
    <row r="834" spans="2:24" ht="14.25">
      <c r="N834" s="17" t="str">
        <f>IF(V834=0,"",IFERROR(LOOKUP(2,1/(INDEX(Listado!A:A,2):INDEX(Listado!A:A,ROW())&lt;&gt;""),ROW(INDEX(Listado!A:A,2):INDEX(Listado!A:A,ROW()))),""))</f>
        <v/>
      </c>
      <c r="O834" s="17" t="str">
        <f>IFERROR(IF(N834="","",IF(INDEX(Listado!M:M,N834)="No",IF(INDEX(Listado!N:N,N834)=0,"",INDEX(Listado!N:N,N834)),IF(INDEX(Listado!I:I,N834)=0,"",INDEX(Listado!I:I,N834)))),"")</f>
        <v/>
      </c>
      <c r="P834" s="17">
        <f t="shared" ref="P834:P897" ca="1" si="40">IF(W834="",0,IFERROR(IF(AND(ISNUMBER(W834),W834=INT(W834),ISNUMBER(O834),O834&gt;0,W834&gt;=TODAY(),W834&lt;=O834+90),0,1),1))</f>
        <v/>
      </c>
      <c r="Q834" s="17">
        <f>IFERROR(IF(AND(N834&lt;&gt;"",ISNUMBER(O834),O834&gt;0,O834&gt;=TODAY()-90),1,0),0)</f>
        <v/>
      </c>
      <c r="R834" s="17" t="str">
        <f t="shared" ref="R834:R897" si="42">IF(S834="","",COUNTIFS($N$2:$N$2999,ROW(),$Q$2:$Q$2999,1))</f>
        <v/>
      </c>
      <c r="S834" s="17" t="str">
        <f>IF(INDEX(Listado!A:A,ROW())="","",INDEX(Listado!A:A,ROW()))</f>
        <v/>
      </c>
      <c r="T834" s="17" t="str">
        <f ca="1">IF(INDEX(Listado!G:G,ROW())="","",INDEX(Listado!G:G,ROW()))</f>
        <v/>
      </c>
      <c r="U834" s="17" t="str">
        <f>IF(INDEX(Listado!F:F,ROW())="","",INDEX(Listado!F:F,ROW()))</f>
        <v/>
      </c>
      <c r="V834" s="17">
        <f>IF(COUNTA(INDEX(Listado!B:B,ROW()):INDEX(Listado!F:F,ROW()))&gt;0,1,0)</f>
        <v/>
      </c>
      <c r="W834" s="17" t="str">
        <f>IF(INDEX(Listado!L:L,ROW())="","",INDEX(Listado!L:L,ROW()))</f>
        <v/>
      </c>
      <c r="X834" s="17">
        <f>IF(N834="","",IF(INDEX(Listado!$M:$M,N834)="No","No","Sí"))</f>
        <v/>
      </c>
    </row>
    <row r="835" spans="2:24" ht="14.25">
      <c r="N835" s="17" t="str">
        <f>IF(V835=0,"",IFERROR(LOOKUP(2,1/(INDEX(Listado!A:A,2):INDEX(Listado!A:A,ROW())&lt;&gt;""),ROW(INDEX(Listado!A:A,2):INDEX(Listado!A:A,ROW()))),""))</f>
        <v/>
      </c>
      <c r="O835" s="17" t="str">
        <f>IFERROR(IF(N835="","",IF(INDEX(Listado!M:M,N835)="No",IF(INDEX(Listado!N:N,N835)=0,"",INDEX(Listado!N:N,N835)),IF(INDEX(Listado!I:I,N835)=0,"",INDEX(Listado!I:I,N835)))),"")</f>
        <v/>
      </c>
      <c r="P835" s="17">
        <f t="shared" ca="1" si="40"/>
        <v/>
      </c>
      <c r="Q835" s="17">
        <f>IFERROR(IF(AND(N835&lt;&gt;"",ISNUMBER(O835),O835&gt;0,O835&gt;=TODAY()-90),1,0),0)</f>
        <v/>
      </c>
      <c r="R835" s="17" t="str">
        <f t="shared" si="42"/>
        <v/>
      </c>
      <c r="S835" s="17" t="str">
        <f>IF(INDEX(Listado!A:A,ROW())="","",INDEX(Listado!A:A,ROW()))</f>
        <v/>
      </c>
      <c r="T835" s="17" t="str">
        <f ca="1">IF(INDEX(Listado!G:G,ROW())="","",INDEX(Listado!G:G,ROW()))</f>
        <v/>
      </c>
      <c r="U835" s="17" t="str">
        <f>IF(INDEX(Listado!F:F,ROW())="","",INDEX(Listado!F:F,ROW()))</f>
        <v/>
      </c>
      <c r="V835" s="17">
        <f>IF(COUNTA(INDEX(Listado!B:B,ROW()):INDEX(Listado!F:F,ROW()))&gt;0,1,0)</f>
        <v/>
      </c>
      <c r="W835" s="17" t="str">
        <f>IF(INDEX(Listado!L:L,ROW())="","",INDEX(Listado!L:L,ROW()))</f>
        <v/>
      </c>
      <c r="X835" s="17">
        <f>IF(N835="","",IF(INDEX(Listado!$M:$M,N835)="No","No","Sí"))</f>
        <v/>
      </c>
    </row>
    <row r="836" spans="2:24" ht="14.25">
      <c r="N836" s="17" t="str">
        <f>IF(V836=0,"",IFERROR(LOOKUP(2,1/(INDEX(Listado!A:A,2):INDEX(Listado!A:A,ROW())&lt;&gt;""),ROW(INDEX(Listado!A:A,2):INDEX(Listado!A:A,ROW()))),""))</f>
        <v/>
      </c>
      <c r="O836" s="17" t="str">
        <f>IFERROR(IF(N836="","",IF(INDEX(Listado!M:M,N836)="No",IF(INDEX(Listado!N:N,N836)=0,"",INDEX(Listado!N:N,N836)),IF(INDEX(Listado!I:I,N836)=0,"",INDEX(Listado!I:I,N836)))),"")</f>
        <v/>
      </c>
      <c r="P836" s="17">
        <f t="shared" ca="1" si="40"/>
        <v/>
      </c>
      <c r="Q836" s="17">
        <f>IFERROR(IF(AND(N836&lt;&gt;"",ISNUMBER(O836),O836&gt;0,O836&gt;=TODAY()-90),1,0),0)</f>
        <v/>
      </c>
      <c r="R836" s="17" t="str">
        <f t="shared" si="42"/>
        <v/>
      </c>
      <c r="S836" s="17" t="str">
        <f>IF(INDEX(Listado!A:A,ROW())="","",INDEX(Listado!A:A,ROW()))</f>
        <v/>
      </c>
      <c r="T836" s="17" t="str">
        <f ca="1">IF(INDEX(Listado!G:G,ROW())="","",INDEX(Listado!G:G,ROW()))</f>
        <v/>
      </c>
      <c r="U836" s="17" t="str">
        <f>IF(INDEX(Listado!F:F,ROW())="","",INDEX(Listado!F:F,ROW()))</f>
        <v/>
      </c>
      <c r="V836" s="17">
        <f>IF(COUNTA(INDEX(Listado!B:B,ROW()):INDEX(Listado!F:F,ROW()))&gt;0,1,0)</f>
        <v/>
      </c>
      <c r="W836" s="17" t="str">
        <f>IF(INDEX(Listado!L:L,ROW())="","",INDEX(Listado!L:L,ROW()))</f>
        <v/>
      </c>
      <c r="X836" s="17">
        <f>IF(N836="","",IF(INDEX(Listado!$M:$M,N836)="No","No","Sí"))</f>
        <v/>
      </c>
    </row>
    <row r="837" spans="2:24" ht="14.25">
      <c r="N837" s="17" t="str">
        <f>IF(V837=0,"",IFERROR(LOOKUP(2,1/(INDEX(Listado!A:A,2):INDEX(Listado!A:A,ROW())&lt;&gt;""),ROW(INDEX(Listado!A:A,2):INDEX(Listado!A:A,ROW()))),""))</f>
        <v/>
      </c>
      <c r="O837" s="17" t="str">
        <f>IFERROR(IF(N837="","",IF(INDEX(Listado!M:M,N837)="No",IF(INDEX(Listado!N:N,N837)=0,"",INDEX(Listado!N:N,N837)),IF(INDEX(Listado!I:I,N837)=0,"",INDEX(Listado!I:I,N837)))),"")</f>
        <v/>
      </c>
      <c r="P837" s="17">
        <f t="shared" ca="1" si="40"/>
        <v/>
      </c>
      <c r="Q837" s="17">
        <f>IFERROR(IF(AND(N837&lt;&gt;"",ISNUMBER(O837),O837&gt;0,O837&gt;=TODAY()-90),1,0),0)</f>
        <v/>
      </c>
      <c r="R837" s="17" t="str">
        <f t="shared" si="42"/>
        <v/>
      </c>
      <c r="S837" s="17" t="str">
        <f>IF(INDEX(Listado!A:A,ROW())="","",INDEX(Listado!A:A,ROW()))</f>
        <v/>
      </c>
      <c r="T837" s="17" t="str">
        <f ca="1">IF(INDEX(Listado!G:G,ROW())="","",INDEX(Listado!G:G,ROW()))</f>
        <v/>
      </c>
      <c r="U837" s="17" t="str">
        <f>IF(INDEX(Listado!F:F,ROW())="","",INDEX(Listado!F:F,ROW()))</f>
        <v/>
      </c>
      <c r="V837" s="17">
        <f>IF(COUNTA(INDEX(Listado!B:B,ROW()):INDEX(Listado!F:F,ROW()))&gt;0,1,0)</f>
        <v/>
      </c>
      <c r="W837" s="17" t="str">
        <f>IF(INDEX(Listado!L:L,ROW())="","",INDEX(Listado!L:L,ROW()))</f>
        <v/>
      </c>
      <c r="X837" s="17">
        <f>IF(N837="","",IF(INDEX(Listado!$M:$M,N837)="No","No","Sí"))</f>
        <v/>
      </c>
    </row>
    <row r="838" spans="2:24" ht="14.25">
      <c r="N838" s="17" t="str">
        <f>IF(V838=0,"",IFERROR(LOOKUP(2,1/(INDEX(Listado!A:A,2):INDEX(Listado!A:A,ROW())&lt;&gt;""),ROW(INDEX(Listado!A:A,2):INDEX(Listado!A:A,ROW()))),""))</f>
        <v/>
      </c>
      <c r="O838" s="17" t="str">
        <f>IFERROR(IF(N838="","",IF(INDEX(Listado!M:M,N838)="No",IF(INDEX(Listado!N:N,N838)=0,"",INDEX(Listado!N:N,N838)),IF(INDEX(Listado!I:I,N838)=0,"",INDEX(Listado!I:I,N838)))),"")</f>
        <v/>
      </c>
      <c r="P838" s="17">
        <f t="shared" ca="1" si="40"/>
        <v/>
      </c>
      <c r="Q838" s="17">
        <f>IFERROR(IF(AND(N838&lt;&gt;"",ISNUMBER(O838),O838&gt;0,O838&gt;=TODAY()-90),1,0),0)</f>
        <v/>
      </c>
      <c r="R838" s="17" t="str">
        <f t="shared" si="42"/>
        <v/>
      </c>
      <c r="S838" s="17" t="str">
        <f>IF(INDEX(Listado!A:A,ROW())="","",INDEX(Listado!A:A,ROW()))</f>
        <v/>
      </c>
      <c r="T838" s="17" t="str">
        <f ca="1">IF(INDEX(Listado!G:G,ROW())="","",INDEX(Listado!G:G,ROW()))</f>
        <v/>
      </c>
      <c r="U838" s="17" t="str">
        <f>IF(INDEX(Listado!F:F,ROW())="","",INDEX(Listado!F:F,ROW()))</f>
        <v/>
      </c>
      <c r="V838" s="17">
        <f>IF(COUNTA(INDEX(Listado!B:B,ROW()):INDEX(Listado!F:F,ROW()))&gt;0,1,0)</f>
        <v/>
      </c>
      <c r="W838" s="17" t="str">
        <f>IF(INDEX(Listado!L:L,ROW())="","",INDEX(Listado!L:L,ROW()))</f>
        <v/>
      </c>
      <c r="X838" s="17">
        <f>IF(N838="","",IF(INDEX(Listado!$M:$M,N838)="No","No","Sí"))</f>
        <v/>
      </c>
    </row>
    <row r="839" spans="2:24" ht="14.25">
      <c r="N839" s="17" t="str">
        <f>IF(V839=0,"",IFERROR(LOOKUP(2,1/(INDEX(Listado!A:A,2):INDEX(Listado!A:A,ROW())&lt;&gt;""),ROW(INDEX(Listado!A:A,2):INDEX(Listado!A:A,ROW()))),""))</f>
        <v/>
      </c>
      <c r="O839" s="17" t="str">
        <f>IFERROR(IF(N839="","",IF(INDEX(Listado!M:M,N839)="No",IF(INDEX(Listado!N:N,N839)=0,"",INDEX(Listado!N:N,N839)),IF(INDEX(Listado!I:I,N839)=0,"",INDEX(Listado!I:I,N839)))),"")</f>
        <v/>
      </c>
      <c r="P839" s="17">
        <f t="shared" ca="1" si="40"/>
        <v/>
      </c>
      <c r="Q839" s="17">
        <f>IFERROR(IF(AND(N839&lt;&gt;"",ISNUMBER(O839),O839&gt;0,O839&gt;=TODAY()-90),1,0),0)</f>
        <v/>
      </c>
      <c r="R839" s="17" t="str">
        <f t="shared" si="42"/>
        <v/>
      </c>
      <c r="S839" s="17" t="str">
        <f>IF(INDEX(Listado!A:A,ROW())="","",INDEX(Listado!A:A,ROW()))</f>
        <v/>
      </c>
      <c r="T839" s="17" t="str">
        <f ca="1">IF(INDEX(Listado!G:G,ROW())="","",INDEX(Listado!G:G,ROW()))</f>
        <v/>
      </c>
      <c r="U839" s="17" t="str">
        <f>IF(INDEX(Listado!F:F,ROW())="","",INDEX(Listado!F:F,ROW()))</f>
        <v/>
      </c>
      <c r="V839" s="17">
        <f>IF(COUNTA(INDEX(Listado!B:B,ROW()):INDEX(Listado!F:F,ROW()))&gt;0,1,0)</f>
        <v/>
      </c>
      <c r="W839" s="17" t="str">
        <f>IF(INDEX(Listado!L:L,ROW())="","",INDEX(Listado!L:L,ROW()))</f>
        <v/>
      </c>
      <c r="X839" s="17">
        <f>IF(N839="","",IF(INDEX(Listado!$M:$M,N839)="No","No","Sí"))</f>
        <v/>
      </c>
    </row>
    <row r="840" spans="2:24" ht="14.25">
      <c r="N840" s="17" t="str">
        <f>IF(V840=0,"",IFERROR(LOOKUP(2,1/(INDEX(Listado!A:A,2):INDEX(Listado!A:A,ROW())&lt;&gt;""),ROW(INDEX(Listado!A:A,2):INDEX(Listado!A:A,ROW()))),""))</f>
        <v/>
      </c>
      <c r="O840" s="17" t="str">
        <f>IFERROR(IF(N840="","",IF(INDEX(Listado!M:M,N840)="No",IF(INDEX(Listado!N:N,N840)=0,"",INDEX(Listado!N:N,N840)),IF(INDEX(Listado!I:I,N840)=0,"",INDEX(Listado!I:I,N840)))),"")</f>
        <v/>
      </c>
      <c r="P840" s="17">
        <f t="shared" ca="1" si="40"/>
        <v/>
      </c>
      <c r="Q840" s="17">
        <f>IFERROR(IF(AND(N840&lt;&gt;"",ISNUMBER(O840),O840&gt;0,O840&gt;=TODAY()-90),1,0),0)</f>
        <v/>
      </c>
      <c r="R840" s="17" t="str">
        <f t="shared" si="42"/>
        <v/>
      </c>
      <c r="S840" s="17" t="str">
        <f>IF(INDEX(Listado!A:A,ROW())="","",INDEX(Listado!A:A,ROW()))</f>
        <v/>
      </c>
      <c r="T840" s="17" t="str">
        <f ca="1">IF(INDEX(Listado!G:G,ROW())="","",INDEX(Listado!G:G,ROW()))</f>
        <v/>
      </c>
      <c r="U840" s="17" t="str">
        <f>IF(INDEX(Listado!F:F,ROW())="","",INDEX(Listado!F:F,ROW()))</f>
        <v/>
      </c>
      <c r="V840" s="17">
        <f>IF(COUNTA(INDEX(Listado!B:B,ROW()):INDEX(Listado!F:F,ROW()))&gt;0,1,0)</f>
        <v/>
      </c>
      <c r="W840" s="17" t="str">
        <f>IF(INDEX(Listado!L:L,ROW())="","",INDEX(Listado!L:L,ROW()))</f>
        <v/>
      </c>
      <c r="X840" s="17">
        <f>IF(N840="","",IF(INDEX(Listado!$M:$M,N840)="No","No","Sí"))</f>
        <v/>
      </c>
    </row>
    <row r="841" spans="2:24" ht="14.25">
      <c r="N841" s="17" t="str">
        <f>IF(V841=0,"",IFERROR(LOOKUP(2,1/(INDEX(Listado!A:A,2):INDEX(Listado!A:A,ROW())&lt;&gt;""),ROW(INDEX(Listado!A:A,2):INDEX(Listado!A:A,ROW()))),""))</f>
        <v/>
      </c>
      <c r="O841" s="17" t="str">
        <f>IFERROR(IF(N841="","",IF(INDEX(Listado!M:M,N841)="No",IF(INDEX(Listado!N:N,N841)=0,"",INDEX(Listado!N:N,N841)),IF(INDEX(Listado!I:I,N841)=0,"",INDEX(Listado!I:I,N841)))),"")</f>
        <v/>
      </c>
      <c r="P841" s="17">
        <f t="shared" ca="1" si="40"/>
        <v/>
      </c>
      <c r="Q841" s="17">
        <f>IFERROR(IF(AND(N841&lt;&gt;"",ISNUMBER(O841),O841&gt;0,O841&gt;=TODAY()-90),1,0),0)</f>
        <v/>
      </c>
      <c r="R841" s="17" t="str">
        <f t="shared" si="42"/>
        <v/>
      </c>
      <c r="S841" s="17" t="str">
        <f>IF(INDEX(Listado!A:A,ROW())="","",INDEX(Listado!A:A,ROW()))</f>
        <v/>
      </c>
      <c r="T841" s="17" t="str">
        <f ca="1">IF(INDEX(Listado!G:G,ROW())="","",INDEX(Listado!G:G,ROW()))</f>
        <v/>
      </c>
      <c r="U841" s="17" t="str">
        <f>IF(INDEX(Listado!F:F,ROW())="","",INDEX(Listado!F:F,ROW()))</f>
        <v/>
      </c>
      <c r="V841" s="17">
        <f>IF(COUNTA(INDEX(Listado!B:B,ROW()):INDEX(Listado!F:F,ROW()))&gt;0,1,0)</f>
        <v/>
      </c>
      <c r="W841" s="17" t="str">
        <f>IF(INDEX(Listado!L:L,ROW())="","",INDEX(Listado!L:L,ROW()))</f>
        <v/>
      </c>
      <c r="X841" s="17">
        <f>IF(N841="","",IF(INDEX(Listado!$M:$M,N841)="No","No","Sí"))</f>
        <v/>
      </c>
    </row>
    <row r="842" spans="2:24" ht="14.25">
      <c r="N842" s="17" t="str">
        <f>IF(V842=0,"",IFERROR(LOOKUP(2,1/(INDEX(Listado!A:A,2):INDEX(Listado!A:A,ROW())&lt;&gt;""),ROW(INDEX(Listado!A:A,2):INDEX(Listado!A:A,ROW()))),""))</f>
        <v/>
      </c>
      <c r="O842" s="17" t="str">
        <f>IFERROR(IF(N842="","",IF(INDEX(Listado!M:M,N842)="No",IF(INDEX(Listado!N:N,N842)=0,"",INDEX(Listado!N:N,N842)),IF(INDEX(Listado!I:I,N842)=0,"",INDEX(Listado!I:I,N842)))),"")</f>
        <v/>
      </c>
      <c r="P842" s="17">
        <f t="shared" ca="1" si="40"/>
        <v/>
      </c>
      <c r="Q842" s="17">
        <f>IFERROR(IF(AND(N842&lt;&gt;"",ISNUMBER(O842),O842&gt;0,O842&gt;=TODAY()-90),1,0),0)</f>
        <v/>
      </c>
      <c r="R842" s="17" t="str">
        <f t="shared" si="42"/>
        <v/>
      </c>
      <c r="S842" s="17" t="str">
        <f>IF(INDEX(Listado!A:A,ROW())="","",INDEX(Listado!A:A,ROW()))</f>
        <v/>
      </c>
      <c r="T842" s="17" t="str">
        <f ca="1">IF(INDEX(Listado!G:G,ROW())="","",INDEX(Listado!G:G,ROW()))</f>
        <v/>
      </c>
      <c r="U842" s="17" t="str">
        <f>IF(INDEX(Listado!F:F,ROW())="","",INDEX(Listado!F:F,ROW()))</f>
        <v/>
      </c>
      <c r="V842" s="17">
        <f>IF(COUNTA(INDEX(Listado!B:B,ROW()):INDEX(Listado!F:F,ROW()))&gt;0,1,0)</f>
        <v/>
      </c>
      <c r="W842" s="17" t="str">
        <f>IF(INDEX(Listado!L:L,ROW())="","",INDEX(Listado!L:L,ROW()))</f>
        <v/>
      </c>
      <c r="X842" s="17">
        <f>IF(N842="","",IF(INDEX(Listado!$M:$M,N842)="No","No","Sí"))</f>
        <v/>
      </c>
    </row>
    <row r="843" spans="2:24" ht="14.25">
      <c r="N843" s="17" t="str">
        <f>IF(V843=0,"",IFERROR(LOOKUP(2,1/(INDEX(Listado!A:A,2):INDEX(Listado!A:A,ROW())&lt;&gt;""),ROW(INDEX(Listado!A:A,2):INDEX(Listado!A:A,ROW()))),""))</f>
        <v/>
      </c>
      <c r="O843" s="17" t="str">
        <f>IFERROR(IF(N843="","",IF(INDEX(Listado!M:M,N843)="No",IF(INDEX(Listado!N:N,N843)=0,"",INDEX(Listado!N:N,N843)),IF(INDEX(Listado!I:I,N843)=0,"",INDEX(Listado!I:I,N843)))),"")</f>
        <v/>
      </c>
      <c r="P843" s="17">
        <f t="shared" ca="1" si="40"/>
        <v/>
      </c>
      <c r="Q843" s="17">
        <f>IFERROR(IF(AND(N843&lt;&gt;"",ISNUMBER(O843),O843&gt;0,O843&gt;=TODAY()-90),1,0),0)</f>
        <v/>
      </c>
      <c r="R843" s="17" t="str">
        <f t="shared" si="42"/>
        <v/>
      </c>
      <c r="S843" s="17" t="str">
        <f>IF(INDEX(Listado!A:A,ROW())="","",INDEX(Listado!A:A,ROW()))</f>
        <v/>
      </c>
      <c r="T843" s="17" t="str">
        <f ca="1">IF(INDEX(Listado!G:G,ROW())="","",INDEX(Listado!G:G,ROW()))</f>
        <v/>
      </c>
      <c r="U843" s="17" t="str">
        <f>IF(INDEX(Listado!F:F,ROW())="","",INDEX(Listado!F:F,ROW()))</f>
        <v/>
      </c>
      <c r="V843" s="17">
        <f>IF(COUNTA(INDEX(Listado!B:B,ROW()):INDEX(Listado!F:F,ROW()))&gt;0,1,0)</f>
        <v/>
      </c>
      <c r="W843" s="17" t="str">
        <f>IF(INDEX(Listado!L:L,ROW())="","",INDEX(Listado!L:L,ROW()))</f>
        <v/>
      </c>
      <c r="X843" s="17">
        <f>IF(N843="","",IF(INDEX(Listado!$M:$M,N843)="No","No","Sí"))</f>
        <v/>
      </c>
    </row>
    <row r="844" spans="2:24" ht="14.25">
      <c r="N844" s="17" t="str">
        <f>IF(V844=0,"",IFERROR(LOOKUP(2,1/(INDEX(Listado!A:A,2):INDEX(Listado!A:A,ROW())&lt;&gt;""),ROW(INDEX(Listado!A:A,2):INDEX(Listado!A:A,ROW()))),""))</f>
        <v/>
      </c>
      <c r="O844" s="17" t="str">
        <f>IFERROR(IF(N844="","",IF(INDEX(Listado!M:M,N844)="No",IF(INDEX(Listado!N:N,N844)=0,"",INDEX(Listado!N:N,N844)),IF(INDEX(Listado!I:I,N844)=0,"",INDEX(Listado!I:I,N844)))),"")</f>
        <v/>
      </c>
      <c r="P844" s="17">
        <f t="shared" ca="1" si="40"/>
        <v/>
      </c>
      <c r="Q844" s="17">
        <f>IFERROR(IF(AND(N844&lt;&gt;"",ISNUMBER(O844),O844&gt;0,O844&gt;=TODAY()-90),1,0),0)</f>
        <v/>
      </c>
      <c r="R844" s="17" t="str">
        <f t="shared" si="42"/>
        <v/>
      </c>
      <c r="S844" s="17" t="str">
        <f>IF(INDEX(Listado!A:A,ROW())="","",INDEX(Listado!A:A,ROW()))</f>
        <v/>
      </c>
      <c r="T844" s="17" t="str">
        <f ca="1">IF(INDEX(Listado!G:G,ROW())="","",INDEX(Listado!G:G,ROW()))</f>
        <v/>
      </c>
      <c r="U844" s="17" t="str">
        <f>IF(INDEX(Listado!F:F,ROW())="","",INDEX(Listado!F:F,ROW()))</f>
        <v/>
      </c>
      <c r="V844" s="17">
        <f>IF(COUNTA(INDEX(Listado!B:B,ROW()):INDEX(Listado!F:F,ROW()))&gt;0,1,0)</f>
        <v/>
      </c>
      <c r="W844" s="17" t="str">
        <f>IF(INDEX(Listado!L:L,ROW())="","",INDEX(Listado!L:L,ROW()))</f>
        <v/>
      </c>
      <c r="X844" s="17">
        <f>IF(N844="","",IF(INDEX(Listado!$M:$M,N844)="No","No","Sí"))</f>
        <v/>
      </c>
    </row>
    <row r="845" spans="2:24" ht="14.25">
      <c r="N845" s="17" t="str">
        <f>IF(V845=0,"",IFERROR(LOOKUP(2,1/(INDEX(Listado!A:A,2):INDEX(Listado!A:A,ROW())&lt;&gt;""),ROW(INDEX(Listado!A:A,2):INDEX(Listado!A:A,ROW()))),""))</f>
        <v/>
      </c>
      <c r="O845" s="17" t="str">
        <f>IFERROR(IF(N845="","",IF(INDEX(Listado!M:M,N845)="No",IF(INDEX(Listado!N:N,N845)=0,"",INDEX(Listado!N:N,N845)),IF(INDEX(Listado!I:I,N845)=0,"",INDEX(Listado!I:I,N845)))),"")</f>
        <v/>
      </c>
      <c r="P845" s="17">
        <f t="shared" ca="1" si="40"/>
        <v/>
      </c>
      <c r="Q845" s="17">
        <f>IFERROR(IF(AND(N845&lt;&gt;"",ISNUMBER(O845),O845&gt;0,O845&gt;=TODAY()-90),1,0),0)</f>
        <v/>
      </c>
      <c r="R845" s="17" t="str">
        <f t="shared" si="42"/>
        <v/>
      </c>
      <c r="S845" s="17" t="str">
        <f>IF(INDEX(Listado!A:A,ROW())="","",INDEX(Listado!A:A,ROW()))</f>
        <v/>
      </c>
      <c r="T845" s="17" t="str">
        <f ca="1">IF(INDEX(Listado!G:G,ROW())="","",INDEX(Listado!G:G,ROW()))</f>
        <v/>
      </c>
      <c r="U845" s="17" t="str">
        <f>IF(INDEX(Listado!F:F,ROW())="","",INDEX(Listado!F:F,ROW()))</f>
        <v/>
      </c>
      <c r="V845" s="17">
        <f>IF(COUNTA(INDEX(Listado!B:B,ROW()):INDEX(Listado!F:F,ROW()))&gt;0,1,0)</f>
        <v/>
      </c>
      <c r="W845" s="17" t="str">
        <f>IF(INDEX(Listado!L:L,ROW())="","",INDEX(Listado!L:L,ROW()))</f>
        <v/>
      </c>
      <c r="X845" s="17">
        <f>IF(N845="","",IF(INDEX(Listado!$M:$M,N845)="No","No","Sí"))</f>
        <v/>
      </c>
    </row>
    <row r="846" spans="2:24" ht="14.25">
      <c r="N846" s="17" t="str">
        <f>IF(V846=0,"",IFERROR(LOOKUP(2,1/(INDEX(Listado!A:A,2):INDEX(Listado!A:A,ROW())&lt;&gt;""),ROW(INDEX(Listado!A:A,2):INDEX(Listado!A:A,ROW()))),""))</f>
        <v/>
      </c>
      <c r="O846" s="17" t="str">
        <f>IFERROR(IF(N846="","",IF(INDEX(Listado!M:M,N846)="No",IF(INDEX(Listado!N:N,N846)=0,"",INDEX(Listado!N:N,N846)),IF(INDEX(Listado!I:I,N846)=0,"",INDEX(Listado!I:I,N846)))),"")</f>
        <v/>
      </c>
      <c r="P846" s="17">
        <f t="shared" ca="1" si="40"/>
        <v/>
      </c>
      <c r="Q846" s="17">
        <f>IFERROR(IF(AND(N846&lt;&gt;"",ISNUMBER(O846),O846&gt;0,O846&gt;=TODAY()-90),1,0),0)</f>
        <v/>
      </c>
      <c r="R846" s="17" t="str">
        <f t="shared" si="42"/>
        <v/>
      </c>
      <c r="S846" s="17" t="str">
        <f>IF(INDEX(Listado!A:A,ROW())="","",INDEX(Listado!A:A,ROW()))</f>
        <v/>
      </c>
      <c r="T846" s="17" t="str">
        <f ca="1">IF(INDEX(Listado!G:G,ROW())="","",INDEX(Listado!G:G,ROW()))</f>
        <v/>
      </c>
      <c r="U846" s="17" t="str">
        <f>IF(INDEX(Listado!F:F,ROW())="","",INDEX(Listado!F:F,ROW()))</f>
        <v/>
      </c>
      <c r="V846" s="17">
        <f>IF(COUNTA(INDEX(Listado!B:B,ROW()):INDEX(Listado!F:F,ROW()))&gt;0,1,0)</f>
        <v/>
      </c>
      <c r="W846" s="17" t="str">
        <f>IF(INDEX(Listado!L:L,ROW())="","",INDEX(Listado!L:L,ROW()))</f>
        <v/>
      </c>
      <c r="X846" s="17">
        <f>IF(N846="","",IF(INDEX(Listado!$M:$M,N846)="No","No","Sí"))</f>
        <v/>
      </c>
    </row>
    <row r="847" spans="2:24" ht="14.25">
      <c r="N847" s="17" t="str">
        <f>IF(V847=0,"",IFERROR(LOOKUP(2,1/(INDEX(Listado!A:A,2):INDEX(Listado!A:A,ROW())&lt;&gt;""),ROW(INDEX(Listado!A:A,2):INDEX(Listado!A:A,ROW()))),""))</f>
        <v/>
      </c>
      <c r="O847" s="17" t="str">
        <f>IFERROR(IF(N847="","",IF(INDEX(Listado!M:M,N847)="No",IF(INDEX(Listado!N:N,N847)=0,"",INDEX(Listado!N:N,N847)),IF(INDEX(Listado!I:I,N847)=0,"",INDEX(Listado!I:I,N847)))),"")</f>
        <v/>
      </c>
      <c r="P847" s="17">
        <f t="shared" ca="1" si="40"/>
        <v/>
      </c>
      <c r="Q847" s="17">
        <f>IFERROR(IF(AND(N847&lt;&gt;"",ISNUMBER(O847),O847&gt;0,O847&gt;=TODAY()-90),1,0),0)</f>
        <v/>
      </c>
      <c r="R847" s="17" t="str">
        <f t="shared" si="42"/>
        <v/>
      </c>
      <c r="S847" s="17" t="str">
        <f>IF(INDEX(Listado!A:A,ROW())="","",INDEX(Listado!A:A,ROW()))</f>
        <v/>
      </c>
      <c r="T847" s="17" t="str">
        <f ca="1">IF(INDEX(Listado!G:G,ROW())="","",INDEX(Listado!G:G,ROW()))</f>
        <v/>
      </c>
      <c r="U847" s="17" t="str">
        <f>IF(INDEX(Listado!F:F,ROW())="","",INDEX(Listado!F:F,ROW()))</f>
        <v/>
      </c>
      <c r="V847" s="17">
        <f>IF(COUNTA(INDEX(Listado!B:B,ROW()):INDEX(Listado!F:F,ROW()))&gt;0,1,0)</f>
        <v/>
      </c>
      <c r="W847" s="17" t="str">
        <f>IF(INDEX(Listado!L:L,ROW())="","",INDEX(Listado!L:L,ROW()))</f>
        <v/>
      </c>
      <c r="X847" s="17">
        <f>IF(N847="","",IF(INDEX(Listado!$M:$M,N847)="No","No","Sí"))</f>
        <v/>
      </c>
    </row>
    <row r="848" spans="2:24" ht="14.25">
      <c r="N848" s="17" t="str">
        <f>IF(V848=0,"",IFERROR(LOOKUP(2,1/(INDEX(Listado!A:A,2):INDEX(Listado!A:A,ROW())&lt;&gt;""),ROW(INDEX(Listado!A:A,2):INDEX(Listado!A:A,ROW()))),""))</f>
        <v/>
      </c>
      <c r="O848" s="17" t="str">
        <f>IFERROR(IF(N848="","",IF(INDEX(Listado!M:M,N848)="No",IF(INDEX(Listado!N:N,N848)=0,"",INDEX(Listado!N:N,N848)),IF(INDEX(Listado!I:I,N848)=0,"",INDEX(Listado!I:I,N848)))),"")</f>
        <v/>
      </c>
      <c r="P848" s="17">
        <f t="shared" ca="1" si="40"/>
        <v/>
      </c>
      <c r="Q848" s="17">
        <f>IFERROR(IF(AND(N848&lt;&gt;"",ISNUMBER(O848),O848&gt;0,O848&gt;=TODAY()-90),1,0),0)</f>
        <v/>
      </c>
      <c r="R848" s="17" t="str">
        <f t="shared" si="42"/>
        <v/>
      </c>
      <c r="S848" s="17" t="str">
        <f>IF(INDEX(Listado!A:A,ROW())="","",INDEX(Listado!A:A,ROW()))</f>
        <v/>
      </c>
      <c r="T848" s="17" t="str">
        <f ca="1">IF(INDEX(Listado!G:G,ROW())="","",INDEX(Listado!G:G,ROW()))</f>
        <v/>
      </c>
      <c r="U848" s="17" t="str">
        <f>IF(INDEX(Listado!F:F,ROW())="","",INDEX(Listado!F:F,ROW()))</f>
        <v/>
      </c>
      <c r="V848" s="17">
        <f>IF(COUNTA(INDEX(Listado!B:B,ROW()):INDEX(Listado!F:F,ROW()))&gt;0,1,0)</f>
        <v/>
      </c>
      <c r="W848" s="17" t="str">
        <f>IF(INDEX(Listado!L:L,ROW())="","",INDEX(Listado!L:L,ROW()))</f>
        <v/>
      </c>
      <c r="X848" s="17">
        <f>IF(N848="","",IF(INDEX(Listado!$M:$M,N848)="No","No","Sí"))</f>
        <v/>
      </c>
    </row>
    <row r="849" spans="2:24" ht="14.25">
      <c r="N849" s="17" t="str">
        <f>IF(V849=0,"",IFERROR(LOOKUP(2,1/(INDEX(Listado!A:A,2):INDEX(Listado!A:A,ROW())&lt;&gt;""),ROW(INDEX(Listado!A:A,2):INDEX(Listado!A:A,ROW()))),""))</f>
        <v/>
      </c>
      <c r="O849" s="17" t="str">
        <f>IFERROR(IF(N849="","",IF(INDEX(Listado!M:M,N849)="No",IF(INDEX(Listado!N:N,N849)=0,"",INDEX(Listado!N:N,N849)),IF(INDEX(Listado!I:I,N849)=0,"",INDEX(Listado!I:I,N849)))),"")</f>
        <v/>
      </c>
      <c r="P849" s="17">
        <f t="shared" ca="1" si="40"/>
        <v/>
      </c>
      <c r="Q849" s="17">
        <f>IFERROR(IF(AND(N849&lt;&gt;"",ISNUMBER(O849),O849&gt;0,O849&gt;=TODAY()-90),1,0),0)</f>
        <v/>
      </c>
      <c r="R849" s="17" t="str">
        <f t="shared" si="42"/>
        <v/>
      </c>
      <c r="S849" s="17" t="str">
        <f>IF(INDEX(Listado!A:A,ROW())="","",INDEX(Listado!A:A,ROW()))</f>
        <v/>
      </c>
      <c r="T849" s="17" t="str">
        <f ca="1">IF(INDEX(Listado!G:G,ROW())="","",INDEX(Listado!G:G,ROW()))</f>
        <v/>
      </c>
      <c r="U849" s="17" t="str">
        <f>IF(INDEX(Listado!F:F,ROW())="","",INDEX(Listado!F:F,ROW()))</f>
        <v/>
      </c>
      <c r="V849" s="17">
        <f>IF(COUNTA(INDEX(Listado!B:B,ROW()):INDEX(Listado!F:F,ROW()))&gt;0,1,0)</f>
        <v/>
      </c>
      <c r="W849" s="17" t="str">
        <f>IF(INDEX(Listado!L:L,ROW())="","",INDEX(Listado!L:L,ROW()))</f>
        <v/>
      </c>
      <c r="X849" s="17">
        <f>IF(N849="","",IF(INDEX(Listado!$M:$M,N849)="No","No","Sí"))</f>
        <v/>
      </c>
    </row>
    <row r="850" spans="2:24" ht="14.25">
      <c r="N850" s="17" t="str">
        <f>IF(V850=0,"",IFERROR(LOOKUP(2,1/(INDEX(Listado!A:A,2):INDEX(Listado!A:A,ROW())&lt;&gt;""),ROW(INDEX(Listado!A:A,2):INDEX(Listado!A:A,ROW()))),""))</f>
        <v/>
      </c>
      <c r="O850" s="17" t="str">
        <f>IFERROR(IF(N850="","",IF(INDEX(Listado!M:M,N850)="No",IF(INDEX(Listado!N:N,N850)=0,"",INDEX(Listado!N:N,N850)),IF(INDEX(Listado!I:I,N850)=0,"",INDEX(Listado!I:I,N850)))),"")</f>
        <v/>
      </c>
      <c r="P850" s="17">
        <f t="shared" ca="1" si="40"/>
        <v/>
      </c>
      <c r="Q850" s="17">
        <f>IFERROR(IF(AND(N850&lt;&gt;"",ISNUMBER(O850),O850&gt;0,O850&gt;=TODAY()-90),1,0),0)</f>
        <v/>
      </c>
      <c r="R850" s="17" t="str">
        <f t="shared" si="42"/>
        <v/>
      </c>
      <c r="S850" s="17" t="str">
        <f>IF(INDEX(Listado!A:A,ROW())="","",INDEX(Listado!A:A,ROW()))</f>
        <v/>
      </c>
      <c r="T850" s="17" t="str">
        <f ca="1">IF(INDEX(Listado!G:G,ROW())="","",INDEX(Listado!G:G,ROW()))</f>
        <v/>
      </c>
      <c r="U850" s="17" t="str">
        <f>IF(INDEX(Listado!F:F,ROW())="","",INDEX(Listado!F:F,ROW()))</f>
        <v/>
      </c>
      <c r="V850" s="17">
        <f>IF(COUNTA(INDEX(Listado!B:B,ROW()):INDEX(Listado!F:F,ROW()))&gt;0,1,0)</f>
        <v/>
      </c>
      <c r="W850" s="17" t="str">
        <f>IF(INDEX(Listado!L:L,ROW())="","",INDEX(Listado!L:L,ROW()))</f>
        <v/>
      </c>
      <c r="X850" s="17">
        <f>IF(N850="","",IF(INDEX(Listado!$M:$M,N850)="No","No","Sí"))</f>
        <v/>
      </c>
    </row>
    <row r="851" spans="2:24" ht="14.25">
      <c r="N851" s="17" t="str">
        <f>IF(V851=0,"",IFERROR(LOOKUP(2,1/(INDEX(Listado!A:A,2):INDEX(Listado!A:A,ROW())&lt;&gt;""),ROW(INDEX(Listado!A:A,2):INDEX(Listado!A:A,ROW()))),""))</f>
        <v/>
      </c>
      <c r="O851" s="17" t="str">
        <f>IFERROR(IF(N851="","",IF(INDEX(Listado!M:M,N851)="No",IF(INDEX(Listado!N:N,N851)=0,"",INDEX(Listado!N:N,N851)),IF(INDEX(Listado!I:I,N851)=0,"",INDEX(Listado!I:I,N851)))),"")</f>
        <v/>
      </c>
      <c r="P851" s="17">
        <f t="shared" ca="1" si="40"/>
        <v/>
      </c>
      <c r="Q851" s="17">
        <f>IFERROR(IF(AND(N851&lt;&gt;"",ISNUMBER(O851),O851&gt;0,O851&gt;=TODAY()-90),1,0),0)</f>
        <v/>
      </c>
      <c r="R851" s="17" t="str">
        <f t="shared" si="42"/>
        <v/>
      </c>
      <c r="S851" s="17" t="str">
        <f>IF(INDEX(Listado!A:A,ROW())="","",INDEX(Listado!A:A,ROW()))</f>
        <v/>
      </c>
      <c r="T851" s="17" t="str">
        <f ca="1">IF(INDEX(Listado!G:G,ROW())="","",INDEX(Listado!G:G,ROW()))</f>
        <v/>
      </c>
      <c r="U851" s="17" t="str">
        <f>IF(INDEX(Listado!F:F,ROW())="","",INDEX(Listado!F:F,ROW()))</f>
        <v/>
      </c>
      <c r="V851" s="17">
        <f>IF(COUNTA(INDEX(Listado!B:B,ROW()):INDEX(Listado!F:F,ROW()))&gt;0,1,0)</f>
        <v/>
      </c>
      <c r="W851" s="17" t="str">
        <f>IF(INDEX(Listado!L:L,ROW())="","",INDEX(Listado!L:L,ROW()))</f>
        <v/>
      </c>
      <c r="X851" s="17">
        <f>IF(N851="","",IF(INDEX(Listado!$M:$M,N851)="No","No","Sí"))</f>
        <v/>
      </c>
    </row>
    <row r="852" spans="2:24" ht="14.25">
      <c r="N852" s="17" t="str">
        <f>IF(V852=0,"",IFERROR(LOOKUP(2,1/(INDEX(Listado!A:A,2):INDEX(Listado!A:A,ROW())&lt;&gt;""),ROW(INDEX(Listado!A:A,2):INDEX(Listado!A:A,ROW()))),""))</f>
        <v/>
      </c>
      <c r="O852" s="17" t="str">
        <f>IFERROR(IF(N852="","",IF(INDEX(Listado!M:M,N852)="No",IF(INDEX(Listado!N:N,N852)=0,"",INDEX(Listado!N:N,N852)),IF(INDEX(Listado!I:I,N852)=0,"",INDEX(Listado!I:I,N852)))),"")</f>
        <v/>
      </c>
      <c r="P852" s="17">
        <f t="shared" ca="1" si="40"/>
        <v/>
      </c>
      <c r="Q852" s="17">
        <f>IFERROR(IF(AND(N852&lt;&gt;"",ISNUMBER(O852),O852&gt;0,O852&gt;=TODAY()-90),1,0),0)</f>
        <v/>
      </c>
      <c r="R852" s="17" t="str">
        <f t="shared" si="42"/>
        <v/>
      </c>
      <c r="S852" s="17" t="str">
        <f>IF(INDEX(Listado!A:A,ROW())="","",INDEX(Listado!A:A,ROW()))</f>
        <v/>
      </c>
      <c r="T852" s="17" t="str">
        <f ca="1">IF(INDEX(Listado!G:G,ROW())="","",INDEX(Listado!G:G,ROW()))</f>
        <v/>
      </c>
      <c r="U852" s="17" t="str">
        <f>IF(INDEX(Listado!F:F,ROW())="","",INDEX(Listado!F:F,ROW()))</f>
        <v/>
      </c>
      <c r="V852" s="17">
        <f>IF(COUNTA(INDEX(Listado!B:B,ROW()):INDEX(Listado!F:F,ROW()))&gt;0,1,0)</f>
        <v/>
      </c>
      <c r="W852" s="17" t="str">
        <f>IF(INDEX(Listado!L:L,ROW())="","",INDEX(Listado!L:L,ROW()))</f>
        <v/>
      </c>
      <c r="X852" s="17">
        <f>IF(N852="","",IF(INDEX(Listado!$M:$M,N852)="No","No","Sí"))</f>
        <v/>
      </c>
    </row>
    <row r="853" spans="2:24" ht="14.25">
      <c r="N853" s="17" t="str">
        <f>IF(V853=0,"",IFERROR(LOOKUP(2,1/(INDEX(Listado!A:A,2):INDEX(Listado!A:A,ROW())&lt;&gt;""),ROW(INDEX(Listado!A:A,2):INDEX(Listado!A:A,ROW()))),""))</f>
        <v/>
      </c>
      <c r="O853" s="17" t="str">
        <f>IFERROR(IF(N853="","",IF(INDEX(Listado!M:M,N853)="No",IF(INDEX(Listado!N:N,N853)=0,"",INDEX(Listado!N:N,N853)),IF(INDEX(Listado!I:I,N853)=0,"",INDEX(Listado!I:I,N853)))),"")</f>
        <v/>
      </c>
      <c r="P853" s="17">
        <f t="shared" ca="1" si="40"/>
        <v/>
      </c>
      <c r="Q853" s="17">
        <f>IFERROR(IF(AND(N853&lt;&gt;"",ISNUMBER(O853),O853&gt;0,O853&gt;=TODAY()-90),1,0),0)</f>
        <v/>
      </c>
      <c r="R853" s="17" t="str">
        <f t="shared" si="42"/>
        <v/>
      </c>
      <c r="S853" s="17" t="str">
        <f>IF(INDEX(Listado!A:A,ROW())="","",INDEX(Listado!A:A,ROW()))</f>
        <v/>
      </c>
      <c r="T853" s="17" t="str">
        <f ca="1">IF(INDEX(Listado!G:G,ROW())="","",INDEX(Listado!G:G,ROW()))</f>
        <v/>
      </c>
      <c r="U853" s="17" t="str">
        <f>IF(INDEX(Listado!F:F,ROW())="","",INDEX(Listado!F:F,ROW()))</f>
        <v/>
      </c>
      <c r="V853" s="17">
        <f>IF(COUNTA(INDEX(Listado!B:B,ROW()):INDEX(Listado!F:F,ROW()))&gt;0,1,0)</f>
        <v/>
      </c>
      <c r="W853" s="17" t="str">
        <f>IF(INDEX(Listado!L:L,ROW())="","",INDEX(Listado!L:L,ROW()))</f>
        <v/>
      </c>
      <c r="X853" s="17">
        <f>IF(N853="","",IF(INDEX(Listado!$M:$M,N853)="No","No","Sí"))</f>
        <v/>
      </c>
    </row>
    <row r="854" spans="2:24" ht="14.25">
      <c r="N854" s="17" t="str">
        <f>IF(V854=0,"",IFERROR(LOOKUP(2,1/(INDEX(Listado!A:A,2):INDEX(Listado!A:A,ROW())&lt;&gt;""),ROW(INDEX(Listado!A:A,2):INDEX(Listado!A:A,ROW()))),""))</f>
        <v/>
      </c>
      <c r="O854" s="17" t="str">
        <f>IFERROR(IF(N854="","",IF(INDEX(Listado!M:M,N854)="No",IF(INDEX(Listado!N:N,N854)=0,"",INDEX(Listado!N:N,N854)),IF(INDEX(Listado!I:I,N854)=0,"",INDEX(Listado!I:I,N854)))),"")</f>
        <v/>
      </c>
      <c r="P854" s="17">
        <f t="shared" ca="1" si="40"/>
        <v/>
      </c>
      <c r="Q854" s="17">
        <f>IFERROR(IF(AND(N854&lt;&gt;"",ISNUMBER(O854),O854&gt;0,O854&gt;=TODAY()-90),1,0),0)</f>
        <v/>
      </c>
      <c r="R854" s="17" t="str">
        <f t="shared" si="42"/>
        <v/>
      </c>
      <c r="S854" s="17" t="str">
        <f>IF(INDEX(Listado!A:A,ROW())="","",INDEX(Listado!A:A,ROW()))</f>
        <v/>
      </c>
      <c r="T854" s="17" t="str">
        <f ca="1">IF(INDEX(Listado!G:G,ROW())="","",INDEX(Listado!G:G,ROW()))</f>
        <v/>
      </c>
      <c r="U854" s="17" t="str">
        <f>IF(INDEX(Listado!F:F,ROW())="","",INDEX(Listado!F:F,ROW()))</f>
        <v/>
      </c>
      <c r="V854" s="17">
        <f>IF(COUNTA(INDEX(Listado!B:B,ROW()):INDEX(Listado!F:F,ROW()))&gt;0,1,0)</f>
        <v/>
      </c>
      <c r="W854" s="17" t="str">
        <f>IF(INDEX(Listado!L:L,ROW())="","",INDEX(Listado!L:L,ROW()))</f>
        <v/>
      </c>
      <c r="X854" s="17">
        <f>IF(N854="","",IF(INDEX(Listado!$M:$M,N854)="No","No","Sí"))</f>
        <v/>
      </c>
    </row>
    <row r="855" spans="2:24" ht="14.25">
      <c r="N855" s="17" t="str">
        <f>IF(V855=0,"",IFERROR(LOOKUP(2,1/(INDEX(Listado!A:A,2):INDEX(Listado!A:A,ROW())&lt;&gt;""),ROW(INDEX(Listado!A:A,2):INDEX(Listado!A:A,ROW()))),""))</f>
        <v/>
      </c>
      <c r="O855" s="17" t="str">
        <f>IFERROR(IF(N855="","",IF(INDEX(Listado!M:M,N855)="No",IF(INDEX(Listado!N:N,N855)=0,"",INDEX(Listado!N:N,N855)),IF(INDEX(Listado!I:I,N855)=0,"",INDEX(Listado!I:I,N855)))),"")</f>
        <v/>
      </c>
      <c r="P855" s="17">
        <f t="shared" ca="1" si="40"/>
        <v/>
      </c>
      <c r="Q855" s="17">
        <f>IFERROR(IF(AND(N855&lt;&gt;"",ISNUMBER(O855),O855&gt;0,O855&gt;=TODAY()-90),1,0),0)</f>
        <v/>
      </c>
      <c r="R855" s="17" t="str">
        <f t="shared" si="42"/>
        <v/>
      </c>
      <c r="S855" s="17" t="str">
        <f>IF(INDEX(Listado!A:A,ROW())="","",INDEX(Listado!A:A,ROW()))</f>
        <v/>
      </c>
      <c r="T855" s="17" t="str">
        <f ca="1">IF(INDEX(Listado!G:G,ROW())="","",INDEX(Listado!G:G,ROW()))</f>
        <v/>
      </c>
      <c r="U855" s="17" t="str">
        <f>IF(INDEX(Listado!F:F,ROW())="","",INDEX(Listado!F:F,ROW()))</f>
        <v/>
      </c>
      <c r="V855" s="17">
        <f>IF(COUNTA(INDEX(Listado!B:B,ROW()):INDEX(Listado!F:F,ROW()))&gt;0,1,0)</f>
        <v/>
      </c>
      <c r="W855" s="17" t="str">
        <f>IF(INDEX(Listado!L:L,ROW())="","",INDEX(Listado!L:L,ROW()))</f>
        <v/>
      </c>
      <c r="X855" s="17">
        <f>IF(N855="","",IF(INDEX(Listado!$M:$M,N855)="No","No","Sí"))</f>
        <v/>
      </c>
    </row>
    <row r="856" spans="2:24" ht="14.25">
      <c r="N856" s="17" t="str">
        <f>IF(V856=0,"",IFERROR(LOOKUP(2,1/(INDEX(Listado!A:A,2):INDEX(Listado!A:A,ROW())&lt;&gt;""),ROW(INDEX(Listado!A:A,2):INDEX(Listado!A:A,ROW()))),""))</f>
        <v/>
      </c>
      <c r="O856" s="17" t="str">
        <f>IFERROR(IF(N856="","",IF(INDEX(Listado!M:M,N856)="No",IF(INDEX(Listado!N:N,N856)=0,"",INDEX(Listado!N:N,N856)),IF(INDEX(Listado!I:I,N856)=0,"",INDEX(Listado!I:I,N856)))),"")</f>
        <v/>
      </c>
      <c r="P856" s="17">
        <f t="shared" ca="1" si="40"/>
        <v/>
      </c>
      <c r="Q856" s="17">
        <f>IFERROR(IF(AND(N856&lt;&gt;"",ISNUMBER(O856),O856&gt;0,O856&gt;=TODAY()-90),1,0),0)</f>
        <v/>
      </c>
      <c r="R856" s="17" t="str">
        <f t="shared" si="42"/>
        <v/>
      </c>
      <c r="S856" s="17" t="str">
        <f>IF(INDEX(Listado!A:A,ROW())="","",INDEX(Listado!A:A,ROW()))</f>
        <v/>
      </c>
      <c r="T856" s="17" t="str">
        <f ca="1">IF(INDEX(Listado!G:G,ROW())="","",INDEX(Listado!G:G,ROW()))</f>
        <v/>
      </c>
      <c r="U856" s="17" t="str">
        <f>IF(INDEX(Listado!F:F,ROW())="","",INDEX(Listado!F:F,ROW()))</f>
        <v/>
      </c>
      <c r="V856" s="17">
        <f>IF(COUNTA(INDEX(Listado!B:B,ROW()):INDEX(Listado!F:F,ROW()))&gt;0,1,0)</f>
        <v/>
      </c>
      <c r="W856" s="17" t="str">
        <f>IF(INDEX(Listado!L:L,ROW())="","",INDEX(Listado!L:L,ROW()))</f>
        <v/>
      </c>
      <c r="X856" s="17">
        <f>IF(N856="","",IF(INDEX(Listado!$M:$M,N856)="No","No","Sí"))</f>
        <v/>
      </c>
    </row>
    <row r="857" spans="2:24" ht="14.25">
      <c r="N857" s="17" t="str">
        <f>IF(V857=0,"",IFERROR(LOOKUP(2,1/(INDEX(Listado!A:A,2):INDEX(Listado!A:A,ROW())&lt;&gt;""),ROW(INDEX(Listado!A:A,2):INDEX(Listado!A:A,ROW()))),""))</f>
        <v/>
      </c>
      <c r="O857" s="17" t="str">
        <f>IFERROR(IF(N857="","",IF(INDEX(Listado!M:M,N857)="No",IF(INDEX(Listado!N:N,N857)=0,"",INDEX(Listado!N:N,N857)),IF(INDEX(Listado!I:I,N857)=0,"",INDEX(Listado!I:I,N857)))),"")</f>
        <v/>
      </c>
      <c r="P857" s="17">
        <f t="shared" ca="1" si="40"/>
        <v/>
      </c>
      <c r="Q857" s="17">
        <f>IFERROR(IF(AND(N857&lt;&gt;"",ISNUMBER(O857),O857&gt;0,O857&gt;=TODAY()-90),1,0),0)</f>
        <v/>
      </c>
      <c r="R857" s="17" t="str">
        <f t="shared" si="42"/>
        <v/>
      </c>
      <c r="S857" s="17" t="str">
        <f>IF(INDEX(Listado!A:A,ROW())="","",INDEX(Listado!A:A,ROW()))</f>
        <v/>
      </c>
      <c r="T857" s="17" t="str">
        <f ca="1">IF(INDEX(Listado!G:G,ROW())="","",INDEX(Listado!G:G,ROW()))</f>
        <v/>
      </c>
      <c r="U857" s="17" t="str">
        <f>IF(INDEX(Listado!F:F,ROW())="","",INDEX(Listado!F:F,ROW()))</f>
        <v/>
      </c>
      <c r="V857" s="17">
        <f>IF(COUNTA(INDEX(Listado!B:B,ROW()):INDEX(Listado!F:F,ROW()))&gt;0,1,0)</f>
        <v/>
      </c>
      <c r="W857" s="17" t="str">
        <f>IF(INDEX(Listado!L:L,ROW())="","",INDEX(Listado!L:L,ROW()))</f>
        <v/>
      </c>
      <c r="X857" s="17">
        <f>IF(N857="","",IF(INDEX(Listado!$M:$M,N857)="No","No","Sí"))</f>
        <v/>
      </c>
    </row>
    <row r="858" spans="2:24" ht="14.25">
      <c r="N858" s="17" t="str">
        <f>IF(V858=0,"",IFERROR(LOOKUP(2,1/(INDEX(Listado!A:A,2):INDEX(Listado!A:A,ROW())&lt;&gt;""),ROW(INDEX(Listado!A:A,2):INDEX(Listado!A:A,ROW()))),""))</f>
        <v/>
      </c>
      <c r="O858" s="17" t="str">
        <f>IFERROR(IF(N858="","",IF(INDEX(Listado!M:M,N858)="No",IF(INDEX(Listado!N:N,N858)=0,"",INDEX(Listado!N:N,N858)),IF(INDEX(Listado!I:I,N858)=0,"",INDEX(Listado!I:I,N858)))),"")</f>
        <v/>
      </c>
      <c r="P858" s="17">
        <f t="shared" ca="1" si="40"/>
        <v/>
      </c>
      <c r="Q858" s="17">
        <f>IFERROR(IF(AND(N858&lt;&gt;"",ISNUMBER(O858),O858&gt;0,O858&gt;=TODAY()-90),1,0),0)</f>
        <v/>
      </c>
      <c r="R858" s="17" t="str">
        <f t="shared" si="42"/>
        <v/>
      </c>
      <c r="S858" s="17" t="str">
        <f>IF(INDEX(Listado!A:A,ROW())="","",INDEX(Listado!A:A,ROW()))</f>
        <v/>
      </c>
      <c r="T858" s="17" t="str">
        <f ca="1">IF(INDEX(Listado!G:G,ROW())="","",INDEX(Listado!G:G,ROW()))</f>
        <v/>
      </c>
      <c r="U858" s="17" t="str">
        <f>IF(INDEX(Listado!F:F,ROW())="","",INDEX(Listado!F:F,ROW()))</f>
        <v/>
      </c>
      <c r="V858" s="17">
        <f>IF(COUNTA(INDEX(Listado!B:B,ROW()):INDEX(Listado!F:F,ROW()))&gt;0,1,0)</f>
        <v/>
      </c>
      <c r="W858" s="17" t="str">
        <f>IF(INDEX(Listado!L:L,ROW())="","",INDEX(Listado!L:L,ROW()))</f>
        <v/>
      </c>
      <c r="X858" s="17">
        <f>IF(N858="","",IF(INDEX(Listado!$M:$M,N858)="No","No","Sí"))</f>
        <v/>
      </c>
    </row>
    <row r="859" spans="2:24" ht="14.25">
      <c r="N859" s="17" t="str">
        <f>IF(V859=0,"",IFERROR(LOOKUP(2,1/(INDEX(Listado!A:A,2):INDEX(Listado!A:A,ROW())&lt;&gt;""),ROW(INDEX(Listado!A:A,2):INDEX(Listado!A:A,ROW()))),""))</f>
        <v/>
      </c>
      <c r="O859" s="17" t="str">
        <f>IFERROR(IF(N859="","",IF(INDEX(Listado!M:M,N859)="No",IF(INDEX(Listado!N:N,N859)=0,"",INDEX(Listado!N:N,N859)),IF(INDEX(Listado!I:I,N859)=0,"",INDEX(Listado!I:I,N859)))),"")</f>
        <v/>
      </c>
      <c r="P859" s="17">
        <f t="shared" ca="1" si="40"/>
        <v/>
      </c>
      <c r="Q859" s="17">
        <f>IFERROR(IF(AND(N859&lt;&gt;"",ISNUMBER(O859),O859&gt;0,O859&gt;=TODAY()-90),1,0),0)</f>
        <v/>
      </c>
      <c r="R859" s="17" t="str">
        <f t="shared" si="42"/>
        <v/>
      </c>
      <c r="S859" s="17" t="str">
        <f>IF(INDEX(Listado!A:A,ROW())="","",INDEX(Listado!A:A,ROW()))</f>
        <v/>
      </c>
      <c r="T859" s="17" t="str">
        <f ca="1">IF(INDEX(Listado!G:G,ROW())="","",INDEX(Listado!G:G,ROW()))</f>
        <v/>
      </c>
      <c r="U859" s="17" t="str">
        <f>IF(INDEX(Listado!F:F,ROW())="","",INDEX(Listado!F:F,ROW()))</f>
        <v/>
      </c>
      <c r="V859" s="17">
        <f>IF(COUNTA(INDEX(Listado!B:B,ROW()):INDEX(Listado!F:F,ROW()))&gt;0,1,0)</f>
        <v/>
      </c>
      <c r="W859" s="17" t="str">
        <f>IF(INDEX(Listado!L:L,ROW())="","",INDEX(Listado!L:L,ROW()))</f>
        <v/>
      </c>
      <c r="X859" s="17">
        <f>IF(N859="","",IF(INDEX(Listado!$M:$M,N859)="No","No","Sí"))</f>
        <v/>
      </c>
    </row>
    <row r="860" spans="2:24" ht="14.25">
      <c r="N860" s="17" t="str">
        <f>IF(V860=0,"",IFERROR(LOOKUP(2,1/(INDEX(Listado!A:A,2):INDEX(Listado!A:A,ROW())&lt;&gt;""),ROW(INDEX(Listado!A:A,2):INDEX(Listado!A:A,ROW()))),""))</f>
        <v/>
      </c>
      <c r="O860" s="17" t="str">
        <f>IFERROR(IF(N860="","",IF(INDEX(Listado!M:M,N860)="No",IF(INDEX(Listado!N:N,N860)=0,"",INDEX(Listado!N:N,N860)),IF(INDEX(Listado!I:I,N860)=0,"",INDEX(Listado!I:I,N860)))),"")</f>
        <v/>
      </c>
      <c r="P860" s="17">
        <f t="shared" ca="1" si="40"/>
        <v/>
      </c>
      <c r="Q860" s="17">
        <f>IFERROR(IF(AND(N860&lt;&gt;"",ISNUMBER(O860),O860&gt;0,O860&gt;=TODAY()-90),1,0),0)</f>
        <v/>
      </c>
      <c r="R860" s="17" t="str">
        <f t="shared" si="42"/>
        <v/>
      </c>
      <c r="S860" s="17" t="str">
        <f>IF(INDEX(Listado!A:A,ROW())="","",INDEX(Listado!A:A,ROW()))</f>
        <v/>
      </c>
      <c r="T860" s="17" t="str">
        <f ca="1">IF(INDEX(Listado!G:G,ROW())="","",INDEX(Listado!G:G,ROW()))</f>
        <v/>
      </c>
      <c r="U860" s="17" t="str">
        <f>IF(INDEX(Listado!F:F,ROW())="","",INDEX(Listado!F:F,ROW()))</f>
        <v/>
      </c>
      <c r="V860" s="17">
        <f>IF(COUNTA(INDEX(Listado!B:B,ROW()):INDEX(Listado!F:F,ROW()))&gt;0,1,0)</f>
        <v/>
      </c>
      <c r="W860" s="17" t="str">
        <f>IF(INDEX(Listado!L:L,ROW())="","",INDEX(Listado!L:L,ROW()))</f>
        <v/>
      </c>
      <c r="X860" s="17">
        <f>IF(N860="","",IF(INDEX(Listado!$M:$M,N860)="No","No","Sí"))</f>
        <v/>
      </c>
    </row>
    <row r="861" spans="2:24" ht="14.25">
      <c r="N861" s="17" t="str">
        <f>IF(V861=0,"",IFERROR(LOOKUP(2,1/(INDEX(Listado!A:A,2):INDEX(Listado!A:A,ROW())&lt;&gt;""),ROW(INDEX(Listado!A:A,2):INDEX(Listado!A:A,ROW()))),""))</f>
        <v/>
      </c>
      <c r="O861" s="17" t="str">
        <f>IFERROR(IF(N861="","",IF(INDEX(Listado!M:M,N861)="No",IF(INDEX(Listado!N:N,N861)=0,"",INDEX(Listado!N:N,N861)),IF(INDEX(Listado!I:I,N861)=0,"",INDEX(Listado!I:I,N861)))),"")</f>
        <v/>
      </c>
      <c r="P861" s="17">
        <f t="shared" ca="1" si="40"/>
        <v/>
      </c>
      <c r="Q861" s="17">
        <f>IFERROR(IF(AND(N861&lt;&gt;"",ISNUMBER(O861),O861&gt;0,O861&gt;=TODAY()-90),1,0),0)</f>
        <v/>
      </c>
      <c r="R861" s="17" t="str">
        <f t="shared" si="42"/>
        <v/>
      </c>
      <c r="S861" s="17" t="str">
        <f>IF(INDEX(Listado!A:A,ROW())="","",INDEX(Listado!A:A,ROW()))</f>
        <v/>
      </c>
      <c r="T861" s="17" t="str">
        <f ca="1">IF(INDEX(Listado!G:G,ROW())="","",INDEX(Listado!G:G,ROW()))</f>
        <v/>
      </c>
      <c r="U861" s="17" t="str">
        <f>IF(INDEX(Listado!F:F,ROW())="","",INDEX(Listado!F:F,ROW()))</f>
        <v/>
      </c>
      <c r="V861" s="17">
        <f>IF(COUNTA(INDEX(Listado!B:B,ROW()):INDEX(Listado!F:F,ROW()))&gt;0,1,0)</f>
        <v/>
      </c>
      <c r="W861" s="17" t="str">
        <f>IF(INDEX(Listado!L:L,ROW())="","",INDEX(Listado!L:L,ROW()))</f>
        <v/>
      </c>
      <c r="X861" s="17">
        <f>IF(N861="","",IF(INDEX(Listado!$M:$M,N861)="No","No","Sí"))</f>
        <v/>
      </c>
    </row>
    <row r="862" spans="2:24" ht="14.25">
      <c r="N862" s="17" t="str">
        <f>IF(V862=0,"",IFERROR(LOOKUP(2,1/(INDEX(Listado!A:A,2):INDEX(Listado!A:A,ROW())&lt;&gt;""),ROW(INDEX(Listado!A:A,2):INDEX(Listado!A:A,ROW()))),""))</f>
        <v/>
      </c>
      <c r="O862" s="17" t="str">
        <f>IFERROR(IF(N862="","",IF(INDEX(Listado!M:M,N862)="No",IF(INDEX(Listado!N:N,N862)=0,"",INDEX(Listado!N:N,N862)),IF(INDEX(Listado!I:I,N862)=0,"",INDEX(Listado!I:I,N862)))),"")</f>
        <v/>
      </c>
      <c r="P862" s="17">
        <f t="shared" ca="1" si="40"/>
        <v/>
      </c>
      <c r="Q862" s="17">
        <f>IFERROR(IF(AND(N862&lt;&gt;"",ISNUMBER(O862),O862&gt;0,O862&gt;=TODAY()-90),1,0),0)</f>
        <v/>
      </c>
      <c r="R862" s="17" t="str">
        <f t="shared" si="42"/>
        <v/>
      </c>
      <c r="S862" s="17" t="str">
        <f>IF(INDEX(Listado!A:A,ROW())="","",INDEX(Listado!A:A,ROW()))</f>
        <v/>
      </c>
      <c r="T862" s="17" t="str">
        <f ca="1">IF(INDEX(Listado!G:G,ROW())="","",INDEX(Listado!G:G,ROW()))</f>
        <v/>
      </c>
      <c r="U862" s="17" t="str">
        <f>IF(INDEX(Listado!F:F,ROW())="","",INDEX(Listado!F:F,ROW()))</f>
        <v/>
      </c>
      <c r="V862" s="17">
        <f>IF(COUNTA(INDEX(Listado!B:B,ROW()):INDEX(Listado!F:F,ROW()))&gt;0,1,0)</f>
        <v/>
      </c>
      <c r="W862" s="17" t="str">
        <f>IF(INDEX(Listado!L:L,ROW())="","",INDEX(Listado!L:L,ROW()))</f>
        <v/>
      </c>
      <c r="X862" s="17">
        <f>IF(N862="","",IF(INDEX(Listado!$M:$M,N862)="No","No","Sí"))</f>
        <v/>
      </c>
    </row>
    <row r="863" spans="2:24" ht="14.25">
      <c r="N863" s="17" t="str">
        <f>IF(V863=0,"",IFERROR(LOOKUP(2,1/(INDEX(Listado!A:A,2):INDEX(Listado!A:A,ROW())&lt;&gt;""),ROW(INDEX(Listado!A:A,2):INDEX(Listado!A:A,ROW()))),""))</f>
        <v/>
      </c>
      <c r="O863" s="17" t="str">
        <f>IFERROR(IF(N863="","",IF(INDEX(Listado!M:M,N863)="No",IF(INDEX(Listado!N:N,N863)=0,"",INDEX(Listado!N:N,N863)),IF(INDEX(Listado!I:I,N863)=0,"",INDEX(Listado!I:I,N863)))),"")</f>
        <v/>
      </c>
      <c r="P863" s="17">
        <f t="shared" ca="1" si="40"/>
        <v/>
      </c>
      <c r="Q863" s="17">
        <f>IFERROR(IF(AND(N863&lt;&gt;"",ISNUMBER(O863),O863&gt;0,O863&gt;=TODAY()-90),1,0),0)</f>
        <v/>
      </c>
      <c r="R863" s="17" t="str">
        <f t="shared" si="42"/>
        <v/>
      </c>
      <c r="S863" s="17" t="str">
        <f>IF(INDEX(Listado!A:A,ROW())="","",INDEX(Listado!A:A,ROW()))</f>
        <v/>
      </c>
      <c r="T863" s="17" t="str">
        <f ca="1">IF(INDEX(Listado!G:G,ROW())="","",INDEX(Listado!G:G,ROW()))</f>
        <v/>
      </c>
      <c r="U863" s="17" t="str">
        <f>IF(INDEX(Listado!F:F,ROW())="","",INDEX(Listado!F:F,ROW()))</f>
        <v/>
      </c>
      <c r="V863" s="17">
        <f>IF(COUNTA(INDEX(Listado!B:B,ROW()):INDEX(Listado!F:F,ROW()))&gt;0,1,0)</f>
        <v/>
      </c>
      <c r="W863" s="17" t="str">
        <f>IF(INDEX(Listado!L:L,ROW())="","",INDEX(Listado!L:L,ROW()))</f>
        <v/>
      </c>
      <c r="X863" s="17">
        <f>IF(N863="","",IF(INDEX(Listado!$M:$M,N863)="No","No","Sí"))</f>
        <v/>
      </c>
    </row>
    <row r="864" spans="2:24" ht="14.25">
      <c r="N864" s="17" t="str">
        <f>IF(V864=0,"",IFERROR(LOOKUP(2,1/(INDEX(Listado!A:A,2):INDEX(Listado!A:A,ROW())&lt;&gt;""),ROW(INDEX(Listado!A:A,2):INDEX(Listado!A:A,ROW()))),""))</f>
        <v/>
      </c>
      <c r="O864" s="17" t="str">
        <f>IFERROR(IF(N864="","",IF(INDEX(Listado!M:M,N864)="No",IF(INDEX(Listado!N:N,N864)=0,"",INDEX(Listado!N:N,N864)),IF(INDEX(Listado!I:I,N864)=0,"",INDEX(Listado!I:I,N864)))),"")</f>
        <v/>
      </c>
      <c r="P864" s="17">
        <f t="shared" ca="1" si="40"/>
        <v/>
      </c>
      <c r="Q864" s="17">
        <f>IFERROR(IF(AND(N864&lt;&gt;"",ISNUMBER(O864),O864&gt;0,O864&gt;=TODAY()-90),1,0),0)</f>
        <v/>
      </c>
      <c r="R864" s="17" t="str">
        <f t="shared" si="42"/>
        <v/>
      </c>
      <c r="S864" s="17" t="str">
        <f>IF(INDEX(Listado!A:A,ROW())="","",INDEX(Listado!A:A,ROW()))</f>
        <v/>
      </c>
      <c r="T864" s="17" t="str">
        <f ca="1">IF(INDEX(Listado!G:G,ROW())="","",INDEX(Listado!G:G,ROW()))</f>
        <v/>
      </c>
      <c r="U864" s="17" t="str">
        <f>IF(INDEX(Listado!F:F,ROW())="","",INDEX(Listado!F:F,ROW()))</f>
        <v/>
      </c>
      <c r="V864" s="17">
        <f>IF(COUNTA(INDEX(Listado!B:B,ROW()):INDEX(Listado!F:F,ROW()))&gt;0,1,0)</f>
        <v/>
      </c>
      <c r="W864" s="17" t="str">
        <f>IF(INDEX(Listado!L:L,ROW())="","",INDEX(Listado!L:L,ROW()))</f>
        <v/>
      </c>
      <c r="X864" s="17">
        <f>IF(N864="","",IF(INDEX(Listado!$M:$M,N864)="No","No","Sí"))</f>
        <v/>
      </c>
    </row>
    <row r="865" spans="2:24" ht="14.25">
      <c r="N865" s="17" t="str">
        <f>IF(V865=0,"",IFERROR(LOOKUP(2,1/(INDEX(Listado!A:A,2):INDEX(Listado!A:A,ROW())&lt;&gt;""),ROW(INDEX(Listado!A:A,2):INDEX(Listado!A:A,ROW()))),""))</f>
        <v/>
      </c>
      <c r="O865" s="17" t="str">
        <f>IFERROR(IF(N865="","",IF(INDEX(Listado!M:M,N865)="No",IF(INDEX(Listado!N:N,N865)=0,"",INDEX(Listado!N:N,N865)),IF(INDEX(Listado!I:I,N865)=0,"",INDEX(Listado!I:I,N865)))),"")</f>
        <v/>
      </c>
      <c r="P865" s="17">
        <f t="shared" ca="1" si="40"/>
        <v/>
      </c>
      <c r="Q865" s="17">
        <f>IFERROR(IF(AND(N865&lt;&gt;"",ISNUMBER(O865),O865&gt;0,O865&gt;=TODAY()-90),1,0),0)</f>
        <v/>
      </c>
      <c r="R865" s="17" t="str">
        <f t="shared" si="42"/>
        <v/>
      </c>
      <c r="S865" s="17" t="str">
        <f>IF(INDEX(Listado!A:A,ROW())="","",INDEX(Listado!A:A,ROW()))</f>
        <v/>
      </c>
      <c r="T865" s="17" t="str">
        <f ca="1">IF(INDEX(Listado!G:G,ROW())="","",INDEX(Listado!G:G,ROW()))</f>
        <v/>
      </c>
      <c r="U865" s="17" t="str">
        <f>IF(INDEX(Listado!F:F,ROW())="","",INDEX(Listado!F:F,ROW()))</f>
        <v/>
      </c>
      <c r="V865" s="17">
        <f>IF(COUNTA(INDEX(Listado!B:B,ROW()):INDEX(Listado!F:F,ROW()))&gt;0,1,0)</f>
        <v/>
      </c>
      <c r="W865" s="17" t="str">
        <f>IF(INDEX(Listado!L:L,ROW())="","",INDEX(Listado!L:L,ROW()))</f>
        <v/>
      </c>
      <c r="X865" s="17">
        <f>IF(N865="","",IF(INDEX(Listado!$M:$M,N865)="No","No","Sí"))</f>
        <v/>
      </c>
    </row>
    <row r="866" spans="2:24" ht="14.25">
      <c r="N866" s="17" t="str">
        <f>IF(V866=0,"",IFERROR(LOOKUP(2,1/(INDEX(Listado!A:A,2):INDEX(Listado!A:A,ROW())&lt;&gt;""),ROW(INDEX(Listado!A:A,2):INDEX(Listado!A:A,ROW()))),""))</f>
        <v/>
      </c>
      <c r="O866" s="17" t="str">
        <f>IFERROR(IF(N866="","",IF(INDEX(Listado!M:M,N866)="No",IF(INDEX(Listado!N:N,N866)=0,"",INDEX(Listado!N:N,N866)),IF(INDEX(Listado!I:I,N866)=0,"",INDEX(Listado!I:I,N866)))),"")</f>
        <v/>
      </c>
      <c r="P866" s="17">
        <f t="shared" ca="1" si="40"/>
        <v/>
      </c>
      <c r="Q866" s="17">
        <f>IFERROR(IF(AND(N866&lt;&gt;"",ISNUMBER(O866),O866&gt;0,O866&gt;=TODAY()-90),1,0),0)</f>
        <v/>
      </c>
      <c r="R866" s="17" t="str">
        <f t="shared" si="42"/>
        <v/>
      </c>
      <c r="S866" s="17" t="str">
        <f>IF(INDEX(Listado!A:A,ROW())="","",INDEX(Listado!A:A,ROW()))</f>
        <v/>
      </c>
      <c r="T866" s="17" t="str">
        <f ca="1">IF(INDEX(Listado!G:G,ROW())="","",INDEX(Listado!G:G,ROW()))</f>
        <v/>
      </c>
      <c r="U866" s="17" t="str">
        <f>IF(INDEX(Listado!F:F,ROW())="","",INDEX(Listado!F:F,ROW()))</f>
        <v/>
      </c>
      <c r="V866" s="17">
        <f>IF(COUNTA(INDEX(Listado!B:B,ROW()):INDEX(Listado!F:F,ROW()))&gt;0,1,0)</f>
        <v/>
      </c>
      <c r="W866" s="17" t="str">
        <f>IF(INDEX(Listado!L:L,ROW())="","",INDEX(Listado!L:L,ROW()))</f>
        <v/>
      </c>
      <c r="X866" s="17">
        <f>IF(N866="","",IF(INDEX(Listado!$M:$M,N866)="No","No","Sí"))</f>
        <v/>
      </c>
    </row>
    <row r="867" spans="2:24" ht="14.25">
      <c r="N867" s="17" t="str">
        <f>IF(V867=0,"",IFERROR(LOOKUP(2,1/(INDEX(Listado!A:A,2):INDEX(Listado!A:A,ROW())&lt;&gt;""),ROW(INDEX(Listado!A:A,2):INDEX(Listado!A:A,ROW()))),""))</f>
        <v/>
      </c>
      <c r="O867" s="17" t="str">
        <f>IFERROR(IF(N867="","",IF(INDEX(Listado!M:M,N867)="No",IF(INDEX(Listado!N:N,N867)=0,"",INDEX(Listado!N:N,N867)),IF(INDEX(Listado!I:I,N867)=0,"",INDEX(Listado!I:I,N867)))),"")</f>
        <v/>
      </c>
      <c r="P867" s="17">
        <f t="shared" ca="1" si="40"/>
        <v/>
      </c>
      <c r="Q867" s="17">
        <f>IFERROR(IF(AND(N867&lt;&gt;"",ISNUMBER(O867),O867&gt;0,O867&gt;=TODAY()-90),1,0),0)</f>
        <v/>
      </c>
      <c r="R867" s="17" t="str">
        <f t="shared" si="42"/>
        <v/>
      </c>
      <c r="S867" s="17" t="str">
        <f>IF(INDEX(Listado!A:A,ROW())="","",INDEX(Listado!A:A,ROW()))</f>
        <v/>
      </c>
      <c r="T867" s="17" t="str">
        <f ca="1">IF(INDEX(Listado!G:G,ROW())="","",INDEX(Listado!G:G,ROW()))</f>
        <v/>
      </c>
      <c r="U867" s="17" t="str">
        <f>IF(INDEX(Listado!F:F,ROW())="","",INDEX(Listado!F:F,ROW()))</f>
        <v/>
      </c>
      <c r="V867" s="17">
        <f>IF(COUNTA(INDEX(Listado!B:B,ROW()):INDEX(Listado!F:F,ROW()))&gt;0,1,0)</f>
        <v/>
      </c>
      <c r="W867" s="17" t="str">
        <f>IF(INDEX(Listado!L:L,ROW())="","",INDEX(Listado!L:L,ROW()))</f>
        <v/>
      </c>
      <c r="X867" s="17">
        <f>IF(N867="","",IF(INDEX(Listado!$M:$M,N867)="No","No","Sí"))</f>
        <v/>
      </c>
    </row>
    <row r="868" spans="2:24" ht="14.25">
      <c r="N868" s="17" t="str">
        <f>IF(V868=0,"",IFERROR(LOOKUP(2,1/(INDEX(Listado!A:A,2):INDEX(Listado!A:A,ROW())&lt;&gt;""),ROW(INDEX(Listado!A:A,2):INDEX(Listado!A:A,ROW()))),""))</f>
        <v/>
      </c>
      <c r="O868" s="17" t="str">
        <f>IFERROR(IF(N868="","",IF(INDEX(Listado!M:M,N868)="No",IF(INDEX(Listado!N:N,N868)=0,"",INDEX(Listado!N:N,N868)),IF(INDEX(Listado!I:I,N868)=0,"",INDEX(Listado!I:I,N868)))),"")</f>
        <v/>
      </c>
      <c r="P868" s="17">
        <f t="shared" ca="1" si="40"/>
        <v/>
      </c>
      <c r="Q868" s="17">
        <f>IFERROR(IF(AND(N868&lt;&gt;"",ISNUMBER(O868),O868&gt;0,O868&gt;=TODAY()-90),1,0),0)</f>
        <v/>
      </c>
      <c r="R868" s="17" t="str">
        <f t="shared" si="42"/>
        <v/>
      </c>
      <c r="S868" s="17" t="str">
        <f>IF(INDEX(Listado!A:A,ROW())="","",INDEX(Listado!A:A,ROW()))</f>
        <v/>
      </c>
      <c r="T868" s="17" t="str">
        <f ca="1">IF(INDEX(Listado!G:G,ROW())="","",INDEX(Listado!G:G,ROW()))</f>
        <v/>
      </c>
      <c r="U868" s="17" t="str">
        <f>IF(INDEX(Listado!F:F,ROW())="","",INDEX(Listado!F:F,ROW()))</f>
        <v/>
      </c>
      <c r="V868" s="17">
        <f>IF(COUNTA(INDEX(Listado!B:B,ROW()):INDEX(Listado!F:F,ROW()))&gt;0,1,0)</f>
        <v/>
      </c>
      <c r="W868" s="17" t="str">
        <f>IF(INDEX(Listado!L:L,ROW())="","",INDEX(Listado!L:L,ROW()))</f>
        <v/>
      </c>
      <c r="X868" s="17">
        <f>IF(N868="","",IF(INDEX(Listado!$M:$M,N868)="No","No","Sí"))</f>
        <v/>
      </c>
    </row>
    <row r="869" spans="2:24" ht="14.25">
      <c r="N869" s="17" t="str">
        <f>IF(V869=0,"",IFERROR(LOOKUP(2,1/(INDEX(Listado!A:A,2):INDEX(Listado!A:A,ROW())&lt;&gt;""),ROW(INDEX(Listado!A:A,2):INDEX(Listado!A:A,ROW()))),""))</f>
        <v/>
      </c>
      <c r="O869" s="17" t="str">
        <f>IFERROR(IF(N869="","",IF(INDEX(Listado!M:M,N869)="No",IF(INDEX(Listado!N:N,N869)=0,"",INDEX(Listado!N:N,N869)),IF(INDEX(Listado!I:I,N869)=0,"",INDEX(Listado!I:I,N869)))),"")</f>
        <v/>
      </c>
      <c r="P869" s="17">
        <f t="shared" ca="1" si="40"/>
        <v/>
      </c>
      <c r="Q869" s="17">
        <f>IFERROR(IF(AND(N869&lt;&gt;"",ISNUMBER(O869),O869&gt;0,O869&gt;=TODAY()-90),1,0),0)</f>
        <v/>
      </c>
      <c r="R869" s="17" t="str">
        <f t="shared" si="42"/>
        <v/>
      </c>
      <c r="S869" s="17" t="str">
        <f>IF(INDEX(Listado!A:A,ROW())="","",INDEX(Listado!A:A,ROW()))</f>
        <v/>
      </c>
      <c r="T869" s="17" t="str">
        <f ca="1">IF(INDEX(Listado!G:G,ROW())="","",INDEX(Listado!G:G,ROW()))</f>
        <v/>
      </c>
      <c r="U869" s="17" t="str">
        <f>IF(INDEX(Listado!F:F,ROW())="","",INDEX(Listado!F:F,ROW()))</f>
        <v/>
      </c>
      <c r="V869" s="17">
        <f>IF(COUNTA(INDEX(Listado!B:B,ROW()):INDEX(Listado!F:F,ROW()))&gt;0,1,0)</f>
        <v/>
      </c>
      <c r="W869" s="17" t="str">
        <f>IF(INDEX(Listado!L:L,ROW())="","",INDEX(Listado!L:L,ROW()))</f>
        <v/>
      </c>
      <c r="X869" s="17">
        <f>IF(N869="","",IF(INDEX(Listado!$M:$M,N869)="No","No","Sí"))</f>
        <v/>
      </c>
    </row>
    <row r="870" spans="2:24" ht="14.25">
      <c r="N870" s="17" t="str">
        <f>IF(V870=0,"",IFERROR(LOOKUP(2,1/(INDEX(Listado!A:A,2):INDEX(Listado!A:A,ROW())&lt;&gt;""),ROW(INDEX(Listado!A:A,2):INDEX(Listado!A:A,ROW()))),""))</f>
        <v/>
      </c>
      <c r="O870" s="17" t="str">
        <f>IFERROR(IF(N870="","",IF(INDEX(Listado!M:M,N870)="No",IF(INDEX(Listado!N:N,N870)=0,"",INDEX(Listado!N:N,N870)),IF(INDEX(Listado!I:I,N870)=0,"",INDEX(Listado!I:I,N870)))),"")</f>
        <v/>
      </c>
      <c r="P870" s="17">
        <f t="shared" ca="1" si="40"/>
        <v/>
      </c>
      <c r="Q870" s="17">
        <f>IFERROR(IF(AND(N870&lt;&gt;"",ISNUMBER(O870),O870&gt;0,O870&gt;=TODAY()-90),1,0),0)</f>
        <v/>
      </c>
      <c r="R870" s="17" t="str">
        <f t="shared" si="42"/>
        <v/>
      </c>
      <c r="S870" s="17" t="str">
        <f>IF(INDEX(Listado!A:A,ROW())="","",INDEX(Listado!A:A,ROW()))</f>
        <v/>
      </c>
      <c r="T870" s="17" t="str">
        <f ca="1">IF(INDEX(Listado!G:G,ROW())="","",INDEX(Listado!G:G,ROW()))</f>
        <v/>
      </c>
      <c r="U870" s="17" t="str">
        <f>IF(INDEX(Listado!F:F,ROW())="","",INDEX(Listado!F:F,ROW()))</f>
        <v/>
      </c>
      <c r="V870" s="17">
        <f>IF(COUNTA(INDEX(Listado!B:B,ROW()):INDEX(Listado!F:F,ROW()))&gt;0,1,0)</f>
        <v/>
      </c>
      <c r="W870" s="17" t="str">
        <f>IF(INDEX(Listado!L:L,ROW())="","",INDEX(Listado!L:L,ROW()))</f>
        <v/>
      </c>
      <c r="X870" s="17">
        <f>IF(N870="","",IF(INDEX(Listado!$M:$M,N870)="No","No","Sí"))</f>
        <v/>
      </c>
    </row>
    <row r="871" spans="2:24" ht="14.25">
      <c r="N871" s="17" t="str">
        <f>IF(V871=0,"",IFERROR(LOOKUP(2,1/(INDEX(Listado!A:A,2):INDEX(Listado!A:A,ROW())&lt;&gt;""),ROW(INDEX(Listado!A:A,2):INDEX(Listado!A:A,ROW()))),""))</f>
        <v/>
      </c>
      <c r="O871" s="17" t="str">
        <f>IFERROR(IF(N871="","",IF(INDEX(Listado!M:M,N871)="No",IF(INDEX(Listado!N:N,N871)=0,"",INDEX(Listado!N:N,N871)),IF(INDEX(Listado!I:I,N871)=0,"",INDEX(Listado!I:I,N871)))),"")</f>
        <v/>
      </c>
      <c r="P871" s="17">
        <f t="shared" ca="1" si="40"/>
        <v/>
      </c>
      <c r="Q871" s="17">
        <f>IFERROR(IF(AND(N871&lt;&gt;"",ISNUMBER(O871),O871&gt;0,O871&gt;=TODAY()-90),1,0),0)</f>
        <v/>
      </c>
      <c r="R871" s="17" t="str">
        <f t="shared" si="42"/>
        <v/>
      </c>
      <c r="S871" s="17" t="str">
        <f>IF(INDEX(Listado!A:A,ROW())="","",INDEX(Listado!A:A,ROW()))</f>
        <v/>
      </c>
      <c r="T871" s="17" t="str">
        <f ca="1">IF(INDEX(Listado!G:G,ROW())="","",INDEX(Listado!G:G,ROW()))</f>
        <v/>
      </c>
      <c r="U871" s="17" t="str">
        <f>IF(INDEX(Listado!F:F,ROW())="","",INDEX(Listado!F:F,ROW()))</f>
        <v/>
      </c>
      <c r="V871" s="17">
        <f>IF(COUNTA(INDEX(Listado!B:B,ROW()):INDEX(Listado!F:F,ROW()))&gt;0,1,0)</f>
        <v/>
      </c>
      <c r="W871" s="17" t="str">
        <f>IF(INDEX(Listado!L:L,ROW())="","",INDEX(Listado!L:L,ROW()))</f>
        <v/>
      </c>
      <c r="X871" s="17">
        <f>IF(N871="","",IF(INDEX(Listado!$M:$M,N871)="No","No","Sí"))</f>
        <v/>
      </c>
    </row>
    <row r="872" spans="2:24" ht="14.25">
      <c r="N872" s="17" t="str">
        <f>IF(V872=0,"",IFERROR(LOOKUP(2,1/(INDEX(Listado!A:A,2):INDEX(Listado!A:A,ROW())&lt;&gt;""),ROW(INDEX(Listado!A:A,2):INDEX(Listado!A:A,ROW()))),""))</f>
        <v/>
      </c>
      <c r="O872" s="17" t="str">
        <f>IFERROR(IF(N872="","",IF(INDEX(Listado!M:M,N872)="No",IF(INDEX(Listado!N:N,N872)=0,"",INDEX(Listado!N:N,N872)),IF(INDEX(Listado!I:I,N872)=0,"",INDEX(Listado!I:I,N872)))),"")</f>
        <v/>
      </c>
      <c r="P872" s="17">
        <f t="shared" ca="1" si="40"/>
        <v/>
      </c>
      <c r="Q872" s="17">
        <f>IFERROR(IF(AND(N872&lt;&gt;"",ISNUMBER(O872),O872&gt;0,O872&gt;=TODAY()-90),1,0),0)</f>
        <v/>
      </c>
      <c r="R872" s="17" t="str">
        <f t="shared" si="42"/>
        <v/>
      </c>
      <c r="S872" s="17" t="str">
        <f>IF(INDEX(Listado!A:A,ROW())="","",INDEX(Listado!A:A,ROW()))</f>
        <v/>
      </c>
      <c r="T872" s="17" t="str">
        <f ca="1">IF(INDEX(Listado!G:G,ROW())="","",INDEX(Listado!G:G,ROW()))</f>
        <v/>
      </c>
      <c r="U872" s="17" t="str">
        <f>IF(INDEX(Listado!F:F,ROW())="","",INDEX(Listado!F:F,ROW()))</f>
        <v/>
      </c>
      <c r="V872" s="17">
        <f>IF(COUNTA(INDEX(Listado!B:B,ROW()):INDEX(Listado!F:F,ROW()))&gt;0,1,0)</f>
        <v/>
      </c>
      <c r="W872" s="17" t="str">
        <f>IF(INDEX(Listado!L:L,ROW())="","",INDEX(Listado!L:L,ROW()))</f>
        <v/>
      </c>
      <c r="X872" s="17">
        <f>IF(N872="","",IF(INDEX(Listado!$M:$M,N872)="No","No","Sí"))</f>
        <v/>
      </c>
    </row>
    <row r="873" spans="2:24" ht="14.25">
      <c r="N873" s="17" t="str">
        <f>IF(V873=0,"",IFERROR(LOOKUP(2,1/(INDEX(Listado!A:A,2):INDEX(Listado!A:A,ROW())&lt;&gt;""),ROW(INDEX(Listado!A:A,2):INDEX(Listado!A:A,ROW()))),""))</f>
        <v/>
      </c>
      <c r="O873" s="17" t="str">
        <f>IFERROR(IF(N873="","",IF(INDEX(Listado!M:M,N873)="No",IF(INDEX(Listado!N:N,N873)=0,"",INDEX(Listado!N:N,N873)),IF(INDEX(Listado!I:I,N873)=0,"",INDEX(Listado!I:I,N873)))),"")</f>
        <v/>
      </c>
      <c r="P873" s="17">
        <f t="shared" ca="1" si="40"/>
        <v/>
      </c>
      <c r="Q873" s="17">
        <f>IFERROR(IF(AND(N873&lt;&gt;"",ISNUMBER(O873),O873&gt;0,O873&gt;=TODAY()-90),1,0),0)</f>
        <v/>
      </c>
      <c r="R873" s="17" t="str">
        <f t="shared" si="42"/>
        <v/>
      </c>
      <c r="S873" s="17" t="str">
        <f>IF(INDEX(Listado!A:A,ROW())="","",INDEX(Listado!A:A,ROW()))</f>
        <v/>
      </c>
      <c r="T873" s="17" t="str">
        <f ca="1">IF(INDEX(Listado!G:G,ROW())="","",INDEX(Listado!G:G,ROW()))</f>
        <v/>
      </c>
      <c r="U873" s="17" t="str">
        <f>IF(INDEX(Listado!F:F,ROW())="","",INDEX(Listado!F:F,ROW()))</f>
        <v/>
      </c>
      <c r="V873" s="17">
        <f>IF(COUNTA(INDEX(Listado!B:B,ROW()):INDEX(Listado!F:F,ROW()))&gt;0,1,0)</f>
        <v/>
      </c>
      <c r="W873" s="17" t="str">
        <f>IF(INDEX(Listado!L:L,ROW())="","",INDEX(Listado!L:L,ROW()))</f>
        <v/>
      </c>
      <c r="X873" s="17">
        <f>IF(N873="","",IF(INDEX(Listado!$M:$M,N873)="No","No","Sí"))</f>
        <v/>
      </c>
    </row>
    <row r="874" spans="2:24" ht="14.25">
      <c r="N874" s="17" t="str">
        <f>IF(V874=0,"",IFERROR(LOOKUP(2,1/(INDEX(Listado!A:A,2):INDEX(Listado!A:A,ROW())&lt;&gt;""),ROW(INDEX(Listado!A:A,2):INDEX(Listado!A:A,ROW()))),""))</f>
        <v/>
      </c>
      <c r="O874" s="17" t="str">
        <f>IFERROR(IF(N874="","",IF(INDEX(Listado!M:M,N874)="No",IF(INDEX(Listado!N:N,N874)=0,"",INDEX(Listado!N:N,N874)),IF(INDEX(Listado!I:I,N874)=0,"",INDEX(Listado!I:I,N874)))),"")</f>
        <v/>
      </c>
      <c r="P874" s="17">
        <f t="shared" ca="1" si="40"/>
        <v/>
      </c>
      <c r="Q874" s="17">
        <f>IFERROR(IF(AND(N874&lt;&gt;"",ISNUMBER(O874),O874&gt;0,O874&gt;=TODAY()-90),1,0),0)</f>
        <v/>
      </c>
      <c r="R874" s="17" t="str">
        <f t="shared" si="42"/>
        <v/>
      </c>
      <c r="S874" s="17" t="str">
        <f>IF(INDEX(Listado!A:A,ROW())="","",INDEX(Listado!A:A,ROW()))</f>
        <v/>
      </c>
      <c r="T874" s="17" t="str">
        <f ca="1">IF(INDEX(Listado!G:G,ROW())="","",INDEX(Listado!G:G,ROW()))</f>
        <v/>
      </c>
      <c r="U874" s="17" t="str">
        <f>IF(INDEX(Listado!F:F,ROW())="","",INDEX(Listado!F:F,ROW()))</f>
        <v/>
      </c>
      <c r="V874" s="17">
        <f>IF(COUNTA(INDEX(Listado!B:B,ROW()):INDEX(Listado!F:F,ROW()))&gt;0,1,0)</f>
        <v/>
      </c>
      <c r="W874" s="17" t="str">
        <f>IF(INDEX(Listado!L:L,ROW())="","",INDEX(Listado!L:L,ROW()))</f>
        <v/>
      </c>
      <c r="X874" s="17">
        <f>IF(N874="","",IF(INDEX(Listado!$M:$M,N874)="No","No","Sí"))</f>
        <v/>
      </c>
    </row>
    <row r="875" spans="2:24" ht="14.25">
      <c r="N875" s="17" t="str">
        <f>IF(V875=0,"",IFERROR(LOOKUP(2,1/(INDEX(Listado!A:A,2):INDEX(Listado!A:A,ROW())&lt;&gt;""),ROW(INDEX(Listado!A:A,2):INDEX(Listado!A:A,ROW()))),""))</f>
        <v/>
      </c>
      <c r="O875" s="17" t="str">
        <f>IFERROR(IF(N875="","",IF(INDEX(Listado!M:M,N875)="No",IF(INDEX(Listado!N:N,N875)=0,"",INDEX(Listado!N:N,N875)),IF(INDEX(Listado!I:I,N875)=0,"",INDEX(Listado!I:I,N875)))),"")</f>
        <v/>
      </c>
      <c r="P875" s="17">
        <f t="shared" ca="1" si="40"/>
        <v/>
      </c>
      <c r="Q875" s="17">
        <f>IFERROR(IF(AND(N875&lt;&gt;"",ISNUMBER(O875),O875&gt;0,O875&gt;=TODAY()-90),1,0),0)</f>
        <v/>
      </c>
      <c r="R875" s="17" t="str">
        <f t="shared" si="42"/>
        <v/>
      </c>
      <c r="S875" s="17" t="str">
        <f>IF(INDEX(Listado!A:A,ROW())="","",INDEX(Listado!A:A,ROW()))</f>
        <v/>
      </c>
      <c r="T875" s="17" t="str">
        <f ca="1">IF(INDEX(Listado!G:G,ROW())="","",INDEX(Listado!G:G,ROW()))</f>
        <v/>
      </c>
      <c r="U875" s="17" t="str">
        <f>IF(INDEX(Listado!F:F,ROW())="","",INDEX(Listado!F:F,ROW()))</f>
        <v/>
      </c>
      <c r="V875" s="17">
        <f>IF(COUNTA(INDEX(Listado!B:B,ROW()):INDEX(Listado!F:F,ROW()))&gt;0,1,0)</f>
        <v/>
      </c>
      <c r="W875" s="17" t="str">
        <f>IF(INDEX(Listado!L:L,ROW())="","",INDEX(Listado!L:L,ROW()))</f>
        <v/>
      </c>
      <c r="X875" s="17">
        <f>IF(N875="","",IF(INDEX(Listado!$M:$M,N875)="No","No","Sí"))</f>
        <v/>
      </c>
    </row>
    <row r="876" spans="2:24" ht="14.25">
      <c r="N876" s="17" t="str">
        <f>IF(V876=0,"",IFERROR(LOOKUP(2,1/(INDEX(Listado!A:A,2):INDEX(Listado!A:A,ROW())&lt;&gt;""),ROW(INDEX(Listado!A:A,2):INDEX(Listado!A:A,ROW()))),""))</f>
        <v/>
      </c>
      <c r="O876" s="17" t="str">
        <f>IFERROR(IF(N876="","",IF(INDEX(Listado!M:M,N876)="No",IF(INDEX(Listado!N:N,N876)=0,"",INDEX(Listado!N:N,N876)),IF(INDEX(Listado!I:I,N876)=0,"",INDEX(Listado!I:I,N876)))),"")</f>
        <v/>
      </c>
      <c r="P876" s="17">
        <f t="shared" ca="1" si="40"/>
        <v/>
      </c>
      <c r="Q876" s="17">
        <f>IFERROR(IF(AND(N876&lt;&gt;"",ISNUMBER(O876),O876&gt;0,O876&gt;=TODAY()-90),1,0),0)</f>
        <v/>
      </c>
      <c r="R876" s="17" t="str">
        <f t="shared" si="42"/>
        <v/>
      </c>
      <c r="S876" s="17" t="str">
        <f>IF(INDEX(Listado!A:A,ROW())="","",INDEX(Listado!A:A,ROW()))</f>
        <v/>
      </c>
      <c r="T876" s="17" t="str">
        <f ca="1">IF(INDEX(Listado!G:G,ROW())="","",INDEX(Listado!G:G,ROW()))</f>
        <v/>
      </c>
      <c r="U876" s="17" t="str">
        <f>IF(INDEX(Listado!F:F,ROW())="","",INDEX(Listado!F:F,ROW()))</f>
        <v/>
      </c>
      <c r="V876" s="17">
        <f>IF(COUNTA(INDEX(Listado!B:B,ROW()):INDEX(Listado!F:F,ROW()))&gt;0,1,0)</f>
        <v/>
      </c>
      <c r="W876" s="17" t="str">
        <f>IF(INDEX(Listado!L:L,ROW())="","",INDEX(Listado!L:L,ROW()))</f>
        <v/>
      </c>
      <c r="X876" s="17">
        <f>IF(N876="","",IF(INDEX(Listado!$M:$M,N876)="No","No","Sí"))</f>
        <v/>
      </c>
    </row>
    <row r="877" spans="2:24" ht="14.25">
      <c r="N877" s="17" t="str">
        <f>IF(V877=0,"",IFERROR(LOOKUP(2,1/(INDEX(Listado!A:A,2):INDEX(Listado!A:A,ROW())&lt;&gt;""),ROW(INDEX(Listado!A:A,2):INDEX(Listado!A:A,ROW()))),""))</f>
        <v/>
      </c>
      <c r="O877" s="17" t="str">
        <f>IFERROR(IF(N877="","",IF(INDEX(Listado!M:M,N877)="No",IF(INDEX(Listado!N:N,N877)=0,"",INDEX(Listado!N:N,N877)),IF(INDEX(Listado!I:I,N877)=0,"",INDEX(Listado!I:I,N877)))),"")</f>
        <v/>
      </c>
      <c r="P877" s="17">
        <f t="shared" ca="1" si="40"/>
        <v/>
      </c>
      <c r="Q877" s="17">
        <f>IFERROR(IF(AND(N877&lt;&gt;"",ISNUMBER(O877),O877&gt;0,O877&gt;=TODAY()-90),1,0),0)</f>
        <v/>
      </c>
      <c r="R877" s="17" t="str">
        <f t="shared" si="42"/>
        <v/>
      </c>
      <c r="S877" s="17" t="str">
        <f>IF(INDEX(Listado!A:A,ROW())="","",INDEX(Listado!A:A,ROW()))</f>
        <v/>
      </c>
      <c r="T877" s="17" t="str">
        <f ca="1">IF(INDEX(Listado!G:G,ROW())="","",INDEX(Listado!G:G,ROW()))</f>
        <v/>
      </c>
      <c r="U877" s="17" t="str">
        <f>IF(INDEX(Listado!F:F,ROW())="","",INDEX(Listado!F:F,ROW()))</f>
        <v/>
      </c>
      <c r="V877" s="17">
        <f>IF(COUNTA(INDEX(Listado!B:B,ROW()):INDEX(Listado!F:F,ROW()))&gt;0,1,0)</f>
        <v/>
      </c>
      <c r="W877" s="17" t="str">
        <f>IF(INDEX(Listado!L:L,ROW())="","",INDEX(Listado!L:L,ROW()))</f>
        <v/>
      </c>
      <c r="X877" s="17">
        <f>IF(N877="","",IF(INDEX(Listado!$M:$M,N877)="No","No","Sí"))</f>
        <v/>
      </c>
    </row>
    <row r="878" spans="2:24" ht="14.25">
      <c r="N878" s="17" t="str">
        <f>IF(V878=0,"",IFERROR(LOOKUP(2,1/(INDEX(Listado!A:A,2):INDEX(Listado!A:A,ROW())&lt;&gt;""),ROW(INDEX(Listado!A:A,2):INDEX(Listado!A:A,ROW()))),""))</f>
        <v/>
      </c>
      <c r="O878" s="17" t="str">
        <f>IFERROR(IF(N878="","",IF(INDEX(Listado!M:M,N878)="No",IF(INDEX(Listado!N:N,N878)=0,"",INDEX(Listado!N:N,N878)),IF(INDEX(Listado!I:I,N878)=0,"",INDEX(Listado!I:I,N878)))),"")</f>
        <v/>
      </c>
      <c r="P878" s="17">
        <f t="shared" ca="1" si="40"/>
        <v/>
      </c>
      <c r="Q878" s="17">
        <f>IFERROR(IF(AND(N878&lt;&gt;"",ISNUMBER(O878),O878&gt;0,O878&gt;=TODAY()-90),1,0),0)</f>
        <v/>
      </c>
      <c r="R878" s="17" t="str">
        <f t="shared" si="42"/>
        <v/>
      </c>
      <c r="S878" s="17" t="str">
        <f>IF(INDEX(Listado!A:A,ROW())="","",INDEX(Listado!A:A,ROW()))</f>
        <v/>
      </c>
      <c r="T878" s="17" t="str">
        <f ca="1">IF(INDEX(Listado!G:G,ROW())="","",INDEX(Listado!G:G,ROW()))</f>
        <v/>
      </c>
      <c r="U878" s="17" t="str">
        <f>IF(INDEX(Listado!F:F,ROW())="","",INDEX(Listado!F:F,ROW()))</f>
        <v/>
      </c>
      <c r="V878" s="17">
        <f>IF(COUNTA(INDEX(Listado!B:B,ROW()):INDEX(Listado!F:F,ROW()))&gt;0,1,0)</f>
        <v/>
      </c>
      <c r="W878" s="17" t="str">
        <f>IF(INDEX(Listado!L:L,ROW())="","",INDEX(Listado!L:L,ROW()))</f>
        <v/>
      </c>
      <c r="X878" s="17">
        <f>IF(N878="","",IF(INDEX(Listado!$M:$M,N878)="No","No","Sí"))</f>
        <v/>
      </c>
    </row>
    <row r="879" spans="2:24" ht="14.25">
      <c r="N879" s="17" t="str">
        <f>IF(V879=0,"",IFERROR(LOOKUP(2,1/(INDEX(Listado!A:A,2):INDEX(Listado!A:A,ROW())&lt;&gt;""),ROW(INDEX(Listado!A:A,2):INDEX(Listado!A:A,ROW()))),""))</f>
        <v/>
      </c>
      <c r="O879" s="17" t="str">
        <f>IFERROR(IF(N879="","",IF(INDEX(Listado!M:M,N879)="No",IF(INDEX(Listado!N:N,N879)=0,"",INDEX(Listado!N:N,N879)),IF(INDEX(Listado!I:I,N879)=0,"",INDEX(Listado!I:I,N879)))),"")</f>
        <v/>
      </c>
      <c r="P879" s="17">
        <f t="shared" ca="1" si="40"/>
        <v/>
      </c>
      <c r="Q879" s="17">
        <f>IFERROR(IF(AND(N879&lt;&gt;"",ISNUMBER(O879),O879&gt;0,O879&gt;=TODAY()-90),1,0),0)</f>
        <v/>
      </c>
      <c r="R879" s="17" t="str">
        <f t="shared" si="42"/>
        <v/>
      </c>
      <c r="S879" s="17" t="str">
        <f>IF(INDEX(Listado!A:A,ROW())="","",INDEX(Listado!A:A,ROW()))</f>
        <v/>
      </c>
      <c r="T879" s="17" t="str">
        <f ca="1">IF(INDEX(Listado!G:G,ROW())="","",INDEX(Listado!G:G,ROW()))</f>
        <v/>
      </c>
      <c r="U879" s="17" t="str">
        <f>IF(INDEX(Listado!F:F,ROW())="","",INDEX(Listado!F:F,ROW()))</f>
        <v/>
      </c>
      <c r="V879" s="17">
        <f>IF(COUNTA(INDEX(Listado!B:B,ROW()):INDEX(Listado!F:F,ROW()))&gt;0,1,0)</f>
        <v/>
      </c>
      <c r="W879" s="17" t="str">
        <f>IF(INDEX(Listado!L:L,ROW())="","",INDEX(Listado!L:L,ROW()))</f>
        <v/>
      </c>
      <c r="X879" s="17">
        <f>IF(N879="","",IF(INDEX(Listado!$M:$M,N879)="No","No","Sí"))</f>
        <v/>
      </c>
    </row>
    <row r="880" spans="2:24" ht="14.25">
      <c r="N880" s="17" t="str">
        <f>IF(V880=0,"",IFERROR(LOOKUP(2,1/(INDEX(Listado!A:A,2):INDEX(Listado!A:A,ROW())&lt;&gt;""),ROW(INDEX(Listado!A:A,2):INDEX(Listado!A:A,ROW()))),""))</f>
        <v/>
      </c>
      <c r="O880" s="17" t="str">
        <f>IFERROR(IF(N880="","",IF(INDEX(Listado!M:M,N880)="No",IF(INDEX(Listado!N:N,N880)=0,"",INDEX(Listado!N:N,N880)),IF(INDEX(Listado!I:I,N880)=0,"",INDEX(Listado!I:I,N880)))),"")</f>
        <v/>
      </c>
      <c r="P880" s="17">
        <f t="shared" ca="1" si="40"/>
        <v/>
      </c>
      <c r="Q880" s="17">
        <f>IFERROR(IF(AND(N880&lt;&gt;"",ISNUMBER(O880),O880&gt;0,O880&gt;=TODAY()-90),1,0),0)</f>
        <v/>
      </c>
      <c r="R880" s="17" t="str">
        <f t="shared" si="42"/>
        <v/>
      </c>
      <c r="S880" s="17" t="str">
        <f>IF(INDEX(Listado!A:A,ROW())="","",INDEX(Listado!A:A,ROW()))</f>
        <v/>
      </c>
      <c r="T880" s="17" t="str">
        <f ca="1">IF(INDEX(Listado!G:G,ROW())="","",INDEX(Listado!G:G,ROW()))</f>
        <v/>
      </c>
      <c r="U880" s="17" t="str">
        <f>IF(INDEX(Listado!F:F,ROW())="","",INDEX(Listado!F:F,ROW()))</f>
        <v/>
      </c>
      <c r="V880" s="17">
        <f>IF(COUNTA(INDEX(Listado!B:B,ROW()):INDEX(Listado!F:F,ROW()))&gt;0,1,0)</f>
        <v/>
      </c>
      <c r="W880" s="17" t="str">
        <f>IF(INDEX(Listado!L:L,ROW())="","",INDEX(Listado!L:L,ROW()))</f>
        <v/>
      </c>
      <c r="X880" s="17">
        <f>IF(N880="","",IF(INDEX(Listado!$M:$M,N880)="No","No","Sí"))</f>
        <v/>
      </c>
    </row>
    <row r="881" spans="2:24" ht="14.25">
      <c r="N881" s="17" t="str">
        <f>IF(V881=0,"",IFERROR(LOOKUP(2,1/(INDEX(Listado!A:A,2):INDEX(Listado!A:A,ROW())&lt;&gt;""),ROW(INDEX(Listado!A:A,2):INDEX(Listado!A:A,ROW()))),""))</f>
        <v/>
      </c>
      <c r="O881" s="17" t="str">
        <f>IFERROR(IF(N881="","",IF(INDEX(Listado!M:M,N881)="No",IF(INDEX(Listado!N:N,N881)=0,"",INDEX(Listado!N:N,N881)),IF(INDEX(Listado!I:I,N881)=0,"",INDEX(Listado!I:I,N881)))),"")</f>
        <v/>
      </c>
      <c r="P881" s="17">
        <f t="shared" ca="1" si="40"/>
        <v/>
      </c>
      <c r="Q881" s="17">
        <f>IFERROR(IF(AND(N881&lt;&gt;"",ISNUMBER(O881),O881&gt;0,O881&gt;=TODAY()-90),1,0),0)</f>
        <v/>
      </c>
      <c r="R881" s="17" t="str">
        <f t="shared" si="42"/>
        <v/>
      </c>
      <c r="S881" s="17" t="str">
        <f>IF(INDEX(Listado!A:A,ROW())="","",INDEX(Listado!A:A,ROW()))</f>
        <v/>
      </c>
      <c r="T881" s="17" t="str">
        <f ca="1">IF(INDEX(Listado!G:G,ROW())="","",INDEX(Listado!G:G,ROW()))</f>
        <v/>
      </c>
      <c r="U881" s="17" t="str">
        <f>IF(INDEX(Listado!F:F,ROW())="","",INDEX(Listado!F:F,ROW()))</f>
        <v/>
      </c>
      <c r="V881" s="17">
        <f>IF(COUNTA(INDEX(Listado!B:B,ROW()):INDEX(Listado!F:F,ROW()))&gt;0,1,0)</f>
        <v/>
      </c>
      <c r="W881" s="17" t="str">
        <f>IF(INDEX(Listado!L:L,ROW())="","",INDEX(Listado!L:L,ROW()))</f>
        <v/>
      </c>
      <c r="X881" s="17">
        <f>IF(N881="","",IF(INDEX(Listado!$M:$M,N881)="No","No","Sí"))</f>
        <v/>
      </c>
    </row>
    <row r="882" spans="2:24" ht="14.25">
      <c r="N882" s="17" t="str">
        <f>IF(V882=0,"",IFERROR(LOOKUP(2,1/(INDEX(Listado!A:A,2):INDEX(Listado!A:A,ROW())&lt;&gt;""),ROW(INDEX(Listado!A:A,2):INDEX(Listado!A:A,ROW()))),""))</f>
        <v/>
      </c>
      <c r="O882" s="17" t="str">
        <f>IFERROR(IF(N882="","",IF(INDEX(Listado!M:M,N882)="No",IF(INDEX(Listado!N:N,N882)=0,"",INDEX(Listado!N:N,N882)),IF(INDEX(Listado!I:I,N882)=0,"",INDEX(Listado!I:I,N882)))),"")</f>
        <v/>
      </c>
      <c r="P882" s="17">
        <f t="shared" ca="1" si="40"/>
        <v/>
      </c>
      <c r="Q882" s="17">
        <f>IFERROR(IF(AND(N882&lt;&gt;"",ISNUMBER(O882),O882&gt;0,O882&gt;=TODAY()-90),1,0),0)</f>
        <v/>
      </c>
      <c r="R882" s="17" t="str">
        <f t="shared" si="42"/>
        <v/>
      </c>
      <c r="S882" s="17" t="str">
        <f>IF(INDEX(Listado!A:A,ROW())="","",INDEX(Listado!A:A,ROW()))</f>
        <v/>
      </c>
      <c r="T882" s="17" t="str">
        <f ca="1">IF(INDEX(Listado!G:G,ROW())="","",INDEX(Listado!G:G,ROW()))</f>
        <v/>
      </c>
      <c r="U882" s="17" t="str">
        <f>IF(INDEX(Listado!F:F,ROW())="","",INDEX(Listado!F:F,ROW()))</f>
        <v/>
      </c>
      <c r="V882" s="17">
        <f>IF(COUNTA(INDEX(Listado!B:B,ROW()):INDEX(Listado!F:F,ROW()))&gt;0,1,0)</f>
        <v/>
      </c>
      <c r="W882" s="17" t="str">
        <f>IF(INDEX(Listado!L:L,ROW())="","",INDEX(Listado!L:L,ROW()))</f>
        <v/>
      </c>
      <c r="X882" s="17">
        <f>IF(N882="","",IF(INDEX(Listado!$M:$M,N882)="No","No","Sí"))</f>
        <v/>
      </c>
    </row>
    <row r="883" spans="2:24" ht="14.25">
      <c r="N883" s="17" t="str">
        <f>IF(V883=0,"",IFERROR(LOOKUP(2,1/(INDEX(Listado!A:A,2):INDEX(Listado!A:A,ROW())&lt;&gt;""),ROW(INDEX(Listado!A:A,2):INDEX(Listado!A:A,ROW()))),""))</f>
        <v/>
      </c>
      <c r="O883" s="17" t="str">
        <f>IFERROR(IF(N883="","",IF(INDEX(Listado!M:M,N883)="No",IF(INDEX(Listado!N:N,N883)=0,"",INDEX(Listado!N:N,N883)),IF(INDEX(Listado!I:I,N883)=0,"",INDEX(Listado!I:I,N883)))),"")</f>
        <v/>
      </c>
      <c r="P883" s="17">
        <f t="shared" ca="1" si="40"/>
        <v/>
      </c>
      <c r="Q883" s="17">
        <f>IFERROR(IF(AND(N883&lt;&gt;"",ISNUMBER(O883),O883&gt;0,O883&gt;=TODAY()-90),1,0),0)</f>
        <v/>
      </c>
      <c r="R883" s="17" t="str">
        <f t="shared" si="42"/>
        <v/>
      </c>
      <c r="S883" s="17" t="str">
        <f>IF(INDEX(Listado!A:A,ROW())="","",INDEX(Listado!A:A,ROW()))</f>
        <v/>
      </c>
      <c r="T883" s="17" t="str">
        <f ca="1">IF(INDEX(Listado!G:G,ROW())="","",INDEX(Listado!G:G,ROW()))</f>
        <v/>
      </c>
      <c r="U883" s="17" t="str">
        <f>IF(INDEX(Listado!F:F,ROW())="","",INDEX(Listado!F:F,ROW()))</f>
        <v/>
      </c>
      <c r="V883" s="17">
        <f>IF(COUNTA(INDEX(Listado!B:B,ROW()):INDEX(Listado!F:F,ROW()))&gt;0,1,0)</f>
        <v/>
      </c>
      <c r="W883" s="17" t="str">
        <f>IF(INDEX(Listado!L:L,ROW())="","",INDEX(Listado!L:L,ROW()))</f>
        <v/>
      </c>
      <c r="X883" s="17">
        <f>IF(N883="","",IF(INDEX(Listado!$M:$M,N883)="No","No","Sí"))</f>
        <v/>
      </c>
    </row>
    <row r="884" spans="2:24" ht="14.25">
      <c r="N884" s="17" t="str">
        <f>IF(V884=0,"",IFERROR(LOOKUP(2,1/(INDEX(Listado!A:A,2):INDEX(Listado!A:A,ROW())&lt;&gt;""),ROW(INDEX(Listado!A:A,2):INDEX(Listado!A:A,ROW()))),""))</f>
        <v/>
      </c>
      <c r="O884" s="17" t="str">
        <f>IFERROR(IF(N884="","",IF(INDEX(Listado!M:M,N884)="No",IF(INDEX(Listado!N:N,N884)=0,"",INDEX(Listado!N:N,N884)),IF(INDEX(Listado!I:I,N884)=0,"",INDEX(Listado!I:I,N884)))),"")</f>
        <v/>
      </c>
      <c r="P884" s="17">
        <f t="shared" ca="1" si="40"/>
        <v/>
      </c>
      <c r="Q884" s="17">
        <f>IFERROR(IF(AND(N884&lt;&gt;"",ISNUMBER(O884),O884&gt;0,O884&gt;=TODAY()-90),1,0),0)</f>
        <v/>
      </c>
      <c r="R884" s="17" t="str">
        <f t="shared" si="42"/>
        <v/>
      </c>
      <c r="S884" s="17" t="str">
        <f>IF(INDEX(Listado!A:A,ROW())="","",INDEX(Listado!A:A,ROW()))</f>
        <v/>
      </c>
      <c r="T884" s="17" t="str">
        <f ca="1">IF(INDEX(Listado!G:G,ROW())="","",INDEX(Listado!G:G,ROW()))</f>
        <v/>
      </c>
      <c r="U884" s="17" t="str">
        <f>IF(INDEX(Listado!F:F,ROW())="","",INDEX(Listado!F:F,ROW()))</f>
        <v/>
      </c>
      <c r="V884" s="17">
        <f>IF(COUNTA(INDEX(Listado!B:B,ROW()):INDEX(Listado!F:F,ROW()))&gt;0,1,0)</f>
        <v/>
      </c>
      <c r="W884" s="17" t="str">
        <f>IF(INDEX(Listado!L:L,ROW())="","",INDEX(Listado!L:L,ROW()))</f>
        <v/>
      </c>
      <c r="X884" s="17">
        <f>IF(N884="","",IF(INDEX(Listado!$M:$M,N884)="No","No","Sí"))</f>
        <v/>
      </c>
    </row>
    <row r="885" spans="2:24" ht="14.25">
      <c r="N885" s="17" t="str">
        <f>IF(V885=0,"",IFERROR(LOOKUP(2,1/(INDEX(Listado!A:A,2):INDEX(Listado!A:A,ROW())&lt;&gt;""),ROW(INDEX(Listado!A:A,2):INDEX(Listado!A:A,ROW()))),""))</f>
        <v/>
      </c>
      <c r="O885" s="17" t="str">
        <f>IFERROR(IF(N885="","",IF(INDEX(Listado!M:M,N885)="No",IF(INDEX(Listado!N:N,N885)=0,"",INDEX(Listado!N:N,N885)),IF(INDEX(Listado!I:I,N885)=0,"",INDEX(Listado!I:I,N885)))),"")</f>
        <v/>
      </c>
      <c r="P885" s="17">
        <f t="shared" ca="1" si="40"/>
        <v/>
      </c>
      <c r="Q885" s="17">
        <f>IFERROR(IF(AND(N885&lt;&gt;"",ISNUMBER(O885),O885&gt;0,O885&gt;=TODAY()-90),1,0),0)</f>
        <v/>
      </c>
      <c r="R885" s="17" t="str">
        <f t="shared" si="42"/>
        <v/>
      </c>
      <c r="S885" s="17" t="str">
        <f>IF(INDEX(Listado!A:A,ROW())="","",INDEX(Listado!A:A,ROW()))</f>
        <v/>
      </c>
      <c r="T885" s="17" t="str">
        <f ca="1">IF(INDEX(Listado!G:G,ROW())="","",INDEX(Listado!G:G,ROW()))</f>
        <v/>
      </c>
      <c r="U885" s="17" t="str">
        <f>IF(INDEX(Listado!F:F,ROW())="","",INDEX(Listado!F:F,ROW()))</f>
        <v/>
      </c>
      <c r="V885" s="17">
        <f>IF(COUNTA(INDEX(Listado!B:B,ROW()):INDEX(Listado!F:F,ROW()))&gt;0,1,0)</f>
        <v/>
      </c>
      <c r="W885" s="17" t="str">
        <f>IF(INDEX(Listado!L:L,ROW())="","",INDEX(Listado!L:L,ROW()))</f>
        <v/>
      </c>
      <c r="X885" s="17">
        <f>IF(N885="","",IF(INDEX(Listado!$M:$M,N885)="No","No","Sí"))</f>
        <v/>
      </c>
    </row>
    <row r="886" spans="2:24" ht="14.25">
      <c r="N886" s="17" t="str">
        <f>IF(V886=0,"",IFERROR(LOOKUP(2,1/(INDEX(Listado!A:A,2):INDEX(Listado!A:A,ROW())&lt;&gt;""),ROW(INDEX(Listado!A:A,2):INDEX(Listado!A:A,ROW()))),""))</f>
        <v/>
      </c>
      <c r="O886" s="17" t="str">
        <f>IFERROR(IF(N886="","",IF(INDEX(Listado!M:M,N886)="No",IF(INDEX(Listado!N:N,N886)=0,"",INDEX(Listado!N:N,N886)),IF(INDEX(Listado!I:I,N886)=0,"",INDEX(Listado!I:I,N886)))),"")</f>
        <v/>
      </c>
      <c r="P886" s="17">
        <f t="shared" ca="1" si="40"/>
        <v/>
      </c>
      <c r="Q886" s="17">
        <f>IFERROR(IF(AND(N886&lt;&gt;"",ISNUMBER(O886),O886&gt;0,O886&gt;=TODAY()-90),1,0),0)</f>
        <v/>
      </c>
      <c r="R886" s="17" t="str">
        <f t="shared" si="42"/>
        <v/>
      </c>
      <c r="S886" s="17" t="str">
        <f>IF(INDEX(Listado!A:A,ROW())="","",INDEX(Listado!A:A,ROW()))</f>
        <v/>
      </c>
      <c r="T886" s="17" t="str">
        <f ca="1">IF(INDEX(Listado!G:G,ROW())="","",INDEX(Listado!G:G,ROW()))</f>
        <v/>
      </c>
      <c r="U886" s="17" t="str">
        <f>IF(INDEX(Listado!F:F,ROW())="","",INDEX(Listado!F:F,ROW()))</f>
        <v/>
      </c>
      <c r="V886" s="17">
        <f>IF(COUNTA(INDEX(Listado!B:B,ROW()):INDEX(Listado!F:F,ROW()))&gt;0,1,0)</f>
        <v/>
      </c>
      <c r="W886" s="17" t="str">
        <f>IF(INDEX(Listado!L:L,ROW())="","",INDEX(Listado!L:L,ROW()))</f>
        <v/>
      </c>
      <c r="X886" s="17">
        <f>IF(N886="","",IF(INDEX(Listado!$M:$M,N886)="No","No","Sí"))</f>
        <v/>
      </c>
    </row>
    <row r="887" spans="2:24" ht="14.25">
      <c r="N887" s="17" t="str">
        <f>IF(V887=0,"",IFERROR(LOOKUP(2,1/(INDEX(Listado!A:A,2):INDEX(Listado!A:A,ROW())&lt;&gt;""),ROW(INDEX(Listado!A:A,2):INDEX(Listado!A:A,ROW()))),""))</f>
        <v/>
      </c>
      <c r="O887" s="17" t="str">
        <f>IFERROR(IF(N887="","",IF(INDEX(Listado!M:M,N887)="No",IF(INDEX(Listado!N:N,N887)=0,"",INDEX(Listado!N:N,N887)),IF(INDEX(Listado!I:I,N887)=0,"",INDEX(Listado!I:I,N887)))),"")</f>
        <v/>
      </c>
      <c r="P887" s="17">
        <f t="shared" ca="1" si="40"/>
        <v/>
      </c>
      <c r="Q887" s="17">
        <f>IFERROR(IF(AND(N887&lt;&gt;"",ISNUMBER(O887),O887&gt;0,O887&gt;=TODAY()-90),1,0),0)</f>
        <v/>
      </c>
      <c r="R887" s="17" t="str">
        <f t="shared" si="42"/>
        <v/>
      </c>
      <c r="S887" s="17" t="str">
        <f>IF(INDEX(Listado!A:A,ROW())="","",INDEX(Listado!A:A,ROW()))</f>
        <v/>
      </c>
      <c r="T887" s="17" t="str">
        <f ca="1">IF(INDEX(Listado!G:G,ROW())="","",INDEX(Listado!G:G,ROW()))</f>
        <v/>
      </c>
      <c r="U887" s="17" t="str">
        <f>IF(INDEX(Listado!F:F,ROW())="","",INDEX(Listado!F:F,ROW()))</f>
        <v/>
      </c>
      <c r="V887" s="17">
        <f>IF(COUNTA(INDEX(Listado!B:B,ROW()):INDEX(Listado!F:F,ROW()))&gt;0,1,0)</f>
        <v/>
      </c>
      <c r="W887" s="17" t="str">
        <f>IF(INDEX(Listado!L:L,ROW())="","",INDEX(Listado!L:L,ROW()))</f>
        <v/>
      </c>
      <c r="X887" s="17">
        <f>IF(N887="","",IF(INDEX(Listado!$M:$M,N887)="No","No","Sí"))</f>
        <v/>
      </c>
    </row>
    <row r="888" spans="2:24" ht="14.25">
      <c r="N888" s="17" t="str">
        <f>IF(V888=0,"",IFERROR(LOOKUP(2,1/(INDEX(Listado!A:A,2):INDEX(Listado!A:A,ROW())&lt;&gt;""),ROW(INDEX(Listado!A:A,2):INDEX(Listado!A:A,ROW()))),""))</f>
        <v/>
      </c>
      <c r="O888" s="17" t="str">
        <f>IFERROR(IF(N888="","",IF(INDEX(Listado!M:M,N888)="No",IF(INDEX(Listado!N:N,N888)=0,"",INDEX(Listado!N:N,N888)),IF(INDEX(Listado!I:I,N888)=0,"",INDEX(Listado!I:I,N888)))),"")</f>
        <v/>
      </c>
      <c r="P888" s="17">
        <f t="shared" ca="1" si="40"/>
        <v/>
      </c>
      <c r="Q888" s="17">
        <f>IFERROR(IF(AND(N888&lt;&gt;"",ISNUMBER(O888),O888&gt;0,O888&gt;=TODAY()-90),1,0),0)</f>
        <v/>
      </c>
      <c r="R888" s="17" t="str">
        <f t="shared" si="42"/>
        <v/>
      </c>
      <c r="S888" s="17" t="str">
        <f>IF(INDEX(Listado!A:A,ROW())="","",INDEX(Listado!A:A,ROW()))</f>
        <v/>
      </c>
      <c r="T888" s="17" t="str">
        <f ca="1">IF(INDEX(Listado!G:G,ROW())="","",INDEX(Listado!G:G,ROW()))</f>
        <v/>
      </c>
      <c r="U888" s="17" t="str">
        <f>IF(INDEX(Listado!F:F,ROW())="","",INDEX(Listado!F:F,ROW()))</f>
        <v/>
      </c>
      <c r="V888" s="17">
        <f>IF(COUNTA(INDEX(Listado!B:B,ROW()):INDEX(Listado!F:F,ROW()))&gt;0,1,0)</f>
        <v/>
      </c>
      <c r="W888" s="17" t="str">
        <f>IF(INDEX(Listado!L:L,ROW())="","",INDEX(Listado!L:L,ROW()))</f>
        <v/>
      </c>
      <c r="X888" s="17">
        <f>IF(N888="","",IF(INDEX(Listado!$M:$M,N888)="No","No","Sí"))</f>
        <v/>
      </c>
    </row>
    <row r="889" spans="2:24" ht="14.25">
      <c r="N889" s="17" t="str">
        <f>IF(V889=0,"",IFERROR(LOOKUP(2,1/(INDEX(Listado!A:A,2):INDEX(Listado!A:A,ROW())&lt;&gt;""),ROW(INDEX(Listado!A:A,2):INDEX(Listado!A:A,ROW()))),""))</f>
        <v/>
      </c>
      <c r="O889" s="17" t="str">
        <f>IFERROR(IF(N889="","",IF(INDEX(Listado!M:M,N889)="No",IF(INDEX(Listado!N:N,N889)=0,"",INDEX(Listado!N:N,N889)),IF(INDEX(Listado!I:I,N889)=0,"",INDEX(Listado!I:I,N889)))),"")</f>
        <v/>
      </c>
      <c r="P889" s="17">
        <f t="shared" ca="1" si="40"/>
        <v/>
      </c>
      <c r="Q889" s="17">
        <f>IFERROR(IF(AND(N889&lt;&gt;"",ISNUMBER(O889),O889&gt;0,O889&gt;=TODAY()-90),1,0),0)</f>
        <v/>
      </c>
      <c r="R889" s="17" t="str">
        <f t="shared" si="42"/>
        <v/>
      </c>
      <c r="S889" s="17" t="str">
        <f>IF(INDEX(Listado!A:A,ROW())="","",INDEX(Listado!A:A,ROW()))</f>
        <v/>
      </c>
      <c r="T889" s="17" t="str">
        <f ca="1">IF(INDEX(Listado!G:G,ROW())="","",INDEX(Listado!G:G,ROW()))</f>
        <v/>
      </c>
      <c r="U889" s="17" t="str">
        <f>IF(INDEX(Listado!F:F,ROW())="","",INDEX(Listado!F:F,ROW()))</f>
        <v/>
      </c>
      <c r="V889" s="17">
        <f>IF(COUNTA(INDEX(Listado!B:B,ROW()):INDEX(Listado!F:F,ROW()))&gt;0,1,0)</f>
        <v/>
      </c>
      <c r="W889" s="17" t="str">
        <f>IF(INDEX(Listado!L:L,ROW())="","",INDEX(Listado!L:L,ROW()))</f>
        <v/>
      </c>
      <c r="X889" s="17">
        <f>IF(N889="","",IF(INDEX(Listado!$M:$M,N889)="No","No","Sí"))</f>
        <v/>
      </c>
    </row>
    <row r="890" spans="2:24" ht="14.25">
      <c r="N890" s="17" t="str">
        <f>IF(V890=0,"",IFERROR(LOOKUP(2,1/(INDEX(Listado!A:A,2):INDEX(Listado!A:A,ROW())&lt;&gt;""),ROW(INDEX(Listado!A:A,2):INDEX(Listado!A:A,ROW()))),""))</f>
        <v/>
      </c>
      <c r="O890" s="17" t="str">
        <f>IFERROR(IF(N890="","",IF(INDEX(Listado!M:M,N890)="No",IF(INDEX(Listado!N:N,N890)=0,"",INDEX(Listado!N:N,N890)),IF(INDEX(Listado!I:I,N890)=0,"",INDEX(Listado!I:I,N890)))),"")</f>
        <v/>
      </c>
      <c r="P890" s="17">
        <f t="shared" ca="1" si="40"/>
        <v/>
      </c>
      <c r="Q890" s="17">
        <f>IFERROR(IF(AND(N890&lt;&gt;"",ISNUMBER(O890),O890&gt;0,O890&gt;=TODAY()-90),1,0),0)</f>
        <v/>
      </c>
      <c r="R890" s="17" t="str">
        <f t="shared" si="42"/>
        <v/>
      </c>
      <c r="S890" s="17" t="str">
        <f>IF(INDEX(Listado!A:A,ROW())="","",INDEX(Listado!A:A,ROW()))</f>
        <v/>
      </c>
      <c r="T890" s="17" t="str">
        <f ca="1">IF(INDEX(Listado!G:G,ROW())="","",INDEX(Listado!G:G,ROW()))</f>
        <v/>
      </c>
      <c r="U890" s="17" t="str">
        <f>IF(INDEX(Listado!F:F,ROW())="","",INDEX(Listado!F:F,ROW()))</f>
        <v/>
      </c>
      <c r="V890" s="17">
        <f>IF(COUNTA(INDEX(Listado!B:B,ROW()):INDEX(Listado!F:F,ROW()))&gt;0,1,0)</f>
        <v/>
      </c>
      <c r="W890" s="17" t="str">
        <f>IF(INDEX(Listado!L:L,ROW())="","",INDEX(Listado!L:L,ROW()))</f>
        <v/>
      </c>
      <c r="X890" s="17">
        <f>IF(N890="","",IF(INDEX(Listado!$M:$M,N890)="No","No","Sí"))</f>
        <v/>
      </c>
    </row>
    <row r="891" spans="2:24" ht="14.25">
      <c r="N891" s="17" t="str">
        <f>IF(V891=0,"",IFERROR(LOOKUP(2,1/(INDEX(Listado!A:A,2):INDEX(Listado!A:A,ROW())&lt;&gt;""),ROW(INDEX(Listado!A:A,2):INDEX(Listado!A:A,ROW()))),""))</f>
        <v/>
      </c>
      <c r="O891" s="17" t="str">
        <f>IFERROR(IF(N891="","",IF(INDEX(Listado!M:M,N891)="No",IF(INDEX(Listado!N:N,N891)=0,"",INDEX(Listado!N:N,N891)),IF(INDEX(Listado!I:I,N891)=0,"",INDEX(Listado!I:I,N891)))),"")</f>
        <v/>
      </c>
      <c r="P891" s="17">
        <f t="shared" ca="1" si="40"/>
        <v/>
      </c>
      <c r="Q891" s="17">
        <f>IFERROR(IF(AND(N891&lt;&gt;"",ISNUMBER(O891),O891&gt;0,O891&gt;=TODAY()-90),1,0),0)</f>
        <v/>
      </c>
      <c r="R891" s="17" t="str">
        <f t="shared" si="42"/>
        <v/>
      </c>
      <c r="S891" s="17" t="str">
        <f>IF(INDEX(Listado!A:A,ROW())="","",INDEX(Listado!A:A,ROW()))</f>
        <v/>
      </c>
      <c r="T891" s="17" t="str">
        <f ca="1">IF(INDEX(Listado!G:G,ROW())="","",INDEX(Listado!G:G,ROW()))</f>
        <v/>
      </c>
      <c r="U891" s="17" t="str">
        <f>IF(INDEX(Listado!F:F,ROW())="","",INDEX(Listado!F:F,ROW()))</f>
        <v/>
      </c>
      <c r="V891" s="17">
        <f>IF(COUNTA(INDEX(Listado!B:B,ROW()):INDEX(Listado!F:F,ROW()))&gt;0,1,0)</f>
        <v/>
      </c>
      <c r="W891" s="17" t="str">
        <f>IF(INDEX(Listado!L:L,ROW())="","",INDEX(Listado!L:L,ROW()))</f>
        <v/>
      </c>
      <c r="X891" s="17">
        <f>IF(N891="","",IF(INDEX(Listado!$M:$M,N891)="No","No","Sí"))</f>
        <v/>
      </c>
    </row>
    <row r="892" spans="2:24" ht="14.25">
      <c r="N892" s="17" t="str">
        <f>IF(V892=0,"",IFERROR(LOOKUP(2,1/(INDEX(Listado!A:A,2):INDEX(Listado!A:A,ROW())&lt;&gt;""),ROW(INDEX(Listado!A:A,2):INDEX(Listado!A:A,ROW()))),""))</f>
        <v/>
      </c>
      <c r="O892" s="17" t="str">
        <f>IFERROR(IF(N892="","",IF(INDEX(Listado!M:M,N892)="No",IF(INDEX(Listado!N:N,N892)=0,"",INDEX(Listado!N:N,N892)),IF(INDEX(Listado!I:I,N892)=0,"",INDEX(Listado!I:I,N892)))),"")</f>
        <v/>
      </c>
      <c r="P892" s="17">
        <f t="shared" ca="1" si="40"/>
        <v/>
      </c>
      <c r="Q892" s="17">
        <f>IFERROR(IF(AND(N892&lt;&gt;"",ISNUMBER(O892),O892&gt;0,O892&gt;=TODAY()-90),1,0),0)</f>
        <v/>
      </c>
      <c r="R892" s="17" t="str">
        <f t="shared" si="42"/>
        <v/>
      </c>
      <c r="S892" s="17" t="str">
        <f>IF(INDEX(Listado!A:A,ROW())="","",INDEX(Listado!A:A,ROW()))</f>
        <v/>
      </c>
      <c r="T892" s="17" t="str">
        <f ca="1">IF(INDEX(Listado!G:G,ROW())="","",INDEX(Listado!G:G,ROW()))</f>
        <v/>
      </c>
      <c r="U892" s="17" t="str">
        <f>IF(INDEX(Listado!F:F,ROW())="","",INDEX(Listado!F:F,ROW()))</f>
        <v/>
      </c>
      <c r="V892" s="17">
        <f>IF(COUNTA(INDEX(Listado!B:B,ROW()):INDEX(Listado!F:F,ROW()))&gt;0,1,0)</f>
        <v/>
      </c>
      <c r="W892" s="17" t="str">
        <f>IF(INDEX(Listado!L:L,ROW())="","",INDEX(Listado!L:L,ROW()))</f>
        <v/>
      </c>
      <c r="X892" s="17">
        <f>IF(N892="","",IF(INDEX(Listado!$M:$M,N892)="No","No","Sí"))</f>
        <v/>
      </c>
    </row>
    <row r="893" spans="2:24" ht="14.25">
      <c r="N893" s="17" t="str">
        <f>IF(V893=0,"",IFERROR(LOOKUP(2,1/(INDEX(Listado!A:A,2):INDEX(Listado!A:A,ROW())&lt;&gt;""),ROW(INDEX(Listado!A:A,2):INDEX(Listado!A:A,ROW()))),""))</f>
        <v/>
      </c>
      <c r="O893" s="17" t="str">
        <f>IFERROR(IF(N893="","",IF(INDEX(Listado!M:M,N893)="No",IF(INDEX(Listado!N:N,N893)=0,"",INDEX(Listado!N:N,N893)),IF(INDEX(Listado!I:I,N893)=0,"",INDEX(Listado!I:I,N893)))),"")</f>
        <v/>
      </c>
      <c r="P893" s="17">
        <f t="shared" ca="1" si="40"/>
        <v/>
      </c>
      <c r="Q893" s="17">
        <f>IFERROR(IF(AND(N893&lt;&gt;"",ISNUMBER(O893),O893&gt;0,O893&gt;=TODAY()-90),1,0),0)</f>
        <v/>
      </c>
      <c r="R893" s="17" t="str">
        <f t="shared" si="42"/>
        <v/>
      </c>
      <c r="S893" s="17" t="str">
        <f>IF(INDEX(Listado!A:A,ROW())="","",INDEX(Listado!A:A,ROW()))</f>
        <v/>
      </c>
      <c r="T893" s="17" t="str">
        <f ca="1">IF(INDEX(Listado!G:G,ROW())="","",INDEX(Listado!G:G,ROW()))</f>
        <v/>
      </c>
      <c r="U893" s="17" t="str">
        <f>IF(INDEX(Listado!F:F,ROW())="","",INDEX(Listado!F:F,ROW()))</f>
        <v/>
      </c>
      <c r="V893" s="17">
        <f>IF(COUNTA(INDEX(Listado!B:B,ROW()):INDEX(Listado!F:F,ROW()))&gt;0,1,0)</f>
        <v/>
      </c>
      <c r="W893" s="17" t="str">
        <f>IF(INDEX(Listado!L:L,ROW())="","",INDEX(Listado!L:L,ROW()))</f>
        <v/>
      </c>
      <c r="X893" s="17">
        <f>IF(N893="","",IF(INDEX(Listado!$M:$M,N893)="No","No","Sí"))</f>
        <v/>
      </c>
    </row>
    <row r="894" spans="2:24" ht="14.25">
      <c r="N894" s="17" t="str">
        <f>IF(V894=0,"",IFERROR(LOOKUP(2,1/(INDEX(Listado!A:A,2):INDEX(Listado!A:A,ROW())&lt;&gt;""),ROW(INDEX(Listado!A:A,2):INDEX(Listado!A:A,ROW()))),""))</f>
        <v/>
      </c>
      <c r="O894" s="17" t="str">
        <f>IFERROR(IF(N894="","",IF(INDEX(Listado!M:M,N894)="No",IF(INDEX(Listado!N:N,N894)=0,"",INDEX(Listado!N:N,N894)),IF(INDEX(Listado!I:I,N894)=0,"",INDEX(Listado!I:I,N894)))),"")</f>
        <v/>
      </c>
      <c r="P894" s="17">
        <f t="shared" ca="1" si="40"/>
        <v/>
      </c>
      <c r="Q894" s="17">
        <f>IFERROR(IF(AND(N894&lt;&gt;"",ISNUMBER(O894),O894&gt;0,O894&gt;=TODAY()-90),1,0),0)</f>
        <v/>
      </c>
      <c r="R894" s="17" t="str">
        <f t="shared" si="42"/>
        <v/>
      </c>
      <c r="S894" s="17" t="str">
        <f>IF(INDEX(Listado!A:A,ROW())="","",INDEX(Listado!A:A,ROW()))</f>
        <v/>
      </c>
      <c r="T894" s="17" t="str">
        <f ca="1">IF(INDEX(Listado!G:G,ROW())="","",INDEX(Listado!G:G,ROW()))</f>
        <v/>
      </c>
      <c r="U894" s="17" t="str">
        <f>IF(INDEX(Listado!F:F,ROW())="","",INDEX(Listado!F:F,ROW()))</f>
        <v/>
      </c>
      <c r="V894" s="17">
        <f>IF(COUNTA(INDEX(Listado!B:B,ROW()):INDEX(Listado!F:F,ROW()))&gt;0,1,0)</f>
        <v/>
      </c>
      <c r="W894" s="17" t="str">
        <f>IF(INDEX(Listado!L:L,ROW())="","",INDEX(Listado!L:L,ROW()))</f>
        <v/>
      </c>
      <c r="X894" s="17">
        <f>IF(N894="","",IF(INDEX(Listado!$M:$M,N894)="No","No","Sí"))</f>
        <v/>
      </c>
    </row>
    <row r="895" spans="2:24" ht="14.25">
      <c r="N895" s="17" t="str">
        <f>IF(V895=0,"",IFERROR(LOOKUP(2,1/(INDEX(Listado!A:A,2):INDEX(Listado!A:A,ROW())&lt;&gt;""),ROW(INDEX(Listado!A:A,2):INDEX(Listado!A:A,ROW()))),""))</f>
        <v/>
      </c>
      <c r="O895" s="17" t="str">
        <f>IFERROR(IF(N895="","",IF(INDEX(Listado!M:M,N895)="No",IF(INDEX(Listado!N:N,N895)=0,"",INDEX(Listado!N:N,N895)),IF(INDEX(Listado!I:I,N895)=0,"",INDEX(Listado!I:I,N895)))),"")</f>
        <v/>
      </c>
      <c r="P895" s="17">
        <f t="shared" ca="1" si="40"/>
        <v/>
      </c>
      <c r="Q895" s="17">
        <f>IFERROR(IF(AND(N895&lt;&gt;"",ISNUMBER(O895),O895&gt;0,O895&gt;=TODAY()-90),1,0),0)</f>
        <v/>
      </c>
      <c r="R895" s="17" t="str">
        <f t="shared" si="42"/>
        <v/>
      </c>
      <c r="S895" s="17" t="str">
        <f>IF(INDEX(Listado!A:A,ROW())="","",INDEX(Listado!A:A,ROW()))</f>
        <v/>
      </c>
      <c r="T895" s="17" t="str">
        <f ca="1">IF(INDEX(Listado!G:G,ROW())="","",INDEX(Listado!G:G,ROW()))</f>
        <v/>
      </c>
      <c r="U895" s="17" t="str">
        <f>IF(INDEX(Listado!F:F,ROW())="","",INDEX(Listado!F:F,ROW()))</f>
        <v/>
      </c>
      <c r="V895" s="17">
        <f>IF(COUNTA(INDEX(Listado!B:B,ROW()):INDEX(Listado!F:F,ROW()))&gt;0,1,0)</f>
        <v/>
      </c>
      <c r="W895" s="17" t="str">
        <f>IF(INDEX(Listado!L:L,ROW())="","",INDEX(Listado!L:L,ROW()))</f>
        <v/>
      </c>
      <c r="X895" s="17">
        <f>IF(N895="","",IF(INDEX(Listado!$M:$M,N895)="No","No","Sí"))</f>
        <v/>
      </c>
    </row>
    <row r="896" spans="2:24" ht="14.25">
      <c r="N896" s="17" t="str">
        <f>IF(V896=0,"",IFERROR(LOOKUP(2,1/(INDEX(Listado!A:A,2):INDEX(Listado!A:A,ROW())&lt;&gt;""),ROW(INDEX(Listado!A:A,2):INDEX(Listado!A:A,ROW()))),""))</f>
        <v/>
      </c>
      <c r="O896" s="17" t="str">
        <f>IFERROR(IF(N896="","",IF(INDEX(Listado!M:M,N896)="No",IF(INDEX(Listado!N:N,N896)=0,"",INDEX(Listado!N:N,N896)),IF(INDEX(Listado!I:I,N896)=0,"",INDEX(Listado!I:I,N896)))),"")</f>
        <v/>
      </c>
      <c r="P896" s="17">
        <f t="shared" ca="1" si="40"/>
        <v/>
      </c>
      <c r="Q896" s="17">
        <f>IFERROR(IF(AND(N896&lt;&gt;"",ISNUMBER(O896),O896&gt;0,O896&gt;=TODAY()-90),1,0),0)</f>
        <v/>
      </c>
      <c r="R896" s="17" t="str">
        <f t="shared" si="42"/>
        <v/>
      </c>
      <c r="S896" s="17" t="str">
        <f>IF(INDEX(Listado!A:A,ROW())="","",INDEX(Listado!A:A,ROW()))</f>
        <v/>
      </c>
      <c r="T896" s="17" t="str">
        <f ca="1">IF(INDEX(Listado!G:G,ROW())="","",INDEX(Listado!G:G,ROW()))</f>
        <v/>
      </c>
      <c r="U896" s="17" t="str">
        <f>IF(INDEX(Listado!F:F,ROW())="","",INDEX(Listado!F:F,ROW()))</f>
        <v/>
      </c>
      <c r="V896" s="17">
        <f>IF(COUNTA(INDEX(Listado!B:B,ROW()):INDEX(Listado!F:F,ROW()))&gt;0,1,0)</f>
        <v/>
      </c>
      <c r="W896" s="17" t="str">
        <f>IF(INDEX(Listado!L:L,ROW())="","",INDEX(Listado!L:L,ROW()))</f>
        <v/>
      </c>
      <c r="X896" s="17">
        <f>IF(N896="","",IF(INDEX(Listado!$M:$M,N896)="No","No","Sí"))</f>
        <v/>
      </c>
    </row>
    <row r="897" spans="2:24" ht="14.25">
      <c r="N897" s="17" t="str">
        <f>IF(V897=0,"",IFERROR(LOOKUP(2,1/(INDEX(Listado!A:A,2):INDEX(Listado!A:A,ROW())&lt;&gt;""),ROW(INDEX(Listado!A:A,2):INDEX(Listado!A:A,ROW()))),""))</f>
        <v/>
      </c>
      <c r="O897" s="17" t="str">
        <f>IFERROR(IF(N897="","",IF(INDEX(Listado!M:M,N897)="No",IF(INDEX(Listado!N:N,N897)=0,"",INDEX(Listado!N:N,N897)),IF(INDEX(Listado!I:I,N897)=0,"",INDEX(Listado!I:I,N897)))),"")</f>
        <v/>
      </c>
      <c r="P897" s="17">
        <f t="shared" ca="1" si="40"/>
        <v/>
      </c>
      <c r="Q897" s="17">
        <f>IFERROR(IF(AND(N897&lt;&gt;"",ISNUMBER(O897),O897&gt;0,O897&gt;=TODAY()-90),1,0),0)</f>
        <v/>
      </c>
      <c r="R897" s="17" t="str">
        <f t="shared" si="42"/>
        <v/>
      </c>
      <c r="S897" s="17" t="str">
        <f>IF(INDEX(Listado!A:A,ROW())="","",INDEX(Listado!A:A,ROW()))</f>
        <v/>
      </c>
      <c r="T897" s="17" t="str">
        <f ca="1">IF(INDEX(Listado!G:G,ROW())="","",INDEX(Listado!G:G,ROW()))</f>
        <v/>
      </c>
      <c r="U897" s="17" t="str">
        <f>IF(INDEX(Listado!F:F,ROW())="","",INDEX(Listado!F:F,ROW()))</f>
        <v/>
      </c>
      <c r="V897" s="17">
        <f>IF(COUNTA(INDEX(Listado!B:B,ROW()):INDEX(Listado!F:F,ROW()))&gt;0,1,0)</f>
        <v/>
      </c>
      <c r="W897" s="17" t="str">
        <f>IF(INDEX(Listado!L:L,ROW())="","",INDEX(Listado!L:L,ROW()))</f>
        <v/>
      </c>
      <c r="X897" s="17">
        <f>IF(N897="","",IF(INDEX(Listado!$M:$M,N897)="No","No","Sí"))</f>
        <v/>
      </c>
    </row>
    <row r="898" spans="2:24" ht="14.25">
      <c r="N898" s="17" t="str">
        <f>IF(V898=0,"",IFERROR(LOOKUP(2,1/(INDEX(Listado!A:A,2):INDEX(Listado!A:A,ROW())&lt;&gt;""),ROW(INDEX(Listado!A:A,2):INDEX(Listado!A:A,ROW()))),""))</f>
        <v/>
      </c>
      <c r="O898" s="17" t="str">
        <f>IFERROR(IF(N898="","",IF(INDEX(Listado!M:M,N898)="No",IF(INDEX(Listado!N:N,N898)=0,"",INDEX(Listado!N:N,N898)),IF(INDEX(Listado!I:I,N898)=0,"",INDEX(Listado!I:I,N898)))),"")</f>
        <v/>
      </c>
      <c r="P898" s="17">
        <f t="shared" ref="P898:P961" ca="1" si="43">IF(W898="",0,IFERROR(IF(AND(ISNUMBER(W898),W898=INT(W898),ISNUMBER(O898),O898&gt;0,W898&gt;=TODAY(),W898&lt;=O898+90),0,1),1))</f>
        <v/>
      </c>
      <c r="Q898" s="17">
        <f>IFERROR(IF(AND(N898&lt;&gt;"",ISNUMBER(O898),O898&gt;0,O898&gt;=TODAY()-90),1,0),0)</f>
        <v/>
      </c>
      <c r="R898" s="17" t="str">
        <f t="shared" ref="R898:R961" si="45">IF(S898="","",COUNTIFS($N$2:$N$2999,ROW(),$Q$2:$Q$2999,1))</f>
        <v/>
      </c>
      <c r="S898" s="17" t="str">
        <f>IF(INDEX(Listado!A:A,ROW())="","",INDEX(Listado!A:A,ROW()))</f>
        <v/>
      </c>
      <c r="T898" s="17" t="str">
        <f ca="1">IF(INDEX(Listado!G:G,ROW())="","",INDEX(Listado!G:G,ROW()))</f>
        <v/>
      </c>
      <c r="U898" s="17" t="str">
        <f>IF(INDEX(Listado!F:F,ROW())="","",INDEX(Listado!F:F,ROW()))</f>
        <v/>
      </c>
      <c r="V898" s="17">
        <f>IF(COUNTA(INDEX(Listado!B:B,ROW()):INDEX(Listado!F:F,ROW()))&gt;0,1,0)</f>
        <v/>
      </c>
      <c r="W898" s="17" t="str">
        <f>IF(INDEX(Listado!L:L,ROW())="","",INDEX(Listado!L:L,ROW()))</f>
        <v/>
      </c>
      <c r="X898" s="17">
        <f>IF(N898="","",IF(INDEX(Listado!$M:$M,N898)="No","No","Sí"))</f>
        <v/>
      </c>
    </row>
    <row r="899" spans="2:24" ht="14.25">
      <c r="N899" s="17" t="str">
        <f>IF(V899=0,"",IFERROR(LOOKUP(2,1/(INDEX(Listado!A:A,2):INDEX(Listado!A:A,ROW())&lt;&gt;""),ROW(INDEX(Listado!A:A,2):INDEX(Listado!A:A,ROW()))),""))</f>
        <v/>
      </c>
      <c r="O899" s="17" t="str">
        <f>IFERROR(IF(N899="","",IF(INDEX(Listado!M:M,N899)="No",IF(INDEX(Listado!N:N,N899)=0,"",INDEX(Listado!N:N,N899)),IF(INDEX(Listado!I:I,N899)=0,"",INDEX(Listado!I:I,N899)))),"")</f>
        <v/>
      </c>
      <c r="P899" s="17">
        <f t="shared" ca="1" si="43"/>
        <v/>
      </c>
      <c r="Q899" s="17">
        <f>IFERROR(IF(AND(N899&lt;&gt;"",ISNUMBER(O899),O899&gt;0,O899&gt;=TODAY()-90),1,0),0)</f>
        <v/>
      </c>
      <c r="R899" s="17" t="str">
        <f t="shared" si="45"/>
        <v/>
      </c>
      <c r="S899" s="17" t="str">
        <f>IF(INDEX(Listado!A:A,ROW())="","",INDEX(Listado!A:A,ROW()))</f>
        <v/>
      </c>
      <c r="T899" s="17" t="str">
        <f ca="1">IF(INDEX(Listado!G:G,ROW())="","",INDEX(Listado!G:G,ROW()))</f>
        <v/>
      </c>
      <c r="U899" s="17" t="str">
        <f>IF(INDEX(Listado!F:F,ROW())="","",INDEX(Listado!F:F,ROW()))</f>
        <v/>
      </c>
      <c r="V899" s="17">
        <f>IF(COUNTA(INDEX(Listado!B:B,ROW()):INDEX(Listado!F:F,ROW()))&gt;0,1,0)</f>
        <v/>
      </c>
      <c r="W899" s="17" t="str">
        <f>IF(INDEX(Listado!L:L,ROW())="","",INDEX(Listado!L:L,ROW()))</f>
        <v/>
      </c>
      <c r="X899" s="17">
        <f>IF(N899="","",IF(INDEX(Listado!$M:$M,N899)="No","No","Sí"))</f>
        <v/>
      </c>
    </row>
    <row r="900" spans="2:24" ht="14.25">
      <c r="N900" s="17" t="str">
        <f>IF(V900=0,"",IFERROR(LOOKUP(2,1/(INDEX(Listado!A:A,2):INDEX(Listado!A:A,ROW())&lt;&gt;""),ROW(INDEX(Listado!A:A,2):INDEX(Listado!A:A,ROW()))),""))</f>
        <v/>
      </c>
      <c r="O900" s="17" t="str">
        <f>IFERROR(IF(N900="","",IF(INDEX(Listado!M:M,N900)="No",IF(INDEX(Listado!N:N,N900)=0,"",INDEX(Listado!N:N,N900)),IF(INDEX(Listado!I:I,N900)=0,"",INDEX(Listado!I:I,N900)))),"")</f>
        <v/>
      </c>
      <c r="P900" s="17">
        <f t="shared" ca="1" si="43"/>
        <v/>
      </c>
      <c r="Q900" s="17">
        <f>IFERROR(IF(AND(N900&lt;&gt;"",ISNUMBER(O900),O900&gt;0,O900&gt;=TODAY()-90),1,0),0)</f>
        <v/>
      </c>
      <c r="R900" s="17" t="str">
        <f t="shared" si="45"/>
        <v/>
      </c>
      <c r="S900" s="17" t="str">
        <f>IF(INDEX(Listado!A:A,ROW())="","",INDEX(Listado!A:A,ROW()))</f>
        <v/>
      </c>
      <c r="T900" s="17" t="str">
        <f ca="1">IF(INDEX(Listado!G:G,ROW())="","",INDEX(Listado!G:G,ROW()))</f>
        <v/>
      </c>
      <c r="U900" s="17" t="str">
        <f>IF(INDEX(Listado!F:F,ROW())="","",INDEX(Listado!F:F,ROW()))</f>
        <v/>
      </c>
      <c r="V900" s="17">
        <f>IF(COUNTA(INDEX(Listado!B:B,ROW()):INDEX(Listado!F:F,ROW()))&gt;0,1,0)</f>
        <v/>
      </c>
      <c r="W900" s="17" t="str">
        <f>IF(INDEX(Listado!L:L,ROW())="","",INDEX(Listado!L:L,ROW()))</f>
        <v/>
      </c>
      <c r="X900" s="17">
        <f>IF(N900="","",IF(INDEX(Listado!$M:$M,N900)="No","No","Sí"))</f>
        <v/>
      </c>
    </row>
    <row r="901" spans="2:24" ht="14.25">
      <c r="N901" s="17" t="str">
        <f>IF(V901=0,"",IFERROR(LOOKUP(2,1/(INDEX(Listado!A:A,2):INDEX(Listado!A:A,ROW())&lt;&gt;""),ROW(INDEX(Listado!A:A,2):INDEX(Listado!A:A,ROW()))),""))</f>
        <v/>
      </c>
      <c r="O901" s="17" t="str">
        <f>IFERROR(IF(N901="","",IF(INDEX(Listado!M:M,N901)="No",IF(INDEX(Listado!N:N,N901)=0,"",INDEX(Listado!N:N,N901)),IF(INDEX(Listado!I:I,N901)=0,"",INDEX(Listado!I:I,N901)))),"")</f>
        <v/>
      </c>
      <c r="P901" s="17">
        <f t="shared" ca="1" si="43"/>
        <v/>
      </c>
      <c r="Q901" s="17">
        <f>IFERROR(IF(AND(N901&lt;&gt;"",ISNUMBER(O901),O901&gt;0,O901&gt;=TODAY()-90),1,0),0)</f>
        <v/>
      </c>
      <c r="R901" s="17" t="str">
        <f t="shared" si="45"/>
        <v/>
      </c>
      <c r="S901" s="17" t="str">
        <f>IF(INDEX(Listado!A:A,ROW())="","",INDEX(Listado!A:A,ROW()))</f>
        <v/>
      </c>
      <c r="T901" s="17" t="str">
        <f ca="1">IF(INDEX(Listado!G:G,ROW())="","",INDEX(Listado!G:G,ROW()))</f>
        <v/>
      </c>
      <c r="U901" s="17" t="str">
        <f>IF(INDEX(Listado!F:F,ROW())="","",INDEX(Listado!F:F,ROW()))</f>
        <v/>
      </c>
      <c r="V901" s="17">
        <f>IF(COUNTA(INDEX(Listado!B:B,ROW()):INDEX(Listado!F:F,ROW()))&gt;0,1,0)</f>
        <v/>
      </c>
      <c r="W901" s="17" t="str">
        <f>IF(INDEX(Listado!L:L,ROW())="","",INDEX(Listado!L:L,ROW()))</f>
        <v/>
      </c>
      <c r="X901" s="17">
        <f>IF(N901="","",IF(INDEX(Listado!$M:$M,N901)="No","No","Sí"))</f>
        <v/>
      </c>
    </row>
    <row r="902" spans="2:24" ht="14.25">
      <c r="N902" s="17" t="str">
        <f>IF(V902=0,"",IFERROR(LOOKUP(2,1/(INDEX(Listado!A:A,2):INDEX(Listado!A:A,ROW())&lt;&gt;""),ROW(INDEX(Listado!A:A,2):INDEX(Listado!A:A,ROW()))),""))</f>
        <v/>
      </c>
      <c r="O902" s="17" t="str">
        <f>IFERROR(IF(N902="","",IF(INDEX(Listado!M:M,N902)="No",IF(INDEX(Listado!N:N,N902)=0,"",INDEX(Listado!N:N,N902)),IF(INDEX(Listado!I:I,N902)=0,"",INDEX(Listado!I:I,N902)))),"")</f>
        <v/>
      </c>
      <c r="P902" s="17">
        <f t="shared" ca="1" si="43"/>
        <v/>
      </c>
      <c r="Q902" s="17">
        <f>IFERROR(IF(AND(N902&lt;&gt;"",ISNUMBER(O902),O902&gt;0,O902&gt;=TODAY()-90),1,0),0)</f>
        <v/>
      </c>
      <c r="R902" s="17" t="str">
        <f t="shared" si="45"/>
        <v/>
      </c>
      <c r="S902" s="17" t="str">
        <f>IF(INDEX(Listado!A:A,ROW())="","",INDEX(Listado!A:A,ROW()))</f>
        <v/>
      </c>
      <c r="T902" s="17" t="str">
        <f ca="1">IF(INDEX(Listado!G:G,ROW())="","",INDEX(Listado!G:G,ROW()))</f>
        <v/>
      </c>
      <c r="U902" s="17" t="str">
        <f>IF(INDEX(Listado!F:F,ROW())="","",INDEX(Listado!F:F,ROW()))</f>
        <v/>
      </c>
      <c r="V902" s="17">
        <f>IF(COUNTA(INDEX(Listado!B:B,ROW()):INDEX(Listado!F:F,ROW()))&gt;0,1,0)</f>
        <v/>
      </c>
      <c r="W902" s="17" t="str">
        <f>IF(INDEX(Listado!L:L,ROW())="","",INDEX(Listado!L:L,ROW()))</f>
        <v/>
      </c>
      <c r="X902" s="17">
        <f>IF(N902="","",IF(INDEX(Listado!$M:$M,N902)="No","No","Sí"))</f>
        <v/>
      </c>
    </row>
    <row r="903" spans="2:24" ht="14.25">
      <c r="N903" s="17" t="str">
        <f>IF(V903=0,"",IFERROR(LOOKUP(2,1/(INDEX(Listado!A:A,2):INDEX(Listado!A:A,ROW())&lt;&gt;""),ROW(INDEX(Listado!A:A,2):INDEX(Listado!A:A,ROW()))),""))</f>
        <v/>
      </c>
      <c r="O903" s="17" t="str">
        <f>IFERROR(IF(N903="","",IF(INDEX(Listado!M:M,N903)="No",IF(INDEX(Listado!N:N,N903)=0,"",INDEX(Listado!N:N,N903)),IF(INDEX(Listado!I:I,N903)=0,"",INDEX(Listado!I:I,N903)))),"")</f>
        <v/>
      </c>
      <c r="P903" s="17">
        <f t="shared" ca="1" si="43"/>
        <v/>
      </c>
      <c r="Q903" s="17">
        <f>IFERROR(IF(AND(N903&lt;&gt;"",ISNUMBER(O903),O903&gt;0,O903&gt;=TODAY()-90),1,0),0)</f>
        <v/>
      </c>
      <c r="R903" s="17" t="str">
        <f t="shared" si="45"/>
        <v/>
      </c>
      <c r="S903" s="17" t="str">
        <f>IF(INDEX(Listado!A:A,ROW())="","",INDEX(Listado!A:A,ROW()))</f>
        <v/>
      </c>
      <c r="T903" s="17" t="str">
        <f ca="1">IF(INDEX(Listado!G:G,ROW())="","",INDEX(Listado!G:G,ROW()))</f>
        <v/>
      </c>
      <c r="U903" s="17" t="str">
        <f>IF(INDEX(Listado!F:F,ROW())="","",INDEX(Listado!F:F,ROW()))</f>
        <v/>
      </c>
      <c r="V903" s="17">
        <f>IF(COUNTA(INDEX(Listado!B:B,ROW()):INDEX(Listado!F:F,ROW()))&gt;0,1,0)</f>
        <v/>
      </c>
      <c r="W903" s="17" t="str">
        <f>IF(INDEX(Listado!L:L,ROW())="","",INDEX(Listado!L:L,ROW()))</f>
        <v/>
      </c>
      <c r="X903" s="17">
        <f>IF(N903="","",IF(INDEX(Listado!$M:$M,N903)="No","No","Sí"))</f>
        <v/>
      </c>
    </row>
    <row r="904" spans="2:24" ht="14.25">
      <c r="N904" s="17" t="str">
        <f>IF(V904=0,"",IFERROR(LOOKUP(2,1/(INDEX(Listado!A:A,2):INDEX(Listado!A:A,ROW())&lt;&gt;""),ROW(INDEX(Listado!A:A,2):INDEX(Listado!A:A,ROW()))),""))</f>
        <v/>
      </c>
      <c r="O904" s="17" t="str">
        <f>IFERROR(IF(N904="","",IF(INDEX(Listado!M:M,N904)="No",IF(INDEX(Listado!N:N,N904)=0,"",INDEX(Listado!N:N,N904)),IF(INDEX(Listado!I:I,N904)=0,"",INDEX(Listado!I:I,N904)))),"")</f>
        <v/>
      </c>
      <c r="P904" s="17">
        <f t="shared" ca="1" si="43"/>
        <v/>
      </c>
      <c r="Q904" s="17">
        <f>IFERROR(IF(AND(N904&lt;&gt;"",ISNUMBER(O904),O904&gt;0,O904&gt;=TODAY()-90),1,0),0)</f>
        <v/>
      </c>
      <c r="R904" s="17" t="str">
        <f t="shared" si="45"/>
        <v/>
      </c>
      <c r="S904" s="17" t="str">
        <f>IF(INDEX(Listado!A:A,ROW())="","",INDEX(Listado!A:A,ROW()))</f>
        <v/>
      </c>
      <c r="T904" s="17" t="str">
        <f ca="1">IF(INDEX(Listado!G:G,ROW())="","",INDEX(Listado!G:G,ROW()))</f>
        <v/>
      </c>
      <c r="U904" s="17" t="str">
        <f>IF(INDEX(Listado!F:F,ROW())="","",INDEX(Listado!F:F,ROW()))</f>
        <v/>
      </c>
      <c r="V904" s="17">
        <f>IF(COUNTA(INDEX(Listado!B:B,ROW()):INDEX(Listado!F:F,ROW()))&gt;0,1,0)</f>
        <v/>
      </c>
      <c r="W904" s="17" t="str">
        <f>IF(INDEX(Listado!L:L,ROW())="","",INDEX(Listado!L:L,ROW()))</f>
        <v/>
      </c>
      <c r="X904" s="17">
        <f>IF(N904="","",IF(INDEX(Listado!$M:$M,N904)="No","No","Sí"))</f>
        <v/>
      </c>
    </row>
    <row r="905" spans="2:24" ht="14.25">
      <c r="N905" s="17" t="str">
        <f>IF(V905=0,"",IFERROR(LOOKUP(2,1/(INDEX(Listado!A:A,2):INDEX(Listado!A:A,ROW())&lt;&gt;""),ROW(INDEX(Listado!A:A,2):INDEX(Listado!A:A,ROW()))),""))</f>
        <v/>
      </c>
      <c r="O905" s="17" t="str">
        <f>IFERROR(IF(N905="","",IF(INDEX(Listado!M:M,N905)="No",IF(INDEX(Listado!N:N,N905)=0,"",INDEX(Listado!N:N,N905)),IF(INDEX(Listado!I:I,N905)=0,"",INDEX(Listado!I:I,N905)))),"")</f>
        <v/>
      </c>
      <c r="P905" s="17">
        <f t="shared" ca="1" si="43"/>
        <v/>
      </c>
      <c r="Q905" s="17">
        <f>IFERROR(IF(AND(N905&lt;&gt;"",ISNUMBER(O905),O905&gt;0,O905&gt;=TODAY()-90),1,0),0)</f>
        <v/>
      </c>
      <c r="R905" s="17" t="str">
        <f t="shared" si="45"/>
        <v/>
      </c>
      <c r="S905" s="17" t="str">
        <f>IF(INDEX(Listado!A:A,ROW())="","",INDEX(Listado!A:A,ROW()))</f>
        <v/>
      </c>
      <c r="T905" s="17" t="str">
        <f ca="1">IF(INDEX(Listado!G:G,ROW())="","",INDEX(Listado!G:G,ROW()))</f>
        <v/>
      </c>
      <c r="U905" s="17" t="str">
        <f>IF(INDEX(Listado!F:F,ROW())="","",INDEX(Listado!F:F,ROW()))</f>
        <v/>
      </c>
      <c r="V905" s="17">
        <f>IF(COUNTA(INDEX(Listado!B:B,ROW()):INDEX(Listado!F:F,ROW()))&gt;0,1,0)</f>
        <v/>
      </c>
      <c r="W905" s="17" t="str">
        <f>IF(INDEX(Listado!L:L,ROW())="","",INDEX(Listado!L:L,ROW()))</f>
        <v/>
      </c>
      <c r="X905" s="17">
        <f>IF(N905="","",IF(INDEX(Listado!$M:$M,N905)="No","No","Sí"))</f>
        <v/>
      </c>
    </row>
    <row r="906" spans="2:24" ht="14.25">
      <c r="N906" s="17" t="str">
        <f>IF(V906=0,"",IFERROR(LOOKUP(2,1/(INDEX(Listado!A:A,2):INDEX(Listado!A:A,ROW())&lt;&gt;""),ROW(INDEX(Listado!A:A,2):INDEX(Listado!A:A,ROW()))),""))</f>
        <v/>
      </c>
      <c r="O906" s="17" t="str">
        <f>IFERROR(IF(N906="","",IF(INDEX(Listado!M:M,N906)="No",IF(INDEX(Listado!N:N,N906)=0,"",INDEX(Listado!N:N,N906)),IF(INDEX(Listado!I:I,N906)=0,"",INDEX(Listado!I:I,N906)))),"")</f>
        <v/>
      </c>
      <c r="P906" s="17">
        <f t="shared" ca="1" si="43"/>
        <v/>
      </c>
      <c r="Q906" s="17">
        <f>IFERROR(IF(AND(N906&lt;&gt;"",ISNUMBER(O906),O906&gt;0,O906&gt;=TODAY()-90),1,0),0)</f>
        <v/>
      </c>
      <c r="R906" s="17" t="str">
        <f t="shared" si="45"/>
        <v/>
      </c>
      <c r="S906" s="17" t="str">
        <f>IF(INDEX(Listado!A:A,ROW())="","",INDEX(Listado!A:A,ROW()))</f>
        <v/>
      </c>
      <c r="T906" s="17" t="str">
        <f ca="1">IF(INDEX(Listado!G:G,ROW())="","",INDEX(Listado!G:G,ROW()))</f>
        <v/>
      </c>
      <c r="U906" s="17" t="str">
        <f>IF(INDEX(Listado!F:F,ROW())="","",INDEX(Listado!F:F,ROW()))</f>
        <v/>
      </c>
      <c r="V906" s="17">
        <f>IF(COUNTA(INDEX(Listado!B:B,ROW()):INDEX(Listado!F:F,ROW()))&gt;0,1,0)</f>
        <v/>
      </c>
      <c r="W906" s="17" t="str">
        <f>IF(INDEX(Listado!L:L,ROW())="","",INDEX(Listado!L:L,ROW()))</f>
        <v/>
      </c>
      <c r="X906" s="17">
        <f>IF(N906="","",IF(INDEX(Listado!$M:$M,N906)="No","No","Sí"))</f>
        <v/>
      </c>
    </row>
    <row r="907" spans="2:24" ht="14.25">
      <c r="N907" s="17" t="str">
        <f>IF(V907=0,"",IFERROR(LOOKUP(2,1/(INDEX(Listado!A:A,2):INDEX(Listado!A:A,ROW())&lt;&gt;""),ROW(INDEX(Listado!A:A,2):INDEX(Listado!A:A,ROW()))),""))</f>
        <v/>
      </c>
      <c r="O907" s="17" t="str">
        <f>IFERROR(IF(N907="","",IF(INDEX(Listado!M:M,N907)="No",IF(INDEX(Listado!N:N,N907)=0,"",INDEX(Listado!N:N,N907)),IF(INDEX(Listado!I:I,N907)=0,"",INDEX(Listado!I:I,N907)))),"")</f>
        <v/>
      </c>
      <c r="P907" s="17">
        <f t="shared" ca="1" si="43"/>
        <v/>
      </c>
      <c r="Q907" s="17">
        <f>IFERROR(IF(AND(N907&lt;&gt;"",ISNUMBER(O907),O907&gt;0,O907&gt;=TODAY()-90),1,0),0)</f>
        <v/>
      </c>
      <c r="R907" s="17" t="str">
        <f t="shared" si="45"/>
        <v/>
      </c>
      <c r="S907" s="17" t="str">
        <f>IF(INDEX(Listado!A:A,ROW())="","",INDEX(Listado!A:A,ROW()))</f>
        <v/>
      </c>
      <c r="T907" s="17" t="str">
        <f ca="1">IF(INDEX(Listado!G:G,ROW())="","",INDEX(Listado!G:G,ROW()))</f>
        <v/>
      </c>
      <c r="U907" s="17" t="str">
        <f>IF(INDEX(Listado!F:F,ROW())="","",INDEX(Listado!F:F,ROW()))</f>
        <v/>
      </c>
      <c r="V907" s="17">
        <f>IF(COUNTA(INDEX(Listado!B:B,ROW()):INDEX(Listado!F:F,ROW()))&gt;0,1,0)</f>
        <v/>
      </c>
      <c r="W907" s="17" t="str">
        <f>IF(INDEX(Listado!L:L,ROW())="","",INDEX(Listado!L:L,ROW()))</f>
        <v/>
      </c>
      <c r="X907" s="17">
        <f>IF(N907="","",IF(INDEX(Listado!$M:$M,N907)="No","No","Sí"))</f>
        <v/>
      </c>
    </row>
    <row r="908" spans="2:24" ht="14.25">
      <c r="N908" s="17" t="str">
        <f>IF(V908=0,"",IFERROR(LOOKUP(2,1/(INDEX(Listado!A:A,2):INDEX(Listado!A:A,ROW())&lt;&gt;""),ROW(INDEX(Listado!A:A,2):INDEX(Listado!A:A,ROW()))),""))</f>
        <v/>
      </c>
      <c r="O908" s="17" t="str">
        <f>IFERROR(IF(N908="","",IF(INDEX(Listado!M:M,N908)="No",IF(INDEX(Listado!N:N,N908)=0,"",INDEX(Listado!N:N,N908)),IF(INDEX(Listado!I:I,N908)=0,"",INDEX(Listado!I:I,N908)))),"")</f>
        <v/>
      </c>
      <c r="P908" s="17">
        <f t="shared" ca="1" si="43"/>
        <v/>
      </c>
      <c r="Q908" s="17">
        <f>IFERROR(IF(AND(N908&lt;&gt;"",ISNUMBER(O908),O908&gt;0,O908&gt;=TODAY()-90),1,0),0)</f>
        <v/>
      </c>
      <c r="R908" s="17" t="str">
        <f t="shared" si="45"/>
        <v/>
      </c>
      <c r="S908" s="17" t="str">
        <f>IF(INDEX(Listado!A:A,ROW())="","",INDEX(Listado!A:A,ROW()))</f>
        <v/>
      </c>
      <c r="T908" s="17" t="str">
        <f ca="1">IF(INDEX(Listado!G:G,ROW())="","",INDEX(Listado!G:G,ROW()))</f>
        <v/>
      </c>
      <c r="U908" s="17" t="str">
        <f>IF(INDEX(Listado!F:F,ROW())="","",INDEX(Listado!F:F,ROW()))</f>
        <v/>
      </c>
      <c r="V908" s="17">
        <f>IF(COUNTA(INDEX(Listado!B:B,ROW()):INDEX(Listado!F:F,ROW()))&gt;0,1,0)</f>
        <v/>
      </c>
      <c r="W908" s="17" t="str">
        <f>IF(INDEX(Listado!L:L,ROW())="","",INDEX(Listado!L:L,ROW()))</f>
        <v/>
      </c>
      <c r="X908" s="17">
        <f>IF(N908="","",IF(INDEX(Listado!$M:$M,N908)="No","No","Sí"))</f>
        <v/>
      </c>
    </row>
    <row r="909" spans="2:24" ht="14.25">
      <c r="N909" s="17" t="str">
        <f>IF(V909=0,"",IFERROR(LOOKUP(2,1/(INDEX(Listado!A:A,2):INDEX(Listado!A:A,ROW())&lt;&gt;""),ROW(INDEX(Listado!A:A,2):INDEX(Listado!A:A,ROW()))),""))</f>
        <v/>
      </c>
      <c r="O909" s="17" t="str">
        <f>IFERROR(IF(N909="","",IF(INDEX(Listado!M:M,N909)="No",IF(INDEX(Listado!N:N,N909)=0,"",INDEX(Listado!N:N,N909)),IF(INDEX(Listado!I:I,N909)=0,"",INDEX(Listado!I:I,N909)))),"")</f>
        <v/>
      </c>
      <c r="P909" s="17">
        <f t="shared" ca="1" si="43"/>
        <v/>
      </c>
      <c r="Q909" s="17">
        <f>IFERROR(IF(AND(N909&lt;&gt;"",ISNUMBER(O909),O909&gt;0,O909&gt;=TODAY()-90),1,0),0)</f>
        <v/>
      </c>
      <c r="R909" s="17" t="str">
        <f t="shared" si="45"/>
        <v/>
      </c>
      <c r="S909" s="17" t="str">
        <f>IF(INDEX(Listado!A:A,ROW())="","",INDEX(Listado!A:A,ROW()))</f>
        <v/>
      </c>
      <c r="T909" s="17" t="str">
        <f ca="1">IF(INDEX(Listado!G:G,ROW())="","",INDEX(Listado!G:G,ROW()))</f>
        <v/>
      </c>
      <c r="U909" s="17" t="str">
        <f>IF(INDEX(Listado!F:F,ROW())="","",INDEX(Listado!F:F,ROW()))</f>
        <v/>
      </c>
      <c r="V909" s="17">
        <f>IF(COUNTA(INDEX(Listado!B:B,ROW()):INDEX(Listado!F:F,ROW()))&gt;0,1,0)</f>
        <v/>
      </c>
      <c r="W909" s="17" t="str">
        <f>IF(INDEX(Listado!L:L,ROW())="","",INDEX(Listado!L:L,ROW()))</f>
        <v/>
      </c>
      <c r="X909" s="17">
        <f>IF(N909="","",IF(INDEX(Listado!$M:$M,N909)="No","No","Sí"))</f>
        <v/>
      </c>
    </row>
    <row r="910" spans="2:24" ht="14.25">
      <c r="N910" s="17" t="str">
        <f>IF(V910=0,"",IFERROR(LOOKUP(2,1/(INDEX(Listado!A:A,2):INDEX(Listado!A:A,ROW())&lt;&gt;""),ROW(INDEX(Listado!A:A,2):INDEX(Listado!A:A,ROW()))),""))</f>
        <v/>
      </c>
      <c r="O910" s="17" t="str">
        <f>IFERROR(IF(N910="","",IF(INDEX(Listado!M:M,N910)="No",IF(INDEX(Listado!N:N,N910)=0,"",INDEX(Listado!N:N,N910)),IF(INDEX(Listado!I:I,N910)=0,"",INDEX(Listado!I:I,N910)))),"")</f>
        <v/>
      </c>
      <c r="P910" s="17">
        <f t="shared" ca="1" si="43"/>
        <v/>
      </c>
      <c r="Q910" s="17">
        <f>IFERROR(IF(AND(N910&lt;&gt;"",ISNUMBER(O910),O910&gt;0,O910&gt;=TODAY()-90),1,0),0)</f>
        <v/>
      </c>
      <c r="R910" s="17" t="str">
        <f t="shared" si="45"/>
        <v/>
      </c>
      <c r="S910" s="17" t="str">
        <f>IF(INDEX(Listado!A:A,ROW())="","",INDEX(Listado!A:A,ROW()))</f>
        <v/>
      </c>
      <c r="T910" s="17" t="str">
        <f ca="1">IF(INDEX(Listado!G:G,ROW())="","",INDEX(Listado!G:G,ROW()))</f>
        <v/>
      </c>
      <c r="U910" s="17" t="str">
        <f>IF(INDEX(Listado!F:F,ROW())="","",INDEX(Listado!F:F,ROW()))</f>
        <v/>
      </c>
      <c r="V910" s="17">
        <f>IF(COUNTA(INDEX(Listado!B:B,ROW()):INDEX(Listado!F:F,ROW()))&gt;0,1,0)</f>
        <v/>
      </c>
      <c r="W910" s="17" t="str">
        <f>IF(INDEX(Listado!L:L,ROW())="","",INDEX(Listado!L:L,ROW()))</f>
        <v/>
      </c>
      <c r="X910" s="17">
        <f>IF(N910="","",IF(INDEX(Listado!$M:$M,N910)="No","No","Sí"))</f>
        <v/>
      </c>
    </row>
    <row r="911" spans="2:24" ht="14.25">
      <c r="N911" s="17" t="str">
        <f>IF(V911=0,"",IFERROR(LOOKUP(2,1/(INDEX(Listado!A:A,2):INDEX(Listado!A:A,ROW())&lt;&gt;""),ROW(INDEX(Listado!A:A,2):INDEX(Listado!A:A,ROW()))),""))</f>
        <v/>
      </c>
      <c r="O911" s="17" t="str">
        <f>IFERROR(IF(N911="","",IF(INDEX(Listado!M:M,N911)="No",IF(INDEX(Listado!N:N,N911)=0,"",INDEX(Listado!N:N,N911)),IF(INDEX(Listado!I:I,N911)=0,"",INDEX(Listado!I:I,N911)))),"")</f>
        <v/>
      </c>
      <c r="P911" s="17">
        <f t="shared" ca="1" si="43"/>
        <v/>
      </c>
      <c r="Q911" s="17">
        <f>IFERROR(IF(AND(N911&lt;&gt;"",ISNUMBER(O911),O911&gt;0,O911&gt;=TODAY()-90),1,0),0)</f>
        <v/>
      </c>
      <c r="R911" s="17" t="str">
        <f t="shared" si="45"/>
        <v/>
      </c>
      <c r="S911" s="17" t="str">
        <f>IF(INDEX(Listado!A:A,ROW())="","",INDEX(Listado!A:A,ROW()))</f>
        <v/>
      </c>
      <c r="T911" s="17" t="str">
        <f ca="1">IF(INDEX(Listado!G:G,ROW())="","",INDEX(Listado!G:G,ROW()))</f>
        <v/>
      </c>
      <c r="U911" s="17" t="str">
        <f>IF(INDEX(Listado!F:F,ROW())="","",INDEX(Listado!F:F,ROW()))</f>
        <v/>
      </c>
      <c r="V911" s="17">
        <f>IF(COUNTA(INDEX(Listado!B:B,ROW()):INDEX(Listado!F:F,ROW()))&gt;0,1,0)</f>
        <v/>
      </c>
      <c r="W911" s="17" t="str">
        <f>IF(INDEX(Listado!L:L,ROW())="","",INDEX(Listado!L:L,ROW()))</f>
        <v/>
      </c>
      <c r="X911" s="17">
        <f>IF(N911="","",IF(INDEX(Listado!$M:$M,N911)="No","No","Sí"))</f>
        <v/>
      </c>
    </row>
    <row r="912" spans="2:24" ht="14.25">
      <c r="N912" s="17" t="str">
        <f>IF(V912=0,"",IFERROR(LOOKUP(2,1/(INDEX(Listado!A:A,2):INDEX(Listado!A:A,ROW())&lt;&gt;""),ROW(INDEX(Listado!A:A,2):INDEX(Listado!A:A,ROW()))),""))</f>
        <v/>
      </c>
      <c r="O912" s="17" t="str">
        <f>IFERROR(IF(N912="","",IF(INDEX(Listado!M:M,N912)="No",IF(INDEX(Listado!N:N,N912)=0,"",INDEX(Listado!N:N,N912)),IF(INDEX(Listado!I:I,N912)=0,"",INDEX(Listado!I:I,N912)))),"")</f>
        <v/>
      </c>
      <c r="P912" s="17">
        <f t="shared" ca="1" si="43"/>
        <v/>
      </c>
      <c r="Q912" s="17">
        <f>IFERROR(IF(AND(N912&lt;&gt;"",ISNUMBER(O912),O912&gt;0,O912&gt;=TODAY()-90),1,0),0)</f>
        <v/>
      </c>
      <c r="R912" s="17" t="str">
        <f t="shared" si="45"/>
        <v/>
      </c>
      <c r="S912" s="17" t="str">
        <f>IF(INDEX(Listado!A:A,ROW())="","",INDEX(Listado!A:A,ROW()))</f>
        <v/>
      </c>
      <c r="T912" s="17" t="str">
        <f ca="1">IF(INDEX(Listado!G:G,ROW())="","",INDEX(Listado!G:G,ROW()))</f>
        <v/>
      </c>
      <c r="U912" s="17" t="str">
        <f>IF(INDEX(Listado!F:F,ROW())="","",INDEX(Listado!F:F,ROW()))</f>
        <v/>
      </c>
      <c r="V912" s="17">
        <f>IF(COUNTA(INDEX(Listado!B:B,ROW()):INDEX(Listado!F:F,ROW()))&gt;0,1,0)</f>
        <v/>
      </c>
      <c r="W912" s="17" t="str">
        <f>IF(INDEX(Listado!L:L,ROW())="","",INDEX(Listado!L:L,ROW()))</f>
        <v/>
      </c>
      <c r="X912" s="17">
        <f>IF(N912="","",IF(INDEX(Listado!$M:$M,N912)="No","No","Sí"))</f>
        <v/>
      </c>
    </row>
    <row r="913" spans="2:24" ht="14.25">
      <c r="N913" s="17" t="str">
        <f>IF(V913=0,"",IFERROR(LOOKUP(2,1/(INDEX(Listado!A:A,2):INDEX(Listado!A:A,ROW())&lt;&gt;""),ROW(INDEX(Listado!A:A,2):INDEX(Listado!A:A,ROW()))),""))</f>
        <v/>
      </c>
      <c r="O913" s="17" t="str">
        <f>IFERROR(IF(N913="","",IF(INDEX(Listado!M:M,N913)="No",IF(INDEX(Listado!N:N,N913)=0,"",INDEX(Listado!N:N,N913)),IF(INDEX(Listado!I:I,N913)=0,"",INDEX(Listado!I:I,N913)))),"")</f>
        <v/>
      </c>
      <c r="P913" s="17">
        <f t="shared" ca="1" si="43"/>
        <v/>
      </c>
      <c r="Q913" s="17">
        <f>IFERROR(IF(AND(N913&lt;&gt;"",ISNUMBER(O913),O913&gt;0,O913&gt;=TODAY()-90),1,0),0)</f>
        <v/>
      </c>
      <c r="R913" s="17" t="str">
        <f t="shared" si="45"/>
        <v/>
      </c>
      <c r="S913" s="17" t="str">
        <f>IF(INDEX(Listado!A:A,ROW())="","",INDEX(Listado!A:A,ROW()))</f>
        <v/>
      </c>
      <c r="T913" s="17" t="str">
        <f ca="1">IF(INDEX(Listado!G:G,ROW())="","",INDEX(Listado!G:G,ROW()))</f>
        <v/>
      </c>
      <c r="U913" s="17" t="str">
        <f>IF(INDEX(Listado!F:F,ROW())="","",INDEX(Listado!F:F,ROW()))</f>
        <v/>
      </c>
      <c r="V913" s="17">
        <f>IF(COUNTA(INDEX(Listado!B:B,ROW()):INDEX(Listado!F:F,ROW()))&gt;0,1,0)</f>
        <v/>
      </c>
      <c r="W913" s="17" t="str">
        <f>IF(INDEX(Listado!L:L,ROW())="","",INDEX(Listado!L:L,ROW()))</f>
        <v/>
      </c>
      <c r="X913" s="17">
        <f>IF(N913="","",IF(INDEX(Listado!$M:$M,N913)="No","No","Sí"))</f>
        <v/>
      </c>
    </row>
    <row r="914" spans="2:24" ht="14.25">
      <c r="N914" s="17" t="str">
        <f>IF(V914=0,"",IFERROR(LOOKUP(2,1/(INDEX(Listado!A:A,2):INDEX(Listado!A:A,ROW())&lt;&gt;""),ROW(INDEX(Listado!A:A,2):INDEX(Listado!A:A,ROW()))),""))</f>
        <v/>
      </c>
      <c r="O914" s="17" t="str">
        <f>IFERROR(IF(N914="","",IF(INDEX(Listado!M:M,N914)="No",IF(INDEX(Listado!N:N,N914)=0,"",INDEX(Listado!N:N,N914)),IF(INDEX(Listado!I:I,N914)=0,"",INDEX(Listado!I:I,N914)))),"")</f>
        <v/>
      </c>
      <c r="P914" s="17">
        <f t="shared" ca="1" si="43"/>
        <v/>
      </c>
      <c r="Q914" s="17">
        <f>IFERROR(IF(AND(N914&lt;&gt;"",ISNUMBER(O914),O914&gt;0,O914&gt;=TODAY()-90),1,0),0)</f>
        <v/>
      </c>
      <c r="R914" s="17" t="str">
        <f t="shared" si="45"/>
        <v/>
      </c>
      <c r="S914" s="17" t="str">
        <f>IF(INDEX(Listado!A:A,ROW())="","",INDEX(Listado!A:A,ROW()))</f>
        <v/>
      </c>
      <c r="T914" s="17" t="str">
        <f ca="1">IF(INDEX(Listado!G:G,ROW())="","",INDEX(Listado!G:G,ROW()))</f>
        <v/>
      </c>
      <c r="U914" s="17" t="str">
        <f>IF(INDEX(Listado!F:F,ROW())="","",INDEX(Listado!F:F,ROW()))</f>
        <v/>
      </c>
      <c r="V914" s="17">
        <f>IF(COUNTA(INDEX(Listado!B:B,ROW()):INDEX(Listado!F:F,ROW()))&gt;0,1,0)</f>
        <v/>
      </c>
      <c r="W914" s="17" t="str">
        <f>IF(INDEX(Listado!L:L,ROW())="","",INDEX(Listado!L:L,ROW()))</f>
        <v/>
      </c>
      <c r="X914" s="17">
        <f>IF(N914="","",IF(INDEX(Listado!$M:$M,N914)="No","No","Sí"))</f>
        <v/>
      </c>
    </row>
    <row r="915" spans="2:24" ht="14.25">
      <c r="N915" s="17" t="str">
        <f>IF(V915=0,"",IFERROR(LOOKUP(2,1/(INDEX(Listado!A:A,2):INDEX(Listado!A:A,ROW())&lt;&gt;""),ROW(INDEX(Listado!A:A,2):INDEX(Listado!A:A,ROW()))),""))</f>
        <v/>
      </c>
      <c r="O915" s="17" t="str">
        <f>IFERROR(IF(N915="","",IF(INDEX(Listado!M:M,N915)="No",IF(INDEX(Listado!N:N,N915)=0,"",INDEX(Listado!N:N,N915)),IF(INDEX(Listado!I:I,N915)=0,"",INDEX(Listado!I:I,N915)))),"")</f>
        <v/>
      </c>
      <c r="P915" s="17">
        <f t="shared" ca="1" si="43"/>
        <v/>
      </c>
      <c r="Q915" s="17">
        <f>IFERROR(IF(AND(N915&lt;&gt;"",ISNUMBER(O915),O915&gt;0,O915&gt;=TODAY()-90),1,0),0)</f>
        <v/>
      </c>
      <c r="R915" s="17" t="str">
        <f t="shared" si="45"/>
        <v/>
      </c>
      <c r="S915" s="17" t="str">
        <f>IF(INDEX(Listado!A:A,ROW())="","",INDEX(Listado!A:A,ROW()))</f>
        <v/>
      </c>
      <c r="T915" s="17" t="str">
        <f ca="1">IF(INDEX(Listado!G:G,ROW())="","",INDEX(Listado!G:G,ROW()))</f>
        <v/>
      </c>
      <c r="U915" s="17" t="str">
        <f>IF(INDEX(Listado!F:F,ROW())="","",INDEX(Listado!F:F,ROW()))</f>
        <v/>
      </c>
      <c r="V915" s="17">
        <f>IF(COUNTA(INDEX(Listado!B:B,ROW()):INDEX(Listado!F:F,ROW()))&gt;0,1,0)</f>
        <v/>
      </c>
      <c r="W915" s="17" t="str">
        <f>IF(INDEX(Listado!L:L,ROW())="","",INDEX(Listado!L:L,ROW()))</f>
        <v/>
      </c>
      <c r="X915" s="17">
        <f>IF(N915="","",IF(INDEX(Listado!$M:$M,N915)="No","No","Sí"))</f>
        <v/>
      </c>
    </row>
    <row r="916" spans="2:24" ht="14.25">
      <c r="N916" s="17" t="str">
        <f>IF(V916=0,"",IFERROR(LOOKUP(2,1/(INDEX(Listado!A:A,2):INDEX(Listado!A:A,ROW())&lt;&gt;""),ROW(INDEX(Listado!A:A,2):INDEX(Listado!A:A,ROW()))),""))</f>
        <v/>
      </c>
      <c r="O916" s="17" t="str">
        <f>IFERROR(IF(N916="","",IF(INDEX(Listado!M:M,N916)="No",IF(INDEX(Listado!N:N,N916)=0,"",INDEX(Listado!N:N,N916)),IF(INDEX(Listado!I:I,N916)=0,"",INDEX(Listado!I:I,N916)))),"")</f>
        <v/>
      </c>
      <c r="P916" s="17">
        <f t="shared" ca="1" si="43"/>
        <v/>
      </c>
      <c r="Q916" s="17">
        <f>IFERROR(IF(AND(N916&lt;&gt;"",ISNUMBER(O916),O916&gt;0,O916&gt;=TODAY()-90),1,0),0)</f>
        <v/>
      </c>
      <c r="R916" s="17" t="str">
        <f t="shared" si="45"/>
        <v/>
      </c>
      <c r="S916" s="17" t="str">
        <f>IF(INDEX(Listado!A:A,ROW())="","",INDEX(Listado!A:A,ROW()))</f>
        <v/>
      </c>
      <c r="T916" s="17" t="str">
        <f ca="1">IF(INDEX(Listado!G:G,ROW())="","",INDEX(Listado!G:G,ROW()))</f>
        <v/>
      </c>
      <c r="U916" s="17" t="str">
        <f>IF(INDEX(Listado!F:F,ROW())="","",INDEX(Listado!F:F,ROW()))</f>
        <v/>
      </c>
      <c r="V916" s="17">
        <f>IF(COUNTA(INDEX(Listado!B:B,ROW()):INDEX(Listado!F:F,ROW()))&gt;0,1,0)</f>
        <v/>
      </c>
      <c r="W916" s="17" t="str">
        <f>IF(INDEX(Listado!L:L,ROW())="","",INDEX(Listado!L:L,ROW()))</f>
        <v/>
      </c>
      <c r="X916" s="17">
        <f>IF(N916="","",IF(INDEX(Listado!$M:$M,N916)="No","No","Sí"))</f>
        <v/>
      </c>
    </row>
    <row r="917" spans="2:24" ht="14.25">
      <c r="N917" s="17" t="str">
        <f>IF(V917=0,"",IFERROR(LOOKUP(2,1/(INDEX(Listado!A:A,2):INDEX(Listado!A:A,ROW())&lt;&gt;""),ROW(INDEX(Listado!A:A,2):INDEX(Listado!A:A,ROW()))),""))</f>
        <v/>
      </c>
      <c r="O917" s="17" t="str">
        <f>IFERROR(IF(N917="","",IF(INDEX(Listado!M:M,N917)="No",IF(INDEX(Listado!N:N,N917)=0,"",INDEX(Listado!N:N,N917)),IF(INDEX(Listado!I:I,N917)=0,"",INDEX(Listado!I:I,N917)))),"")</f>
        <v/>
      </c>
      <c r="P917" s="17">
        <f t="shared" ca="1" si="43"/>
        <v/>
      </c>
      <c r="Q917" s="17">
        <f>IFERROR(IF(AND(N917&lt;&gt;"",ISNUMBER(O917),O917&gt;0,O917&gt;=TODAY()-90),1,0),0)</f>
        <v/>
      </c>
      <c r="R917" s="17" t="str">
        <f t="shared" si="45"/>
        <v/>
      </c>
      <c r="S917" s="17" t="str">
        <f>IF(INDEX(Listado!A:A,ROW())="","",INDEX(Listado!A:A,ROW()))</f>
        <v/>
      </c>
      <c r="T917" s="17" t="str">
        <f ca="1">IF(INDEX(Listado!G:G,ROW())="","",INDEX(Listado!G:G,ROW()))</f>
        <v/>
      </c>
      <c r="U917" s="17" t="str">
        <f>IF(INDEX(Listado!F:F,ROW())="","",INDEX(Listado!F:F,ROW()))</f>
        <v/>
      </c>
      <c r="V917" s="17">
        <f>IF(COUNTA(INDEX(Listado!B:B,ROW()):INDEX(Listado!F:F,ROW()))&gt;0,1,0)</f>
        <v/>
      </c>
      <c r="W917" s="17" t="str">
        <f>IF(INDEX(Listado!L:L,ROW())="","",INDEX(Listado!L:L,ROW()))</f>
        <v/>
      </c>
      <c r="X917" s="17">
        <f>IF(N917="","",IF(INDEX(Listado!$M:$M,N917)="No","No","Sí"))</f>
        <v/>
      </c>
    </row>
    <row r="918" spans="2:24" ht="14.25">
      <c r="N918" s="17" t="str">
        <f>IF(V918=0,"",IFERROR(LOOKUP(2,1/(INDEX(Listado!A:A,2):INDEX(Listado!A:A,ROW())&lt;&gt;""),ROW(INDEX(Listado!A:A,2):INDEX(Listado!A:A,ROW()))),""))</f>
        <v/>
      </c>
      <c r="O918" s="17" t="str">
        <f>IFERROR(IF(N918="","",IF(INDEX(Listado!M:M,N918)="No",IF(INDEX(Listado!N:N,N918)=0,"",INDEX(Listado!N:N,N918)),IF(INDEX(Listado!I:I,N918)=0,"",INDEX(Listado!I:I,N918)))),"")</f>
        <v/>
      </c>
      <c r="P918" s="17">
        <f t="shared" ca="1" si="43"/>
        <v/>
      </c>
      <c r="Q918" s="17">
        <f>IFERROR(IF(AND(N918&lt;&gt;"",ISNUMBER(O918),O918&gt;0,O918&gt;=TODAY()-90),1,0),0)</f>
        <v/>
      </c>
      <c r="R918" s="17" t="str">
        <f t="shared" si="45"/>
        <v/>
      </c>
      <c r="S918" s="17" t="str">
        <f>IF(INDEX(Listado!A:A,ROW())="","",INDEX(Listado!A:A,ROW()))</f>
        <v/>
      </c>
      <c r="T918" s="17" t="str">
        <f ca="1">IF(INDEX(Listado!G:G,ROW())="","",INDEX(Listado!G:G,ROW()))</f>
        <v/>
      </c>
      <c r="U918" s="17" t="str">
        <f>IF(INDEX(Listado!F:F,ROW())="","",INDEX(Listado!F:F,ROW()))</f>
        <v/>
      </c>
      <c r="V918" s="17">
        <f>IF(COUNTA(INDEX(Listado!B:B,ROW()):INDEX(Listado!F:F,ROW()))&gt;0,1,0)</f>
        <v/>
      </c>
      <c r="W918" s="17" t="str">
        <f>IF(INDEX(Listado!L:L,ROW())="","",INDEX(Listado!L:L,ROW()))</f>
        <v/>
      </c>
      <c r="X918" s="17">
        <f>IF(N918="","",IF(INDEX(Listado!$M:$M,N918)="No","No","Sí"))</f>
        <v/>
      </c>
    </row>
    <row r="919" spans="2:24" ht="14.25">
      <c r="N919" s="17" t="str">
        <f>IF(V919=0,"",IFERROR(LOOKUP(2,1/(INDEX(Listado!A:A,2):INDEX(Listado!A:A,ROW())&lt;&gt;""),ROW(INDEX(Listado!A:A,2):INDEX(Listado!A:A,ROW()))),""))</f>
        <v/>
      </c>
      <c r="O919" s="17" t="str">
        <f>IFERROR(IF(N919="","",IF(INDEX(Listado!M:M,N919)="No",IF(INDEX(Listado!N:N,N919)=0,"",INDEX(Listado!N:N,N919)),IF(INDEX(Listado!I:I,N919)=0,"",INDEX(Listado!I:I,N919)))),"")</f>
        <v/>
      </c>
      <c r="P919" s="17">
        <f t="shared" ca="1" si="43"/>
        <v/>
      </c>
      <c r="Q919" s="17">
        <f>IFERROR(IF(AND(N919&lt;&gt;"",ISNUMBER(O919),O919&gt;0,O919&gt;=TODAY()-90),1,0),0)</f>
        <v/>
      </c>
      <c r="R919" s="17" t="str">
        <f t="shared" si="45"/>
        <v/>
      </c>
      <c r="S919" s="17" t="str">
        <f>IF(INDEX(Listado!A:A,ROW())="","",INDEX(Listado!A:A,ROW()))</f>
        <v/>
      </c>
      <c r="T919" s="17" t="str">
        <f ca="1">IF(INDEX(Listado!G:G,ROW())="","",INDEX(Listado!G:G,ROW()))</f>
        <v/>
      </c>
      <c r="U919" s="17" t="str">
        <f>IF(INDEX(Listado!F:F,ROW())="","",INDEX(Listado!F:F,ROW()))</f>
        <v/>
      </c>
      <c r="V919" s="17">
        <f>IF(COUNTA(INDEX(Listado!B:B,ROW()):INDEX(Listado!F:F,ROW()))&gt;0,1,0)</f>
        <v/>
      </c>
      <c r="W919" s="17" t="str">
        <f>IF(INDEX(Listado!L:L,ROW())="","",INDEX(Listado!L:L,ROW()))</f>
        <v/>
      </c>
      <c r="X919" s="17">
        <f>IF(N919="","",IF(INDEX(Listado!$M:$M,N919)="No","No","Sí"))</f>
        <v/>
      </c>
    </row>
    <row r="920" spans="2:24" ht="14.25">
      <c r="N920" s="17" t="str">
        <f>IF(V920=0,"",IFERROR(LOOKUP(2,1/(INDEX(Listado!A:A,2):INDEX(Listado!A:A,ROW())&lt;&gt;""),ROW(INDEX(Listado!A:A,2):INDEX(Listado!A:A,ROW()))),""))</f>
        <v/>
      </c>
      <c r="O920" s="17" t="str">
        <f>IFERROR(IF(N920="","",IF(INDEX(Listado!M:M,N920)="No",IF(INDEX(Listado!N:N,N920)=0,"",INDEX(Listado!N:N,N920)),IF(INDEX(Listado!I:I,N920)=0,"",INDEX(Listado!I:I,N920)))),"")</f>
        <v/>
      </c>
      <c r="P920" s="17">
        <f t="shared" ca="1" si="43"/>
        <v/>
      </c>
      <c r="Q920" s="17">
        <f>IFERROR(IF(AND(N920&lt;&gt;"",ISNUMBER(O920),O920&gt;0,O920&gt;=TODAY()-90),1,0),0)</f>
        <v/>
      </c>
      <c r="R920" s="17" t="str">
        <f t="shared" si="45"/>
        <v/>
      </c>
      <c r="S920" s="17" t="str">
        <f>IF(INDEX(Listado!A:A,ROW())="","",INDEX(Listado!A:A,ROW()))</f>
        <v/>
      </c>
      <c r="T920" s="17" t="str">
        <f ca="1">IF(INDEX(Listado!G:G,ROW())="","",INDEX(Listado!G:G,ROW()))</f>
        <v/>
      </c>
      <c r="U920" s="17" t="str">
        <f>IF(INDEX(Listado!F:F,ROW())="","",INDEX(Listado!F:F,ROW()))</f>
        <v/>
      </c>
      <c r="V920" s="17">
        <f>IF(COUNTA(INDEX(Listado!B:B,ROW()):INDEX(Listado!F:F,ROW()))&gt;0,1,0)</f>
        <v/>
      </c>
      <c r="W920" s="17" t="str">
        <f>IF(INDEX(Listado!L:L,ROW())="","",INDEX(Listado!L:L,ROW()))</f>
        <v/>
      </c>
      <c r="X920" s="17">
        <f>IF(N920="","",IF(INDEX(Listado!$M:$M,N920)="No","No","Sí"))</f>
        <v/>
      </c>
    </row>
    <row r="921" spans="2:24" ht="14.25">
      <c r="N921" s="17" t="str">
        <f>IF(V921=0,"",IFERROR(LOOKUP(2,1/(INDEX(Listado!A:A,2):INDEX(Listado!A:A,ROW())&lt;&gt;""),ROW(INDEX(Listado!A:A,2):INDEX(Listado!A:A,ROW()))),""))</f>
        <v/>
      </c>
      <c r="O921" s="17" t="str">
        <f>IFERROR(IF(N921="","",IF(INDEX(Listado!M:M,N921)="No",IF(INDEX(Listado!N:N,N921)=0,"",INDEX(Listado!N:N,N921)),IF(INDEX(Listado!I:I,N921)=0,"",INDEX(Listado!I:I,N921)))),"")</f>
        <v/>
      </c>
      <c r="P921" s="17">
        <f t="shared" ca="1" si="43"/>
        <v/>
      </c>
      <c r="Q921" s="17">
        <f>IFERROR(IF(AND(N921&lt;&gt;"",ISNUMBER(O921),O921&gt;0,O921&gt;=TODAY()-90),1,0),0)</f>
        <v/>
      </c>
      <c r="R921" s="17" t="str">
        <f t="shared" si="45"/>
        <v/>
      </c>
      <c r="S921" s="17" t="str">
        <f>IF(INDEX(Listado!A:A,ROW())="","",INDEX(Listado!A:A,ROW()))</f>
        <v/>
      </c>
      <c r="T921" s="17" t="str">
        <f ca="1">IF(INDEX(Listado!G:G,ROW())="","",INDEX(Listado!G:G,ROW()))</f>
        <v/>
      </c>
      <c r="U921" s="17" t="str">
        <f>IF(INDEX(Listado!F:F,ROW())="","",INDEX(Listado!F:F,ROW()))</f>
        <v/>
      </c>
      <c r="V921" s="17">
        <f>IF(COUNTA(INDEX(Listado!B:B,ROW()):INDEX(Listado!F:F,ROW()))&gt;0,1,0)</f>
        <v/>
      </c>
      <c r="W921" s="17" t="str">
        <f>IF(INDEX(Listado!L:L,ROW())="","",INDEX(Listado!L:L,ROW()))</f>
        <v/>
      </c>
      <c r="X921" s="17">
        <f>IF(N921="","",IF(INDEX(Listado!$M:$M,N921)="No","No","Sí"))</f>
        <v/>
      </c>
    </row>
    <row r="922" spans="2:24" ht="14.25">
      <c r="N922" s="17" t="str">
        <f>IF(V922=0,"",IFERROR(LOOKUP(2,1/(INDEX(Listado!A:A,2):INDEX(Listado!A:A,ROW())&lt;&gt;""),ROW(INDEX(Listado!A:A,2):INDEX(Listado!A:A,ROW()))),""))</f>
        <v/>
      </c>
      <c r="O922" s="17" t="str">
        <f>IFERROR(IF(N922="","",IF(INDEX(Listado!M:M,N922)="No",IF(INDEX(Listado!N:N,N922)=0,"",INDEX(Listado!N:N,N922)),IF(INDEX(Listado!I:I,N922)=0,"",INDEX(Listado!I:I,N922)))),"")</f>
        <v/>
      </c>
      <c r="P922" s="17">
        <f t="shared" ca="1" si="43"/>
        <v/>
      </c>
      <c r="Q922" s="17">
        <f>IFERROR(IF(AND(N922&lt;&gt;"",ISNUMBER(O922),O922&gt;0,O922&gt;=TODAY()-90),1,0),0)</f>
        <v/>
      </c>
      <c r="R922" s="17" t="str">
        <f t="shared" si="45"/>
        <v/>
      </c>
      <c r="S922" s="17" t="str">
        <f>IF(INDEX(Listado!A:A,ROW())="","",INDEX(Listado!A:A,ROW()))</f>
        <v/>
      </c>
      <c r="T922" s="17" t="str">
        <f ca="1">IF(INDEX(Listado!G:G,ROW())="","",INDEX(Listado!G:G,ROW()))</f>
        <v/>
      </c>
      <c r="U922" s="17" t="str">
        <f>IF(INDEX(Listado!F:F,ROW())="","",INDEX(Listado!F:F,ROW()))</f>
        <v/>
      </c>
      <c r="V922" s="17">
        <f>IF(COUNTA(INDEX(Listado!B:B,ROW()):INDEX(Listado!F:F,ROW()))&gt;0,1,0)</f>
        <v/>
      </c>
      <c r="W922" s="17" t="str">
        <f>IF(INDEX(Listado!L:L,ROW())="","",INDEX(Listado!L:L,ROW()))</f>
        <v/>
      </c>
      <c r="X922" s="17">
        <f>IF(N922="","",IF(INDEX(Listado!$M:$M,N922)="No","No","Sí"))</f>
        <v/>
      </c>
    </row>
    <row r="923" spans="2:24" ht="14.25">
      <c r="N923" s="17" t="str">
        <f>IF(V923=0,"",IFERROR(LOOKUP(2,1/(INDEX(Listado!A:A,2):INDEX(Listado!A:A,ROW())&lt;&gt;""),ROW(INDEX(Listado!A:A,2):INDEX(Listado!A:A,ROW()))),""))</f>
        <v/>
      </c>
      <c r="O923" s="17" t="str">
        <f>IFERROR(IF(N923="","",IF(INDEX(Listado!M:M,N923)="No",IF(INDEX(Listado!N:N,N923)=0,"",INDEX(Listado!N:N,N923)),IF(INDEX(Listado!I:I,N923)=0,"",INDEX(Listado!I:I,N923)))),"")</f>
        <v/>
      </c>
      <c r="P923" s="17">
        <f t="shared" ca="1" si="43"/>
        <v/>
      </c>
      <c r="Q923" s="17">
        <f>IFERROR(IF(AND(N923&lt;&gt;"",ISNUMBER(O923),O923&gt;0,O923&gt;=TODAY()-90),1,0),0)</f>
        <v/>
      </c>
      <c r="R923" s="17" t="str">
        <f t="shared" si="45"/>
        <v/>
      </c>
      <c r="S923" s="17" t="str">
        <f>IF(INDEX(Listado!A:A,ROW())="","",INDEX(Listado!A:A,ROW()))</f>
        <v/>
      </c>
      <c r="T923" s="17" t="str">
        <f ca="1">IF(INDEX(Listado!G:G,ROW())="","",INDEX(Listado!G:G,ROW()))</f>
        <v/>
      </c>
      <c r="U923" s="17" t="str">
        <f>IF(INDEX(Listado!F:F,ROW())="","",INDEX(Listado!F:F,ROW()))</f>
        <v/>
      </c>
      <c r="V923" s="17">
        <f>IF(COUNTA(INDEX(Listado!B:B,ROW()):INDEX(Listado!F:F,ROW()))&gt;0,1,0)</f>
        <v/>
      </c>
      <c r="W923" s="17" t="str">
        <f>IF(INDEX(Listado!L:L,ROW())="","",INDEX(Listado!L:L,ROW()))</f>
        <v/>
      </c>
      <c r="X923" s="17">
        <f>IF(N923="","",IF(INDEX(Listado!$M:$M,N923)="No","No","Sí"))</f>
        <v/>
      </c>
    </row>
    <row r="924" spans="2:24" ht="14.25">
      <c r="N924" s="17" t="str">
        <f>IF(V924=0,"",IFERROR(LOOKUP(2,1/(INDEX(Listado!A:A,2):INDEX(Listado!A:A,ROW())&lt;&gt;""),ROW(INDEX(Listado!A:A,2):INDEX(Listado!A:A,ROW()))),""))</f>
        <v/>
      </c>
      <c r="O924" s="17" t="str">
        <f>IFERROR(IF(N924="","",IF(INDEX(Listado!M:M,N924)="No",IF(INDEX(Listado!N:N,N924)=0,"",INDEX(Listado!N:N,N924)),IF(INDEX(Listado!I:I,N924)=0,"",INDEX(Listado!I:I,N924)))),"")</f>
        <v/>
      </c>
      <c r="P924" s="17">
        <f t="shared" ca="1" si="43"/>
        <v/>
      </c>
      <c r="Q924" s="17">
        <f>IFERROR(IF(AND(N924&lt;&gt;"",ISNUMBER(O924),O924&gt;0,O924&gt;=TODAY()-90),1,0),0)</f>
        <v/>
      </c>
      <c r="R924" s="17" t="str">
        <f t="shared" si="45"/>
        <v/>
      </c>
      <c r="S924" s="17" t="str">
        <f>IF(INDEX(Listado!A:A,ROW())="","",INDEX(Listado!A:A,ROW()))</f>
        <v/>
      </c>
      <c r="T924" s="17" t="str">
        <f ca="1">IF(INDEX(Listado!G:G,ROW())="","",INDEX(Listado!G:G,ROW()))</f>
        <v/>
      </c>
      <c r="U924" s="17" t="str">
        <f>IF(INDEX(Listado!F:F,ROW())="","",INDEX(Listado!F:F,ROW()))</f>
        <v/>
      </c>
      <c r="V924" s="17">
        <f>IF(COUNTA(INDEX(Listado!B:B,ROW()):INDEX(Listado!F:F,ROW()))&gt;0,1,0)</f>
        <v/>
      </c>
      <c r="W924" s="17" t="str">
        <f>IF(INDEX(Listado!L:L,ROW())="","",INDEX(Listado!L:L,ROW()))</f>
        <v/>
      </c>
      <c r="X924" s="17">
        <f>IF(N924="","",IF(INDEX(Listado!$M:$M,N924)="No","No","Sí"))</f>
        <v/>
      </c>
    </row>
    <row r="925" spans="2:24" ht="14.25">
      <c r="N925" s="17" t="str">
        <f>IF(V925=0,"",IFERROR(LOOKUP(2,1/(INDEX(Listado!A:A,2):INDEX(Listado!A:A,ROW())&lt;&gt;""),ROW(INDEX(Listado!A:A,2):INDEX(Listado!A:A,ROW()))),""))</f>
        <v/>
      </c>
      <c r="O925" s="17" t="str">
        <f>IFERROR(IF(N925="","",IF(INDEX(Listado!M:M,N925)="No",IF(INDEX(Listado!N:N,N925)=0,"",INDEX(Listado!N:N,N925)),IF(INDEX(Listado!I:I,N925)=0,"",INDEX(Listado!I:I,N925)))),"")</f>
        <v/>
      </c>
      <c r="P925" s="17">
        <f t="shared" ca="1" si="43"/>
        <v/>
      </c>
      <c r="Q925" s="17">
        <f>IFERROR(IF(AND(N925&lt;&gt;"",ISNUMBER(O925),O925&gt;0,O925&gt;=TODAY()-90),1,0),0)</f>
        <v/>
      </c>
      <c r="R925" s="17" t="str">
        <f t="shared" si="45"/>
        <v/>
      </c>
      <c r="S925" s="17" t="str">
        <f>IF(INDEX(Listado!A:A,ROW())="","",INDEX(Listado!A:A,ROW()))</f>
        <v/>
      </c>
      <c r="T925" s="17" t="str">
        <f ca="1">IF(INDEX(Listado!G:G,ROW())="","",INDEX(Listado!G:G,ROW()))</f>
        <v/>
      </c>
      <c r="U925" s="17" t="str">
        <f>IF(INDEX(Listado!F:F,ROW())="","",INDEX(Listado!F:F,ROW()))</f>
        <v/>
      </c>
      <c r="V925" s="17">
        <f>IF(COUNTA(INDEX(Listado!B:B,ROW()):INDEX(Listado!F:F,ROW()))&gt;0,1,0)</f>
        <v/>
      </c>
      <c r="W925" s="17" t="str">
        <f>IF(INDEX(Listado!L:L,ROW())="","",INDEX(Listado!L:L,ROW()))</f>
        <v/>
      </c>
      <c r="X925" s="17">
        <f>IF(N925="","",IF(INDEX(Listado!$M:$M,N925)="No","No","Sí"))</f>
        <v/>
      </c>
    </row>
    <row r="926" spans="2:24" ht="14.25">
      <c r="N926" s="17" t="str">
        <f>IF(V926=0,"",IFERROR(LOOKUP(2,1/(INDEX(Listado!A:A,2):INDEX(Listado!A:A,ROW())&lt;&gt;""),ROW(INDEX(Listado!A:A,2):INDEX(Listado!A:A,ROW()))),""))</f>
        <v/>
      </c>
      <c r="O926" s="17" t="str">
        <f>IFERROR(IF(N926="","",IF(INDEX(Listado!M:M,N926)="No",IF(INDEX(Listado!N:N,N926)=0,"",INDEX(Listado!N:N,N926)),IF(INDEX(Listado!I:I,N926)=0,"",INDEX(Listado!I:I,N926)))),"")</f>
        <v/>
      </c>
      <c r="P926" s="17">
        <f t="shared" ca="1" si="43"/>
        <v/>
      </c>
      <c r="Q926" s="17">
        <f>IFERROR(IF(AND(N926&lt;&gt;"",ISNUMBER(O926),O926&gt;0,O926&gt;=TODAY()-90),1,0),0)</f>
        <v/>
      </c>
      <c r="R926" s="17" t="str">
        <f t="shared" si="45"/>
        <v/>
      </c>
      <c r="S926" s="17" t="str">
        <f>IF(INDEX(Listado!A:A,ROW())="","",INDEX(Listado!A:A,ROW()))</f>
        <v/>
      </c>
      <c r="T926" s="17" t="str">
        <f ca="1">IF(INDEX(Listado!G:G,ROW())="","",INDEX(Listado!G:G,ROW()))</f>
        <v/>
      </c>
      <c r="U926" s="17" t="str">
        <f>IF(INDEX(Listado!F:F,ROW())="","",INDEX(Listado!F:F,ROW()))</f>
        <v/>
      </c>
      <c r="V926" s="17">
        <f>IF(COUNTA(INDEX(Listado!B:B,ROW()):INDEX(Listado!F:F,ROW()))&gt;0,1,0)</f>
        <v/>
      </c>
      <c r="W926" s="17" t="str">
        <f>IF(INDEX(Listado!L:L,ROW())="","",INDEX(Listado!L:L,ROW()))</f>
        <v/>
      </c>
      <c r="X926" s="17">
        <f>IF(N926="","",IF(INDEX(Listado!$M:$M,N926)="No","No","Sí"))</f>
        <v/>
      </c>
    </row>
    <row r="927" spans="2:24" ht="14.25">
      <c r="N927" s="17" t="str">
        <f>IF(V927=0,"",IFERROR(LOOKUP(2,1/(INDEX(Listado!A:A,2):INDEX(Listado!A:A,ROW())&lt;&gt;""),ROW(INDEX(Listado!A:A,2):INDEX(Listado!A:A,ROW()))),""))</f>
        <v/>
      </c>
      <c r="O927" s="17" t="str">
        <f>IFERROR(IF(N927="","",IF(INDEX(Listado!M:M,N927)="No",IF(INDEX(Listado!N:N,N927)=0,"",INDEX(Listado!N:N,N927)),IF(INDEX(Listado!I:I,N927)=0,"",INDEX(Listado!I:I,N927)))),"")</f>
        <v/>
      </c>
      <c r="P927" s="17">
        <f t="shared" ca="1" si="43"/>
        <v/>
      </c>
      <c r="Q927" s="17">
        <f>IFERROR(IF(AND(N927&lt;&gt;"",ISNUMBER(O927),O927&gt;0,O927&gt;=TODAY()-90),1,0),0)</f>
        <v/>
      </c>
      <c r="R927" s="17" t="str">
        <f t="shared" si="45"/>
        <v/>
      </c>
      <c r="S927" s="17" t="str">
        <f>IF(INDEX(Listado!A:A,ROW())="","",INDEX(Listado!A:A,ROW()))</f>
        <v/>
      </c>
      <c r="T927" s="17" t="str">
        <f ca="1">IF(INDEX(Listado!G:G,ROW())="","",INDEX(Listado!G:G,ROW()))</f>
        <v/>
      </c>
      <c r="U927" s="17" t="str">
        <f>IF(INDEX(Listado!F:F,ROW())="","",INDEX(Listado!F:F,ROW()))</f>
        <v/>
      </c>
      <c r="V927" s="17">
        <f>IF(COUNTA(INDEX(Listado!B:B,ROW()):INDEX(Listado!F:F,ROW()))&gt;0,1,0)</f>
        <v/>
      </c>
      <c r="W927" s="17" t="str">
        <f>IF(INDEX(Listado!L:L,ROW())="","",INDEX(Listado!L:L,ROW()))</f>
        <v/>
      </c>
      <c r="X927" s="17">
        <f>IF(N927="","",IF(INDEX(Listado!$M:$M,N927)="No","No","Sí"))</f>
        <v/>
      </c>
    </row>
    <row r="928" spans="2:24" ht="14.25">
      <c r="N928" s="17" t="str">
        <f>IF(V928=0,"",IFERROR(LOOKUP(2,1/(INDEX(Listado!A:A,2):INDEX(Listado!A:A,ROW())&lt;&gt;""),ROW(INDEX(Listado!A:A,2):INDEX(Listado!A:A,ROW()))),""))</f>
        <v/>
      </c>
      <c r="O928" s="17" t="str">
        <f>IFERROR(IF(N928="","",IF(INDEX(Listado!M:M,N928)="No",IF(INDEX(Listado!N:N,N928)=0,"",INDEX(Listado!N:N,N928)),IF(INDEX(Listado!I:I,N928)=0,"",INDEX(Listado!I:I,N928)))),"")</f>
        <v/>
      </c>
      <c r="P928" s="17">
        <f t="shared" ca="1" si="43"/>
        <v/>
      </c>
      <c r="Q928" s="17">
        <f>IFERROR(IF(AND(N928&lt;&gt;"",ISNUMBER(O928),O928&gt;0,O928&gt;=TODAY()-90),1,0),0)</f>
        <v/>
      </c>
      <c r="R928" s="17" t="str">
        <f t="shared" si="45"/>
        <v/>
      </c>
      <c r="S928" s="17" t="str">
        <f>IF(INDEX(Listado!A:A,ROW())="","",INDEX(Listado!A:A,ROW()))</f>
        <v/>
      </c>
      <c r="T928" s="17" t="str">
        <f ca="1">IF(INDEX(Listado!G:G,ROW())="","",INDEX(Listado!G:G,ROW()))</f>
        <v/>
      </c>
      <c r="U928" s="17" t="str">
        <f>IF(INDEX(Listado!F:F,ROW())="","",INDEX(Listado!F:F,ROW()))</f>
        <v/>
      </c>
      <c r="V928" s="17">
        <f>IF(COUNTA(INDEX(Listado!B:B,ROW()):INDEX(Listado!F:F,ROW()))&gt;0,1,0)</f>
        <v/>
      </c>
      <c r="W928" s="17" t="str">
        <f>IF(INDEX(Listado!L:L,ROW())="","",INDEX(Listado!L:L,ROW()))</f>
        <v/>
      </c>
      <c r="X928" s="17">
        <f>IF(N928="","",IF(INDEX(Listado!$M:$M,N928)="No","No","Sí"))</f>
        <v/>
      </c>
    </row>
    <row r="929" spans="2:24" ht="14.25">
      <c r="N929" s="17" t="str">
        <f>IF(V929=0,"",IFERROR(LOOKUP(2,1/(INDEX(Listado!A:A,2):INDEX(Listado!A:A,ROW())&lt;&gt;""),ROW(INDEX(Listado!A:A,2):INDEX(Listado!A:A,ROW()))),""))</f>
        <v/>
      </c>
      <c r="O929" s="17" t="str">
        <f>IFERROR(IF(N929="","",IF(INDEX(Listado!M:M,N929)="No",IF(INDEX(Listado!N:N,N929)=0,"",INDEX(Listado!N:N,N929)),IF(INDEX(Listado!I:I,N929)=0,"",INDEX(Listado!I:I,N929)))),"")</f>
        <v/>
      </c>
      <c r="P929" s="17">
        <f t="shared" ca="1" si="43"/>
        <v/>
      </c>
      <c r="Q929" s="17">
        <f>IFERROR(IF(AND(N929&lt;&gt;"",ISNUMBER(O929),O929&gt;0,O929&gt;=TODAY()-90),1,0),0)</f>
        <v/>
      </c>
      <c r="R929" s="17" t="str">
        <f t="shared" si="45"/>
        <v/>
      </c>
      <c r="S929" s="17" t="str">
        <f>IF(INDEX(Listado!A:A,ROW())="","",INDEX(Listado!A:A,ROW()))</f>
        <v/>
      </c>
      <c r="T929" s="17" t="str">
        <f ca="1">IF(INDEX(Listado!G:G,ROW())="","",INDEX(Listado!G:G,ROW()))</f>
        <v/>
      </c>
      <c r="U929" s="17" t="str">
        <f>IF(INDEX(Listado!F:F,ROW())="","",INDEX(Listado!F:F,ROW()))</f>
        <v/>
      </c>
      <c r="V929" s="17">
        <f>IF(COUNTA(INDEX(Listado!B:B,ROW()):INDEX(Listado!F:F,ROW()))&gt;0,1,0)</f>
        <v/>
      </c>
      <c r="W929" s="17" t="str">
        <f>IF(INDEX(Listado!L:L,ROW())="","",INDEX(Listado!L:L,ROW()))</f>
        <v/>
      </c>
      <c r="X929" s="17">
        <f>IF(N929="","",IF(INDEX(Listado!$M:$M,N929)="No","No","Sí"))</f>
        <v/>
      </c>
    </row>
    <row r="930" spans="2:24" ht="14.25">
      <c r="N930" s="17" t="str">
        <f>IF(V930=0,"",IFERROR(LOOKUP(2,1/(INDEX(Listado!A:A,2):INDEX(Listado!A:A,ROW())&lt;&gt;""),ROW(INDEX(Listado!A:A,2):INDEX(Listado!A:A,ROW()))),""))</f>
        <v/>
      </c>
      <c r="O930" s="17" t="str">
        <f>IFERROR(IF(N930="","",IF(INDEX(Listado!M:M,N930)="No",IF(INDEX(Listado!N:N,N930)=0,"",INDEX(Listado!N:N,N930)),IF(INDEX(Listado!I:I,N930)=0,"",INDEX(Listado!I:I,N930)))),"")</f>
        <v/>
      </c>
      <c r="P930" s="17">
        <f t="shared" ca="1" si="43"/>
        <v/>
      </c>
      <c r="Q930" s="17">
        <f>IFERROR(IF(AND(N930&lt;&gt;"",ISNUMBER(O930),O930&gt;0,O930&gt;=TODAY()-90),1,0),0)</f>
        <v/>
      </c>
      <c r="R930" s="17" t="str">
        <f t="shared" si="45"/>
        <v/>
      </c>
      <c r="S930" s="17" t="str">
        <f>IF(INDEX(Listado!A:A,ROW())="","",INDEX(Listado!A:A,ROW()))</f>
        <v/>
      </c>
      <c r="T930" s="17" t="str">
        <f ca="1">IF(INDEX(Listado!G:G,ROW())="","",INDEX(Listado!G:G,ROW()))</f>
        <v/>
      </c>
      <c r="U930" s="17" t="str">
        <f>IF(INDEX(Listado!F:F,ROW())="","",INDEX(Listado!F:F,ROW()))</f>
        <v/>
      </c>
      <c r="V930" s="17">
        <f>IF(COUNTA(INDEX(Listado!B:B,ROW()):INDEX(Listado!F:F,ROW()))&gt;0,1,0)</f>
        <v/>
      </c>
      <c r="W930" s="17" t="str">
        <f>IF(INDEX(Listado!L:L,ROW())="","",INDEX(Listado!L:L,ROW()))</f>
        <v/>
      </c>
      <c r="X930" s="17">
        <f>IF(N930="","",IF(INDEX(Listado!$M:$M,N930)="No","No","Sí"))</f>
        <v/>
      </c>
    </row>
    <row r="931" spans="2:24" ht="14.25">
      <c r="N931" s="17" t="str">
        <f>IF(V931=0,"",IFERROR(LOOKUP(2,1/(INDEX(Listado!A:A,2):INDEX(Listado!A:A,ROW())&lt;&gt;""),ROW(INDEX(Listado!A:A,2):INDEX(Listado!A:A,ROW()))),""))</f>
        <v/>
      </c>
      <c r="O931" s="17" t="str">
        <f>IFERROR(IF(N931="","",IF(INDEX(Listado!M:M,N931)="No",IF(INDEX(Listado!N:N,N931)=0,"",INDEX(Listado!N:N,N931)),IF(INDEX(Listado!I:I,N931)=0,"",INDEX(Listado!I:I,N931)))),"")</f>
        <v/>
      </c>
      <c r="P931" s="17">
        <f t="shared" ca="1" si="43"/>
        <v/>
      </c>
      <c r="Q931" s="17">
        <f>IFERROR(IF(AND(N931&lt;&gt;"",ISNUMBER(O931),O931&gt;0,O931&gt;=TODAY()-90),1,0),0)</f>
        <v/>
      </c>
      <c r="R931" s="17" t="str">
        <f t="shared" si="45"/>
        <v/>
      </c>
      <c r="S931" s="17" t="str">
        <f>IF(INDEX(Listado!A:A,ROW())="","",INDEX(Listado!A:A,ROW()))</f>
        <v/>
      </c>
      <c r="T931" s="17" t="str">
        <f ca="1">IF(INDEX(Listado!G:G,ROW())="","",INDEX(Listado!G:G,ROW()))</f>
        <v/>
      </c>
      <c r="U931" s="17" t="str">
        <f>IF(INDEX(Listado!F:F,ROW())="","",INDEX(Listado!F:F,ROW()))</f>
        <v/>
      </c>
      <c r="V931" s="17">
        <f>IF(COUNTA(INDEX(Listado!B:B,ROW()):INDEX(Listado!F:F,ROW()))&gt;0,1,0)</f>
        <v/>
      </c>
      <c r="W931" s="17" t="str">
        <f>IF(INDEX(Listado!L:L,ROW())="","",INDEX(Listado!L:L,ROW()))</f>
        <v/>
      </c>
      <c r="X931" s="17">
        <f>IF(N931="","",IF(INDEX(Listado!$M:$M,N931)="No","No","Sí"))</f>
        <v/>
      </c>
    </row>
    <row r="932" spans="2:24" ht="14.25">
      <c r="N932" s="17" t="str">
        <f>IF(V932=0,"",IFERROR(LOOKUP(2,1/(INDEX(Listado!A:A,2):INDEX(Listado!A:A,ROW())&lt;&gt;""),ROW(INDEX(Listado!A:A,2):INDEX(Listado!A:A,ROW()))),""))</f>
        <v/>
      </c>
      <c r="O932" s="17" t="str">
        <f>IFERROR(IF(N932="","",IF(INDEX(Listado!M:M,N932)="No",IF(INDEX(Listado!N:N,N932)=0,"",INDEX(Listado!N:N,N932)),IF(INDEX(Listado!I:I,N932)=0,"",INDEX(Listado!I:I,N932)))),"")</f>
        <v/>
      </c>
      <c r="P932" s="17">
        <f t="shared" ca="1" si="43"/>
        <v/>
      </c>
      <c r="Q932" s="17">
        <f>IFERROR(IF(AND(N932&lt;&gt;"",ISNUMBER(O932),O932&gt;0,O932&gt;=TODAY()-90),1,0),0)</f>
        <v/>
      </c>
      <c r="R932" s="17" t="str">
        <f t="shared" si="45"/>
        <v/>
      </c>
      <c r="S932" s="17" t="str">
        <f>IF(INDEX(Listado!A:A,ROW())="","",INDEX(Listado!A:A,ROW()))</f>
        <v/>
      </c>
      <c r="T932" s="17" t="str">
        <f ca="1">IF(INDEX(Listado!G:G,ROW())="","",INDEX(Listado!G:G,ROW()))</f>
        <v/>
      </c>
      <c r="U932" s="17" t="str">
        <f>IF(INDEX(Listado!F:F,ROW())="","",INDEX(Listado!F:F,ROW()))</f>
        <v/>
      </c>
      <c r="V932" s="17">
        <f>IF(COUNTA(INDEX(Listado!B:B,ROW()):INDEX(Listado!F:F,ROW()))&gt;0,1,0)</f>
        <v/>
      </c>
      <c r="W932" s="17" t="str">
        <f>IF(INDEX(Listado!L:L,ROW())="","",INDEX(Listado!L:L,ROW()))</f>
        <v/>
      </c>
      <c r="X932" s="17">
        <f>IF(N932="","",IF(INDEX(Listado!$M:$M,N932)="No","No","Sí"))</f>
        <v/>
      </c>
    </row>
    <row r="933" spans="2:24" ht="14.25">
      <c r="N933" s="17" t="str">
        <f>IF(V933=0,"",IFERROR(LOOKUP(2,1/(INDEX(Listado!A:A,2):INDEX(Listado!A:A,ROW())&lt;&gt;""),ROW(INDEX(Listado!A:A,2):INDEX(Listado!A:A,ROW()))),""))</f>
        <v/>
      </c>
      <c r="O933" s="17" t="str">
        <f>IFERROR(IF(N933="","",IF(INDEX(Listado!M:M,N933)="No",IF(INDEX(Listado!N:N,N933)=0,"",INDEX(Listado!N:N,N933)),IF(INDEX(Listado!I:I,N933)=0,"",INDEX(Listado!I:I,N933)))),"")</f>
        <v/>
      </c>
      <c r="P933" s="17">
        <f t="shared" ca="1" si="43"/>
        <v/>
      </c>
      <c r="Q933" s="17">
        <f>IFERROR(IF(AND(N933&lt;&gt;"",ISNUMBER(O933),O933&gt;0,O933&gt;=TODAY()-90),1,0),0)</f>
        <v/>
      </c>
      <c r="R933" s="17" t="str">
        <f t="shared" si="45"/>
        <v/>
      </c>
      <c r="S933" s="17" t="str">
        <f>IF(INDEX(Listado!A:A,ROW())="","",INDEX(Listado!A:A,ROW()))</f>
        <v/>
      </c>
      <c r="T933" s="17" t="str">
        <f ca="1">IF(INDEX(Listado!G:G,ROW())="","",INDEX(Listado!G:G,ROW()))</f>
        <v/>
      </c>
      <c r="U933" s="17" t="str">
        <f>IF(INDEX(Listado!F:F,ROW())="","",INDEX(Listado!F:F,ROW()))</f>
        <v/>
      </c>
      <c r="V933" s="17">
        <f>IF(COUNTA(INDEX(Listado!B:B,ROW()):INDEX(Listado!F:F,ROW()))&gt;0,1,0)</f>
        <v/>
      </c>
      <c r="W933" s="17" t="str">
        <f>IF(INDEX(Listado!L:L,ROW())="","",INDEX(Listado!L:L,ROW()))</f>
        <v/>
      </c>
      <c r="X933" s="17">
        <f>IF(N933="","",IF(INDEX(Listado!$M:$M,N933)="No","No","Sí"))</f>
        <v/>
      </c>
    </row>
    <row r="934" spans="2:24" ht="14.25">
      <c r="N934" s="17" t="str">
        <f>IF(V934=0,"",IFERROR(LOOKUP(2,1/(INDEX(Listado!A:A,2):INDEX(Listado!A:A,ROW())&lt;&gt;""),ROW(INDEX(Listado!A:A,2):INDEX(Listado!A:A,ROW()))),""))</f>
        <v/>
      </c>
      <c r="O934" s="17" t="str">
        <f>IFERROR(IF(N934="","",IF(INDEX(Listado!M:M,N934)="No",IF(INDEX(Listado!N:N,N934)=0,"",INDEX(Listado!N:N,N934)),IF(INDEX(Listado!I:I,N934)=0,"",INDEX(Listado!I:I,N934)))),"")</f>
        <v/>
      </c>
      <c r="P934" s="17">
        <f t="shared" ca="1" si="43"/>
        <v/>
      </c>
      <c r="Q934" s="17">
        <f>IFERROR(IF(AND(N934&lt;&gt;"",ISNUMBER(O934),O934&gt;0,O934&gt;=TODAY()-90),1,0),0)</f>
        <v/>
      </c>
      <c r="R934" s="17" t="str">
        <f t="shared" si="45"/>
        <v/>
      </c>
      <c r="S934" s="17" t="str">
        <f>IF(INDEX(Listado!A:A,ROW())="","",INDEX(Listado!A:A,ROW()))</f>
        <v/>
      </c>
      <c r="T934" s="17" t="str">
        <f ca="1">IF(INDEX(Listado!G:G,ROW())="","",INDEX(Listado!G:G,ROW()))</f>
        <v/>
      </c>
      <c r="U934" s="17" t="str">
        <f>IF(INDEX(Listado!F:F,ROW())="","",INDEX(Listado!F:F,ROW()))</f>
        <v/>
      </c>
      <c r="V934" s="17">
        <f>IF(COUNTA(INDEX(Listado!B:B,ROW()):INDEX(Listado!F:F,ROW()))&gt;0,1,0)</f>
        <v/>
      </c>
      <c r="W934" s="17" t="str">
        <f>IF(INDEX(Listado!L:L,ROW())="","",INDEX(Listado!L:L,ROW()))</f>
        <v/>
      </c>
      <c r="X934" s="17">
        <f>IF(N934="","",IF(INDEX(Listado!$M:$M,N934)="No","No","Sí"))</f>
        <v/>
      </c>
    </row>
    <row r="935" spans="2:24" ht="14.25">
      <c r="N935" s="17" t="str">
        <f>IF(V935=0,"",IFERROR(LOOKUP(2,1/(INDEX(Listado!A:A,2):INDEX(Listado!A:A,ROW())&lt;&gt;""),ROW(INDEX(Listado!A:A,2):INDEX(Listado!A:A,ROW()))),""))</f>
        <v/>
      </c>
      <c r="O935" s="17" t="str">
        <f>IFERROR(IF(N935="","",IF(INDEX(Listado!M:M,N935)="No",IF(INDEX(Listado!N:N,N935)=0,"",INDEX(Listado!N:N,N935)),IF(INDEX(Listado!I:I,N935)=0,"",INDEX(Listado!I:I,N935)))),"")</f>
        <v/>
      </c>
      <c r="P935" s="17">
        <f t="shared" ca="1" si="43"/>
        <v/>
      </c>
      <c r="Q935" s="17">
        <f>IFERROR(IF(AND(N935&lt;&gt;"",ISNUMBER(O935),O935&gt;0,O935&gt;=TODAY()-90),1,0),0)</f>
        <v/>
      </c>
      <c r="R935" s="17" t="str">
        <f t="shared" si="45"/>
        <v/>
      </c>
      <c r="S935" s="17" t="str">
        <f>IF(INDEX(Listado!A:A,ROW())="","",INDEX(Listado!A:A,ROW()))</f>
        <v/>
      </c>
      <c r="T935" s="17" t="str">
        <f ca="1">IF(INDEX(Listado!G:G,ROW())="","",INDEX(Listado!G:G,ROW()))</f>
        <v/>
      </c>
      <c r="U935" s="17" t="str">
        <f>IF(INDEX(Listado!F:F,ROW())="","",INDEX(Listado!F:F,ROW()))</f>
        <v/>
      </c>
      <c r="V935" s="17">
        <f>IF(COUNTA(INDEX(Listado!B:B,ROW()):INDEX(Listado!F:F,ROW()))&gt;0,1,0)</f>
        <v/>
      </c>
      <c r="W935" s="17" t="str">
        <f>IF(INDEX(Listado!L:L,ROW())="","",INDEX(Listado!L:L,ROW()))</f>
        <v/>
      </c>
      <c r="X935" s="17">
        <f>IF(N935="","",IF(INDEX(Listado!$M:$M,N935)="No","No","Sí"))</f>
        <v/>
      </c>
    </row>
    <row r="936" spans="2:24" ht="14.25">
      <c r="N936" s="17" t="str">
        <f>IF(V936=0,"",IFERROR(LOOKUP(2,1/(INDEX(Listado!A:A,2):INDEX(Listado!A:A,ROW())&lt;&gt;""),ROW(INDEX(Listado!A:A,2):INDEX(Listado!A:A,ROW()))),""))</f>
        <v/>
      </c>
      <c r="O936" s="17" t="str">
        <f>IFERROR(IF(N936="","",IF(INDEX(Listado!M:M,N936)="No",IF(INDEX(Listado!N:N,N936)=0,"",INDEX(Listado!N:N,N936)),IF(INDEX(Listado!I:I,N936)=0,"",INDEX(Listado!I:I,N936)))),"")</f>
        <v/>
      </c>
      <c r="P936" s="17">
        <f t="shared" ca="1" si="43"/>
        <v/>
      </c>
      <c r="Q936" s="17">
        <f>IFERROR(IF(AND(N936&lt;&gt;"",ISNUMBER(O936),O936&gt;0,O936&gt;=TODAY()-90),1,0),0)</f>
        <v/>
      </c>
      <c r="R936" s="17" t="str">
        <f t="shared" si="45"/>
        <v/>
      </c>
      <c r="S936" s="17" t="str">
        <f>IF(INDEX(Listado!A:A,ROW())="","",INDEX(Listado!A:A,ROW()))</f>
        <v/>
      </c>
      <c r="T936" s="17" t="str">
        <f ca="1">IF(INDEX(Listado!G:G,ROW())="","",INDEX(Listado!G:G,ROW()))</f>
        <v/>
      </c>
      <c r="U936" s="17" t="str">
        <f>IF(INDEX(Listado!F:F,ROW())="","",INDEX(Listado!F:F,ROW()))</f>
        <v/>
      </c>
      <c r="V936" s="17">
        <f>IF(COUNTA(INDEX(Listado!B:B,ROW()):INDEX(Listado!F:F,ROW()))&gt;0,1,0)</f>
        <v/>
      </c>
      <c r="W936" s="17" t="str">
        <f>IF(INDEX(Listado!L:L,ROW())="","",INDEX(Listado!L:L,ROW()))</f>
        <v/>
      </c>
      <c r="X936" s="17">
        <f>IF(N936="","",IF(INDEX(Listado!$M:$M,N936)="No","No","Sí"))</f>
        <v/>
      </c>
    </row>
    <row r="937" spans="2:24" ht="14.25">
      <c r="N937" s="17" t="str">
        <f>IF(V937=0,"",IFERROR(LOOKUP(2,1/(INDEX(Listado!A:A,2):INDEX(Listado!A:A,ROW())&lt;&gt;""),ROW(INDEX(Listado!A:A,2):INDEX(Listado!A:A,ROW()))),""))</f>
        <v/>
      </c>
      <c r="O937" s="17" t="str">
        <f>IFERROR(IF(N937="","",IF(INDEX(Listado!M:M,N937)="No",IF(INDEX(Listado!N:N,N937)=0,"",INDEX(Listado!N:N,N937)),IF(INDEX(Listado!I:I,N937)=0,"",INDEX(Listado!I:I,N937)))),"")</f>
        <v/>
      </c>
      <c r="P937" s="17">
        <f t="shared" ca="1" si="43"/>
        <v/>
      </c>
      <c r="Q937" s="17">
        <f>IFERROR(IF(AND(N937&lt;&gt;"",ISNUMBER(O937),O937&gt;0,O937&gt;=TODAY()-90),1,0),0)</f>
        <v/>
      </c>
      <c r="R937" s="17" t="str">
        <f t="shared" si="45"/>
        <v/>
      </c>
      <c r="S937" s="17" t="str">
        <f>IF(INDEX(Listado!A:A,ROW())="","",INDEX(Listado!A:A,ROW()))</f>
        <v/>
      </c>
      <c r="T937" s="17" t="str">
        <f ca="1">IF(INDEX(Listado!G:G,ROW())="","",INDEX(Listado!G:G,ROW()))</f>
        <v/>
      </c>
      <c r="U937" s="17" t="str">
        <f>IF(INDEX(Listado!F:F,ROW())="","",INDEX(Listado!F:F,ROW()))</f>
        <v/>
      </c>
      <c r="V937" s="17">
        <f>IF(COUNTA(INDEX(Listado!B:B,ROW()):INDEX(Listado!F:F,ROW()))&gt;0,1,0)</f>
        <v/>
      </c>
      <c r="W937" s="17" t="str">
        <f>IF(INDEX(Listado!L:L,ROW())="","",INDEX(Listado!L:L,ROW()))</f>
        <v/>
      </c>
      <c r="X937" s="17">
        <f>IF(N937="","",IF(INDEX(Listado!$M:$M,N937)="No","No","Sí"))</f>
        <v/>
      </c>
    </row>
    <row r="938" spans="2:24" ht="14.25">
      <c r="N938" s="17" t="str">
        <f>IF(V938=0,"",IFERROR(LOOKUP(2,1/(INDEX(Listado!A:A,2):INDEX(Listado!A:A,ROW())&lt;&gt;""),ROW(INDEX(Listado!A:A,2):INDEX(Listado!A:A,ROW()))),""))</f>
        <v/>
      </c>
      <c r="O938" s="17" t="str">
        <f>IFERROR(IF(N938="","",IF(INDEX(Listado!M:M,N938)="No",IF(INDEX(Listado!N:N,N938)=0,"",INDEX(Listado!N:N,N938)),IF(INDEX(Listado!I:I,N938)=0,"",INDEX(Listado!I:I,N938)))),"")</f>
        <v/>
      </c>
      <c r="P938" s="17">
        <f t="shared" ca="1" si="43"/>
        <v/>
      </c>
      <c r="Q938" s="17">
        <f>IFERROR(IF(AND(N938&lt;&gt;"",ISNUMBER(O938),O938&gt;0,O938&gt;=TODAY()-90),1,0),0)</f>
        <v/>
      </c>
      <c r="R938" s="17" t="str">
        <f t="shared" si="45"/>
        <v/>
      </c>
      <c r="S938" s="17" t="str">
        <f>IF(INDEX(Listado!A:A,ROW())="","",INDEX(Listado!A:A,ROW()))</f>
        <v/>
      </c>
      <c r="T938" s="17" t="str">
        <f ca="1">IF(INDEX(Listado!G:G,ROW())="","",INDEX(Listado!G:G,ROW()))</f>
        <v/>
      </c>
      <c r="U938" s="17" t="str">
        <f>IF(INDEX(Listado!F:F,ROW())="","",INDEX(Listado!F:F,ROW()))</f>
        <v/>
      </c>
      <c r="V938" s="17">
        <f>IF(COUNTA(INDEX(Listado!B:B,ROW()):INDEX(Listado!F:F,ROW()))&gt;0,1,0)</f>
        <v/>
      </c>
      <c r="W938" s="17" t="str">
        <f>IF(INDEX(Listado!L:L,ROW())="","",INDEX(Listado!L:L,ROW()))</f>
        <v/>
      </c>
      <c r="X938" s="17">
        <f>IF(N938="","",IF(INDEX(Listado!$M:$M,N938)="No","No","Sí"))</f>
        <v/>
      </c>
    </row>
    <row r="939" spans="2:24" ht="14.25">
      <c r="N939" s="17" t="str">
        <f>IF(V939=0,"",IFERROR(LOOKUP(2,1/(INDEX(Listado!A:A,2):INDEX(Listado!A:A,ROW())&lt;&gt;""),ROW(INDEX(Listado!A:A,2):INDEX(Listado!A:A,ROW()))),""))</f>
        <v/>
      </c>
      <c r="O939" s="17" t="str">
        <f>IFERROR(IF(N939="","",IF(INDEX(Listado!M:M,N939)="No",IF(INDEX(Listado!N:N,N939)=0,"",INDEX(Listado!N:N,N939)),IF(INDEX(Listado!I:I,N939)=0,"",INDEX(Listado!I:I,N939)))),"")</f>
        <v/>
      </c>
      <c r="P939" s="17">
        <f t="shared" ca="1" si="43"/>
        <v/>
      </c>
      <c r="Q939" s="17">
        <f>IFERROR(IF(AND(N939&lt;&gt;"",ISNUMBER(O939),O939&gt;0,O939&gt;=TODAY()-90),1,0),0)</f>
        <v/>
      </c>
      <c r="R939" s="17" t="str">
        <f t="shared" si="45"/>
        <v/>
      </c>
      <c r="S939" s="17" t="str">
        <f>IF(INDEX(Listado!A:A,ROW())="","",INDEX(Listado!A:A,ROW()))</f>
        <v/>
      </c>
      <c r="T939" s="17" t="str">
        <f ca="1">IF(INDEX(Listado!G:G,ROW())="","",INDEX(Listado!G:G,ROW()))</f>
        <v/>
      </c>
      <c r="U939" s="17" t="str">
        <f>IF(INDEX(Listado!F:F,ROW())="","",INDEX(Listado!F:F,ROW()))</f>
        <v/>
      </c>
      <c r="V939" s="17">
        <f>IF(COUNTA(INDEX(Listado!B:B,ROW()):INDEX(Listado!F:F,ROW()))&gt;0,1,0)</f>
        <v/>
      </c>
      <c r="W939" s="17" t="str">
        <f>IF(INDEX(Listado!L:L,ROW())="","",INDEX(Listado!L:L,ROW()))</f>
        <v/>
      </c>
      <c r="X939" s="17">
        <f>IF(N939="","",IF(INDEX(Listado!$M:$M,N939)="No","No","Sí"))</f>
        <v/>
      </c>
    </row>
    <row r="940" spans="2:24" ht="14.25">
      <c r="N940" s="17" t="str">
        <f>IF(V940=0,"",IFERROR(LOOKUP(2,1/(INDEX(Listado!A:A,2):INDEX(Listado!A:A,ROW())&lt;&gt;""),ROW(INDEX(Listado!A:A,2):INDEX(Listado!A:A,ROW()))),""))</f>
        <v/>
      </c>
      <c r="O940" s="17" t="str">
        <f>IFERROR(IF(N940="","",IF(INDEX(Listado!M:M,N940)="No",IF(INDEX(Listado!N:N,N940)=0,"",INDEX(Listado!N:N,N940)),IF(INDEX(Listado!I:I,N940)=0,"",INDEX(Listado!I:I,N940)))),"")</f>
        <v/>
      </c>
      <c r="P940" s="17">
        <f t="shared" ca="1" si="43"/>
        <v/>
      </c>
      <c r="Q940" s="17">
        <f>IFERROR(IF(AND(N940&lt;&gt;"",ISNUMBER(O940),O940&gt;0,O940&gt;=TODAY()-90),1,0),0)</f>
        <v/>
      </c>
      <c r="R940" s="17" t="str">
        <f t="shared" si="45"/>
        <v/>
      </c>
      <c r="S940" s="17" t="str">
        <f>IF(INDEX(Listado!A:A,ROW())="","",INDEX(Listado!A:A,ROW()))</f>
        <v/>
      </c>
      <c r="T940" s="17" t="str">
        <f ca="1">IF(INDEX(Listado!G:G,ROW())="","",INDEX(Listado!G:G,ROW()))</f>
        <v/>
      </c>
      <c r="U940" s="17" t="str">
        <f>IF(INDEX(Listado!F:F,ROW())="","",INDEX(Listado!F:F,ROW()))</f>
        <v/>
      </c>
      <c r="V940" s="17">
        <f>IF(COUNTA(INDEX(Listado!B:B,ROW()):INDEX(Listado!F:F,ROW()))&gt;0,1,0)</f>
        <v/>
      </c>
      <c r="W940" s="17" t="str">
        <f>IF(INDEX(Listado!L:L,ROW())="","",INDEX(Listado!L:L,ROW()))</f>
        <v/>
      </c>
      <c r="X940" s="17">
        <f>IF(N940="","",IF(INDEX(Listado!$M:$M,N940)="No","No","Sí"))</f>
        <v/>
      </c>
    </row>
    <row r="941" spans="2:24" ht="14.25">
      <c r="N941" s="17" t="str">
        <f>IF(V941=0,"",IFERROR(LOOKUP(2,1/(INDEX(Listado!A:A,2):INDEX(Listado!A:A,ROW())&lt;&gt;""),ROW(INDEX(Listado!A:A,2):INDEX(Listado!A:A,ROW()))),""))</f>
        <v/>
      </c>
      <c r="O941" s="17" t="str">
        <f>IFERROR(IF(N941="","",IF(INDEX(Listado!M:M,N941)="No",IF(INDEX(Listado!N:N,N941)=0,"",INDEX(Listado!N:N,N941)),IF(INDEX(Listado!I:I,N941)=0,"",INDEX(Listado!I:I,N941)))),"")</f>
        <v/>
      </c>
      <c r="P941" s="17">
        <f t="shared" ca="1" si="43"/>
        <v/>
      </c>
      <c r="Q941" s="17">
        <f>IFERROR(IF(AND(N941&lt;&gt;"",ISNUMBER(O941),O941&gt;0,O941&gt;=TODAY()-90),1,0),0)</f>
        <v/>
      </c>
      <c r="R941" s="17" t="str">
        <f t="shared" si="45"/>
        <v/>
      </c>
      <c r="S941" s="17" t="str">
        <f>IF(INDEX(Listado!A:A,ROW())="","",INDEX(Listado!A:A,ROW()))</f>
        <v/>
      </c>
      <c r="T941" s="17" t="str">
        <f ca="1">IF(INDEX(Listado!G:G,ROW())="","",INDEX(Listado!G:G,ROW()))</f>
        <v/>
      </c>
      <c r="U941" s="17" t="str">
        <f>IF(INDEX(Listado!F:F,ROW())="","",INDEX(Listado!F:F,ROW()))</f>
        <v/>
      </c>
      <c r="V941" s="17">
        <f>IF(COUNTA(INDEX(Listado!B:B,ROW()):INDEX(Listado!F:F,ROW()))&gt;0,1,0)</f>
        <v/>
      </c>
      <c r="W941" s="17" t="str">
        <f>IF(INDEX(Listado!L:L,ROW())="","",INDEX(Listado!L:L,ROW()))</f>
        <v/>
      </c>
      <c r="X941" s="17">
        <f>IF(N941="","",IF(INDEX(Listado!$M:$M,N941)="No","No","Sí"))</f>
        <v/>
      </c>
    </row>
    <row r="942" spans="2:24" ht="14.25">
      <c r="N942" s="17" t="str">
        <f>IF(V942=0,"",IFERROR(LOOKUP(2,1/(INDEX(Listado!A:A,2):INDEX(Listado!A:A,ROW())&lt;&gt;""),ROW(INDEX(Listado!A:A,2):INDEX(Listado!A:A,ROW()))),""))</f>
        <v/>
      </c>
      <c r="O942" s="17" t="str">
        <f>IFERROR(IF(N942="","",IF(INDEX(Listado!M:M,N942)="No",IF(INDEX(Listado!N:N,N942)=0,"",INDEX(Listado!N:N,N942)),IF(INDEX(Listado!I:I,N942)=0,"",INDEX(Listado!I:I,N942)))),"")</f>
        <v/>
      </c>
      <c r="P942" s="17">
        <f t="shared" ca="1" si="43"/>
        <v/>
      </c>
      <c r="Q942" s="17">
        <f>IFERROR(IF(AND(N942&lt;&gt;"",ISNUMBER(O942),O942&gt;0,O942&gt;=TODAY()-90),1,0),0)</f>
        <v/>
      </c>
      <c r="R942" s="17" t="str">
        <f t="shared" si="45"/>
        <v/>
      </c>
      <c r="S942" s="17" t="str">
        <f>IF(INDEX(Listado!A:A,ROW())="","",INDEX(Listado!A:A,ROW()))</f>
        <v/>
      </c>
      <c r="T942" s="17" t="str">
        <f ca="1">IF(INDEX(Listado!G:G,ROW())="","",INDEX(Listado!G:G,ROW()))</f>
        <v/>
      </c>
      <c r="U942" s="17" t="str">
        <f>IF(INDEX(Listado!F:F,ROW())="","",INDEX(Listado!F:F,ROW()))</f>
        <v/>
      </c>
      <c r="V942" s="17">
        <f>IF(COUNTA(INDEX(Listado!B:B,ROW()):INDEX(Listado!F:F,ROW()))&gt;0,1,0)</f>
        <v/>
      </c>
      <c r="W942" s="17" t="str">
        <f>IF(INDEX(Listado!L:L,ROW())="","",INDEX(Listado!L:L,ROW()))</f>
        <v/>
      </c>
      <c r="X942" s="17">
        <f>IF(N942="","",IF(INDEX(Listado!$M:$M,N942)="No","No","Sí"))</f>
        <v/>
      </c>
    </row>
    <row r="943" spans="2:24" ht="14.25">
      <c r="N943" s="17" t="str">
        <f>IF(V943=0,"",IFERROR(LOOKUP(2,1/(INDEX(Listado!A:A,2):INDEX(Listado!A:A,ROW())&lt;&gt;""),ROW(INDEX(Listado!A:A,2):INDEX(Listado!A:A,ROW()))),""))</f>
        <v/>
      </c>
      <c r="O943" s="17" t="str">
        <f>IFERROR(IF(N943="","",IF(INDEX(Listado!M:M,N943)="No",IF(INDEX(Listado!N:N,N943)=0,"",INDEX(Listado!N:N,N943)),IF(INDEX(Listado!I:I,N943)=0,"",INDEX(Listado!I:I,N943)))),"")</f>
        <v/>
      </c>
      <c r="P943" s="17">
        <f t="shared" ca="1" si="43"/>
        <v/>
      </c>
      <c r="Q943" s="17">
        <f>IFERROR(IF(AND(N943&lt;&gt;"",ISNUMBER(O943),O943&gt;0,O943&gt;=TODAY()-90),1,0),0)</f>
        <v/>
      </c>
      <c r="R943" s="17" t="str">
        <f t="shared" si="45"/>
        <v/>
      </c>
      <c r="S943" s="17" t="str">
        <f>IF(INDEX(Listado!A:A,ROW())="","",INDEX(Listado!A:A,ROW()))</f>
        <v/>
      </c>
      <c r="T943" s="17" t="str">
        <f ca="1">IF(INDEX(Listado!G:G,ROW())="","",INDEX(Listado!G:G,ROW()))</f>
        <v/>
      </c>
      <c r="U943" s="17" t="str">
        <f>IF(INDEX(Listado!F:F,ROW())="","",INDEX(Listado!F:F,ROW()))</f>
        <v/>
      </c>
      <c r="V943" s="17">
        <f>IF(COUNTA(INDEX(Listado!B:B,ROW()):INDEX(Listado!F:F,ROW()))&gt;0,1,0)</f>
        <v/>
      </c>
      <c r="W943" s="17" t="str">
        <f>IF(INDEX(Listado!L:L,ROW())="","",INDEX(Listado!L:L,ROW()))</f>
        <v/>
      </c>
      <c r="X943" s="17">
        <f>IF(N943="","",IF(INDEX(Listado!$M:$M,N943)="No","No","Sí"))</f>
        <v/>
      </c>
    </row>
    <row r="944" spans="2:24" ht="14.25">
      <c r="N944" s="17" t="str">
        <f>IF(V944=0,"",IFERROR(LOOKUP(2,1/(INDEX(Listado!A:A,2):INDEX(Listado!A:A,ROW())&lt;&gt;""),ROW(INDEX(Listado!A:A,2):INDEX(Listado!A:A,ROW()))),""))</f>
        <v/>
      </c>
      <c r="O944" s="17" t="str">
        <f>IFERROR(IF(N944="","",IF(INDEX(Listado!M:M,N944)="No",IF(INDEX(Listado!N:N,N944)=0,"",INDEX(Listado!N:N,N944)),IF(INDEX(Listado!I:I,N944)=0,"",INDEX(Listado!I:I,N944)))),"")</f>
        <v/>
      </c>
      <c r="P944" s="17">
        <f t="shared" ca="1" si="43"/>
        <v/>
      </c>
      <c r="Q944" s="17">
        <f>IFERROR(IF(AND(N944&lt;&gt;"",ISNUMBER(O944),O944&gt;0,O944&gt;=TODAY()-90),1,0),0)</f>
        <v/>
      </c>
      <c r="R944" s="17" t="str">
        <f t="shared" si="45"/>
        <v/>
      </c>
      <c r="S944" s="17" t="str">
        <f>IF(INDEX(Listado!A:A,ROW())="","",INDEX(Listado!A:A,ROW()))</f>
        <v/>
      </c>
      <c r="T944" s="17" t="str">
        <f ca="1">IF(INDEX(Listado!G:G,ROW())="","",INDEX(Listado!G:G,ROW()))</f>
        <v/>
      </c>
      <c r="U944" s="17" t="str">
        <f>IF(INDEX(Listado!F:F,ROW())="","",INDEX(Listado!F:F,ROW()))</f>
        <v/>
      </c>
      <c r="V944" s="17">
        <f>IF(COUNTA(INDEX(Listado!B:B,ROW()):INDEX(Listado!F:F,ROW()))&gt;0,1,0)</f>
        <v/>
      </c>
      <c r="W944" s="17" t="str">
        <f>IF(INDEX(Listado!L:L,ROW())="","",INDEX(Listado!L:L,ROW()))</f>
        <v/>
      </c>
      <c r="X944" s="17">
        <f>IF(N944="","",IF(INDEX(Listado!$M:$M,N944)="No","No","Sí"))</f>
        <v/>
      </c>
    </row>
    <row r="945" spans="2:24" ht="14.25">
      <c r="N945" s="17" t="str">
        <f>IF(V945=0,"",IFERROR(LOOKUP(2,1/(INDEX(Listado!A:A,2):INDEX(Listado!A:A,ROW())&lt;&gt;""),ROW(INDEX(Listado!A:A,2):INDEX(Listado!A:A,ROW()))),""))</f>
        <v/>
      </c>
      <c r="O945" s="17" t="str">
        <f>IFERROR(IF(N945="","",IF(INDEX(Listado!M:M,N945)="No",IF(INDEX(Listado!N:N,N945)=0,"",INDEX(Listado!N:N,N945)),IF(INDEX(Listado!I:I,N945)=0,"",INDEX(Listado!I:I,N945)))),"")</f>
        <v/>
      </c>
      <c r="P945" s="17">
        <f t="shared" ca="1" si="43"/>
        <v/>
      </c>
      <c r="Q945" s="17">
        <f>IFERROR(IF(AND(N945&lt;&gt;"",ISNUMBER(O945),O945&gt;0,O945&gt;=TODAY()-90),1,0),0)</f>
        <v/>
      </c>
      <c r="R945" s="17" t="str">
        <f t="shared" si="45"/>
        <v/>
      </c>
      <c r="S945" s="17" t="str">
        <f>IF(INDEX(Listado!A:A,ROW())="","",INDEX(Listado!A:A,ROW()))</f>
        <v/>
      </c>
      <c r="T945" s="17" t="str">
        <f ca="1">IF(INDEX(Listado!G:G,ROW())="","",INDEX(Listado!G:G,ROW()))</f>
        <v/>
      </c>
      <c r="U945" s="17" t="str">
        <f>IF(INDEX(Listado!F:F,ROW())="","",INDEX(Listado!F:F,ROW()))</f>
        <v/>
      </c>
      <c r="V945" s="17">
        <f>IF(COUNTA(INDEX(Listado!B:B,ROW()):INDEX(Listado!F:F,ROW()))&gt;0,1,0)</f>
        <v/>
      </c>
      <c r="W945" s="17" t="str">
        <f>IF(INDEX(Listado!L:L,ROW())="","",INDEX(Listado!L:L,ROW()))</f>
        <v/>
      </c>
      <c r="X945" s="17">
        <f>IF(N945="","",IF(INDEX(Listado!$M:$M,N945)="No","No","Sí"))</f>
        <v/>
      </c>
    </row>
    <row r="946" spans="2:24" ht="14.25">
      <c r="N946" s="17" t="str">
        <f>IF(V946=0,"",IFERROR(LOOKUP(2,1/(INDEX(Listado!A:A,2):INDEX(Listado!A:A,ROW())&lt;&gt;""),ROW(INDEX(Listado!A:A,2):INDEX(Listado!A:A,ROW()))),""))</f>
        <v/>
      </c>
      <c r="O946" s="17" t="str">
        <f>IFERROR(IF(N946="","",IF(INDEX(Listado!M:M,N946)="No",IF(INDEX(Listado!N:N,N946)=0,"",INDEX(Listado!N:N,N946)),IF(INDEX(Listado!I:I,N946)=0,"",INDEX(Listado!I:I,N946)))),"")</f>
        <v/>
      </c>
      <c r="P946" s="17">
        <f t="shared" ca="1" si="43"/>
        <v/>
      </c>
      <c r="Q946" s="17">
        <f>IFERROR(IF(AND(N946&lt;&gt;"",ISNUMBER(O946),O946&gt;0,O946&gt;=TODAY()-90),1,0),0)</f>
        <v/>
      </c>
      <c r="R946" s="17" t="str">
        <f t="shared" si="45"/>
        <v/>
      </c>
      <c r="S946" s="17" t="str">
        <f>IF(INDEX(Listado!A:A,ROW())="","",INDEX(Listado!A:A,ROW()))</f>
        <v/>
      </c>
      <c r="T946" s="17" t="str">
        <f ca="1">IF(INDEX(Listado!G:G,ROW())="","",INDEX(Listado!G:G,ROW()))</f>
        <v/>
      </c>
      <c r="U946" s="17" t="str">
        <f>IF(INDEX(Listado!F:F,ROW())="","",INDEX(Listado!F:F,ROW()))</f>
        <v/>
      </c>
      <c r="V946" s="17">
        <f>IF(COUNTA(INDEX(Listado!B:B,ROW()):INDEX(Listado!F:F,ROW()))&gt;0,1,0)</f>
        <v/>
      </c>
      <c r="W946" s="17" t="str">
        <f>IF(INDEX(Listado!L:L,ROW())="","",INDEX(Listado!L:L,ROW()))</f>
        <v/>
      </c>
      <c r="X946" s="17">
        <f>IF(N946="","",IF(INDEX(Listado!$M:$M,N946)="No","No","Sí"))</f>
        <v/>
      </c>
    </row>
    <row r="947" spans="2:24" ht="14.25">
      <c r="N947" s="17" t="str">
        <f>IF(V947=0,"",IFERROR(LOOKUP(2,1/(INDEX(Listado!A:A,2):INDEX(Listado!A:A,ROW())&lt;&gt;""),ROW(INDEX(Listado!A:A,2):INDEX(Listado!A:A,ROW()))),""))</f>
        <v/>
      </c>
      <c r="O947" s="17" t="str">
        <f>IFERROR(IF(N947="","",IF(INDEX(Listado!M:M,N947)="No",IF(INDEX(Listado!N:N,N947)=0,"",INDEX(Listado!N:N,N947)),IF(INDEX(Listado!I:I,N947)=0,"",INDEX(Listado!I:I,N947)))),"")</f>
        <v/>
      </c>
      <c r="P947" s="17">
        <f t="shared" ca="1" si="43"/>
        <v/>
      </c>
      <c r="Q947" s="17">
        <f>IFERROR(IF(AND(N947&lt;&gt;"",ISNUMBER(O947),O947&gt;0,O947&gt;=TODAY()-90),1,0),0)</f>
        <v/>
      </c>
      <c r="R947" s="17" t="str">
        <f t="shared" si="45"/>
        <v/>
      </c>
      <c r="S947" s="17" t="str">
        <f>IF(INDEX(Listado!A:A,ROW())="","",INDEX(Listado!A:A,ROW()))</f>
        <v/>
      </c>
      <c r="T947" s="17" t="str">
        <f ca="1">IF(INDEX(Listado!G:G,ROW())="","",INDEX(Listado!G:G,ROW()))</f>
        <v/>
      </c>
      <c r="U947" s="17" t="str">
        <f>IF(INDEX(Listado!F:F,ROW())="","",INDEX(Listado!F:F,ROW()))</f>
        <v/>
      </c>
      <c r="V947" s="17">
        <f>IF(COUNTA(INDEX(Listado!B:B,ROW()):INDEX(Listado!F:F,ROW()))&gt;0,1,0)</f>
        <v/>
      </c>
      <c r="W947" s="17" t="str">
        <f>IF(INDEX(Listado!L:L,ROW())="","",INDEX(Listado!L:L,ROW()))</f>
        <v/>
      </c>
      <c r="X947" s="17">
        <f>IF(N947="","",IF(INDEX(Listado!$M:$M,N947)="No","No","Sí"))</f>
        <v/>
      </c>
    </row>
    <row r="948" spans="2:24" ht="14.25">
      <c r="N948" s="17" t="str">
        <f>IF(V948=0,"",IFERROR(LOOKUP(2,1/(INDEX(Listado!A:A,2):INDEX(Listado!A:A,ROW())&lt;&gt;""),ROW(INDEX(Listado!A:A,2):INDEX(Listado!A:A,ROW()))),""))</f>
        <v/>
      </c>
      <c r="O948" s="17" t="str">
        <f>IFERROR(IF(N948="","",IF(INDEX(Listado!M:M,N948)="No",IF(INDEX(Listado!N:N,N948)=0,"",INDEX(Listado!N:N,N948)),IF(INDEX(Listado!I:I,N948)=0,"",INDEX(Listado!I:I,N948)))),"")</f>
        <v/>
      </c>
      <c r="P948" s="17">
        <f t="shared" ca="1" si="43"/>
        <v/>
      </c>
      <c r="Q948" s="17">
        <f>IFERROR(IF(AND(N948&lt;&gt;"",ISNUMBER(O948),O948&gt;0,O948&gt;=TODAY()-90),1,0),0)</f>
        <v/>
      </c>
      <c r="R948" s="17" t="str">
        <f t="shared" si="45"/>
        <v/>
      </c>
      <c r="S948" s="17" t="str">
        <f>IF(INDEX(Listado!A:A,ROW())="","",INDEX(Listado!A:A,ROW()))</f>
        <v/>
      </c>
      <c r="T948" s="17" t="str">
        <f ca="1">IF(INDEX(Listado!G:G,ROW())="","",INDEX(Listado!G:G,ROW()))</f>
        <v/>
      </c>
      <c r="U948" s="17" t="str">
        <f>IF(INDEX(Listado!F:F,ROW())="","",INDEX(Listado!F:F,ROW()))</f>
        <v/>
      </c>
      <c r="V948" s="17">
        <f>IF(COUNTA(INDEX(Listado!B:B,ROW()):INDEX(Listado!F:F,ROW()))&gt;0,1,0)</f>
        <v/>
      </c>
      <c r="W948" s="17" t="str">
        <f>IF(INDEX(Listado!L:L,ROW())="","",INDEX(Listado!L:L,ROW()))</f>
        <v/>
      </c>
      <c r="X948" s="17">
        <f>IF(N948="","",IF(INDEX(Listado!$M:$M,N948)="No","No","Sí"))</f>
        <v/>
      </c>
    </row>
    <row r="949" spans="2:24" ht="14.25">
      <c r="N949" s="17" t="str">
        <f>IF(V949=0,"",IFERROR(LOOKUP(2,1/(INDEX(Listado!A:A,2):INDEX(Listado!A:A,ROW())&lt;&gt;""),ROW(INDEX(Listado!A:A,2):INDEX(Listado!A:A,ROW()))),""))</f>
        <v/>
      </c>
      <c r="O949" s="17" t="str">
        <f>IFERROR(IF(N949="","",IF(INDEX(Listado!M:M,N949)="No",IF(INDEX(Listado!N:N,N949)=0,"",INDEX(Listado!N:N,N949)),IF(INDEX(Listado!I:I,N949)=0,"",INDEX(Listado!I:I,N949)))),"")</f>
        <v/>
      </c>
      <c r="P949" s="17">
        <f t="shared" ca="1" si="43"/>
        <v/>
      </c>
      <c r="Q949" s="17">
        <f>IFERROR(IF(AND(N949&lt;&gt;"",ISNUMBER(O949),O949&gt;0,O949&gt;=TODAY()-90),1,0),0)</f>
        <v/>
      </c>
      <c r="R949" s="17" t="str">
        <f t="shared" si="45"/>
        <v/>
      </c>
      <c r="S949" s="17" t="str">
        <f>IF(INDEX(Listado!A:A,ROW())="","",INDEX(Listado!A:A,ROW()))</f>
        <v/>
      </c>
      <c r="T949" s="17" t="str">
        <f ca="1">IF(INDEX(Listado!G:G,ROW())="","",INDEX(Listado!G:G,ROW()))</f>
        <v/>
      </c>
      <c r="U949" s="17" t="str">
        <f>IF(INDEX(Listado!F:F,ROW())="","",INDEX(Listado!F:F,ROW()))</f>
        <v/>
      </c>
      <c r="V949" s="17">
        <f>IF(COUNTA(INDEX(Listado!B:B,ROW()):INDEX(Listado!F:F,ROW()))&gt;0,1,0)</f>
        <v/>
      </c>
      <c r="W949" s="17" t="str">
        <f>IF(INDEX(Listado!L:L,ROW())="","",INDEX(Listado!L:L,ROW()))</f>
        <v/>
      </c>
      <c r="X949" s="17">
        <f>IF(N949="","",IF(INDEX(Listado!$M:$M,N949)="No","No","Sí"))</f>
        <v/>
      </c>
    </row>
    <row r="950" spans="2:24" ht="14.25">
      <c r="N950" s="17" t="str">
        <f>IF(V950=0,"",IFERROR(LOOKUP(2,1/(INDEX(Listado!A:A,2):INDEX(Listado!A:A,ROW())&lt;&gt;""),ROW(INDEX(Listado!A:A,2):INDEX(Listado!A:A,ROW()))),""))</f>
        <v/>
      </c>
      <c r="O950" s="17" t="str">
        <f>IFERROR(IF(N950="","",IF(INDEX(Listado!M:M,N950)="No",IF(INDEX(Listado!N:N,N950)=0,"",INDEX(Listado!N:N,N950)),IF(INDEX(Listado!I:I,N950)=0,"",INDEX(Listado!I:I,N950)))),"")</f>
        <v/>
      </c>
      <c r="P950" s="17">
        <f t="shared" ca="1" si="43"/>
        <v/>
      </c>
      <c r="Q950" s="17">
        <f>IFERROR(IF(AND(N950&lt;&gt;"",ISNUMBER(O950),O950&gt;0,O950&gt;=TODAY()-90),1,0),0)</f>
        <v/>
      </c>
      <c r="R950" s="17" t="str">
        <f t="shared" si="45"/>
        <v/>
      </c>
      <c r="S950" s="17" t="str">
        <f>IF(INDEX(Listado!A:A,ROW())="","",INDEX(Listado!A:A,ROW()))</f>
        <v/>
      </c>
      <c r="T950" s="17" t="str">
        <f ca="1">IF(INDEX(Listado!G:G,ROW())="","",INDEX(Listado!G:G,ROW()))</f>
        <v/>
      </c>
      <c r="U950" s="17" t="str">
        <f>IF(INDEX(Listado!F:F,ROW())="","",INDEX(Listado!F:F,ROW()))</f>
        <v/>
      </c>
      <c r="V950" s="17">
        <f>IF(COUNTA(INDEX(Listado!B:B,ROW()):INDEX(Listado!F:F,ROW()))&gt;0,1,0)</f>
        <v/>
      </c>
      <c r="W950" s="17" t="str">
        <f>IF(INDEX(Listado!L:L,ROW())="","",INDEX(Listado!L:L,ROW()))</f>
        <v/>
      </c>
      <c r="X950" s="17">
        <f>IF(N950="","",IF(INDEX(Listado!$M:$M,N950)="No","No","Sí"))</f>
        <v/>
      </c>
    </row>
    <row r="951" spans="2:24" ht="14.25">
      <c r="N951" s="17" t="str">
        <f>IF(V951=0,"",IFERROR(LOOKUP(2,1/(INDEX(Listado!A:A,2):INDEX(Listado!A:A,ROW())&lt;&gt;""),ROW(INDEX(Listado!A:A,2):INDEX(Listado!A:A,ROW()))),""))</f>
        <v/>
      </c>
      <c r="O951" s="17" t="str">
        <f>IFERROR(IF(N951="","",IF(INDEX(Listado!M:M,N951)="No",IF(INDEX(Listado!N:N,N951)=0,"",INDEX(Listado!N:N,N951)),IF(INDEX(Listado!I:I,N951)=0,"",INDEX(Listado!I:I,N951)))),"")</f>
        <v/>
      </c>
      <c r="P951" s="17">
        <f t="shared" ca="1" si="43"/>
        <v/>
      </c>
      <c r="Q951" s="17">
        <f>IFERROR(IF(AND(N951&lt;&gt;"",ISNUMBER(O951),O951&gt;0,O951&gt;=TODAY()-90),1,0),0)</f>
        <v/>
      </c>
      <c r="R951" s="17" t="str">
        <f t="shared" si="45"/>
        <v/>
      </c>
      <c r="S951" s="17" t="str">
        <f>IF(INDEX(Listado!A:A,ROW())="","",INDEX(Listado!A:A,ROW()))</f>
        <v/>
      </c>
      <c r="T951" s="17" t="str">
        <f ca="1">IF(INDEX(Listado!G:G,ROW())="","",INDEX(Listado!G:G,ROW()))</f>
        <v/>
      </c>
      <c r="U951" s="17" t="str">
        <f>IF(INDEX(Listado!F:F,ROW())="","",INDEX(Listado!F:F,ROW()))</f>
        <v/>
      </c>
      <c r="V951" s="17">
        <f>IF(COUNTA(INDEX(Listado!B:B,ROW()):INDEX(Listado!F:F,ROW()))&gt;0,1,0)</f>
        <v/>
      </c>
      <c r="W951" s="17" t="str">
        <f>IF(INDEX(Listado!L:L,ROW())="","",INDEX(Listado!L:L,ROW()))</f>
        <v/>
      </c>
      <c r="X951" s="17">
        <f>IF(N951="","",IF(INDEX(Listado!$M:$M,N951)="No","No","Sí"))</f>
        <v/>
      </c>
    </row>
    <row r="952" spans="2:24" ht="14.25">
      <c r="N952" s="17" t="str">
        <f>IF(V952=0,"",IFERROR(LOOKUP(2,1/(INDEX(Listado!A:A,2):INDEX(Listado!A:A,ROW())&lt;&gt;""),ROW(INDEX(Listado!A:A,2):INDEX(Listado!A:A,ROW()))),""))</f>
        <v/>
      </c>
      <c r="O952" s="17" t="str">
        <f>IFERROR(IF(N952="","",IF(INDEX(Listado!M:M,N952)="No",IF(INDEX(Listado!N:N,N952)=0,"",INDEX(Listado!N:N,N952)),IF(INDEX(Listado!I:I,N952)=0,"",INDEX(Listado!I:I,N952)))),"")</f>
        <v/>
      </c>
      <c r="P952" s="17">
        <f t="shared" ca="1" si="43"/>
        <v/>
      </c>
      <c r="Q952" s="17">
        <f>IFERROR(IF(AND(N952&lt;&gt;"",ISNUMBER(O952),O952&gt;0,O952&gt;=TODAY()-90),1,0),0)</f>
        <v/>
      </c>
      <c r="R952" s="17" t="str">
        <f t="shared" si="45"/>
        <v/>
      </c>
      <c r="S952" s="17" t="str">
        <f>IF(INDEX(Listado!A:A,ROW())="","",INDEX(Listado!A:A,ROW()))</f>
        <v/>
      </c>
      <c r="T952" s="17" t="str">
        <f ca="1">IF(INDEX(Listado!G:G,ROW())="","",INDEX(Listado!G:G,ROW()))</f>
        <v/>
      </c>
      <c r="U952" s="17" t="str">
        <f>IF(INDEX(Listado!F:F,ROW())="","",INDEX(Listado!F:F,ROW()))</f>
        <v/>
      </c>
      <c r="V952" s="17">
        <f>IF(COUNTA(INDEX(Listado!B:B,ROW()):INDEX(Listado!F:F,ROW()))&gt;0,1,0)</f>
        <v/>
      </c>
      <c r="W952" s="17" t="str">
        <f>IF(INDEX(Listado!L:L,ROW())="","",INDEX(Listado!L:L,ROW()))</f>
        <v/>
      </c>
      <c r="X952" s="17">
        <f>IF(N952="","",IF(INDEX(Listado!$M:$M,N952)="No","No","Sí"))</f>
        <v/>
      </c>
    </row>
    <row r="953" spans="2:24" ht="14.25">
      <c r="N953" s="17" t="str">
        <f>IF(V953=0,"",IFERROR(LOOKUP(2,1/(INDEX(Listado!A:A,2):INDEX(Listado!A:A,ROW())&lt;&gt;""),ROW(INDEX(Listado!A:A,2):INDEX(Listado!A:A,ROW()))),""))</f>
        <v/>
      </c>
      <c r="O953" s="17" t="str">
        <f>IFERROR(IF(N953="","",IF(INDEX(Listado!M:M,N953)="No",IF(INDEX(Listado!N:N,N953)=0,"",INDEX(Listado!N:N,N953)),IF(INDEX(Listado!I:I,N953)=0,"",INDEX(Listado!I:I,N953)))),"")</f>
        <v/>
      </c>
      <c r="P953" s="17">
        <f t="shared" ca="1" si="43"/>
        <v/>
      </c>
      <c r="Q953" s="17">
        <f>IFERROR(IF(AND(N953&lt;&gt;"",ISNUMBER(O953),O953&gt;0,O953&gt;=TODAY()-90),1,0),0)</f>
        <v/>
      </c>
      <c r="R953" s="17" t="str">
        <f t="shared" si="45"/>
        <v/>
      </c>
      <c r="S953" s="17" t="str">
        <f>IF(INDEX(Listado!A:A,ROW())="","",INDEX(Listado!A:A,ROW()))</f>
        <v/>
      </c>
      <c r="T953" s="17" t="str">
        <f ca="1">IF(INDEX(Listado!G:G,ROW())="","",INDEX(Listado!G:G,ROW()))</f>
        <v/>
      </c>
      <c r="U953" s="17" t="str">
        <f>IF(INDEX(Listado!F:F,ROW())="","",INDEX(Listado!F:F,ROW()))</f>
        <v/>
      </c>
      <c r="V953" s="17">
        <f>IF(COUNTA(INDEX(Listado!B:B,ROW()):INDEX(Listado!F:F,ROW()))&gt;0,1,0)</f>
        <v/>
      </c>
      <c r="W953" s="17" t="str">
        <f>IF(INDEX(Listado!L:L,ROW())="","",INDEX(Listado!L:L,ROW()))</f>
        <v/>
      </c>
      <c r="X953" s="17">
        <f>IF(N953="","",IF(INDEX(Listado!$M:$M,N953)="No","No","Sí"))</f>
        <v/>
      </c>
    </row>
    <row r="954" spans="2:24" ht="14.25">
      <c r="N954" s="17" t="str">
        <f>IF(V954=0,"",IFERROR(LOOKUP(2,1/(INDEX(Listado!A:A,2):INDEX(Listado!A:A,ROW())&lt;&gt;""),ROW(INDEX(Listado!A:A,2):INDEX(Listado!A:A,ROW()))),""))</f>
        <v/>
      </c>
      <c r="O954" s="17" t="str">
        <f>IFERROR(IF(N954="","",IF(INDEX(Listado!M:M,N954)="No",IF(INDEX(Listado!N:N,N954)=0,"",INDEX(Listado!N:N,N954)),IF(INDEX(Listado!I:I,N954)=0,"",INDEX(Listado!I:I,N954)))),"")</f>
        <v/>
      </c>
      <c r="P954" s="17">
        <f t="shared" ca="1" si="43"/>
        <v/>
      </c>
      <c r="Q954" s="17">
        <f>IFERROR(IF(AND(N954&lt;&gt;"",ISNUMBER(O954),O954&gt;0,O954&gt;=TODAY()-90),1,0),0)</f>
        <v/>
      </c>
      <c r="R954" s="17" t="str">
        <f t="shared" si="45"/>
        <v/>
      </c>
      <c r="S954" s="17" t="str">
        <f>IF(INDEX(Listado!A:A,ROW())="","",INDEX(Listado!A:A,ROW()))</f>
        <v/>
      </c>
      <c r="T954" s="17" t="str">
        <f ca="1">IF(INDEX(Listado!G:G,ROW())="","",INDEX(Listado!G:G,ROW()))</f>
        <v/>
      </c>
      <c r="U954" s="17" t="str">
        <f>IF(INDEX(Listado!F:F,ROW())="","",INDEX(Listado!F:F,ROW()))</f>
        <v/>
      </c>
      <c r="V954" s="17">
        <f>IF(COUNTA(INDEX(Listado!B:B,ROW()):INDEX(Listado!F:F,ROW()))&gt;0,1,0)</f>
        <v/>
      </c>
      <c r="W954" s="17" t="str">
        <f>IF(INDEX(Listado!L:L,ROW())="","",INDEX(Listado!L:L,ROW()))</f>
        <v/>
      </c>
      <c r="X954" s="17">
        <f>IF(N954="","",IF(INDEX(Listado!$M:$M,N954)="No","No","Sí"))</f>
        <v/>
      </c>
    </row>
    <row r="955" spans="2:24" ht="14.25">
      <c r="N955" s="17" t="str">
        <f>IF(V955=0,"",IFERROR(LOOKUP(2,1/(INDEX(Listado!A:A,2):INDEX(Listado!A:A,ROW())&lt;&gt;""),ROW(INDEX(Listado!A:A,2):INDEX(Listado!A:A,ROW()))),""))</f>
        <v/>
      </c>
      <c r="O955" s="17" t="str">
        <f>IFERROR(IF(N955="","",IF(INDEX(Listado!M:M,N955)="No",IF(INDEX(Listado!N:N,N955)=0,"",INDEX(Listado!N:N,N955)),IF(INDEX(Listado!I:I,N955)=0,"",INDEX(Listado!I:I,N955)))),"")</f>
        <v/>
      </c>
      <c r="P955" s="17">
        <f t="shared" ca="1" si="43"/>
        <v/>
      </c>
      <c r="Q955" s="17">
        <f>IFERROR(IF(AND(N955&lt;&gt;"",ISNUMBER(O955),O955&gt;0,O955&gt;=TODAY()-90),1,0),0)</f>
        <v/>
      </c>
      <c r="R955" s="17" t="str">
        <f t="shared" si="45"/>
        <v/>
      </c>
      <c r="S955" s="17" t="str">
        <f>IF(INDEX(Listado!A:A,ROW())="","",INDEX(Listado!A:A,ROW()))</f>
        <v/>
      </c>
      <c r="T955" s="17" t="str">
        <f ca="1">IF(INDEX(Listado!G:G,ROW())="","",INDEX(Listado!G:G,ROW()))</f>
        <v/>
      </c>
      <c r="U955" s="17" t="str">
        <f>IF(INDEX(Listado!F:F,ROW())="","",INDEX(Listado!F:F,ROW()))</f>
        <v/>
      </c>
      <c r="V955" s="17">
        <f>IF(COUNTA(INDEX(Listado!B:B,ROW()):INDEX(Listado!F:F,ROW()))&gt;0,1,0)</f>
        <v/>
      </c>
      <c r="W955" s="17" t="str">
        <f>IF(INDEX(Listado!L:L,ROW())="","",INDEX(Listado!L:L,ROW()))</f>
        <v/>
      </c>
      <c r="X955" s="17">
        <f>IF(N955="","",IF(INDEX(Listado!$M:$M,N955)="No","No","Sí"))</f>
        <v/>
      </c>
    </row>
    <row r="956" spans="2:24" ht="14.25">
      <c r="N956" s="17" t="str">
        <f>IF(V956=0,"",IFERROR(LOOKUP(2,1/(INDEX(Listado!A:A,2):INDEX(Listado!A:A,ROW())&lt;&gt;""),ROW(INDEX(Listado!A:A,2):INDEX(Listado!A:A,ROW()))),""))</f>
        <v/>
      </c>
      <c r="O956" s="17" t="str">
        <f>IFERROR(IF(N956="","",IF(INDEX(Listado!M:M,N956)="No",IF(INDEX(Listado!N:N,N956)=0,"",INDEX(Listado!N:N,N956)),IF(INDEX(Listado!I:I,N956)=0,"",INDEX(Listado!I:I,N956)))),"")</f>
        <v/>
      </c>
      <c r="P956" s="17">
        <f t="shared" ca="1" si="43"/>
        <v/>
      </c>
      <c r="Q956" s="17">
        <f>IFERROR(IF(AND(N956&lt;&gt;"",ISNUMBER(O956),O956&gt;0,O956&gt;=TODAY()-90),1,0),0)</f>
        <v/>
      </c>
      <c r="R956" s="17" t="str">
        <f t="shared" si="45"/>
        <v/>
      </c>
      <c r="S956" s="17" t="str">
        <f>IF(INDEX(Listado!A:A,ROW())="","",INDEX(Listado!A:A,ROW()))</f>
        <v/>
      </c>
      <c r="T956" s="17" t="str">
        <f ca="1">IF(INDEX(Listado!G:G,ROW())="","",INDEX(Listado!G:G,ROW()))</f>
        <v/>
      </c>
      <c r="U956" s="17" t="str">
        <f>IF(INDEX(Listado!F:F,ROW())="","",INDEX(Listado!F:F,ROW()))</f>
        <v/>
      </c>
      <c r="V956" s="17">
        <f>IF(COUNTA(INDEX(Listado!B:B,ROW()):INDEX(Listado!F:F,ROW()))&gt;0,1,0)</f>
        <v/>
      </c>
      <c r="W956" s="17" t="str">
        <f>IF(INDEX(Listado!L:L,ROW())="","",INDEX(Listado!L:L,ROW()))</f>
        <v/>
      </c>
      <c r="X956" s="17">
        <f>IF(N956="","",IF(INDEX(Listado!$M:$M,N956)="No","No","Sí"))</f>
        <v/>
      </c>
    </row>
    <row r="957" spans="2:24" ht="14.25">
      <c r="N957" s="17" t="str">
        <f>IF(V957=0,"",IFERROR(LOOKUP(2,1/(INDEX(Listado!A:A,2):INDEX(Listado!A:A,ROW())&lt;&gt;""),ROW(INDEX(Listado!A:A,2):INDEX(Listado!A:A,ROW()))),""))</f>
        <v/>
      </c>
      <c r="O957" s="17" t="str">
        <f>IFERROR(IF(N957="","",IF(INDEX(Listado!M:M,N957)="No",IF(INDEX(Listado!N:N,N957)=0,"",INDEX(Listado!N:N,N957)),IF(INDEX(Listado!I:I,N957)=0,"",INDEX(Listado!I:I,N957)))),"")</f>
        <v/>
      </c>
      <c r="P957" s="17">
        <f t="shared" ca="1" si="43"/>
        <v/>
      </c>
      <c r="Q957" s="17">
        <f>IFERROR(IF(AND(N957&lt;&gt;"",ISNUMBER(O957),O957&gt;0,O957&gt;=TODAY()-90),1,0),0)</f>
        <v/>
      </c>
      <c r="R957" s="17" t="str">
        <f t="shared" si="45"/>
        <v/>
      </c>
      <c r="S957" s="17" t="str">
        <f>IF(INDEX(Listado!A:A,ROW())="","",INDEX(Listado!A:A,ROW()))</f>
        <v/>
      </c>
      <c r="T957" s="17" t="str">
        <f ca="1">IF(INDEX(Listado!G:G,ROW())="","",INDEX(Listado!G:G,ROW()))</f>
        <v/>
      </c>
      <c r="U957" s="17" t="str">
        <f>IF(INDEX(Listado!F:F,ROW())="","",INDEX(Listado!F:F,ROW()))</f>
        <v/>
      </c>
      <c r="V957" s="17">
        <f>IF(COUNTA(INDEX(Listado!B:B,ROW()):INDEX(Listado!F:F,ROW()))&gt;0,1,0)</f>
        <v/>
      </c>
      <c r="W957" s="17" t="str">
        <f>IF(INDEX(Listado!L:L,ROW())="","",INDEX(Listado!L:L,ROW()))</f>
        <v/>
      </c>
      <c r="X957" s="17">
        <f>IF(N957="","",IF(INDEX(Listado!$M:$M,N957)="No","No","Sí"))</f>
        <v/>
      </c>
    </row>
    <row r="958" spans="2:24" ht="14.25">
      <c r="N958" s="17" t="str">
        <f>IF(V958=0,"",IFERROR(LOOKUP(2,1/(INDEX(Listado!A:A,2):INDEX(Listado!A:A,ROW())&lt;&gt;""),ROW(INDEX(Listado!A:A,2):INDEX(Listado!A:A,ROW()))),""))</f>
        <v/>
      </c>
      <c r="O958" s="17" t="str">
        <f>IFERROR(IF(N958="","",IF(INDEX(Listado!M:M,N958)="No",IF(INDEX(Listado!N:N,N958)=0,"",INDEX(Listado!N:N,N958)),IF(INDEX(Listado!I:I,N958)=0,"",INDEX(Listado!I:I,N958)))),"")</f>
        <v/>
      </c>
      <c r="P958" s="17">
        <f t="shared" ca="1" si="43"/>
        <v/>
      </c>
      <c r="Q958" s="17">
        <f>IFERROR(IF(AND(N958&lt;&gt;"",ISNUMBER(O958),O958&gt;0,O958&gt;=TODAY()-90),1,0),0)</f>
        <v/>
      </c>
      <c r="R958" s="17" t="str">
        <f t="shared" si="45"/>
        <v/>
      </c>
      <c r="S958" s="17" t="str">
        <f>IF(INDEX(Listado!A:A,ROW())="","",INDEX(Listado!A:A,ROW()))</f>
        <v/>
      </c>
      <c r="T958" s="17" t="str">
        <f ca="1">IF(INDEX(Listado!G:G,ROW())="","",INDEX(Listado!G:G,ROW()))</f>
        <v/>
      </c>
      <c r="U958" s="17" t="str">
        <f>IF(INDEX(Listado!F:F,ROW())="","",INDEX(Listado!F:F,ROW()))</f>
        <v/>
      </c>
      <c r="V958" s="17">
        <f>IF(COUNTA(INDEX(Listado!B:B,ROW()):INDEX(Listado!F:F,ROW()))&gt;0,1,0)</f>
        <v/>
      </c>
      <c r="W958" s="17" t="str">
        <f>IF(INDEX(Listado!L:L,ROW())="","",INDEX(Listado!L:L,ROW()))</f>
        <v/>
      </c>
      <c r="X958" s="17">
        <f>IF(N958="","",IF(INDEX(Listado!$M:$M,N958)="No","No","Sí"))</f>
        <v/>
      </c>
    </row>
    <row r="959" spans="2:24" ht="14.25">
      <c r="N959" s="17" t="str">
        <f>IF(V959=0,"",IFERROR(LOOKUP(2,1/(INDEX(Listado!A:A,2):INDEX(Listado!A:A,ROW())&lt;&gt;""),ROW(INDEX(Listado!A:A,2):INDEX(Listado!A:A,ROW()))),""))</f>
        <v/>
      </c>
      <c r="O959" s="17" t="str">
        <f>IFERROR(IF(N959="","",IF(INDEX(Listado!M:M,N959)="No",IF(INDEX(Listado!N:N,N959)=0,"",INDEX(Listado!N:N,N959)),IF(INDEX(Listado!I:I,N959)=0,"",INDEX(Listado!I:I,N959)))),"")</f>
        <v/>
      </c>
      <c r="P959" s="17">
        <f t="shared" ca="1" si="43"/>
        <v/>
      </c>
      <c r="Q959" s="17">
        <f>IFERROR(IF(AND(N959&lt;&gt;"",ISNUMBER(O959),O959&gt;0,O959&gt;=TODAY()-90),1,0),0)</f>
        <v/>
      </c>
      <c r="R959" s="17" t="str">
        <f t="shared" si="45"/>
        <v/>
      </c>
      <c r="S959" s="17" t="str">
        <f>IF(INDEX(Listado!A:A,ROW())="","",INDEX(Listado!A:A,ROW()))</f>
        <v/>
      </c>
      <c r="T959" s="17" t="str">
        <f ca="1">IF(INDEX(Listado!G:G,ROW())="","",INDEX(Listado!G:G,ROW()))</f>
        <v/>
      </c>
      <c r="U959" s="17" t="str">
        <f>IF(INDEX(Listado!F:F,ROW())="","",INDEX(Listado!F:F,ROW()))</f>
        <v/>
      </c>
      <c r="V959" s="17">
        <f>IF(COUNTA(INDEX(Listado!B:B,ROW()):INDEX(Listado!F:F,ROW()))&gt;0,1,0)</f>
        <v/>
      </c>
      <c r="W959" s="17" t="str">
        <f>IF(INDEX(Listado!L:L,ROW())="","",INDEX(Listado!L:L,ROW()))</f>
        <v/>
      </c>
      <c r="X959" s="17">
        <f>IF(N959="","",IF(INDEX(Listado!$M:$M,N959)="No","No","Sí"))</f>
        <v/>
      </c>
    </row>
    <row r="960" spans="2:24" ht="14.25">
      <c r="N960" s="17" t="str">
        <f>IF(V960=0,"",IFERROR(LOOKUP(2,1/(INDEX(Listado!A:A,2):INDEX(Listado!A:A,ROW())&lt;&gt;""),ROW(INDEX(Listado!A:A,2):INDEX(Listado!A:A,ROW()))),""))</f>
        <v/>
      </c>
      <c r="O960" s="17" t="str">
        <f>IFERROR(IF(N960="","",IF(INDEX(Listado!M:M,N960)="No",IF(INDEX(Listado!N:N,N960)=0,"",INDEX(Listado!N:N,N960)),IF(INDEX(Listado!I:I,N960)=0,"",INDEX(Listado!I:I,N960)))),"")</f>
        <v/>
      </c>
      <c r="P960" s="17">
        <f t="shared" ca="1" si="43"/>
        <v/>
      </c>
      <c r="Q960" s="17">
        <f>IFERROR(IF(AND(N960&lt;&gt;"",ISNUMBER(O960),O960&gt;0,O960&gt;=TODAY()-90),1,0),0)</f>
        <v/>
      </c>
      <c r="R960" s="17" t="str">
        <f t="shared" si="45"/>
        <v/>
      </c>
      <c r="S960" s="17" t="str">
        <f>IF(INDEX(Listado!A:A,ROW())="","",INDEX(Listado!A:A,ROW()))</f>
        <v/>
      </c>
      <c r="T960" s="17" t="str">
        <f ca="1">IF(INDEX(Listado!G:G,ROW())="","",INDEX(Listado!G:G,ROW()))</f>
        <v/>
      </c>
      <c r="U960" s="17" t="str">
        <f>IF(INDEX(Listado!F:F,ROW())="","",INDEX(Listado!F:F,ROW()))</f>
        <v/>
      </c>
      <c r="V960" s="17">
        <f>IF(COUNTA(INDEX(Listado!B:B,ROW()):INDEX(Listado!F:F,ROW()))&gt;0,1,0)</f>
        <v/>
      </c>
      <c r="W960" s="17" t="str">
        <f>IF(INDEX(Listado!L:L,ROW())="","",INDEX(Listado!L:L,ROW()))</f>
        <v/>
      </c>
      <c r="X960" s="17">
        <f>IF(N960="","",IF(INDEX(Listado!$M:$M,N960)="No","No","Sí"))</f>
        <v/>
      </c>
    </row>
    <row r="961" spans="2:24" ht="14.25">
      <c r="N961" s="17" t="str">
        <f>IF(V961=0,"",IFERROR(LOOKUP(2,1/(INDEX(Listado!A:A,2):INDEX(Listado!A:A,ROW())&lt;&gt;""),ROW(INDEX(Listado!A:A,2):INDEX(Listado!A:A,ROW()))),""))</f>
        <v/>
      </c>
      <c r="O961" s="17" t="str">
        <f>IFERROR(IF(N961="","",IF(INDEX(Listado!M:M,N961)="No",IF(INDEX(Listado!N:N,N961)=0,"",INDEX(Listado!N:N,N961)),IF(INDEX(Listado!I:I,N961)=0,"",INDEX(Listado!I:I,N961)))),"")</f>
        <v/>
      </c>
      <c r="P961" s="17">
        <f t="shared" ca="1" si="43"/>
        <v/>
      </c>
      <c r="Q961" s="17">
        <f>IFERROR(IF(AND(N961&lt;&gt;"",ISNUMBER(O961),O961&gt;0,O961&gt;=TODAY()-90),1,0),0)</f>
        <v/>
      </c>
      <c r="R961" s="17" t="str">
        <f t="shared" si="45"/>
        <v/>
      </c>
      <c r="S961" s="17" t="str">
        <f>IF(INDEX(Listado!A:A,ROW())="","",INDEX(Listado!A:A,ROW()))</f>
        <v/>
      </c>
      <c r="T961" s="17" t="str">
        <f ca="1">IF(INDEX(Listado!G:G,ROW())="","",INDEX(Listado!G:G,ROW()))</f>
        <v/>
      </c>
      <c r="U961" s="17" t="str">
        <f>IF(INDEX(Listado!F:F,ROW())="","",INDEX(Listado!F:F,ROW()))</f>
        <v/>
      </c>
      <c r="V961" s="17">
        <f>IF(COUNTA(INDEX(Listado!B:B,ROW()):INDEX(Listado!F:F,ROW()))&gt;0,1,0)</f>
        <v/>
      </c>
      <c r="W961" s="17" t="str">
        <f>IF(INDEX(Listado!L:L,ROW())="","",INDEX(Listado!L:L,ROW()))</f>
        <v/>
      </c>
      <c r="X961" s="17">
        <f>IF(N961="","",IF(INDEX(Listado!$M:$M,N961)="No","No","Sí"))</f>
        <v/>
      </c>
    </row>
    <row r="962" spans="2:24" ht="14.25">
      <c r="N962" s="17" t="str">
        <f>IF(V962=0,"",IFERROR(LOOKUP(2,1/(INDEX(Listado!A:A,2):INDEX(Listado!A:A,ROW())&lt;&gt;""),ROW(INDEX(Listado!A:A,2):INDEX(Listado!A:A,ROW()))),""))</f>
        <v/>
      </c>
      <c r="O962" s="17" t="str">
        <f>IFERROR(IF(N962="","",IF(INDEX(Listado!M:M,N962)="No",IF(INDEX(Listado!N:N,N962)=0,"",INDEX(Listado!N:N,N962)),IF(INDEX(Listado!I:I,N962)=0,"",INDEX(Listado!I:I,N962)))),"")</f>
        <v/>
      </c>
      <c r="P962" s="17">
        <f t="shared" ref="P962:P1025" ca="1" si="46">IF(W962="",0,IFERROR(IF(AND(ISNUMBER(W962),W962=INT(W962),ISNUMBER(O962),O962&gt;0,W962&gt;=TODAY(),W962&lt;=O962+90),0,1),1))</f>
        <v/>
      </c>
      <c r="Q962" s="17">
        <f>IFERROR(IF(AND(N962&lt;&gt;"",ISNUMBER(O962),O962&gt;0,O962&gt;=TODAY()-90),1,0),0)</f>
        <v/>
      </c>
      <c r="R962" s="17" t="str">
        <f t="shared" ref="R962:R1025" si="48">IF(S962="","",COUNTIFS($N$2:$N$2999,ROW(),$Q$2:$Q$2999,1))</f>
        <v/>
      </c>
      <c r="S962" s="17" t="str">
        <f>IF(INDEX(Listado!A:A,ROW())="","",INDEX(Listado!A:A,ROW()))</f>
        <v/>
      </c>
      <c r="T962" s="17" t="str">
        <f ca="1">IF(INDEX(Listado!G:G,ROW())="","",INDEX(Listado!G:G,ROW()))</f>
        <v/>
      </c>
      <c r="U962" s="17" t="str">
        <f>IF(INDEX(Listado!F:F,ROW())="","",INDEX(Listado!F:F,ROW()))</f>
        <v/>
      </c>
      <c r="V962" s="17">
        <f>IF(COUNTA(INDEX(Listado!B:B,ROW()):INDEX(Listado!F:F,ROW()))&gt;0,1,0)</f>
        <v/>
      </c>
      <c r="W962" s="17" t="str">
        <f>IF(INDEX(Listado!L:L,ROW())="","",INDEX(Listado!L:L,ROW()))</f>
        <v/>
      </c>
      <c r="X962" s="17">
        <f>IF(N962="","",IF(INDEX(Listado!$M:$M,N962)="No","No","Sí"))</f>
        <v/>
      </c>
    </row>
    <row r="963" spans="2:24" ht="14.25">
      <c r="N963" s="17" t="str">
        <f>IF(V963=0,"",IFERROR(LOOKUP(2,1/(INDEX(Listado!A:A,2):INDEX(Listado!A:A,ROW())&lt;&gt;""),ROW(INDEX(Listado!A:A,2):INDEX(Listado!A:A,ROW()))),""))</f>
        <v/>
      </c>
      <c r="O963" s="17" t="str">
        <f>IFERROR(IF(N963="","",IF(INDEX(Listado!M:M,N963)="No",IF(INDEX(Listado!N:N,N963)=0,"",INDEX(Listado!N:N,N963)),IF(INDEX(Listado!I:I,N963)=0,"",INDEX(Listado!I:I,N963)))),"")</f>
        <v/>
      </c>
      <c r="P963" s="17">
        <f t="shared" ca="1" si="46"/>
        <v/>
      </c>
      <c r="Q963" s="17">
        <f>IFERROR(IF(AND(N963&lt;&gt;"",ISNUMBER(O963),O963&gt;0,O963&gt;=TODAY()-90),1,0),0)</f>
        <v/>
      </c>
      <c r="R963" s="17" t="str">
        <f t="shared" si="48"/>
        <v/>
      </c>
      <c r="S963" s="17" t="str">
        <f>IF(INDEX(Listado!A:A,ROW())="","",INDEX(Listado!A:A,ROW()))</f>
        <v/>
      </c>
      <c r="T963" s="17" t="str">
        <f ca="1">IF(INDEX(Listado!G:G,ROW())="","",INDEX(Listado!G:G,ROW()))</f>
        <v/>
      </c>
      <c r="U963" s="17" t="str">
        <f>IF(INDEX(Listado!F:F,ROW())="","",INDEX(Listado!F:F,ROW()))</f>
        <v/>
      </c>
      <c r="V963" s="17">
        <f>IF(COUNTA(INDEX(Listado!B:B,ROW()):INDEX(Listado!F:F,ROW()))&gt;0,1,0)</f>
        <v/>
      </c>
      <c r="W963" s="17" t="str">
        <f>IF(INDEX(Listado!L:L,ROW())="","",INDEX(Listado!L:L,ROW()))</f>
        <v/>
      </c>
      <c r="X963" s="17">
        <f>IF(N963="","",IF(INDEX(Listado!$M:$M,N963)="No","No","Sí"))</f>
        <v/>
      </c>
    </row>
    <row r="964" spans="2:24" ht="14.25">
      <c r="N964" s="17" t="str">
        <f>IF(V964=0,"",IFERROR(LOOKUP(2,1/(INDEX(Listado!A:A,2):INDEX(Listado!A:A,ROW())&lt;&gt;""),ROW(INDEX(Listado!A:A,2):INDEX(Listado!A:A,ROW()))),""))</f>
        <v/>
      </c>
      <c r="O964" s="17" t="str">
        <f>IFERROR(IF(N964="","",IF(INDEX(Listado!M:M,N964)="No",IF(INDEX(Listado!N:N,N964)=0,"",INDEX(Listado!N:N,N964)),IF(INDEX(Listado!I:I,N964)=0,"",INDEX(Listado!I:I,N964)))),"")</f>
        <v/>
      </c>
      <c r="P964" s="17">
        <f t="shared" ca="1" si="46"/>
        <v/>
      </c>
      <c r="Q964" s="17">
        <f>IFERROR(IF(AND(N964&lt;&gt;"",ISNUMBER(O964),O964&gt;0,O964&gt;=TODAY()-90),1,0),0)</f>
        <v/>
      </c>
      <c r="R964" s="17" t="str">
        <f t="shared" si="48"/>
        <v/>
      </c>
      <c r="S964" s="17" t="str">
        <f>IF(INDEX(Listado!A:A,ROW())="","",INDEX(Listado!A:A,ROW()))</f>
        <v/>
      </c>
      <c r="T964" s="17" t="str">
        <f ca="1">IF(INDEX(Listado!G:G,ROW())="","",INDEX(Listado!G:G,ROW()))</f>
        <v/>
      </c>
      <c r="U964" s="17" t="str">
        <f>IF(INDEX(Listado!F:F,ROW())="","",INDEX(Listado!F:F,ROW()))</f>
        <v/>
      </c>
      <c r="V964" s="17">
        <f>IF(COUNTA(INDEX(Listado!B:B,ROW()):INDEX(Listado!F:F,ROW()))&gt;0,1,0)</f>
        <v/>
      </c>
      <c r="W964" s="17" t="str">
        <f>IF(INDEX(Listado!L:L,ROW())="","",INDEX(Listado!L:L,ROW()))</f>
        <v/>
      </c>
      <c r="X964" s="17">
        <f>IF(N964="","",IF(INDEX(Listado!$M:$M,N964)="No","No","Sí"))</f>
        <v/>
      </c>
    </row>
    <row r="965" spans="2:24" ht="14.25">
      <c r="N965" s="17" t="str">
        <f>IF(V965=0,"",IFERROR(LOOKUP(2,1/(INDEX(Listado!A:A,2):INDEX(Listado!A:A,ROW())&lt;&gt;""),ROW(INDEX(Listado!A:A,2):INDEX(Listado!A:A,ROW()))),""))</f>
        <v/>
      </c>
      <c r="O965" s="17" t="str">
        <f>IFERROR(IF(N965="","",IF(INDEX(Listado!M:M,N965)="No",IF(INDEX(Listado!N:N,N965)=0,"",INDEX(Listado!N:N,N965)),IF(INDEX(Listado!I:I,N965)=0,"",INDEX(Listado!I:I,N965)))),"")</f>
        <v/>
      </c>
      <c r="P965" s="17">
        <f t="shared" ca="1" si="46"/>
        <v/>
      </c>
      <c r="Q965" s="17">
        <f>IFERROR(IF(AND(N965&lt;&gt;"",ISNUMBER(O965),O965&gt;0,O965&gt;=TODAY()-90),1,0),0)</f>
        <v/>
      </c>
      <c r="R965" s="17" t="str">
        <f t="shared" si="48"/>
        <v/>
      </c>
      <c r="S965" s="17" t="str">
        <f>IF(INDEX(Listado!A:A,ROW())="","",INDEX(Listado!A:A,ROW()))</f>
        <v/>
      </c>
      <c r="T965" s="17" t="str">
        <f ca="1">IF(INDEX(Listado!G:G,ROW())="","",INDEX(Listado!G:G,ROW()))</f>
        <v/>
      </c>
      <c r="U965" s="17" t="str">
        <f>IF(INDEX(Listado!F:F,ROW())="","",INDEX(Listado!F:F,ROW()))</f>
        <v/>
      </c>
      <c r="V965" s="17">
        <f>IF(COUNTA(INDEX(Listado!B:B,ROW()):INDEX(Listado!F:F,ROW()))&gt;0,1,0)</f>
        <v/>
      </c>
      <c r="W965" s="17" t="str">
        <f>IF(INDEX(Listado!L:L,ROW())="","",INDEX(Listado!L:L,ROW()))</f>
        <v/>
      </c>
      <c r="X965" s="17">
        <f>IF(N965="","",IF(INDEX(Listado!$M:$M,N965)="No","No","Sí"))</f>
        <v/>
      </c>
    </row>
    <row r="966" spans="2:24" ht="14.25">
      <c r="N966" s="17" t="str">
        <f>IF(V966=0,"",IFERROR(LOOKUP(2,1/(INDEX(Listado!A:A,2):INDEX(Listado!A:A,ROW())&lt;&gt;""),ROW(INDEX(Listado!A:A,2):INDEX(Listado!A:A,ROW()))),""))</f>
        <v/>
      </c>
      <c r="O966" s="17" t="str">
        <f>IFERROR(IF(N966="","",IF(INDEX(Listado!M:M,N966)="No",IF(INDEX(Listado!N:N,N966)=0,"",INDEX(Listado!N:N,N966)),IF(INDEX(Listado!I:I,N966)=0,"",INDEX(Listado!I:I,N966)))),"")</f>
        <v/>
      </c>
      <c r="P966" s="17">
        <f t="shared" ca="1" si="46"/>
        <v/>
      </c>
      <c r="Q966" s="17">
        <f>IFERROR(IF(AND(N966&lt;&gt;"",ISNUMBER(O966),O966&gt;0,O966&gt;=TODAY()-90),1,0),0)</f>
        <v/>
      </c>
      <c r="R966" s="17" t="str">
        <f t="shared" si="48"/>
        <v/>
      </c>
      <c r="S966" s="17" t="str">
        <f>IF(INDEX(Listado!A:A,ROW())="","",INDEX(Listado!A:A,ROW()))</f>
        <v/>
      </c>
      <c r="T966" s="17" t="str">
        <f ca="1">IF(INDEX(Listado!G:G,ROW())="","",INDEX(Listado!G:G,ROW()))</f>
        <v/>
      </c>
      <c r="U966" s="17" t="str">
        <f>IF(INDEX(Listado!F:F,ROW())="","",INDEX(Listado!F:F,ROW()))</f>
        <v/>
      </c>
      <c r="V966" s="17">
        <f>IF(COUNTA(INDEX(Listado!B:B,ROW()):INDEX(Listado!F:F,ROW()))&gt;0,1,0)</f>
        <v/>
      </c>
      <c r="W966" s="17" t="str">
        <f>IF(INDEX(Listado!L:L,ROW())="","",INDEX(Listado!L:L,ROW()))</f>
        <v/>
      </c>
      <c r="X966" s="17">
        <f>IF(N966="","",IF(INDEX(Listado!$M:$M,N966)="No","No","Sí"))</f>
        <v/>
      </c>
    </row>
    <row r="967" spans="2:24" ht="14.25">
      <c r="N967" s="17" t="str">
        <f>IF(V967=0,"",IFERROR(LOOKUP(2,1/(INDEX(Listado!A:A,2):INDEX(Listado!A:A,ROW())&lt;&gt;""),ROW(INDEX(Listado!A:A,2):INDEX(Listado!A:A,ROW()))),""))</f>
        <v/>
      </c>
      <c r="O967" s="17" t="str">
        <f>IFERROR(IF(N967="","",IF(INDEX(Listado!M:M,N967)="No",IF(INDEX(Listado!N:N,N967)=0,"",INDEX(Listado!N:N,N967)),IF(INDEX(Listado!I:I,N967)=0,"",INDEX(Listado!I:I,N967)))),"")</f>
        <v/>
      </c>
      <c r="P967" s="17">
        <f t="shared" ca="1" si="46"/>
        <v/>
      </c>
      <c r="Q967" s="17">
        <f>IFERROR(IF(AND(N967&lt;&gt;"",ISNUMBER(O967),O967&gt;0,O967&gt;=TODAY()-90),1,0),0)</f>
        <v/>
      </c>
      <c r="R967" s="17" t="str">
        <f t="shared" si="48"/>
        <v/>
      </c>
      <c r="S967" s="17" t="str">
        <f>IF(INDEX(Listado!A:A,ROW())="","",INDEX(Listado!A:A,ROW()))</f>
        <v/>
      </c>
      <c r="T967" s="17" t="str">
        <f ca="1">IF(INDEX(Listado!G:G,ROW())="","",INDEX(Listado!G:G,ROW()))</f>
        <v/>
      </c>
      <c r="U967" s="17" t="str">
        <f>IF(INDEX(Listado!F:F,ROW())="","",INDEX(Listado!F:F,ROW()))</f>
        <v/>
      </c>
      <c r="V967" s="17">
        <f>IF(COUNTA(INDEX(Listado!B:B,ROW()):INDEX(Listado!F:F,ROW()))&gt;0,1,0)</f>
        <v/>
      </c>
      <c r="W967" s="17" t="str">
        <f>IF(INDEX(Listado!L:L,ROW())="","",INDEX(Listado!L:L,ROW()))</f>
        <v/>
      </c>
      <c r="X967" s="17">
        <f>IF(N967="","",IF(INDEX(Listado!$M:$M,N967)="No","No","Sí"))</f>
        <v/>
      </c>
    </row>
    <row r="968" spans="2:24" ht="14.25">
      <c r="N968" s="17" t="str">
        <f>IF(V968=0,"",IFERROR(LOOKUP(2,1/(INDEX(Listado!A:A,2):INDEX(Listado!A:A,ROW())&lt;&gt;""),ROW(INDEX(Listado!A:A,2):INDEX(Listado!A:A,ROW()))),""))</f>
        <v/>
      </c>
      <c r="O968" s="17" t="str">
        <f>IFERROR(IF(N968="","",IF(INDEX(Listado!M:M,N968)="No",IF(INDEX(Listado!N:N,N968)=0,"",INDEX(Listado!N:N,N968)),IF(INDEX(Listado!I:I,N968)=0,"",INDEX(Listado!I:I,N968)))),"")</f>
        <v/>
      </c>
      <c r="P968" s="17">
        <f t="shared" ca="1" si="46"/>
        <v/>
      </c>
      <c r="Q968" s="17">
        <f>IFERROR(IF(AND(N968&lt;&gt;"",ISNUMBER(O968),O968&gt;0,O968&gt;=TODAY()-90),1,0),0)</f>
        <v/>
      </c>
      <c r="R968" s="17" t="str">
        <f t="shared" si="48"/>
        <v/>
      </c>
      <c r="S968" s="17" t="str">
        <f>IF(INDEX(Listado!A:A,ROW())="","",INDEX(Listado!A:A,ROW()))</f>
        <v/>
      </c>
      <c r="T968" s="17" t="str">
        <f ca="1">IF(INDEX(Listado!G:G,ROW())="","",INDEX(Listado!G:G,ROW()))</f>
        <v/>
      </c>
      <c r="U968" s="17" t="str">
        <f>IF(INDEX(Listado!F:F,ROW())="","",INDEX(Listado!F:F,ROW()))</f>
        <v/>
      </c>
      <c r="V968" s="17">
        <f>IF(COUNTA(INDEX(Listado!B:B,ROW()):INDEX(Listado!F:F,ROW()))&gt;0,1,0)</f>
        <v/>
      </c>
      <c r="W968" s="17" t="str">
        <f>IF(INDEX(Listado!L:L,ROW())="","",INDEX(Listado!L:L,ROW()))</f>
        <v/>
      </c>
      <c r="X968" s="17">
        <f>IF(N968="","",IF(INDEX(Listado!$M:$M,N968)="No","No","Sí"))</f>
        <v/>
      </c>
    </row>
    <row r="969" spans="2:24" ht="14.25">
      <c r="N969" s="17" t="str">
        <f>IF(V969=0,"",IFERROR(LOOKUP(2,1/(INDEX(Listado!A:A,2):INDEX(Listado!A:A,ROW())&lt;&gt;""),ROW(INDEX(Listado!A:A,2):INDEX(Listado!A:A,ROW()))),""))</f>
        <v/>
      </c>
      <c r="O969" s="17" t="str">
        <f>IFERROR(IF(N969="","",IF(INDEX(Listado!M:M,N969)="No",IF(INDEX(Listado!N:N,N969)=0,"",INDEX(Listado!N:N,N969)),IF(INDEX(Listado!I:I,N969)=0,"",INDEX(Listado!I:I,N969)))),"")</f>
        <v/>
      </c>
      <c r="P969" s="17">
        <f t="shared" ca="1" si="46"/>
        <v/>
      </c>
      <c r="Q969" s="17">
        <f>IFERROR(IF(AND(N969&lt;&gt;"",ISNUMBER(O969),O969&gt;0,O969&gt;=TODAY()-90),1,0),0)</f>
        <v/>
      </c>
      <c r="R969" s="17" t="str">
        <f t="shared" si="48"/>
        <v/>
      </c>
      <c r="S969" s="17" t="str">
        <f>IF(INDEX(Listado!A:A,ROW())="","",INDEX(Listado!A:A,ROW()))</f>
        <v/>
      </c>
      <c r="T969" s="17" t="str">
        <f ca="1">IF(INDEX(Listado!G:G,ROW())="","",INDEX(Listado!G:G,ROW()))</f>
        <v/>
      </c>
      <c r="U969" s="17" t="str">
        <f>IF(INDEX(Listado!F:F,ROW())="","",INDEX(Listado!F:F,ROW()))</f>
        <v/>
      </c>
      <c r="V969" s="17">
        <f>IF(COUNTA(INDEX(Listado!B:B,ROW()):INDEX(Listado!F:F,ROW()))&gt;0,1,0)</f>
        <v/>
      </c>
      <c r="W969" s="17" t="str">
        <f>IF(INDEX(Listado!L:L,ROW())="","",INDEX(Listado!L:L,ROW()))</f>
        <v/>
      </c>
      <c r="X969" s="17">
        <f>IF(N969="","",IF(INDEX(Listado!$M:$M,N969)="No","No","Sí"))</f>
        <v/>
      </c>
    </row>
    <row r="970" spans="2:24" ht="14.25">
      <c r="N970" s="17" t="str">
        <f>IF(V970=0,"",IFERROR(LOOKUP(2,1/(INDEX(Listado!A:A,2):INDEX(Listado!A:A,ROW())&lt;&gt;""),ROW(INDEX(Listado!A:A,2):INDEX(Listado!A:A,ROW()))),""))</f>
        <v/>
      </c>
      <c r="O970" s="17" t="str">
        <f>IFERROR(IF(N970="","",IF(INDEX(Listado!M:M,N970)="No",IF(INDEX(Listado!N:N,N970)=0,"",INDEX(Listado!N:N,N970)),IF(INDEX(Listado!I:I,N970)=0,"",INDEX(Listado!I:I,N970)))),"")</f>
        <v/>
      </c>
      <c r="P970" s="17">
        <f t="shared" ca="1" si="46"/>
        <v/>
      </c>
      <c r="Q970" s="17">
        <f>IFERROR(IF(AND(N970&lt;&gt;"",ISNUMBER(O970),O970&gt;0,O970&gt;=TODAY()-90),1,0),0)</f>
        <v/>
      </c>
      <c r="R970" s="17" t="str">
        <f t="shared" si="48"/>
        <v/>
      </c>
      <c r="S970" s="17" t="str">
        <f>IF(INDEX(Listado!A:A,ROW())="","",INDEX(Listado!A:A,ROW()))</f>
        <v/>
      </c>
      <c r="T970" s="17" t="str">
        <f ca="1">IF(INDEX(Listado!G:G,ROW())="","",INDEX(Listado!G:G,ROW()))</f>
        <v/>
      </c>
      <c r="U970" s="17" t="str">
        <f>IF(INDEX(Listado!F:F,ROW())="","",INDEX(Listado!F:F,ROW()))</f>
        <v/>
      </c>
      <c r="V970" s="17">
        <f>IF(COUNTA(INDEX(Listado!B:B,ROW()):INDEX(Listado!F:F,ROW()))&gt;0,1,0)</f>
        <v/>
      </c>
      <c r="W970" s="17" t="str">
        <f>IF(INDEX(Listado!L:L,ROW())="","",INDEX(Listado!L:L,ROW()))</f>
        <v/>
      </c>
      <c r="X970" s="17">
        <f>IF(N970="","",IF(INDEX(Listado!$M:$M,N970)="No","No","Sí"))</f>
        <v/>
      </c>
    </row>
    <row r="971" spans="2:24" ht="14.25">
      <c r="N971" s="17" t="str">
        <f>IF(V971=0,"",IFERROR(LOOKUP(2,1/(INDEX(Listado!A:A,2):INDEX(Listado!A:A,ROW())&lt;&gt;""),ROW(INDEX(Listado!A:A,2):INDEX(Listado!A:A,ROW()))),""))</f>
        <v/>
      </c>
      <c r="O971" s="17" t="str">
        <f>IFERROR(IF(N971="","",IF(INDEX(Listado!M:M,N971)="No",IF(INDEX(Listado!N:N,N971)=0,"",INDEX(Listado!N:N,N971)),IF(INDEX(Listado!I:I,N971)=0,"",INDEX(Listado!I:I,N971)))),"")</f>
        <v/>
      </c>
      <c r="P971" s="17">
        <f t="shared" ca="1" si="46"/>
        <v/>
      </c>
      <c r="Q971" s="17">
        <f>IFERROR(IF(AND(N971&lt;&gt;"",ISNUMBER(O971),O971&gt;0,O971&gt;=TODAY()-90),1,0),0)</f>
        <v/>
      </c>
      <c r="R971" s="17" t="str">
        <f t="shared" si="48"/>
        <v/>
      </c>
      <c r="S971" s="17" t="str">
        <f>IF(INDEX(Listado!A:A,ROW())="","",INDEX(Listado!A:A,ROW()))</f>
        <v/>
      </c>
      <c r="T971" s="17" t="str">
        <f ca="1">IF(INDEX(Listado!G:G,ROW())="","",INDEX(Listado!G:G,ROW()))</f>
        <v/>
      </c>
      <c r="U971" s="17" t="str">
        <f>IF(INDEX(Listado!F:F,ROW())="","",INDEX(Listado!F:F,ROW()))</f>
        <v/>
      </c>
      <c r="V971" s="17">
        <f>IF(COUNTA(INDEX(Listado!B:B,ROW()):INDEX(Listado!F:F,ROW()))&gt;0,1,0)</f>
        <v/>
      </c>
      <c r="W971" s="17" t="str">
        <f>IF(INDEX(Listado!L:L,ROW())="","",INDEX(Listado!L:L,ROW()))</f>
        <v/>
      </c>
      <c r="X971" s="17">
        <f>IF(N971="","",IF(INDEX(Listado!$M:$M,N971)="No","No","Sí"))</f>
        <v/>
      </c>
    </row>
    <row r="972" spans="2:24" ht="14.25">
      <c r="N972" s="17" t="str">
        <f>IF(V972=0,"",IFERROR(LOOKUP(2,1/(INDEX(Listado!A:A,2):INDEX(Listado!A:A,ROW())&lt;&gt;""),ROW(INDEX(Listado!A:A,2):INDEX(Listado!A:A,ROW()))),""))</f>
        <v/>
      </c>
      <c r="O972" s="17" t="str">
        <f>IFERROR(IF(N972="","",IF(INDEX(Listado!M:M,N972)="No",IF(INDEX(Listado!N:N,N972)=0,"",INDEX(Listado!N:N,N972)),IF(INDEX(Listado!I:I,N972)=0,"",INDEX(Listado!I:I,N972)))),"")</f>
        <v/>
      </c>
      <c r="P972" s="17">
        <f t="shared" ca="1" si="46"/>
        <v/>
      </c>
      <c r="Q972" s="17">
        <f>IFERROR(IF(AND(N972&lt;&gt;"",ISNUMBER(O972),O972&gt;0,O972&gt;=TODAY()-90),1,0),0)</f>
        <v/>
      </c>
      <c r="R972" s="17" t="str">
        <f t="shared" si="48"/>
        <v/>
      </c>
      <c r="S972" s="17" t="str">
        <f>IF(INDEX(Listado!A:A,ROW())="","",INDEX(Listado!A:A,ROW()))</f>
        <v/>
      </c>
      <c r="T972" s="17" t="str">
        <f ca="1">IF(INDEX(Listado!G:G,ROW())="","",INDEX(Listado!G:G,ROW()))</f>
        <v/>
      </c>
      <c r="U972" s="17" t="str">
        <f>IF(INDEX(Listado!F:F,ROW())="","",INDEX(Listado!F:F,ROW()))</f>
        <v/>
      </c>
      <c r="V972" s="17">
        <f>IF(COUNTA(INDEX(Listado!B:B,ROW()):INDEX(Listado!F:F,ROW()))&gt;0,1,0)</f>
        <v/>
      </c>
      <c r="W972" s="17" t="str">
        <f>IF(INDEX(Listado!L:L,ROW())="","",INDEX(Listado!L:L,ROW()))</f>
        <v/>
      </c>
      <c r="X972" s="17">
        <f>IF(N972="","",IF(INDEX(Listado!$M:$M,N972)="No","No","Sí"))</f>
        <v/>
      </c>
    </row>
    <row r="973" spans="2:24" ht="14.25">
      <c r="N973" s="17" t="str">
        <f>IF(V973=0,"",IFERROR(LOOKUP(2,1/(INDEX(Listado!A:A,2):INDEX(Listado!A:A,ROW())&lt;&gt;""),ROW(INDEX(Listado!A:A,2):INDEX(Listado!A:A,ROW()))),""))</f>
        <v/>
      </c>
      <c r="O973" s="17" t="str">
        <f>IFERROR(IF(N973="","",IF(INDEX(Listado!M:M,N973)="No",IF(INDEX(Listado!N:N,N973)=0,"",INDEX(Listado!N:N,N973)),IF(INDEX(Listado!I:I,N973)=0,"",INDEX(Listado!I:I,N973)))),"")</f>
        <v/>
      </c>
      <c r="P973" s="17">
        <f t="shared" ca="1" si="46"/>
        <v/>
      </c>
      <c r="Q973" s="17">
        <f>IFERROR(IF(AND(N973&lt;&gt;"",ISNUMBER(O973),O973&gt;0,O973&gt;=TODAY()-90),1,0),0)</f>
        <v/>
      </c>
      <c r="R973" s="17" t="str">
        <f t="shared" si="48"/>
        <v/>
      </c>
      <c r="S973" s="17" t="str">
        <f>IF(INDEX(Listado!A:A,ROW())="","",INDEX(Listado!A:A,ROW()))</f>
        <v/>
      </c>
      <c r="T973" s="17" t="str">
        <f ca="1">IF(INDEX(Listado!G:G,ROW())="","",INDEX(Listado!G:G,ROW()))</f>
        <v/>
      </c>
      <c r="U973" s="17" t="str">
        <f>IF(INDEX(Listado!F:F,ROW())="","",INDEX(Listado!F:F,ROW()))</f>
        <v/>
      </c>
      <c r="V973" s="17">
        <f>IF(COUNTA(INDEX(Listado!B:B,ROW()):INDEX(Listado!F:F,ROW()))&gt;0,1,0)</f>
        <v/>
      </c>
      <c r="W973" s="17" t="str">
        <f>IF(INDEX(Listado!L:L,ROW())="","",INDEX(Listado!L:L,ROW()))</f>
        <v/>
      </c>
      <c r="X973" s="17">
        <f>IF(N973="","",IF(INDEX(Listado!$M:$M,N973)="No","No","Sí"))</f>
        <v/>
      </c>
    </row>
    <row r="974" spans="2:24" ht="14.25">
      <c r="N974" s="17" t="str">
        <f>IF(V974=0,"",IFERROR(LOOKUP(2,1/(INDEX(Listado!A:A,2):INDEX(Listado!A:A,ROW())&lt;&gt;""),ROW(INDEX(Listado!A:A,2):INDEX(Listado!A:A,ROW()))),""))</f>
        <v/>
      </c>
      <c r="O974" s="17" t="str">
        <f>IFERROR(IF(N974="","",IF(INDEX(Listado!M:M,N974)="No",IF(INDEX(Listado!N:N,N974)=0,"",INDEX(Listado!N:N,N974)),IF(INDEX(Listado!I:I,N974)=0,"",INDEX(Listado!I:I,N974)))),"")</f>
        <v/>
      </c>
      <c r="P974" s="17">
        <f t="shared" ca="1" si="46"/>
        <v/>
      </c>
      <c r="Q974" s="17">
        <f>IFERROR(IF(AND(N974&lt;&gt;"",ISNUMBER(O974),O974&gt;0,O974&gt;=TODAY()-90),1,0),0)</f>
        <v/>
      </c>
      <c r="R974" s="17" t="str">
        <f t="shared" si="48"/>
        <v/>
      </c>
      <c r="S974" s="17" t="str">
        <f>IF(INDEX(Listado!A:A,ROW())="","",INDEX(Listado!A:A,ROW()))</f>
        <v/>
      </c>
      <c r="T974" s="17" t="str">
        <f ca="1">IF(INDEX(Listado!G:G,ROW())="","",INDEX(Listado!G:G,ROW()))</f>
        <v/>
      </c>
      <c r="U974" s="17" t="str">
        <f>IF(INDEX(Listado!F:F,ROW())="","",INDEX(Listado!F:F,ROW()))</f>
        <v/>
      </c>
      <c r="V974" s="17">
        <f>IF(COUNTA(INDEX(Listado!B:B,ROW()):INDEX(Listado!F:F,ROW()))&gt;0,1,0)</f>
        <v/>
      </c>
      <c r="W974" s="17" t="str">
        <f>IF(INDEX(Listado!L:L,ROW())="","",INDEX(Listado!L:L,ROW()))</f>
        <v/>
      </c>
      <c r="X974" s="17">
        <f>IF(N974="","",IF(INDEX(Listado!$M:$M,N974)="No","No","Sí"))</f>
        <v/>
      </c>
    </row>
    <row r="975" spans="2:24" ht="14.25">
      <c r="N975" s="17" t="str">
        <f>IF(V975=0,"",IFERROR(LOOKUP(2,1/(INDEX(Listado!A:A,2):INDEX(Listado!A:A,ROW())&lt;&gt;""),ROW(INDEX(Listado!A:A,2):INDEX(Listado!A:A,ROW()))),""))</f>
        <v/>
      </c>
      <c r="O975" s="17" t="str">
        <f>IFERROR(IF(N975="","",IF(INDEX(Listado!M:M,N975)="No",IF(INDEX(Listado!N:N,N975)=0,"",INDEX(Listado!N:N,N975)),IF(INDEX(Listado!I:I,N975)=0,"",INDEX(Listado!I:I,N975)))),"")</f>
        <v/>
      </c>
      <c r="P975" s="17">
        <f t="shared" ca="1" si="46"/>
        <v/>
      </c>
      <c r="Q975" s="17">
        <f>IFERROR(IF(AND(N975&lt;&gt;"",ISNUMBER(O975),O975&gt;0,O975&gt;=TODAY()-90),1,0),0)</f>
        <v/>
      </c>
      <c r="R975" s="17" t="str">
        <f t="shared" si="48"/>
        <v/>
      </c>
      <c r="S975" s="17" t="str">
        <f>IF(INDEX(Listado!A:A,ROW())="","",INDEX(Listado!A:A,ROW()))</f>
        <v/>
      </c>
      <c r="T975" s="17" t="str">
        <f ca="1">IF(INDEX(Listado!G:G,ROW())="","",INDEX(Listado!G:G,ROW()))</f>
        <v/>
      </c>
      <c r="U975" s="17" t="str">
        <f>IF(INDEX(Listado!F:F,ROW())="","",INDEX(Listado!F:F,ROW()))</f>
        <v/>
      </c>
      <c r="V975" s="17">
        <f>IF(COUNTA(INDEX(Listado!B:B,ROW()):INDEX(Listado!F:F,ROW()))&gt;0,1,0)</f>
        <v/>
      </c>
      <c r="W975" s="17" t="str">
        <f>IF(INDEX(Listado!L:L,ROW())="","",INDEX(Listado!L:L,ROW()))</f>
        <v/>
      </c>
      <c r="X975" s="17">
        <f>IF(N975="","",IF(INDEX(Listado!$M:$M,N975)="No","No","Sí"))</f>
        <v/>
      </c>
    </row>
    <row r="976" spans="2:24" ht="14.25">
      <c r="N976" s="17" t="str">
        <f>IF(V976=0,"",IFERROR(LOOKUP(2,1/(INDEX(Listado!A:A,2):INDEX(Listado!A:A,ROW())&lt;&gt;""),ROW(INDEX(Listado!A:A,2):INDEX(Listado!A:A,ROW()))),""))</f>
        <v/>
      </c>
      <c r="O976" s="17" t="str">
        <f>IFERROR(IF(N976="","",IF(INDEX(Listado!M:M,N976)="No",IF(INDEX(Listado!N:N,N976)=0,"",INDEX(Listado!N:N,N976)),IF(INDEX(Listado!I:I,N976)=0,"",INDEX(Listado!I:I,N976)))),"")</f>
        <v/>
      </c>
      <c r="P976" s="17">
        <f t="shared" ca="1" si="46"/>
        <v/>
      </c>
      <c r="Q976" s="17">
        <f>IFERROR(IF(AND(N976&lt;&gt;"",ISNUMBER(O976),O976&gt;0,O976&gt;=TODAY()-90),1,0),0)</f>
        <v/>
      </c>
      <c r="R976" s="17" t="str">
        <f t="shared" si="48"/>
        <v/>
      </c>
      <c r="S976" s="17" t="str">
        <f>IF(INDEX(Listado!A:A,ROW())="","",INDEX(Listado!A:A,ROW()))</f>
        <v/>
      </c>
      <c r="T976" s="17" t="str">
        <f ca="1">IF(INDEX(Listado!G:G,ROW())="","",INDEX(Listado!G:G,ROW()))</f>
        <v/>
      </c>
      <c r="U976" s="17" t="str">
        <f>IF(INDEX(Listado!F:F,ROW())="","",INDEX(Listado!F:F,ROW()))</f>
        <v/>
      </c>
      <c r="V976" s="17">
        <f>IF(COUNTA(INDEX(Listado!B:B,ROW()):INDEX(Listado!F:F,ROW()))&gt;0,1,0)</f>
        <v/>
      </c>
      <c r="W976" s="17" t="str">
        <f>IF(INDEX(Listado!L:L,ROW())="","",INDEX(Listado!L:L,ROW()))</f>
        <v/>
      </c>
      <c r="X976" s="17">
        <f>IF(N976="","",IF(INDEX(Listado!$M:$M,N976)="No","No","Sí"))</f>
        <v/>
      </c>
    </row>
    <row r="977" spans="2:24" ht="14.25">
      <c r="N977" s="17" t="str">
        <f>IF(V977=0,"",IFERROR(LOOKUP(2,1/(INDEX(Listado!A:A,2):INDEX(Listado!A:A,ROW())&lt;&gt;""),ROW(INDEX(Listado!A:A,2):INDEX(Listado!A:A,ROW()))),""))</f>
        <v/>
      </c>
      <c r="O977" s="17" t="str">
        <f>IFERROR(IF(N977="","",IF(INDEX(Listado!M:M,N977)="No",IF(INDEX(Listado!N:N,N977)=0,"",INDEX(Listado!N:N,N977)),IF(INDEX(Listado!I:I,N977)=0,"",INDEX(Listado!I:I,N977)))),"")</f>
        <v/>
      </c>
      <c r="P977" s="17">
        <f t="shared" ca="1" si="46"/>
        <v/>
      </c>
      <c r="Q977" s="17">
        <f>IFERROR(IF(AND(N977&lt;&gt;"",ISNUMBER(O977),O977&gt;0,O977&gt;=TODAY()-90),1,0),0)</f>
        <v/>
      </c>
      <c r="R977" s="17" t="str">
        <f t="shared" si="48"/>
        <v/>
      </c>
      <c r="S977" s="17" t="str">
        <f>IF(INDEX(Listado!A:A,ROW())="","",INDEX(Listado!A:A,ROW()))</f>
        <v/>
      </c>
      <c r="T977" s="17" t="str">
        <f ca="1">IF(INDEX(Listado!G:G,ROW())="","",INDEX(Listado!G:G,ROW()))</f>
        <v/>
      </c>
      <c r="U977" s="17" t="str">
        <f>IF(INDEX(Listado!F:F,ROW())="","",INDEX(Listado!F:F,ROW()))</f>
        <v/>
      </c>
      <c r="V977" s="17">
        <f>IF(COUNTA(INDEX(Listado!B:B,ROW()):INDEX(Listado!F:F,ROW()))&gt;0,1,0)</f>
        <v/>
      </c>
      <c r="W977" s="17" t="str">
        <f>IF(INDEX(Listado!L:L,ROW())="","",INDEX(Listado!L:L,ROW()))</f>
        <v/>
      </c>
      <c r="X977" s="17">
        <f>IF(N977="","",IF(INDEX(Listado!$M:$M,N977)="No","No","Sí"))</f>
        <v/>
      </c>
    </row>
    <row r="978" spans="2:24" ht="14.25">
      <c r="N978" s="17" t="str">
        <f>IF(V978=0,"",IFERROR(LOOKUP(2,1/(INDEX(Listado!A:A,2):INDEX(Listado!A:A,ROW())&lt;&gt;""),ROW(INDEX(Listado!A:A,2):INDEX(Listado!A:A,ROW()))),""))</f>
        <v/>
      </c>
      <c r="O978" s="17" t="str">
        <f>IFERROR(IF(N978="","",IF(INDEX(Listado!M:M,N978)="No",IF(INDEX(Listado!N:N,N978)=0,"",INDEX(Listado!N:N,N978)),IF(INDEX(Listado!I:I,N978)=0,"",INDEX(Listado!I:I,N978)))),"")</f>
        <v/>
      </c>
      <c r="P978" s="17">
        <f t="shared" ca="1" si="46"/>
        <v/>
      </c>
      <c r="Q978" s="17">
        <f>IFERROR(IF(AND(N978&lt;&gt;"",ISNUMBER(O978),O978&gt;0,O978&gt;=TODAY()-90),1,0),0)</f>
        <v/>
      </c>
      <c r="R978" s="17" t="str">
        <f t="shared" si="48"/>
        <v/>
      </c>
      <c r="S978" s="17" t="str">
        <f>IF(INDEX(Listado!A:A,ROW())="","",INDEX(Listado!A:A,ROW()))</f>
        <v/>
      </c>
      <c r="T978" s="17" t="str">
        <f ca="1">IF(INDEX(Listado!G:G,ROW())="","",INDEX(Listado!G:G,ROW()))</f>
        <v/>
      </c>
      <c r="U978" s="17" t="str">
        <f>IF(INDEX(Listado!F:F,ROW())="","",INDEX(Listado!F:F,ROW()))</f>
        <v/>
      </c>
      <c r="V978" s="17">
        <f>IF(COUNTA(INDEX(Listado!B:B,ROW()):INDEX(Listado!F:F,ROW()))&gt;0,1,0)</f>
        <v/>
      </c>
      <c r="W978" s="17" t="str">
        <f>IF(INDEX(Listado!L:L,ROW())="","",INDEX(Listado!L:L,ROW()))</f>
        <v/>
      </c>
      <c r="X978" s="17">
        <f>IF(N978="","",IF(INDEX(Listado!$M:$M,N978)="No","No","Sí"))</f>
        <v/>
      </c>
    </row>
    <row r="979" spans="2:24" ht="14.25">
      <c r="N979" s="17" t="str">
        <f>IF(V979=0,"",IFERROR(LOOKUP(2,1/(INDEX(Listado!A:A,2):INDEX(Listado!A:A,ROW())&lt;&gt;""),ROW(INDEX(Listado!A:A,2):INDEX(Listado!A:A,ROW()))),""))</f>
        <v/>
      </c>
      <c r="O979" s="17" t="str">
        <f>IFERROR(IF(N979="","",IF(INDEX(Listado!M:M,N979)="No",IF(INDEX(Listado!N:N,N979)=0,"",INDEX(Listado!N:N,N979)),IF(INDEX(Listado!I:I,N979)=0,"",INDEX(Listado!I:I,N979)))),"")</f>
        <v/>
      </c>
      <c r="P979" s="17">
        <f t="shared" ca="1" si="46"/>
        <v/>
      </c>
      <c r="Q979" s="17">
        <f>IFERROR(IF(AND(N979&lt;&gt;"",ISNUMBER(O979),O979&gt;0,O979&gt;=TODAY()-90),1,0),0)</f>
        <v/>
      </c>
      <c r="R979" s="17" t="str">
        <f t="shared" si="48"/>
        <v/>
      </c>
      <c r="S979" s="17" t="str">
        <f>IF(INDEX(Listado!A:A,ROW())="","",INDEX(Listado!A:A,ROW()))</f>
        <v/>
      </c>
      <c r="T979" s="17" t="str">
        <f ca="1">IF(INDEX(Listado!G:G,ROW())="","",INDEX(Listado!G:G,ROW()))</f>
        <v/>
      </c>
      <c r="U979" s="17" t="str">
        <f>IF(INDEX(Listado!F:F,ROW())="","",INDEX(Listado!F:F,ROW()))</f>
        <v/>
      </c>
      <c r="V979" s="17">
        <f>IF(COUNTA(INDEX(Listado!B:B,ROW()):INDEX(Listado!F:F,ROW()))&gt;0,1,0)</f>
        <v/>
      </c>
      <c r="W979" s="17" t="str">
        <f>IF(INDEX(Listado!L:L,ROW())="","",INDEX(Listado!L:L,ROW()))</f>
        <v/>
      </c>
      <c r="X979" s="17">
        <f>IF(N979="","",IF(INDEX(Listado!$M:$M,N979)="No","No","Sí"))</f>
        <v/>
      </c>
    </row>
    <row r="980" spans="2:24" ht="14.25">
      <c r="N980" s="17" t="str">
        <f>IF(V980=0,"",IFERROR(LOOKUP(2,1/(INDEX(Listado!A:A,2):INDEX(Listado!A:A,ROW())&lt;&gt;""),ROW(INDEX(Listado!A:A,2):INDEX(Listado!A:A,ROW()))),""))</f>
        <v/>
      </c>
      <c r="O980" s="17" t="str">
        <f>IFERROR(IF(N980="","",IF(INDEX(Listado!M:M,N980)="No",IF(INDEX(Listado!N:N,N980)=0,"",INDEX(Listado!N:N,N980)),IF(INDEX(Listado!I:I,N980)=0,"",INDEX(Listado!I:I,N980)))),"")</f>
        <v/>
      </c>
      <c r="P980" s="17">
        <f t="shared" ca="1" si="46"/>
        <v/>
      </c>
      <c r="Q980" s="17">
        <f>IFERROR(IF(AND(N980&lt;&gt;"",ISNUMBER(O980),O980&gt;0,O980&gt;=TODAY()-90),1,0),0)</f>
        <v/>
      </c>
      <c r="R980" s="17" t="str">
        <f t="shared" si="48"/>
        <v/>
      </c>
      <c r="S980" s="17" t="str">
        <f>IF(INDEX(Listado!A:A,ROW())="","",INDEX(Listado!A:A,ROW()))</f>
        <v/>
      </c>
      <c r="T980" s="17" t="str">
        <f ca="1">IF(INDEX(Listado!G:G,ROW())="","",INDEX(Listado!G:G,ROW()))</f>
        <v/>
      </c>
      <c r="U980" s="17" t="str">
        <f>IF(INDEX(Listado!F:F,ROW())="","",INDEX(Listado!F:F,ROW()))</f>
        <v/>
      </c>
      <c r="V980" s="17">
        <f>IF(COUNTA(INDEX(Listado!B:B,ROW()):INDEX(Listado!F:F,ROW()))&gt;0,1,0)</f>
        <v/>
      </c>
      <c r="W980" s="17" t="str">
        <f>IF(INDEX(Listado!L:L,ROW())="","",INDEX(Listado!L:L,ROW()))</f>
        <v/>
      </c>
      <c r="X980" s="17">
        <f>IF(N980="","",IF(INDEX(Listado!$M:$M,N980)="No","No","Sí"))</f>
        <v/>
      </c>
    </row>
    <row r="981" spans="2:24" ht="14.25">
      <c r="N981" s="17" t="str">
        <f>IF(V981=0,"",IFERROR(LOOKUP(2,1/(INDEX(Listado!A:A,2):INDEX(Listado!A:A,ROW())&lt;&gt;""),ROW(INDEX(Listado!A:A,2):INDEX(Listado!A:A,ROW()))),""))</f>
        <v/>
      </c>
      <c r="O981" s="17" t="str">
        <f>IFERROR(IF(N981="","",IF(INDEX(Listado!M:M,N981)="No",IF(INDEX(Listado!N:N,N981)=0,"",INDEX(Listado!N:N,N981)),IF(INDEX(Listado!I:I,N981)=0,"",INDEX(Listado!I:I,N981)))),"")</f>
        <v/>
      </c>
      <c r="P981" s="17">
        <f t="shared" ca="1" si="46"/>
        <v/>
      </c>
      <c r="Q981" s="17">
        <f>IFERROR(IF(AND(N981&lt;&gt;"",ISNUMBER(O981),O981&gt;0,O981&gt;=TODAY()-90),1,0),0)</f>
        <v/>
      </c>
      <c r="R981" s="17" t="str">
        <f t="shared" si="48"/>
        <v/>
      </c>
      <c r="S981" s="17" t="str">
        <f>IF(INDEX(Listado!A:A,ROW())="","",INDEX(Listado!A:A,ROW()))</f>
        <v/>
      </c>
      <c r="T981" s="17" t="str">
        <f ca="1">IF(INDEX(Listado!G:G,ROW())="","",INDEX(Listado!G:G,ROW()))</f>
        <v/>
      </c>
      <c r="U981" s="17" t="str">
        <f>IF(INDEX(Listado!F:F,ROW())="","",INDEX(Listado!F:F,ROW()))</f>
        <v/>
      </c>
      <c r="V981" s="17">
        <f>IF(COUNTA(INDEX(Listado!B:B,ROW()):INDEX(Listado!F:F,ROW()))&gt;0,1,0)</f>
        <v/>
      </c>
      <c r="W981" s="17" t="str">
        <f>IF(INDEX(Listado!L:L,ROW())="","",INDEX(Listado!L:L,ROW()))</f>
        <v/>
      </c>
      <c r="X981" s="17">
        <f>IF(N981="","",IF(INDEX(Listado!$M:$M,N981)="No","No","Sí"))</f>
        <v/>
      </c>
    </row>
    <row r="982" spans="2:24" ht="14.25">
      <c r="N982" s="17" t="str">
        <f>IF(V982=0,"",IFERROR(LOOKUP(2,1/(INDEX(Listado!A:A,2):INDEX(Listado!A:A,ROW())&lt;&gt;""),ROW(INDEX(Listado!A:A,2):INDEX(Listado!A:A,ROW()))),""))</f>
        <v/>
      </c>
      <c r="O982" s="17" t="str">
        <f>IFERROR(IF(N982="","",IF(INDEX(Listado!M:M,N982)="No",IF(INDEX(Listado!N:N,N982)=0,"",INDEX(Listado!N:N,N982)),IF(INDEX(Listado!I:I,N982)=0,"",INDEX(Listado!I:I,N982)))),"")</f>
        <v/>
      </c>
      <c r="P982" s="17">
        <f t="shared" ca="1" si="46"/>
        <v/>
      </c>
      <c r="Q982" s="17">
        <f>IFERROR(IF(AND(N982&lt;&gt;"",ISNUMBER(O982),O982&gt;0,O982&gt;=TODAY()-90),1,0),0)</f>
        <v/>
      </c>
      <c r="R982" s="17" t="str">
        <f t="shared" si="48"/>
        <v/>
      </c>
      <c r="S982" s="17" t="str">
        <f>IF(INDEX(Listado!A:A,ROW())="","",INDEX(Listado!A:A,ROW()))</f>
        <v/>
      </c>
      <c r="T982" s="17" t="str">
        <f ca="1">IF(INDEX(Listado!G:G,ROW())="","",INDEX(Listado!G:G,ROW()))</f>
        <v/>
      </c>
      <c r="U982" s="17" t="str">
        <f>IF(INDEX(Listado!F:F,ROW())="","",INDEX(Listado!F:F,ROW()))</f>
        <v/>
      </c>
      <c r="V982" s="17">
        <f>IF(COUNTA(INDEX(Listado!B:B,ROW()):INDEX(Listado!F:F,ROW()))&gt;0,1,0)</f>
        <v/>
      </c>
      <c r="W982" s="17" t="str">
        <f>IF(INDEX(Listado!L:L,ROW())="","",INDEX(Listado!L:L,ROW()))</f>
        <v/>
      </c>
      <c r="X982" s="17">
        <f>IF(N982="","",IF(INDEX(Listado!$M:$M,N982)="No","No","Sí"))</f>
        <v/>
      </c>
    </row>
    <row r="983" spans="2:24" ht="14.25">
      <c r="N983" s="17" t="str">
        <f>IF(V983=0,"",IFERROR(LOOKUP(2,1/(INDEX(Listado!A:A,2):INDEX(Listado!A:A,ROW())&lt;&gt;""),ROW(INDEX(Listado!A:A,2):INDEX(Listado!A:A,ROW()))),""))</f>
        <v/>
      </c>
      <c r="O983" s="17" t="str">
        <f>IFERROR(IF(N983="","",IF(INDEX(Listado!M:M,N983)="No",IF(INDEX(Listado!N:N,N983)=0,"",INDEX(Listado!N:N,N983)),IF(INDEX(Listado!I:I,N983)=0,"",INDEX(Listado!I:I,N983)))),"")</f>
        <v/>
      </c>
      <c r="P983" s="17">
        <f t="shared" ca="1" si="46"/>
        <v/>
      </c>
      <c r="Q983" s="17">
        <f>IFERROR(IF(AND(N983&lt;&gt;"",ISNUMBER(O983),O983&gt;0,O983&gt;=TODAY()-90),1,0),0)</f>
        <v/>
      </c>
      <c r="R983" s="17" t="str">
        <f t="shared" si="48"/>
        <v/>
      </c>
      <c r="S983" s="17" t="str">
        <f>IF(INDEX(Listado!A:A,ROW())="","",INDEX(Listado!A:A,ROW()))</f>
        <v/>
      </c>
      <c r="T983" s="17" t="str">
        <f ca="1">IF(INDEX(Listado!G:G,ROW())="","",INDEX(Listado!G:G,ROW()))</f>
        <v/>
      </c>
      <c r="U983" s="17" t="str">
        <f>IF(INDEX(Listado!F:F,ROW())="","",INDEX(Listado!F:F,ROW()))</f>
        <v/>
      </c>
      <c r="V983" s="17">
        <f>IF(COUNTA(INDEX(Listado!B:B,ROW()):INDEX(Listado!F:F,ROW()))&gt;0,1,0)</f>
        <v/>
      </c>
      <c r="W983" s="17" t="str">
        <f>IF(INDEX(Listado!L:L,ROW())="","",INDEX(Listado!L:L,ROW()))</f>
        <v/>
      </c>
      <c r="X983" s="17">
        <f>IF(N983="","",IF(INDEX(Listado!$M:$M,N983)="No","No","Sí"))</f>
        <v/>
      </c>
    </row>
    <row r="984" spans="2:24" ht="14.25">
      <c r="N984" s="17" t="str">
        <f>IF(V984=0,"",IFERROR(LOOKUP(2,1/(INDEX(Listado!A:A,2):INDEX(Listado!A:A,ROW())&lt;&gt;""),ROW(INDEX(Listado!A:A,2):INDEX(Listado!A:A,ROW()))),""))</f>
        <v/>
      </c>
      <c r="O984" s="17" t="str">
        <f>IFERROR(IF(N984="","",IF(INDEX(Listado!M:M,N984)="No",IF(INDEX(Listado!N:N,N984)=0,"",INDEX(Listado!N:N,N984)),IF(INDEX(Listado!I:I,N984)=0,"",INDEX(Listado!I:I,N984)))),"")</f>
        <v/>
      </c>
      <c r="P984" s="17">
        <f t="shared" ca="1" si="46"/>
        <v/>
      </c>
      <c r="Q984" s="17">
        <f>IFERROR(IF(AND(N984&lt;&gt;"",ISNUMBER(O984),O984&gt;0,O984&gt;=TODAY()-90),1,0),0)</f>
        <v/>
      </c>
      <c r="R984" s="17" t="str">
        <f t="shared" si="48"/>
        <v/>
      </c>
      <c r="S984" s="17" t="str">
        <f>IF(INDEX(Listado!A:A,ROW())="","",INDEX(Listado!A:A,ROW()))</f>
        <v/>
      </c>
      <c r="T984" s="17" t="str">
        <f ca="1">IF(INDEX(Listado!G:G,ROW())="","",INDEX(Listado!G:G,ROW()))</f>
        <v/>
      </c>
      <c r="U984" s="17" t="str">
        <f>IF(INDEX(Listado!F:F,ROW())="","",INDEX(Listado!F:F,ROW()))</f>
        <v/>
      </c>
      <c r="V984" s="17">
        <f>IF(COUNTA(INDEX(Listado!B:B,ROW()):INDEX(Listado!F:F,ROW()))&gt;0,1,0)</f>
        <v/>
      </c>
      <c r="W984" s="17" t="str">
        <f>IF(INDEX(Listado!L:L,ROW())="","",INDEX(Listado!L:L,ROW()))</f>
        <v/>
      </c>
      <c r="X984" s="17">
        <f>IF(N984="","",IF(INDEX(Listado!$M:$M,N984)="No","No","Sí"))</f>
        <v/>
      </c>
    </row>
    <row r="985" spans="2:24" ht="14.25">
      <c r="N985" s="17" t="str">
        <f>IF(V985=0,"",IFERROR(LOOKUP(2,1/(INDEX(Listado!A:A,2):INDEX(Listado!A:A,ROW())&lt;&gt;""),ROW(INDEX(Listado!A:A,2):INDEX(Listado!A:A,ROW()))),""))</f>
        <v/>
      </c>
      <c r="O985" s="17" t="str">
        <f>IFERROR(IF(N985="","",IF(INDEX(Listado!M:M,N985)="No",IF(INDEX(Listado!N:N,N985)=0,"",INDEX(Listado!N:N,N985)),IF(INDEX(Listado!I:I,N985)=0,"",INDEX(Listado!I:I,N985)))),"")</f>
        <v/>
      </c>
      <c r="P985" s="17">
        <f t="shared" ca="1" si="46"/>
        <v/>
      </c>
      <c r="Q985" s="17">
        <f>IFERROR(IF(AND(N985&lt;&gt;"",ISNUMBER(O985),O985&gt;0,O985&gt;=TODAY()-90),1,0),0)</f>
        <v/>
      </c>
      <c r="R985" s="17" t="str">
        <f t="shared" si="48"/>
        <v/>
      </c>
      <c r="S985" s="17" t="str">
        <f>IF(INDEX(Listado!A:A,ROW())="","",INDEX(Listado!A:A,ROW()))</f>
        <v/>
      </c>
      <c r="T985" s="17" t="str">
        <f ca="1">IF(INDEX(Listado!G:G,ROW())="","",INDEX(Listado!G:G,ROW()))</f>
        <v/>
      </c>
      <c r="U985" s="17" t="str">
        <f>IF(INDEX(Listado!F:F,ROW())="","",INDEX(Listado!F:F,ROW()))</f>
        <v/>
      </c>
      <c r="V985" s="17">
        <f>IF(COUNTA(INDEX(Listado!B:B,ROW()):INDEX(Listado!F:F,ROW()))&gt;0,1,0)</f>
        <v/>
      </c>
      <c r="W985" s="17" t="str">
        <f>IF(INDEX(Listado!L:L,ROW())="","",INDEX(Listado!L:L,ROW()))</f>
        <v/>
      </c>
      <c r="X985" s="17">
        <f>IF(N985="","",IF(INDEX(Listado!$M:$M,N985)="No","No","Sí"))</f>
        <v/>
      </c>
    </row>
    <row r="986" spans="2:24" ht="14.25">
      <c r="N986" s="17" t="str">
        <f>IF(V986=0,"",IFERROR(LOOKUP(2,1/(INDEX(Listado!A:A,2):INDEX(Listado!A:A,ROW())&lt;&gt;""),ROW(INDEX(Listado!A:A,2):INDEX(Listado!A:A,ROW()))),""))</f>
        <v/>
      </c>
      <c r="O986" s="17" t="str">
        <f>IFERROR(IF(N986="","",IF(INDEX(Listado!M:M,N986)="No",IF(INDEX(Listado!N:N,N986)=0,"",INDEX(Listado!N:N,N986)),IF(INDEX(Listado!I:I,N986)=0,"",INDEX(Listado!I:I,N986)))),"")</f>
        <v/>
      </c>
      <c r="P986" s="17">
        <f t="shared" ca="1" si="46"/>
        <v/>
      </c>
      <c r="Q986" s="17">
        <f>IFERROR(IF(AND(N986&lt;&gt;"",ISNUMBER(O986),O986&gt;0,O986&gt;=TODAY()-90),1,0),0)</f>
        <v/>
      </c>
      <c r="R986" s="17" t="str">
        <f t="shared" si="48"/>
        <v/>
      </c>
      <c r="S986" s="17" t="str">
        <f>IF(INDEX(Listado!A:A,ROW())="","",INDEX(Listado!A:A,ROW()))</f>
        <v/>
      </c>
      <c r="T986" s="17" t="str">
        <f ca="1">IF(INDEX(Listado!G:G,ROW())="","",INDEX(Listado!G:G,ROW()))</f>
        <v/>
      </c>
      <c r="U986" s="17" t="str">
        <f>IF(INDEX(Listado!F:F,ROW())="","",INDEX(Listado!F:F,ROW()))</f>
        <v/>
      </c>
      <c r="V986" s="17">
        <f>IF(COUNTA(INDEX(Listado!B:B,ROW()):INDEX(Listado!F:F,ROW()))&gt;0,1,0)</f>
        <v/>
      </c>
      <c r="W986" s="17" t="str">
        <f>IF(INDEX(Listado!L:L,ROW())="","",INDEX(Listado!L:L,ROW()))</f>
        <v/>
      </c>
      <c r="X986" s="17">
        <f>IF(N986="","",IF(INDEX(Listado!$M:$M,N986)="No","No","Sí"))</f>
        <v/>
      </c>
    </row>
    <row r="987" spans="2:24" ht="14.25">
      <c r="N987" s="17" t="str">
        <f>IF(V987=0,"",IFERROR(LOOKUP(2,1/(INDEX(Listado!A:A,2):INDEX(Listado!A:A,ROW())&lt;&gt;""),ROW(INDEX(Listado!A:A,2):INDEX(Listado!A:A,ROW()))),""))</f>
        <v/>
      </c>
      <c r="O987" s="17" t="str">
        <f>IFERROR(IF(N987="","",IF(INDEX(Listado!M:M,N987)="No",IF(INDEX(Listado!N:N,N987)=0,"",INDEX(Listado!N:N,N987)),IF(INDEX(Listado!I:I,N987)=0,"",INDEX(Listado!I:I,N987)))),"")</f>
        <v/>
      </c>
      <c r="P987" s="17">
        <f t="shared" ca="1" si="46"/>
        <v/>
      </c>
      <c r="Q987" s="17">
        <f>IFERROR(IF(AND(N987&lt;&gt;"",ISNUMBER(O987),O987&gt;0,O987&gt;=TODAY()-90),1,0),0)</f>
        <v/>
      </c>
      <c r="R987" s="17" t="str">
        <f t="shared" si="48"/>
        <v/>
      </c>
      <c r="S987" s="17" t="str">
        <f>IF(INDEX(Listado!A:A,ROW())="","",INDEX(Listado!A:A,ROW()))</f>
        <v/>
      </c>
      <c r="T987" s="17" t="str">
        <f ca="1">IF(INDEX(Listado!G:G,ROW())="","",INDEX(Listado!G:G,ROW()))</f>
        <v/>
      </c>
      <c r="U987" s="17" t="str">
        <f>IF(INDEX(Listado!F:F,ROW())="","",INDEX(Listado!F:F,ROW()))</f>
        <v/>
      </c>
      <c r="V987" s="17">
        <f>IF(COUNTA(INDEX(Listado!B:B,ROW()):INDEX(Listado!F:F,ROW()))&gt;0,1,0)</f>
        <v/>
      </c>
      <c r="W987" s="17" t="str">
        <f>IF(INDEX(Listado!L:L,ROW())="","",INDEX(Listado!L:L,ROW()))</f>
        <v/>
      </c>
      <c r="X987" s="17">
        <f>IF(N987="","",IF(INDEX(Listado!$M:$M,N987)="No","No","Sí"))</f>
        <v/>
      </c>
    </row>
    <row r="988" spans="2:24" ht="14.25">
      <c r="N988" s="17" t="str">
        <f>IF(V988=0,"",IFERROR(LOOKUP(2,1/(INDEX(Listado!A:A,2):INDEX(Listado!A:A,ROW())&lt;&gt;""),ROW(INDEX(Listado!A:A,2):INDEX(Listado!A:A,ROW()))),""))</f>
        <v/>
      </c>
      <c r="O988" s="17" t="str">
        <f>IFERROR(IF(N988="","",IF(INDEX(Listado!M:M,N988)="No",IF(INDEX(Listado!N:N,N988)=0,"",INDEX(Listado!N:N,N988)),IF(INDEX(Listado!I:I,N988)=0,"",INDEX(Listado!I:I,N988)))),"")</f>
        <v/>
      </c>
      <c r="P988" s="17">
        <f t="shared" ca="1" si="46"/>
        <v/>
      </c>
      <c r="Q988" s="17">
        <f>IFERROR(IF(AND(N988&lt;&gt;"",ISNUMBER(O988),O988&gt;0,O988&gt;=TODAY()-90),1,0),0)</f>
        <v/>
      </c>
      <c r="R988" s="17" t="str">
        <f t="shared" si="48"/>
        <v/>
      </c>
      <c r="S988" s="17" t="str">
        <f>IF(INDEX(Listado!A:A,ROW())="","",INDEX(Listado!A:A,ROW()))</f>
        <v/>
      </c>
      <c r="T988" s="17" t="str">
        <f ca="1">IF(INDEX(Listado!G:G,ROW())="","",INDEX(Listado!G:G,ROW()))</f>
        <v/>
      </c>
      <c r="U988" s="17" t="str">
        <f>IF(INDEX(Listado!F:F,ROW())="","",INDEX(Listado!F:F,ROW()))</f>
        <v/>
      </c>
      <c r="V988" s="17">
        <f>IF(COUNTA(INDEX(Listado!B:B,ROW()):INDEX(Listado!F:F,ROW()))&gt;0,1,0)</f>
        <v/>
      </c>
      <c r="W988" s="17" t="str">
        <f>IF(INDEX(Listado!L:L,ROW())="","",INDEX(Listado!L:L,ROW()))</f>
        <v/>
      </c>
      <c r="X988" s="17">
        <f>IF(N988="","",IF(INDEX(Listado!$M:$M,N988)="No","No","Sí"))</f>
        <v/>
      </c>
    </row>
    <row r="989" spans="2:24" ht="14.25">
      <c r="N989" s="17" t="str">
        <f>IF(V989=0,"",IFERROR(LOOKUP(2,1/(INDEX(Listado!A:A,2):INDEX(Listado!A:A,ROW())&lt;&gt;""),ROW(INDEX(Listado!A:A,2):INDEX(Listado!A:A,ROW()))),""))</f>
        <v/>
      </c>
      <c r="O989" s="17" t="str">
        <f>IFERROR(IF(N989="","",IF(INDEX(Listado!M:M,N989)="No",IF(INDEX(Listado!N:N,N989)=0,"",INDEX(Listado!N:N,N989)),IF(INDEX(Listado!I:I,N989)=0,"",INDEX(Listado!I:I,N989)))),"")</f>
        <v/>
      </c>
      <c r="P989" s="17">
        <f t="shared" ca="1" si="46"/>
        <v/>
      </c>
      <c r="Q989" s="17">
        <f>IFERROR(IF(AND(N989&lt;&gt;"",ISNUMBER(O989),O989&gt;0,O989&gt;=TODAY()-90),1,0),0)</f>
        <v/>
      </c>
      <c r="R989" s="17" t="str">
        <f t="shared" si="48"/>
        <v/>
      </c>
      <c r="S989" s="17" t="str">
        <f>IF(INDEX(Listado!A:A,ROW())="","",INDEX(Listado!A:A,ROW()))</f>
        <v/>
      </c>
      <c r="T989" s="17" t="str">
        <f ca="1">IF(INDEX(Listado!G:G,ROW())="","",INDEX(Listado!G:G,ROW()))</f>
        <v/>
      </c>
      <c r="U989" s="17" t="str">
        <f>IF(INDEX(Listado!F:F,ROW())="","",INDEX(Listado!F:F,ROW()))</f>
        <v/>
      </c>
      <c r="V989" s="17">
        <f>IF(COUNTA(INDEX(Listado!B:B,ROW()):INDEX(Listado!F:F,ROW()))&gt;0,1,0)</f>
        <v/>
      </c>
      <c r="W989" s="17" t="str">
        <f>IF(INDEX(Listado!L:L,ROW())="","",INDEX(Listado!L:L,ROW()))</f>
        <v/>
      </c>
      <c r="X989" s="17">
        <f>IF(N989="","",IF(INDEX(Listado!$M:$M,N989)="No","No","Sí"))</f>
        <v/>
      </c>
    </row>
    <row r="990" spans="2:24" ht="14.25">
      <c r="N990" s="17" t="str">
        <f>IF(V990=0,"",IFERROR(LOOKUP(2,1/(INDEX(Listado!A:A,2):INDEX(Listado!A:A,ROW())&lt;&gt;""),ROW(INDEX(Listado!A:A,2):INDEX(Listado!A:A,ROW()))),""))</f>
        <v/>
      </c>
      <c r="O990" s="17" t="str">
        <f>IFERROR(IF(N990="","",IF(INDEX(Listado!M:M,N990)="No",IF(INDEX(Listado!N:N,N990)=0,"",INDEX(Listado!N:N,N990)),IF(INDEX(Listado!I:I,N990)=0,"",INDEX(Listado!I:I,N990)))),"")</f>
        <v/>
      </c>
      <c r="P990" s="17">
        <f t="shared" ca="1" si="46"/>
        <v/>
      </c>
      <c r="Q990" s="17">
        <f>IFERROR(IF(AND(N990&lt;&gt;"",ISNUMBER(O990),O990&gt;0,O990&gt;=TODAY()-90),1,0),0)</f>
        <v/>
      </c>
      <c r="R990" s="17" t="str">
        <f t="shared" si="48"/>
        <v/>
      </c>
      <c r="S990" s="17" t="str">
        <f>IF(INDEX(Listado!A:A,ROW())="","",INDEX(Listado!A:A,ROW()))</f>
        <v/>
      </c>
      <c r="T990" s="17" t="str">
        <f ca="1">IF(INDEX(Listado!G:G,ROW())="","",INDEX(Listado!G:G,ROW()))</f>
        <v/>
      </c>
      <c r="U990" s="17" t="str">
        <f>IF(INDEX(Listado!F:F,ROW())="","",INDEX(Listado!F:F,ROW()))</f>
        <v/>
      </c>
      <c r="V990" s="17">
        <f>IF(COUNTA(INDEX(Listado!B:B,ROW()):INDEX(Listado!F:F,ROW()))&gt;0,1,0)</f>
        <v/>
      </c>
      <c r="W990" s="17" t="str">
        <f>IF(INDEX(Listado!L:L,ROW())="","",INDEX(Listado!L:L,ROW()))</f>
        <v/>
      </c>
      <c r="X990" s="17">
        <f>IF(N990="","",IF(INDEX(Listado!$M:$M,N990)="No","No","Sí"))</f>
        <v/>
      </c>
    </row>
    <row r="991" spans="2:24" ht="14.25">
      <c r="N991" s="17" t="str">
        <f>IF(V991=0,"",IFERROR(LOOKUP(2,1/(INDEX(Listado!A:A,2):INDEX(Listado!A:A,ROW())&lt;&gt;""),ROW(INDEX(Listado!A:A,2):INDEX(Listado!A:A,ROW()))),""))</f>
        <v/>
      </c>
      <c r="O991" s="17" t="str">
        <f>IFERROR(IF(N991="","",IF(INDEX(Listado!M:M,N991)="No",IF(INDEX(Listado!N:N,N991)=0,"",INDEX(Listado!N:N,N991)),IF(INDEX(Listado!I:I,N991)=0,"",INDEX(Listado!I:I,N991)))),"")</f>
        <v/>
      </c>
      <c r="P991" s="17">
        <f t="shared" ca="1" si="46"/>
        <v/>
      </c>
      <c r="Q991" s="17">
        <f>IFERROR(IF(AND(N991&lt;&gt;"",ISNUMBER(O991),O991&gt;0,O991&gt;=TODAY()-90),1,0),0)</f>
        <v/>
      </c>
      <c r="R991" s="17" t="str">
        <f t="shared" si="48"/>
        <v/>
      </c>
      <c r="S991" s="17" t="str">
        <f>IF(INDEX(Listado!A:A,ROW())="","",INDEX(Listado!A:A,ROW()))</f>
        <v/>
      </c>
      <c r="T991" s="17" t="str">
        <f ca="1">IF(INDEX(Listado!G:G,ROW())="","",INDEX(Listado!G:G,ROW()))</f>
        <v/>
      </c>
      <c r="U991" s="17" t="str">
        <f>IF(INDEX(Listado!F:F,ROW())="","",INDEX(Listado!F:F,ROW()))</f>
        <v/>
      </c>
      <c r="V991" s="17">
        <f>IF(COUNTA(INDEX(Listado!B:B,ROW()):INDEX(Listado!F:F,ROW()))&gt;0,1,0)</f>
        <v/>
      </c>
      <c r="W991" s="17" t="str">
        <f>IF(INDEX(Listado!L:L,ROW())="","",INDEX(Listado!L:L,ROW()))</f>
        <v/>
      </c>
      <c r="X991" s="17">
        <f>IF(N991="","",IF(INDEX(Listado!$M:$M,N991)="No","No","Sí"))</f>
        <v/>
      </c>
    </row>
    <row r="992" spans="2:24" ht="14.25">
      <c r="N992" s="17" t="str">
        <f>IF(V992=0,"",IFERROR(LOOKUP(2,1/(INDEX(Listado!A:A,2):INDEX(Listado!A:A,ROW())&lt;&gt;""),ROW(INDEX(Listado!A:A,2):INDEX(Listado!A:A,ROW()))),""))</f>
        <v/>
      </c>
      <c r="O992" s="17" t="str">
        <f>IFERROR(IF(N992="","",IF(INDEX(Listado!M:M,N992)="No",IF(INDEX(Listado!N:N,N992)=0,"",INDEX(Listado!N:N,N992)),IF(INDEX(Listado!I:I,N992)=0,"",INDEX(Listado!I:I,N992)))),"")</f>
        <v/>
      </c>
      <c r="P992" s="17">
        <f t="shared" ca="1" si="46"/>
        <v/>
      </c>
      <c r="Q992" s="17">
        <f>IFERROR(IF(AND(N992&lt;&gt;"",ISNUMBER(O992),O992&gt;0,O992&gt;=TODAY()-90),1,0),0)</f>
        <v/>
      </c>
      <c r="R992" s="17" t="str">
        <f t="shared" si="48"/>
        <v/>
      </c>
      <c r="S992" s="17" t="str">
        <f>IF(INDEX(Listado!A:A,ROW())="","",INDEX(Listado!A:A,ROW()))</f>
        <v/>
      </c>
      <c r="T992" s="17" t="str">
        <f ca="1">IF(INDEX(Listado!G:G,ROW())="","",INDEX(Listado!G:G,ROW()))</f>
        <v/>
      </c>
      <c r="U992" s="17" t="str">
        <f>IF(INDEX(Listado!F:F,ROW())="","",INDEX(Listado!F:F,ROW()))</f>
        <v/>
      </c>
      <c r="V992" s="17">
        <f>IF(COUNTA(INDEX(Listado!B:B,ROW()):INDEX(Listado!F:F,ROW()))&gt;0,1,0)</f>
        <v/>
      </c>
      <c r="W992" s="17" t="str">
        <f>IF(INDEX(Listado!L:L,ROW())="","",INDEX(Listado!L:L,ROW()))</f>
        <v/>
      </c>
      <c r="X992" s="17">
        <f>IF(N992="","",IF(INDEX(Listado!$M:$M,N992)="No","No","Sí"))</f>
        <v/>
      </c>
    </row>
    <row r="993" spans="2:24" ht="14.25">
      <c r="N993" s="17" t="str">
        <f>IF(V993=0,"",IFERROR(LOOKUP(2,1/(INDEX(Listado!A:A,2):INDEX(Listado!A:A,ROW())&lt;&gt;""),ROW(INDEX(Listado!A:A,2):INDEX(Listado!A:A,ROW()))),""))</f>
        <v/>
      </c>
      <c r="O993" s="17" t="str">
        <f>IFERROR(IF(N993="","",IF(INDEX(Listado!M:M,N993)="No",IF(INDEX(Listado!N:N,N993)=0,"",INDEX(Listado!N:N,N993)),IF(INDEX(Listado!I:I,N993)=0,"",INDEX(Listado!I:I,N993)))),"")</f>
        <v/>
      </c>
      <c r="P993" s="17">
        <f t="shared" ca="1" si="46"/>
        <v/>
      </c>
      <c r="Q993" s="17">
        <f>IFERROR(IF(AND(N993&lt;&gt;"",ISNUMBER(O993),O993&gt;0,O993&gt;=TODAY()-90),1,0),0)</f>
        <v/>
      </c>
      <c r="R993" s="17" t="str">
        <f t="shared" si="48"/>
        <v/>
      </c>
      <c r="S993" s="17" t="str">
        <f>IF(INDEX(Listado!A:A,ROW())="","",INDEX(Listado!A:A,ROW()))</f>
        <v/>
      </c>
      <c r="T993" s="17" t="str">
        <f ca="1">IF(INDEX(Listado!G:G,ROW())="","",INDEX(Listado!G:G,ROW()))</f>
        <v/>
      </c>
      <c r="U993" s="17" t="str">
        <f>IF(INDEX(Listado!F:F,ROW())="","",INDEX(Listado!F:F,ROW()))</f>
        <v/>
      </c>
      <c r="V993" s="17">
        <f>IF(COUNTA(INDEX(Listado!B:B,ROW()):INDEX(Listado!F:F,ROW()))&gt;0,1,0)</f>
        <v/>
      </c>
      <c r="W993" s="17" t="str">
        <f>IF(INDEX(Listado!L:L,ROW())="","",INDEX(Listado!L:L,ROW()))</f>
        <v/>
      </c>
      <c r="X993" s="17">
        <f>IF(N993="","",IF(INDEX(Listado!$M:$M,N993)="No","No","Sí"))</f>
        <v/>
      </c>
    </row>
    <row r="994" spans="2:24" ht="14.25">
      <c r="N994" s="17" t="str">
        <f>IF(V994=0,"",IFERROR(LOOKUP(2,1/(INDEX(Listado!A:A,2):INDEX(Listado!A:A,ROW())&lt;&gt;""),ROW(INDEX(Listado!A:A,2):INDEX(Listado!A:A,ROW()))),""))</f>
        <v/>
      </c>
      <c r="O994" s="17" t="str">
        <f>IFERROR(IF(N994="","",IF(INDEX(Listado!M:M,N994)="No",IF(INDEX(Listado!N:N,N994)=0,"",INDEX(Listado!N:N,N994)),IF(INDEX(Listado!I:I,N994)=0,"",INDEX(Listado!I:I,N994)))),"")</f>
        <v/>
      </c>
      <c r="P994" s="17">
        <f t="shared" ca="1" si="46"/>
        <v/>
      </c>
      <c r="Q994" s="17">
        <f>IFERROR(IF(AND(N994&lt;&gt;"",ISNUMBER(O994),O994&gt;0,O994&gt;=TODAY()-90),1,0),0)</f>
        <v/>
      </c>
      <c r="R994" s="17" t="str">
        <f t="shared" si="48"/>
        <v/>
      </c>
      <c r="S994" s="17" t="str">
        <f>IF(INDEX(Listado!A:A,ROW())="","",INDEX(Listado!A:A,ROW()))</f>
        <v/>
      </c>
      <c r="T994" s="17" t="str">
        <f ca="1">IF(INDEX(Listado!G:G,ROW())="","",INDEX(Listado!G:G,ROW()))</f>
        <v/>
      </c>
      <c r="U994" s="17" t="str">
        <f>IF(INDEX(Listado!F:F,ROW())="","",INDEX(Listado!F:F,ROW()))</f>
        <v/>
      </c>
      <c r="V994" s="17">
        <f>IF(COUNTA(INDEX(Listado!B:B,ROW()):INDEX(Listado!F:F,ROW()))&gt;0,1,0)</f>
        <v/>
      </c>
      <c r="W994" s="17" t="str">
        <f>IF(INDEX(Listado!L:L,ROW())="","",INDEX(Listado!L:L,ROW()))</f>
        <v/>
      </c>
      <c r="X994" s="17">
        <f>IF(N994="","",IF(INDEX(Listado!$M:$M,N994)="No","No","Sí"))</f>
        <v/>
      </c>
    </row>
    <row r="995" spans="2:24" ht="14.25">
      <c r="N995" s="17" t="str">
        <f>IF(V995=0,"",IFERROR(LOOKUP(2,1/(INDEX(Listado!A:A,2):INDEX(Listado!A:A,ROW())&lt;&gt;""),ROW(INDEX(Listado!A:A,2):INDEX(Listado!A:A,ROW()))),""))</f>
        <v/>
      </c>
      <c r="O995" s="17" t="str">
        <f>IFERROR(IF(N995="","",IF(INDEX(Listado!M:M,N995)="No",IF(INDEX(Listado!N:N,N995)=0,"",INDEX(Listado!N:N,N995)),IF(INDEX(Listado!I:I,N995)=0,"",INDEX(Listado!I:I,N995)))),"")</f>
        <v/>
      </c>
      <c r="P995" s="17">
        <f t="shared" ca="1" si="46"/>
        <v/>
      </c>
      <c r="Q995" s="17">
        <f>IFERROR(IF(AND(N995&lt;&gt;"",ISNUMBER(O995),O995&gt;0,O995&gt;=TODAY()-90),1,0),0)</f>
        <v/>
      </c>
      <c r="R995" s="17" t="str">
        <f t="shared" si="48"/>
        <v/>
      </c>
      <c r="S995" s="17" t="str">
        <f>IF(INDEX(Listado!A:A,ROW())="","",INDEX(Listado!A:A,ROW()))</f>
        <v/>
      </c>
      <c r="T995" s="17" t="str">
        <f ca="1">IF(INDEX(Listado!G:G,ROW())="","",INDEX(Listado!G:G,ROW()))</f>
        <v/>
      </c>
      <c r="U995" s="17" t="str">
        <f>IF(INDEX(Listado!F:F,ROW())="","",INDEX(Listado!F:F,ROW()))</f>
        <v/>
      </c>
      <c r="V995" s="17">
        <f>IF(COUNTA(INDEX(Listado!B:B,ROW()):INDEX(Listado!F:F,ROW()))&gt;0,1,0)</f>
        <v/>
      </c>
      <c r="W995" s="17" t="str">
        <f>IF(INDEX(Listado!L:L,ROW())="","",INDEX(Listado!L:L,ROW()))</f>
        <v/>
      </c>
      <c r="X995" s="17">
        <f>IF(N995="","",IF(INDEX(Listado!$M:$M,N995)="No","No","Sí"))</f>
        <v/>
      </c>
    </row>
    <row r="996" spans="2:24" ht="14.25">
      <c r="N996" s="17" t="str">
        <f>IF(V996=0,"",IFERROR(LOOKUP(2,1/(INDEX(Listado!A:A,2):INDEX(Listado!A:A,ROW())&lt;&gt;""),ROW(INDEX(Listado!A:A,2):INDEX(Listado!A:A,ROW()))),""))</f>
        <v/>
      </c>
      <c r="O996" s="17" t="str">
        <f>IFERROR(IF(N996="","",IF(INDEX(Listado!M:M,N996)="No",IF(INDEX(Listado!N:N,N996)=0,"",INDEX(Listado!N:N,N996)),IF(INDEX(Listado!I:I,N996)=0,"",INDEX(Listado!I:I,N996)))),"")</f>
        <v/>
      </c>
      <c r="P996" s="17">
        <f t="shared" ca="1" si="46"/>
        <v/>
      </c>
      <c r="Q996" s="17">
        <f>IFERROR(IF(AND(N996&lt;&gt;"",ISNUMBER(O996),O996&gt;0,O996&gt;=TODAY()-90),1,0),0)</f>
        <v/>
      </c>
      <c r="R996" s="17" t="str">
        <f t="shared" si="48"/>
        <v/>
      </c>
      <c r="S996" s="17" t="str">
        <f>IF(INDEX(Listado!A:A,ROW())="","",INDEX(Listado!A:A,ROW()))</f>
        <v/>
      </c>
      <c r="T996" s="17" t="str">
        <f ca="1">IF(INDEX(Listado!G:G,ROW())="","",INDEX(Listado!G:G,ROW()))</f>
        <v/>
      </c>
      <c r="U996" s="17" t="str">
        <f>IF(INDEX(Listado!F:F,ROW())="","",INDEX(Listado!F:F,ROW()))</f>
        <v/>
      </c>
      <c r="V996" s="17">
        <f>IF(COUNTA(INDEX(Listado!B:B,ROW()):INDEX(Listado!F:F,ROW()))&gt;0,1,0)</f>
        <v/>
      </c>
      <c r="W996" s="17" t="str">
        <f>IF(INDEX(Listado!L:L,ROW())="","",INDEX(Listado!L:L,ROW()))</f>
        <v/>
      </c>
      <c r="X996" s="17">
        <f>IF(N996="","",IF(INDEX(Listado!$M:$M,N996)="No","No","Sí"))</f>
        <v/>
      </c>
    </row>
    <row r="997" spans="2:24" ht="14.25">
      <c r="N997" s="17" t="str">
        <f>IF(V997=0,"",IFERROR(LOOKUP(2,1/(INDEX(Listado!A:A,2):INDEX(Listado!A:A,ROW())&lt;&gt;""),ROW(INDEX(Listado!A:A,2):INDEX(Listado!A:A,ROW()))),""))</f>
        <v/>
      </c>
      <c r="O997" s="17" t="str">
        <f>IFERROR(IF(N997="","",IF(INDEX(Listado!M:M,N997)="No",IF(INDEX(Listado!N:N,N997)=0,"",INDEX(Listado!N:N,N997)),IF(INDEX(Listado!I:I,N997)=0,"",INDEX(Listado!I:I,N997)))),"")</f>
        <v/>
      </c>
      <c r="P997" s="17">
        <f t="shared" ca="1" si="46"/>
        <v/>
      </c>
      <c r="Q997" s="17">
        <f>IFERROR(IF(AND(N997&lt;&gt;"",ISNUMBER(O997),O997&gt;0,O997&gt;=TODAY()-90),1,0),0)</f>
        <v/>
      </c>
      <c r="R997" s="17" t="str">
        <f t="shared" si="48"/>
        <v/>
      </c>
      <c r="S997" s="17" t="str">
        <f>IF(INDEX(Listado!A:A,ROW())="","",INDEX(Listado!A:A,ROW()))</f>
        <v/>
      </c>
      <c r="T997" s="17" t="str">
        <f ca="1">IF(INDEX(Listado!G:G,ROW())="","",INDEX(Listado!G:G,ROW()))</f>
        <v/>
      </c>
      <c r="U997" s="17" t="str">
        <f>IF(INDEX(Listado!F:F,ROW())="","",INDEX(Listado!F:F,ROW()))</f>
        <v/>
      </c>
      <c r="V997" s="17">
        <f>IF(COUNTA(INDEX(Listado!B:B,ROW()):INDEX(Listado!F:F,ROW()))&gt;0,1,0)</f>
        <v/>
      </c>
      <c r="W997" s="17" t="str">
        <f>IF(INDEX(Listado!L:L,ROW())="","",INDEX(Listado!L:L,ROW()))</f>
        <v/>
      </c>
      <c r="X997" s="17">
        <f>IF(N997="","",IF(INDEX(Listado!$M:$M,N997)="No","No","Sí"))</f>
        <v/>
      </c>
    </row>
    <row r="998" spans="2:24" ht="14.25">
      <c r="N998" s="17" t="str">
        <f>IF(V998=0,"",IFERROR(LOOKUP(2,1/(INDEX(Listado!A:A,2):INDEX(Listado!A:A,ROW())&lt;&gt;""),ROW(INDEX(Listado!A:A,2):INDEX(Listado!A:A,ROW()))),""))</f>
        <v/>
      </c>
      <c r="O998" s="17" t="str">
        <f>IFERROR(IF(N998="","",IF(INDEX(Listado!M:M,N998)="No",IF(INDEX(Listado!N:N,N998)=0,"",INDEX(Listado!N:N,N998)),IF(INDEX(Listado!I:I,N998)=0,"",INDEX(Listado!I:I,N998)))),"")</f>
        <v/>
      </c>
      <c r="P998" s="17">
        <f t="shared" ca="1" si="46"/>
        <v/>
      </c>
      <c r="Q998" s="17">
        <f>IFERROR(IF(AND(N998&lt;&gt;"",ISNUMBER(O998),O998&gt;0,O998&gt;=TODAY()-90),1,0),0)</f>
        <v/>
      </c>
      <c r="R998" s="17" t="str">
        <f t="shared" si="48"/>
        <v/>
      </c>
      <c r="S998" s="17" t="str">
        <f>IF(INDEX(Listado!A:A,ROW())="","",INDEX(Listado!A:A,ROW()))</f>
        <v/>
      </c>
      <c r="T998" s="17" t="str">
        <f ca="1">IF(INDEX(Listado!G:G,ROW())="","",INDEX(Listado!G:G,ROW()))</f>
        <v/>
      </c>
      <c r="U998" s="17" t="str">
        <f>IF(INDEX(Listado!F:F,ROW())="","",INDEX(Listado!F:F,ROW()))</f>
        <v/>
      </c>
      <c r="V998" s="17">
        <f>IF(COUNTA(INDEX(Listado!B:B,ROW()):INDEX(Listado!F:F,ROW()))&gt;0,1,0)</f>
        <v/>
      </c>
      <c r="W998" s="17" t="str">
        <f>IF(INDEX(Listado!L:L,ROW())="","",INDEX(Listado!L:L,ROW()))</f>
        <v/>
      </c>
      <c r="X998" s="17">
        <f>IF(N998="","",IF(INDEX(Listado!$M:$M,N998)="No","No","Sí"))</f>
        <v/>
      </c>
    </row>
    <row r="999" spans="2:24" ht="14.25">
      <c r="N999" s="17" t="str">
        <f>IF(V999=0,"",IFERROR(LOOKUP(2,1/(INDEX(Listado!A:A,2):INDEX(Listado!A:A,ROW())&lt;&gt;""),ROW(INDEX(Listado!A:A,2):INDEX(Listado!A:A,ROW()))),""))</f>
        <v/>
      </c>
      <c r="O999" s="17" t="str">
        <f>IFERROR(IF(N999="","",IF(INDEX(Listado!M:M,N999)="No",IF(INDEX(Listado!N:N,N999)=0,"",INDEX(Listado!N:N,N999)),IF(INDEX(Listado!I:I,N999)=0,"",INDEX(Listado!I:I,N999)))),"")</f>
        <v/>
      </c>
      <c r="P999" s="17">
        <f t="shared" ca="1" si="46"/>
        <v/>
      </c>
      <c r="Q999" s="17">
        <f>IFERROR(IF(AND(N999&lt;&gt;"",ISNUMBER(O999),O999&gt;0,O999&gt;=TODAY()-90),1,0),0)</f>
        <v/>
      </c>
      <c r="R999" s="17" t="str">
        <f t="shared" si="48"/>
        <v/>
      </c>
      <c r="S999" s="17" t="str">
        <f>IF(INDEX(Listado!A:A,ROW())="","",INDEX(Listado!A:A,ROW()))</f>
        <v/>
      </c>
      <c r="T999" s="17" t="str">
        <f ca="1">IF(INDEX(Listado!G:G,ROW())="","",INDEX(Listado!G:G,ROW()))</f>
        <v/>
      </c>
      <c r="U999" s="17" t="str">
        <f>IF(INDEX(Listado!F:F,ROW())="","",INDEX(Listado!F:F,ROW()))</f>
        <v/>
      </c>
      <c r="V999" s="17">
        <f>IF(COUNTA(INDEX(Listado!B:B,ROW()):INDEX(Listado!F:F,ROW()))&gt;0,1,0)</f>
        <v/>
      </c>
      <c r="W999" s="17" t="str">
        <f>IF(INDEX(Listado!L:L,ROW())="","",INDEX(Listado!L:L,ROW()))</f>
        <v/>
      </c>
      <c r="X999" s="17">
        <f>IF(N999="","",IF(INDEX(Listado!$M:$M,N999)="No","No","Sí"))</f>
        <v/>
      </c>
    </row>
    <row r="1000" spans="2:24" ht="14.25">
      <c r="N1000" s="17" t="str">
        <f>IF(V1000=0,"",IFERROR(LOOKUP(2,1/(INDEX(Listado!A:A,2):INDEX(Listado!A:A,ROW())&lt;&gt;""),ROW(INDEX(Listado!A:A,2):INDEX(Listado!A:A,ROW()))),""))</f>
        <v/>
      </c>
      <c r="O1000" s="17" t="str">
        <f>IFERROR(IF(N1000="","",IF(INDEX(Listado!M:M,N1000)="No",IF(INDEX(Listado!N:N,N1000)=0,"",INDEX(Listado!N:N,N1000)),IF(INDEX(Listado!I:I,N1000)=0,"",INDEX(Listado!I:I,N1000)))),"")</f>
        <v/>
      </c>
      <c r="P1000" s="17">
        <f t="shared" ca="1" si="46"/>
        <v/>
      </c>
      <c r="Q1000" s="17">
        <f>IFERROR(IF(AND(N1000&lt;&gt;"",ISNUMBER(O1000),O1000&gt;0,O1000&gt;=TODAY()-90),1,0),0)</f>
        <v/>
      </c>
      <c r="R1000" s="17" t="str">
        <f t="shared" si="48"/>
        <v/>
      </c>
      <c r="S1000" s="17" t="str">
        <f>IF(INDEX(Listado!A:A,ROW())="","",INDEX(Listado!A:A,ROW()))</f>
        <v/>
      </c>
      <c r="T1000" s="17" t="str">
        <f ca="1">IF(INDEX(Listado!G:G,ROW())="","",INDEX(Listado!G:G,ROW()))</f>
        <v/>
      </c>
      <c r="U1000" s="17" t="str">
        <f>IF(INDEX(Listado!F:F,ROW())="","",INDEX(Listado!F:F,ROW()))</f>
        <v/>
      </c>
      <c r="V1000" s="17">
        <f>IF(COUNTA(INDEX(Listado!B:B,ROW()):INDEX(Listado!F:F,ROW()))&gt;0,1,0)</f>
        <v/>
      </c>
      <c r="W1000" s="17" t="str">
        <f>IF(INDEX(Listado!L:L,ROW())="","",INDEX(Listado!L:L,ROW()))</f>
        <v/>
      </c>
      <c r="X1000" s="17">
        <f>IF(N1000="","",IF(INDEX(Listado!$M:$M,N1000)="No","No","Sí"))</f>
        <v/>
      </c>
    </row>
    <row r="1001" spans="2:24" ht="14.25">
      <c r="N1001" s="17" t="str">
        <f>IF(V1001=0,"",IFERROR(LOOKUP(2,1/(INDEX(Listado!A:A,2):INDEX(Listado!A:A,ROW())&lt;&gt;""),ROW(INDEX(Listado!A:A,2):INDEX(Listado!A:A,ROW()))),""))</f>
        <v/>
      </c>
      <c r="O1001" s="17" t="str">
        <f>IFERROR(IF(N1001="","",IF(INDEX(Listado!M:M,N1001)="No",IF(INDEX(Listado!N:N,N1001)=0,"",INDEX(Listado!N:N,N1001)),IF(INDEX(Listado!I:I,N1001)=0,"",INDEX(Listado!I:I,N1001)))),"")</f>
        <v/>
      </c>
      <c r="P1001" s="17">
        <f t="shared" ca="1" si="46"/>
        <v/>
      </c>
      <c r="Q1001" s="17">
        <f>IFERROR(IF(AND(N1001&lt;&gt;"",ISNUMBER(O1001),O1001&gt;0,O1001&gt;=TODAY()-90),1,0),0)</f>
        <v/>
      </c>
      <c r="R1001" s="17" t="str">
        <f t="shared" si="48"/>
        <v/>
      </c>
      <c r="S1001" s="17" t="str">
        <f>IF(INDEX(Listado!A:A,ROW())="","",INDEX(Listado!A:A,ROW()))</f>
        <v/>
      </c>
      <c r="T1001" s="17" t="str">
        <f ca="1">IF(INDEX(Listado!G:G,ROW())="","",INDEX(Listado!G:G,ROW()))</f>
        <v/>
      </c>
      <c r="U1001" s="17" t="str">
        <f>IF(INDEX(Listado!F:F,ROW())="","",INDEX(Listado!F:F,ROW()))</f>
        <v/>
      </c>
      <c r="V1001" s="17">
        <f>IF(COUNTA(INDEX(Listado!B:B,ROW()):INDEX(Listado!F:F,ROW()))&gt;0,1,0)</f>
        <v/>
      </c>
      <c r="W1001" s="17" t="str">
        <f>IF(INDEX(Listado!L:L,ROW())="","",INDEX(Listado!L:L,ROW()))</f>
        <v/>
      </c>
      <c r="X1001" s="17">
        <f>IF(N1001="","",IF(INDEX(Listado!$M:$M,N1001)="No","No","Sí"))</f>
        <v/>
      </c>
    </row>
    <row r="1002" spans="2:24" ht="14.25">
      <c r="N1002" s="17" t="str">
        <f>IF(V1002=0,"",IFERROR(LOOKUP(2,1/(INDEX(Listado!A:A,2):INDEX(Listado!A:A,ROW())&lt;&gt;""),ROW(INDEX(Listado!A:A,2):INDEX(Listado!A:A,ROW()))),""))</f>
        <v/>
      </c>
      <c r="O1002" s="17" t="str">
        <f>IFERROR(IF(N1002="","",IF(INDEX(Listado!M:M,N1002)="No",IF(INDEX(Listado!N:N,N1002)=0,"",INDEX(Listado!N:N,N1002)),IF(INDEX(Listado!I:I,N1002)=0,"",INDEX(Listado!I:I,N1002)))),"")</f>
        <v/>
      </c>
      <c r="P1002" s="17">
        <f t="shared" ca="1" si="46"/>
        <v/>
      </c>
      <c r="Q1002" s="17">
        <f>IFERROR(IF(AND(N1002&lt;&gt;"",ISNUMBER(O1002),O1002&gt;0,O1002&gt;=TODAY()-90),1,0),0)</f>
        <v/>
      </c>
      <c r="R1002" s="17" t="str">
        <f t="shared" si="48"/>
        <v/>
      </c>
      <c r="S1002" s="17" t="str">
        <f>IF(INDEX(Listado!A:A,ROW())="","",INDEX(Listado!A:A,ROW()))</f>
        <v/>
      </c>
      <c r="T1002" s="17" t="str">
        <f ca="1">IF(INDEX(Listado!G:G,ROW())="","",INDEX(Listado!G:G,ROW()))</f>
        <v/>
      </c>
      <c r="U1002" s="17" t="str">
        <f>IF(INDEX(Listado!F:F,ROW())="","",INDEX(Listado!F:F,ROW()))</f>
        <v/>
      </c>
      <c r="V1002" s="17">
        <f>IF(COUNTA(INDEX(Listado!B:B,ROW()):INDEX(Listado!F:F,ROW()))&gt;0,1,0)</f>
        <v/>
      </c>
      <c r="W1002" s="17" t="str">
        <f>IF(INDEX(Listado!L:L,ROW())="","",INDEX(Listado!L:L,ROW()))</f>
        <v/>
      </c>
      <c r="X1002" s="17">
        <f>IF(N1002="","",IF(INDEX(Listado!$M:$M,N1002)="No","No","Sí"))</f>
        <v/>
      </c>
    </row>
    <row r="1003" spans="2:24" ht="14.25">
      <c r="N1003" s="17" t="str">
        <f>IF(V1003=0,"",IFERROR(LOOKUP(2,1/(INDEX(Listado!A:A,2):INDEX(Listado!A:A,ROW())&lt;&gt;""),ROW(INDEX(Listado!A:A,2):INDEX(Listado!A:A,ROW()))),""))</f>
        <v/>
      </c>
      <c r="O1003" s="17" t="str">
        <f>IFERROR(IF(N1003="","",IF(INDEX(Listado!M:M,N1003)="No",IF(INDEX(Listado!N:N,N1003)=0,"",INDEX(Listado!N:N,N1003)),IF(INDEX(Listado!I:I,N1003)=0,"",INDEX(Listado!I:I,N1003)))),"")</f>
        <v/>
      </c>
      <c r="P1003" s="17">
        <f t="shared" ca="1" si="46"/>
        <v/>
      </c>
      <c r="Q1003" s="17">
        <f>IFERROR(IF(AND(N1003&lt;&gt;"",ISNUMBER(O1003),O1003&gt;0,O1003&gt;=TODAY()-90),1,0),0)</f>
        <v/>
      </c>
      <c r="R1003" s="17" t="str">
        <f t="shared" si="48"/>
        <v/>
      </c>
      <c r="S1003" s="17" t="str">
        <f>IF(INDEX(Listado!A:A,ROW())="","",INDEX(Listado!A:A,ROW()))</f>
        <v/>
      </c>
      <c r="T1003" s="17" t="str">
        <f ca="1">IF(INDEX(Listado!G:G,ROW())="","",INDEX(Listado!G:G,ROW()))</f>
        <v/>
      </c>
      <c r="U1003" s="17" t="str">
        <f>IF(INDEX(Listado!F:F,ROW())="","",INDEX(Listado!F:F,ROW()))</f>
        <v/>
      </c>
      <c r="V1003" s="17">
        <f>IF(COUNTA(INDEX(Listado!B:B,ROW()):INDEX(Listado!F:F,ROW()))&gt;0,1,0)</f>
        <v/>
      </c>
      <c r="W1003" s="17" t="str">
        <f>IF(INDEX(Listado!L:L,ROW())="","",INDEX(Listado!L:L,ROW()))</f>
        <v/>
      </c>
      <c r="X1003" s="17">
        <f>IF(N1003="","",IF(INDEX(Listado!$M:$M,N1003)="No","No","Sí"))</f>
        <v/>
      </c>
    </row>
    <row r="1004" spans="2:24" ht="14.25">
      <c r="N1004" s="17" t="str">
        <f>IF(V1004=0,"",IFERROR(LOOKUP(2,1/(INDEX(Listado!A:A,2):INDEX(Listado!A:A,ROW())&lt;&gt;""),ROW(INDEX(Listado!A:A,2):INDEX(Listado!A:A,ROW()))),""))</f>
        <v/>
      </c>
      <c r="O1004" s="17" t="str">
        <f>IFERROR(IF(N1004="","",IF(INDEX(Listado!M:M,N1004)="No",IF(INDEX(Listado!N:N,N1004)=0,"",INDEX(Listado!N:N,N1004)),IF(INDEX(Listado!I:I,N1004)=0,"",INDEX(Listado!I:I,N1004)))),"")</f>
        <v/>
      </c>
      <c r="P1004" s="17">
        <f t="shared" ca="1" si="46"/>
        <v/>
      </c>
      <c r="Q1004" s="17">
        <f>IFERROR(IF(AND(N1004&lt;&gt;"",ISNUMBER(O1004),O1004&gt;0,O1004&gt;=TODAY()-90),1,0),0)</f>
        <v/>
      </c>
      <c r="R1004" s="17" t="str">
        <f t="shared" si="48"/>
        <v/>
      </c>
      <c r="S1004" s="17" t="str">
        <f>IF(INDEX(Listado!A:A,ROW())="","",INDEX(Listado!A:A,ROW()))</f>
        <v/>
      </c>
      <c r="T1004" s="17" t="str">
        <f ca="1">IF(INDEX(Listado!G:G,ROW())="","",INDEX(Listado!G:G,ROW()))</f>
        <v/>
      </c>
      <c r="U1004" s="17" t="str">
        <f>IF(INDEX(Listado!F:F,ROW())="","",INDEX(Listado!F:F,ROW()))</f>
        <v/>
      </c>
      <c r="V1004" s="17">
        <f>IF(COUNTA(INDEX(Listado!B:B,ROW()):INDEX(Listado!F:F,ROW()))&gt;0,1,0)</f>
        <v/>
      </c>
      <c r="W1004" s="17" t="str">
        <f>IF(INDEX(Listado!L:L,ROW())="","",INDEX(Listado!L:L,ROW()))</f>
        <v/>
      </c>
      <c r="X1004" s="17">
        <f>IF(N1004="","",IF(INDEX(Listado!$M:$M,N1004)="No","No","Sí"))</f>
        <v/>
      </c>
    </row>
    <row r="1005" spans="2:24" ht="14.25">
      <c r="N1005" s="17" t="str">
        <f>IF(V1005=0,"",IFERROR(LOOKUP(2,1/(INDEX(Listado!A:A,2):INDEX(Listado!A:A,ROW())&lt;&gt;""),ROW(INDEX(Listado!A:A,2):INDEX(Listado!A:A,ROW()))),""))</f>
        <v/>
      </c>
      <c r="O1005" s="17" t="str">
        <f>IFERROR(IF(N1005="","",IF(INDEX(Listado!M:M,N1005)="No",IF(INDEX(Listado!N:N,N1005)=0,"",INDEX(Listado!N:N,N1005)),IF(INDEX(Listado!I:I,N1005)=0,"",INDEX(Listado!I:I,N1005)))),"")</f>
        <v/>
      </c>
      <c r="P1005" s="17">
        <f t="shared" ca="1" si="46"/>
        <v/>
      </c>
      <c r="Q1005" s="17">
        <f>IFERROR(IF(AND(N1005&lt;&gt;"",ISNUMBER(O1005),O1005&gt;0,O1005&gt;=TODAY()-90),1,0),0)</f>
        <v/>
      </c>
      <c r="R1005" s="17" t="str">
        <f t="shared" si="48"/>
        <v/>
      </c>
      <c r="S1005" s="17" t="str">
        <f>IF(INDEX(Listado!A:A,ROW())="","",INDEX(Listado!A:A,ROW()))</f>
        <v/>
      </c>
      <c r="T1005" s="17" t="str">
        <f ca="1">IF(INDEX(Listado!G:G,ROW())="","",INDEX(Listado!G:G,ROW()))</f>
        <v/>
      </c>
      <c r="U1005" s="17" t="str">
        <f>IF(INDEX(Listado!F:F,ROW())="","",INDEX(Listado!F:F,ROW()))</f>
        <v/>
      </c>
      <c r="V1005" s="17">
        <f>IF(COUNTA(INDEX(Listado!B:B,ROW()):INDEX(Listado!F:F,ROW()))&gt;0,1,0)</f>
        <v/>
      </c>
      <c r="W1005" s="17" t="str">
        <f>IF(INDEX(Listado!L:L,ROW())="","",INDEX(Listado!L:L,ROW()))</f>
        <v/>
      </c>
      <c r="X1005" s="17">
        <f>IF(N1005="","",IF(INDEX(Listado!$M:$M,N1005)="No","No","Sí"))</f>
        <v/>
      </c>
    </row>
    <row r="1006" spans="2:24" ht="14.25">
      <c r="N1006" s="17" t="str">
        <f>IF(V1006=0,"",IFERROR(LOOKUP(2,1/(INDEX(Listado!A:A,2):INDEX(Listado!A:A,ROW())&lt;&gt;""),ROW(INDEX(Listado!A:A,2):INDEX(Listado!A:A,ROW()))),""))</f>
        <v/>
      </c>
      <c r="O1006" s="17" t="str">
        <f>IFERROR(IF(N1006="","",IF(INDEX(Listado!M:M,N1006)="No",IF(INDEX(Listado!N:N,N1006)=0,"",INDEX(Listado!N:N,N1006)),IF(INDEX(Listado!I:I,N1006)=0,"",INDEX(Listado!I:I,N1006)))),"")</f>
        <v/>
      </c>
      <c r="P1006" s="17">
        <f t="shared" ca="1" si="46"/>
        <v/>
      </c>
      <c r="Q1006" s="17">
        <f>IFERROR(IF(AND(N1006&lt;&gt;"",ISNUMBER(O1006),O1006&gt;0,O1006&gt;=TODAY()-90),1,0),0)</f>
        <v/>
      </c>
      <c r="R1006" s="17" t="str">
        <f t="shared" si="48"/>
        <v/>
      </c>
      <c r="S1006" s="17" t="str">
        <f>IF(INDEX(Listado!A:A,ROW())="","",INDEX(Listado!A:A,ROW()))</f>
        <v/>
      </c>
      <c r="T1006" s="17" t="str">
        <f ca="1">IF(INDEX(Listado!G:G,ROW())="","",INDEX(Listado!G:G,ROW()))</f>
        <v/>
      </c>
      <c r="U1006" s="17" t="str">
        <f>IF(INDEX(Listado!F:F,ROW())="","",INDEX(Listado!F:F,ROW()))</f>
        <v/>
      </c>
      <c r="V1006" s="17">
        <f>IF(COUNTA(INDEX(Listado!B:B,ROW()):INDEX(Listado!F:F,ROW()))&gt;0,1,0)</f>
        <v/>
      </c>
      <c r="W1006" s="17" t="str">
        <f>IF(INDEX(Listado!L:L,ROW())="","",INDEX(Listado!L:L,ROW()))</f>
        <v/>
      </c>
      <c r="X1006" s="17">
        <f>IF(N1006="","",IF(INDEX(Listado!$M:$M,N1006)="No","No","Sí"))</f>
        <v/>
      </c>
    </row>
    <row r="1007" spans="2:24" ht="14.25">
      <c r="N1007" s="17" t="str">
        <f>IF(V1007=0,"",IFERROR(LOOKUP(2,1/(INDEX(Listado!A:A,2):INDEX(Listado!A:A,ROW())&lt;&gt;""),ROW(INDEX(Listado!A:A,2):INDEX(Listado!A:A,ROW()))),""))</f>
        <v/>
      </c>
      <c r="O1007" s="17" t="str">
        <f>IFERROR(IF(N1007="","",IF(INDEX(Listado!M:M,N1007)="No",IF(INDEX(Listado!N:N,N1007)=0,"",INDEX(Listado!N:N,N1007)),IF(INDEX(Listado!I:I,N1007)=0,"",INDEX(Listado!I:I,N1007)))),"")</f>
        <v/>
      </c>
      <c r="P1007" s="17">
        <f t="shared" ca="1" si="46"/>
        <v/>
      </c>
      <c r="Q1007" s="17">
        <f>IFERROR(IF(AND(N1007&lt;&gt;"",ISNUMBER(O1007),O1007&gt;0,O1007&gt;=TODAY()-90),1,0),0)</f>
        <v/>
      </c>
      <c r="R1007" s="17" t="str">
        <f t="shared" si="48"/>
        <v/>
      </c>
      <c r="S1007" s="17" t="str">
        <f>IF(INDEX(Listado!A:A,ROW())="","",INDEX(Listado!A:A,ROW()))</f>
        <v/>
      </c>
      <c r="T1007" s="17" t="str">
        <f ca="1">IF(INDEX(Listado!G:G,ROW())="","",INDEX(Listado!G:G,ROW()))</f>
        <v/>
      </c>
      <c r="U1007" s="17" t="str">
        <f>IF(INDEX(Listado!F:F,ROW())="","",INDEX(Listado!F:F,ROW()))</f>
        <v/>
      </c>
      <c r="V1007" s="17">
        <f>IF(COUNTA(INDEX(Listado!B:B,ROW()):INDEX(Listado!F:F,ROW()))&gt;0,1,0)</f>
        <v/>
      </c>
      <c r="W1007" s="17" t="str">
        <f>IF(INDEX(Listado!L:L,ROW())="","",INDEX(Listado!L:L,ROW()))</f>
        <v/>
      </c>
      <c r="X1007" s="17">
        <f>IF(N1007="","",IF(INDEX(Listado!$M:$M,N1007)="No","No","Sí"))</f>
        <v/>
      </c>
    </row>
    <row r="1008" spans="2:24" ht="14.25">
      <c r="N1008" s="17" t="str">
        <f>IF(V1008=0,"",IFERROR(LOOKUP(2,1/(INDEX(Listado!A:A,2):INDEX(Listado!A:A,ROW())&lt;&gt;""),ROW(INDEX(Listado!A:A,2):INDEX(Listado!A:A,ROW()))),""))</f>
        <v/>
      </c>
      <c r="O1008" s="17" t="str">
        <f>IFERROR(IF(N1008="","",IF(INDEX(Listado!M:M,N1008)="No",IF(INDEX(Listado!N:N,N1008)=0,"",INDEX(Listado!N:N,N1008)),IF(INDEX(Listado!I:I,N1008)=0,"",INDEX(Listado!I:I,N1008)))),"")</f>
        <v/>
      </c>
      <c r="P1008" s="17">
        <f t="shared" ca="1" si="46"/>
        <v/>
      </c>
      <c r="Q1008" s="17">
        <f>IFERROR(IF(AND(N1008&lt;&gt;"",ISNUMBER(O1008),O1008&gt;0,O1008&gt;=TODAY()-90),1,0),0)</f>
        <v/>
      </c>
      <c r="R1008" s="17" t="str">
        <f t="shared" si="48"/>
        <v/>
      </c>
      <c r="S1008" s="17" t="str">
        <f>IF(INDEX(Listado!A:A,ROW())="","",INDEX(Listado!A:A,ROW()))</f>
        <v/>
      </c>
      <c r="T1008" s="17" t="str">
        <f ca="1">IF(INDEX(Listado!G:G,ROW())="","",INDEX(Listado!G:G,ROW()))</f>
        <v/>
      </c>
      <c r="U1008" s="17" t="str">
        <f>IF(INDEX(Listado!F:F,ROW())="","",INDEX(Listado!F:F,ROW()))</f>
        <v/>
      </c>
      <c r="V1008" s="17">
        <f>IF(COUNTA(INDEX(Listado!B:B,ROW()):INDEX(Listado!F:F,ROW()))&gt;0,1,0)</f>
        <v/>
      </c>
      <c r="W1008" s="17" t="str">
        <f>IF(INDEX(Listado!L:L,ROW())="","",INDEX(Listado!L:L,ROW()))</f>
        <v/>
      </c>
      <c r="X1008" s="17">
        <f>IF(N1008="","",IF(INDEX(Listado!$M:$M,N1008)="No","No","Sí"))</f>
        <v/>
      </c>
    </row>
    <row r="1009" spans="2:24" ht="14.25">
      <c r="N1009" s="17" t="str">
        <f>IF(V1009=0,"",IFERROR(LOOKUP(2,1/(INDEX(Listado!A:A,2):INDEX(Listado!A:A,ROW())&lt;&gt;""),ROW(INDEX(Listado!A:A,2):INDEX(Listado!A:A,ROW()))),""))</f>
        <v/>
      </c>
      <c r="O1009" s="17" t="str">
        <f>IFERROR(IF(N1009="","",IF(INDEX(Listado!M:M,N1009)="No",IF(INDEX(Listado!N:N,N1009)=0,"",INDEX(Listado!N:N,N1009)),IF(INDEX(Listado!I:I,N1009)=0,"",INDEX(Listado!I:I,N1009)))),"")</f>
        <v/>
      </c>
      <c r="P1009" s="17">
        <f t="shared" ca="1" si="46"/>
        <v/>
      </c>
      <c r="Q1009" s="17">
        <f>IFERROR(IF(AND(N1009&lt;&gt;"",ISNUMBER(O1009),O1009&gt;0,O1009&gt;=TODAY()-90),1,0),0)</f>
        <v/>
      </c>
      <c r="R1009" s="17" t="str">
        <f t="shared" si="48"/>
        <v/>
      </c>
      <c r="S1009" s="17" t="str">
        <f>IF(INDEX(Listado!A:A,ROW())="","",INDEX(Listado!A:A,ROW()))</f>
        <v/>
      </c>
      <c r="T1009" s="17" t="str">
        <f ca="1">IF(INDEX(Listado!G:G,ROW())="","",INDEX(Listado!G:G,ROW()))</f>
        <v/>
      </c>
      <c r="U1009" s="17" t="str">
        <f>IF(INDEX(Listado!F:F,ROW())="","",INDEX(Listado!F:F,ROW()))</f>
        <v/>
      </c>
      <c r="V1009" s="17">
        <f>IF(COUNTA(INDEX(Listado!B:B,ROW()):INDEX(Listado!F:F,ROW()))&gt;0,1,0)</f>
        <v/>
      </c>
      <c r="W1009" s="17" t="str">
        <f>IF(INDEX(Listado!L:L,ROW())="","",INDEX(Listado!L:L,ROW()))</f>
        <v/>
      </c>
      <c r="X1009" s="17">
        <f>IF(N1009="","",IF(INDEX(Listado!$M:$M,N1009)="No","No","Sí"))</f>
        <v/>
      </c>
    </row>
    <row r="1010" spans="2:24" ht="14.25">
      <c r="N1010" s="17" t="str">
        <f>IF(V1010=0,"",IFERROR(LOOKUP(2,1/(INDEX(Listado!A:A,2):INDEX(Listado!A:A,ROW())&lt;&gt;""),ROW(INDEX(Listado!A:A,2):INDEX(Listado!A:A,ROW()))),""))</f>
        <v/>
      </c>
      <c r="O1010" s="17" t="str">
        <f>IFERROR(IF(N1010="","",IF(INDEX(Listado!M:M,N1010)="No",IF(INDEX(Listado!N:N,N1010)=0,"",INDEX(Listado!N:N,N1010)),IF(INDEX(Listado!I:I,N1010)=0,"",INDEX(Listado!I:I,N1010)))),"")</f>
        <v/>
      </c>
      <c r="P1010" s="17">
        <f t="shared" ca="1" si="46"/>
        <v/>
      </c>
      <c r="Q1010" s="17">
        <f>IFERROR(IF(AND(N1010&lt;&gt;"",ISNUMBER(O1010),O1010&gt;0,O1010&gt;=TODAY()-90),1,0),0)</f>
        <v/>
      </c>
      <c r="R1010" s="17" t="str">
        <f t="shared" si="48"/>
        <v/>
      </c>
      <c r="S1010" s="17" t="str">
        <f>IF(INDEX(Listado!A:A,ROW())="","",INDEX(Listado!A:A,ROW()))</f>
        <v/>
      </c>
      <c r="T1010" s="17" t="str">
        <f ca="1">IF(INDEX(Listado!G:G,ROW())="","",INDEX(Listado!G:G,ROW()))</f>
        <v/>
      </c>
      <c r="U1010" s="17" t="str">
        <f>IF(INDEX(Listado!F:F,ROW())="","",INDEX(Listado!F:F,ROW()))</f>
        <v/>
      </c>
      <c r="V1010" s="17">
        <f>IF(COUNTA(INDEX(Listado!B:B,ROW()):INDEX(Listado!F:F,ROW()))&gt;0,1,0)</f>
        <v/>
      </c>
      <c r="W1010" s="17" t="str">
        <f>IF(INDEX(Listado!L:L,ROW())="","",INDEX(Listado!L:L,ROW()))</f>
        <v/>
      </c>
      <c r="X1010" s="17">
        <f>IF(N1010="","",IF(INDEX(Listado!$M:$M,N1010)="No","No","Sí"))</f>
        <v/>
      </c>
    </row>
    <row r="1011" spans="2:24" ht="14.25">
      <c r="N1011" s="17" t="str">
        <f>IF(V1011=0,"",IFERROR(LOOKUP(2,1/(INDEX(Listado!A:A,2):INDEX(Listado!A:A,ROW())&lt;&gt;""),ROW(INDEX(Listado!A:A,2):INDEX(Listado!A:A,ROW()))),""))</f>
        <v/>
      </c>
      <c r="O1011" s="17" t="str">
        <f>IFERROR(IF(N1011="","",IF(INDEX(Listado!M:M,N1011)="No",IF(INDEX(Listado!N:N,N1011)=0,"",INDEX(Listado!N:N,N1011)),IF(INDEX(Listado!I:I,N1011)=0,"",INDEX(Listado!I:I,N1011)))),"")</f>
        <v/>
      </c>
      <c r="P1011" s="17">
        <f t="shared" ca="1" si="46"/>
        <v/>
      </c>
      <c r="Q1011" s="17">
        <f>IFERROR(IF(AND(N1011&lt;&gt;"",ISNUMBER(O1011),O1011&gt;0,O1011&gt;=TODAY()-90),1,0),0)</f>
        <v/>
      </c>
      <c r="R1011" s="17" t="str">
        <f t="shared" si="48"/>
        <v/>
      </c>
      <c r="S1011" s="17" t="str">
        <f>IF(INDEX(Listado!A:A,ROW())="","",INDEX(Listado!A:A,ROW()))</f>
        <v/>
      </c>
      <c r="T1011" s="17" t="str">
        <f ca="1">IF(INDEX(Listado!G:G,ROW())="","",INDEX(Listado!G:G,ROW()))</f>
        <v/>
      </c>
      <c r="U1011" s="17" t="str">
        <f>IF(INDEX(Listado!F:F,ROW())="","",INDEX(Listado!F:F,ROW()))</f>
        <v/>
      </c>
      <c r="V1011" s="17">
        <f>IF(COUNTA(INDEX(Listado!B:B,ROW()):INDEX(Listado!F:F,ROW()))&gt;0,1,0)</f>
        <v/>
      </c>
      <c r="W1011" s="17" t="str">
        <f>IF(INDEX(Listado!L:L,ROW())="","",INDEX(Listado!L:L,ROW()))</f>
        <v/>
      </c>
      <c r="X1011" s="17">
        <f>IF(N1011="","",IF(INDEX(Listado!$M:$M,N1011)="No","No","Sí"))</f>
        <v/>
      </c>
    </row>
    <row r="1012" spans="2:24" ht="14.25">
      <c r="N1012" s="17" t="str">
        <f>IF(V1012=0,"",IFERROR(LOOKUP(2,1/(INDEX(Listado!A:A,2):INDEX(Listado!A:A,ROW())&lt;&gt;""),ROW(INDEX(Listado!A:A,2):INDEX(Listado!A:A,ROW()))),""))</f>
        <v/>
      </c>
      <c r="O1012" s="17" t="str">
        <f>IFERROR(IF(N1012="","",IF(INDEX(Listado!M:M,N1012)="No",IF(INDEX(Listado!N:N,N1012)=0,"",INDEX(Listado!N:N,N1012)),IF(INDEX(Listado!I:I,N1012)=0,"",INDEX(Listado!I:I,N1012)))),"")</f>
        <v/>
      </c>
      <c r="P1012" s="17">
        <f t="shared" ca="1" si="46"/>
        <v/>
      </c>
      <c r="Q1012" s="17">
        <f>IFERROR(IF(AND(N1012&lt;&gt;"",ISNUMBER(O1012),O1012&gt;0,O1012&gt;=TODAY()-90),1,0),0)</f>
        <v/>
      </c>
      <c r="R1012" s="17" t="str">
        <f t="shared" si="48"/>
        <v/>
      </c>
      <c r="S1012" s="17" t="str">
        <f>IF(INDEX(Listado!A:A,ROW())="","",INDEX(Listado!A:A,ROW()))</f>
        <v/>
      </c>
      <c r="T1012" s="17" t="str">
        <f ca="1">IF(INDEX(Listado!G:G,ROW())="","",INDEX(Listado!G:G,ROW()))</f>
        <v/>
      </c>
      <c r="U1012" s="17" t="str">
        <f>IF(INDEX(Listado!F:F,ROW())="","",INDEX(Listado!F:F,ROW()))</f>
        <v/>
      </c>
      <c r="V1012" s="17">
        <f>IF(COUNTA(INDEX(Listado!B:B,ROW()):INDEX(Listado!F:F,ROW()))&gt;0,1,0)</f>
        <v/>
      </c>
      <c r="W1012" s="17" t="str">
        <f>IF(INDEX(Listado!L:L,ROW())="","",INDEX(Listado!L:L,ROW()))</f>
        <v/>
      </c>
      <c r="X1012" s="17">
        <f>IF(N1012="","",IF(INDEX(Listado!$M:$M,N1012)="No","No","Sí"))</f>
        <v/>
      </c>
    </row>
    <row r="1013" spans="2:24" ht="14.25">
      <c r="N1013" s="17" t="str">
        <f>IF(V1013=0,"",IFERROR(LOOKUP(2,1/(INDEX(Listado!A:A,2):INDEX(Listado!A:A,ROW())&lt;&gt;""),ROW(INDEX(Listado!A:A,2):INDEX(Listado!A:A,ROW()))),""))</f>
        <v/>
      </c>
      <c r="O1013" s="17" t="str">
        <f>IFERROR(IF(N1013="","",IF(INDEX(Listado!M:M,N1013)="No",IF(INDEX(Listado!N:N,N1013)=0,"",INDEX(Listado!N:N,N1013)),IF(INDEX(Listado!I:I,N1013)=0,"",INDEX(Listado!I:I,N1013)))),"")</f>
        <v/>
      </c>
      <c r="P1013" s="17">
        <f t="shared" ca="1" si="46"/>
        <v/>
      </c>
      <c r="Q1013" s="17">
        <f>IFERROR(IF(AND(N1013&lt;&gt;"",ISNUMBER(O1013),O1013&gt;0,O1013&gt;=TODAY()-90),1,0),0)</f>
        <v/>
      </c>
      <c r="R1013" s="17" t="str">
        <f t="shared" si="48"/>
        <v/>
      </c>
      <c r="S1013" s="17" t="str">
        <f>IF(INDEX(Listado!A:A,ROW())="","",INDEX(Listado!A:A,ROW()))</f>
        <v/>
      </c>
      <c r="T1013" s="17" t="str">
        <f ca="1">IF(INDEX(Listado!G:G,ROW())="","",INDEX(Listado!G:G,ROW()))</f>
        <v/>
      </c>
      <c r="U1013" s="17" t="str">
        <f>IF(INDEX(Listado!F:F,ROW())="","",INDEX(Listado!F:F,ROW()))</f>
        <v/>
      </c>
      <c r="V1013" s="17">
        <f>IF(COUNTA(INDEX(Listado!B:B,ROW()):INDEX(Listado!F:F,ROW()))&gt;0,1,0)</f>
        <v/>
      </c>
      <c r="W1013" s="17" t="str">
        <f>IF(INDEX(Listado!L:L,ROW())="","",INDEX(Listado!L:L,ROW()))</f>
        <v/>
      </c>
      <c r="X1013" s="17">
        <f>IF(N1013="","",IF(INDEX(Listado!$M:$M,N1013)="No","No","Sí"))</f>
        <v/>
      </c>
    </row>
    <row r="1014" spans="2:24" ht="14.25">
      <c r="N1014" s="17" t="str">
        <f>IF(V1014=0,"",IFERROR(LOOKUP(2,1/(INDEX(Listado!A:A,2):INDEX(Listado!A:A,ROW())&lt;&gt;""),ROW(INDEX(Listado!A:A,2):INDEX(Listado!A:A,ROW()))),""))</f>
        <v/>
      </c>
      <c r="O1014" s="17" t="str">
        <f>IFERROR(IF(N1014="","",IF(INDEX(Listado!M:M,N1014)="No",IF(INDEX(Listado!N:N,N1014)=0,"",INDEX(Listado!N:N,N1014)),IF(INDEX(Listado!I:I,N1014)=0,"",INDEX(Listado!I:I,N1014)))),"")</f>
        <v/>
      </c>
      <c r="P1014" s="17">
        <f t="shared" ca="1" si="46"/>
        <v/>
      </c>
      <c r="Q1014" s="17">
        <f>IFERROR(IF(AND(N1014&lt;&gt;"",ISNUMBER(O1014),O1014&gt;0,O1014&gt;=TODAY()-90),1,0),0)</f>
        <v/>
      </c>
      <c r="R1014" s="17" t="str">
        <f t="shared" si="48"/>
        <v/>
      </c>
      <c r="S1014" s="17" t="str">
        <f>IF(INDEX(Listado!A:A,ROW())="","",INDEX(Listado!A:A,ROW()))</f>
        <v/>
      </c>
      <c r="T1014" s="17" t="str">
        <f ca="1">IF(INDEX(Listado!G:G,ROW())="","",INDEX(Listado!G:G,ROW()))</f>
        <v/>
      </c>
      <c r="U1014" s="17" t="str">
        <f>IF(INDEX(Listado!F:F,ROW())="","",INDEX(Listado!F:F,ROW()))</f>
        <v/>
      </c>
      <c r="V1014" s="17">
        <f>IF(COUNTA(INDEX(Listado!B:B,ROW()):INDEX(Listado!F:F,ROW()))&gt;0,1,0)</f>
        <v/>
      </c>
      <c r="W1014" s="17" t="str">
        <f>IF(INDEX(Listado!L:L,ROW())="","",INDEX(Listado!L:L,ROW()))</f>
        <v/>
      </c>
      <c r="X1014" s="17">
        <f>IF(N1014="","",IF(INDEX(Listado!$M:$M,N1014)="No","No","Sí"))</f>
        <v/>
      </c>
    </row>
    <row r="1015" spans="2:24" ht="14.25">
      <c r="N1015" s="17" t="str">
        <f>IF(V1015=0,"",IFERROR(LOOKUP(2,1/(INDEX(Listado!A:A,2):INDEX(Listado!A:A,ROW())&lt;&gt;""),ROW(INDEX(Listado!A:A,2):INDEX(Listado!A:A,ROW()))),""))</f>
        <v/>
      </c>
      <c r="O1015" s="17" t="str">
        <f>IFERROR(IF(N1015="","",IF(INDEX(Listado!M:M,N1015)="No",IF(INDEX(Listado!N:N,N1015)=0,"",INDEX(Listado!N:N,N1015)),IF(INDEX(Listado!I:I,N1015)=0,"",INDEX(Listado!I:I,N1015)))),"")</f>
        <v/>
      </c>
      <c r="P1015" s="17">
        <f t="shared" ca="1" si="46"/>
        <v/>
      </c>
      <c r="Q1015" s="17">
        <f>IFERROR(IF(AND(N1015&lt;&gt;"",ISNUMBER(O1015),O1015&gt;0,O1015&gt;=TODAY()-90),1,0),0)</f>
        <v/>
      </c>
      <c r="R1015" s="17" t="str">
        <f t="shared" si="48"/>
        <v/>
      </c>
      <c r="S1015" s="17" t="str">
        <f>IF(INDEX(Listado!A:A,ROW())="","",INDEX(Listado!A:A,ROW()))</f>
        <v/>
      </c>
      <c r="T1015" s="17" t="str">
        <f ca="1">IF(INDEX(Listado!G:G,ROW())="","",INDEX(Listado!G:G,ROW()))</f>
        <v/>
      </c>
      <c r="U1015" s="17" t="str">
        <f>IF(INDEX(Listado!F:F,ROW())="","",INDEX(Listado!F:F,ROW()))</f>
        <v/>
      </c>
      <c r="V1015" s="17">
        <f>IF(COUNTA(INDEX(Listado!B:B,ROW()):INDEX(Listado!F:F,ROW()))&gt;0,1,0)</f>
        <v/>
      </c>
      <c r="W1015" s="17" t="str">
        <f>IF(INDEX(Listado!L:L,ROW())="","",INDEX(Listado!L:L,ROW()))</f>
        <v/>
      </c>
      <c r="X1015" s="17">
        <f>IF(N1015="","",IF(INDEX(Listado!$M:$M,N1015)="No","No","Sí"))</f>
        <v/>
      </c>
    </row>
    <row r="1016" spans="2:24" ht="14.25">
      <c r="N1016" s="17" t="str">
        <f>IF(V1016=0,"",IFERROR(LOOKUP(2,1/(INDEX(Listado!A:A,2):INDEX(Listado!A:A,ROW())&lt;&gt;""),ROW(INDEX(Listado!A:A,2):INDEX(Listado!A:A,ROW()))),""))</f>
        <v/>
      </c>
      <c r="O1016" s="17" t="str">
        <f>IFERROR(IF(N1016="","",IF(INDEX(Listado!M:M,N1016)="No",IF(INDEX(Listado!N:N,N1016)=0,"",INDEX(Listado!N:N,N1016)),IF(INDEX(Listado!I:I,N1016)=0,"",INDEX(Listado!I:I,N1016)))),"")</f>
        <v/>
      </c>
      <c r="P1016" s="17">
        <f t="shared" ca="1" si="46"/>
        <v/>
      </c>
      <c r="Q1016" s="17">
        <f>IFERROR(IF(AND(N1016&lt;&gt;"",ISNUMBER(O1016),O1016&gt;0,O1016&gt;=TODAY()-90),1,0),0)</f>
        <v/>
      </c>
      <c r="R1016" s="17" t="str">
        <f t="shared" si="48"/>
        <v/>
      </c>
      <c r="S1016" s="17" t="str">
        <f>IF(INDEX(Listado!A:A,ROW())="","",INDEX(Listado!A:A,ROW()))</f>
        <v/>
      </c>
      <c r="T1016" s="17" t="str">
        <f ca="1">IF(INDEX(Listado!G:G,ROW())="","",INDEX(Listado!G:G,ROW()))</f>
        <v/>
      </c>
      <c r="U1016" s="17" t="str">
        <f>IF(INDEX(Listado!F:F,ROW())="","",INDEX(Listado!F:F,ROW()))</f>
        <v/>
      </c>
      <c r="V1016" s="17">
        <f>IF(COUNTA(INDEX(Listado!B:B,ROW()):INDEX(Listado!F:F,ROW()))&gt;0,1,0)</f>
        <v/>
      </c>
      <c r="W1016" s="17" t="str">
        <f>IF(INDEX(Listado!L:L,ROW())="","",INDEX(Listado!L:L,ROW()))</f>
        <v/>
      </c>
      <c r="X1016" s="17">
        <f>IF(N1016="","",IF(INDEX(Listado!$M:$M,N1016)="No","No","Sí"))</f>
        <v/>
      </c>
    </row>
    <row r="1017" spans="2:24" ht="14.25">
      <c r="N1017" s="17" t="str">
        <f>IF(V1017=0,"",IFERROR(LOOKUP(2,1/(INDEX(Listado!A:A,2):INDEX(Listado!A:A,ROW())&lt;&gt;""),ROW(INDEX(Listado!A:A,2):INDEX(Listado!A:A,ROW()))),""))</f>
        <v/>
      </c>
      <c r="O1017" s="17" t="str">
        <f>IFERROR(IF(N1017="","",IF(INDEX(Listado!M:M,N1017)="No",IF(INDEX(Listado!N:N,N1017)=0,"",INDEX(Listado!N:N,N1017)),IF(INDEX(Listado!I:I,N1017)=0,"",INDEX(Listado!I:I,N1017)))),"")</f>
        <v/>
      </c>
      <c r="P1017" s="17">
        <f t="shared" ca="1" si="46"/>
        <v/>
      </c>
      <c r="Q1017" s="17">
        <f>IFERROR(IF(AND(N1017&lt;&gt;"",ISNUMBER(O1017),O1017&gt;0,O1017&gt;=TODAY()-90),1,0),0)</f>
        <v/>
      </c>
      <c r="R1017" s="17" t="str">
        <f t="shared" si="48"/>
        <v/>
      </c>
      <c r="S1017" s="17" t="str">
        <f>IF(INDEX(Listado!A:A,ROW())="","",INDEX(Listado!A:A,ROW()))</f>
        <v/>
      </c>
      <c r="T1017" s="17" t="str">
        <f ca="1">IF(INDEX(Listado!G:G,ROW())="","",INDEX(Listado!G:G,ROW()))</f>
        <v/>
      </c>
      <c r="U1017" s="17" t="str">
        <f>IF(INDEX(Listado!F:F,ROW())="","",INDEX(Listado!F:F,ROW()))</f>
        <v/>
      </c>
      <c r="V1017" s="17">
        <f>IF(COUNTA(INDEX(Listado!B:B,ROW()):INDEX(Listado!F:F,ROW()))&gt;0,1,0)</f>
        <v/>
      </c>
      <c r="W1017" s="17" t="str">
        <f>IF(INDEX(Listado!L:L,ROW())="","",INDEX(Listado!L:L,ROW()))</f>
        <v/>
      </c>
      <c r="X1017" s="17">
        <f>IF(N1017="","",IF(INDEX(Listado!$M:$M,N1017)="No","No","Sí"))</f>
        <v/>
      </c>
    </row>
    <row r="1018" spans="2:24" ht="14.25">
      <c r="N1018" s="17" t="str">
        <f>IF(V1018=0,"",IFERROR(LOOKUP(2,1/(INDEX(Listado!A:A,2):INDEX(Listado!A:A,ROW())&lt;&gt;""),ROW(INDEX(Listado!A:A,2):INDEX(Listado!A:A,ROW()))),""))</f>
        <v/>
      </c>
      <c r="O1018" s="17" t="str">
        <f>IFERROR(IF(N1018="","",IF(INDEX(Listado!M:M,N1018)="No",IF(INDEX(Listado!N:N,N1018)=0,"",INDEX(Listado!N:N,N1018)),IF(INDEX(Listado!I:I,N1018)=0,"",INDEX(Listado!I:I,N1018)))),"")</f>
        <v/>
      </c>
      <c r="P1018" s="17">
        <f t="shared" ca="1" si="46"/>
        <v/>
      </c>
      <c r="Q1018" s="17">
        <f>IFERROR(IF(AND(N1018&lt;&gt;"",ISNUMBER(O1018),O1018&gt;0,O1018&gt;=TODAY()-90),1,0),0)</f>
        <v/>
      </c>
      <c r="R1018" s="17" t="str">
        <f t="shared" si="48"/>
        <v/>
      </c>
      <c r="S1018" s="17" t="str">
        <f>IF(INDEX(Listado!A:A,ROW())="","",INDEX(Listado!A:A,ROW()))</f>
        <v/>
      </c>
      <c r="T1018" s="17" t="str">
        <f ca="1">IF(INDEX(Listado!G:G,ROW())="","",INDEX(Listado!G:G,ROW()))</f>
        <v/>
      </c>
      <c r="U1018" s="17" t="str">
        <f>IF(INDEX(Listado!F:F,ROW())="","",INDEX(Listado!F:F,ROW()))</f>
        <v/>
      </c>
      <c r="V1018" s="17">
        <f>IF(COUNTA(INDEX(Listado!B:B,ROW()):INDEX(Listado!F:F,ROW()))&gt;0,1,0)</f>
        <v/>
      </c>
      <c r="W1018" s="17" t="str">
        <f>IF(INDEX(Listado!L:L,ROW())="","",INDEX(Listado!L:L,ROW()))</f>
        <v/>
      </c>
      <c r="X1018" s="17">
        <f>IF(N1018="","",IF(INDEX(Listado!$M:$M,N1018)="No","No","Sí"))</f>
        <v/>
      </c>
    </row>
    <row r="1019" spans="2:24" ht="14.25">
      <c r="N1019" s="17" t="str">
        <f>IF(V1019=0,"",IFERROR(LOOKUP(2,1/(INDEX(Listado!A:A,2):INDEX(Listado!A:A,ROW())&lt;&gt;""),ROW(INDEX(Listado!A:A,2):INDEX(Listado!A:A,ROW()))),""))</f>
        <v/>
      </c>
      <c r="O1019" s="17" t="str">
        <f>IFERROR(IF(N1019="","",IF(INDEX(Listado!M:M,N1019)="No",IF(INDEX(Listado!N:N,N1019)=0,"",INDEX(Listado!N:N,N1019)),IF(INDEX(Listado!I:I,N1019)=0,"",INDEX(Listado!I:I,N1019)))),"")</f>
        <v/>
      </c>
      <c r="P1019" s="17">
        <f t="shared" ca="1" si="46"/>
        <v/>
      </c>
      <c r="Q1019" s="17">
        <f>IFERROR(IF(AND(N1019&lt;&gt;"",ISNUMBER(O1019),O1019&gt;0,O1019&gt;=TODAY()-90),1,0),0)</f>
        <v/>
      </c>
      <c r="R1019" s="17" t="str">
        <f t="shared" si="48"/>
        <v/>
      </c>
      <c r="S1019" s="17" t="str">
        <f>IF(INDEX(Listado!A:A,ROW())="","",INDEX(Listado!A:A,ROW()))</f>
        <v/>
      </c>
      <c r="T1019" s="17" t="str">
        <f ca="1">IF(INDEX(Listado!G:G,ROW())="","",INDEX(Listado!G:G,ROW()))</f>
        <v/>
      </c>
      <c r="U1019" s="17" t="str">
        <f>IF(INDEX(Listado!F:F,ROW())="","",INDEX(Listado!F:F,ROW()))</f>
        <v/>
      </c>
      <c r="V1019" s="17">
        <f>IF(COUNTA(INDEX(Listado!B:B,ROW()):INDEX(Listado!F:F,ROW()))&gt;0,1,0)</f>
        <v/>
      </c>
      <c r="W1019" s="17" t="str">
        <f>IF(INDEX(Listado!L:L,ROW())="","",INDEX(Listado!L:L,ROW()))</f>
        <v/>
      </c>
      <c r="X1019" s="17">
        <f>IF(N1019="","",IF(INDEX(Listado!$M:$M,N1019)="No","No","Sí"))</f>
        <v/>
      </c>
    </row>
    <row r="1020" spans="2:24" ht="14.25">
      <c r="N1020" s="17" t="str">
        <f>IF(V1020=0,"",IFERROR(LOOKUP(2,1/(INDEX(Listado!A:A,2):INDEX(Listado!A:A,ROW())&lt;&gt;""),ROW(INDEX(Listado!A:A,2):INDEX(Listado!A:A,ROW()))),""))</f>
        <v/>
      </c>
      <c r="O1020" s="17" t="str">
        <f>IFERROR(IF(N1020="","",IF(INDEX(Listado!M:M,N1020)="No",IF(INDEX(Listado!N:N,N1020)=0,"",INDEX(Listado!N:N,N1020)),IF(INDEX(Listado!I:I,N1020)=0,"",INDEX(Listado!I:I,N1020)))),"")</f>
        <v/>
      </c>
      <c r="P1020" s="17">
        <f t="shared" ca="1" si="46"/>
        <v/>
      </c>
      <c r="Q1020" s="17">
        <f>IFERROR(IF(AND(N1020&lt;&gt;"",ISNUMBER(O1020),O1020&gt;0,O1020&gt;=TODAY()-90),1,0),0)</f>
        <v/>
      </c>
      <c r="R1020" s="17" t="str">
        <f t="shared" si="48"/>
        <v/>
      </c>
      <c r="S1020" s="17" t="str">
        <f>IF(INDEX(Listado!A:A,ROW())="","",INDEX(Listado!A:A,ROW()))</f>
        <v/>
      </c>
      <c r="T1020" s="17" t="str">
        <f ca="1">IF(INDEX(Listado!G:G,ROW())="","",INDEX(Listado!G:G,ROW()))</f>
        <v/>
      </c>
      <c r="U1020" s="17" t="str">
        <f>IF(INDEX(Listado!F:F,ROW())="","",INDEX(Listado!F:F,ROW()))</f>
        <v/>
      </c>
      <c r="V1020" s="17">
        <f>IF(COUNTA(INDEX(Listado!B:B,ROW()):INDEX(Listado!F:F,ROW()))&gt;0,1,0)</f>
        <v/>
      </c>
      <c r="W1020" s="17" t="str">
        <f>IF(INDEX(Listado!L:L,ROW())="","",INDEX(Listado!L:L,ROW()))</f>
        <v/>
      </c>
      <c r="X1020" s="17">
        <f>IF(N1020="","",IF(INDEX(Listado!$M:$M,N1020)="No","No","Sí"))</f>
        <v/>
      </c>
    </row>
    <row r="1021" spans="2:24" ht="14.25">
      <c r="N1021" s="17" t="str">
        <f>IF(V1021=0,"",IFERROR(LOOKUP(2,1/(INDEX(Listado!A:A,2):INDEX(Listado!A:A,ROW())&lt;&gt;""),ROW(INDEX(Listado!A:A,2):INDEX(Listado!A:A,ROW()))),""))</f>
        <v/>
      </c>
      <c r="O1021" s="17" t="str">
        <f>IFERROR(IF(N1021="","",IF(INDEX(Listado!M:M,N1021)="No",IF(INDEX(Listado!N:N,N1021)=0,"",INDEX(Listado!N:N,N1021)),IF(INDEX(Listado!I:I,N1021)=0,"",INDEX(Listado!I:I,N1021)))),"")</f>
        <v/>
      </c>
      <c r="P1021" s="17">
        <f t="shared" ca="1" si="46"/>
        <v/>
      </c>
      <c r="Q1021" s="17">
        <f>IFERROR(IF(AND(N1021&lt;&gt;"",ISNUMBER(O1021),O1021&gt;0,O1021&gt;=TODAY()-90),1,0),0)</f>
        <v/>
      </c>
      <c r="R1021" s="17" t="str">
        <f t="shared" si="48"/>
        <v/>
      </c>
      <c r="S1021" s="17" t="str">
        <f>IF(INDEX(Listado!A:A,ROW())="","",INDEX(Listado!A:A,ROW()))</f>
        <v/>
      </c>
      <c r="T1021" s="17" t="str">
        <f ca="1">IF(INDEX(Listado!G:G,ROW())="","",INDEX(Listado!G:G,ROW()))</f>
        <v/>
      </c>
      <c r="U1021" s="17" t="str">
        <f>IF(INDEX(Listado!F:F,ROW())="","",INDEX(Listado!F:F,ROW()))</f>
        <v/>
      </c>
      <c r="V1021" s="17">
        <f>IF(COUNTA(INDEX(Listado!B:B,ROW()):INDEX(Listado!F:F,ROW()))&gt;0,1,0)</f>
        <v/>
      </c>
      <c r="W1021" s="17" t="str">
        <f>IF(INDEX(Listado!L:L,ROW())="","",INDEX(Listado!L:L,ROW()))</f>
        <v/>
      </c>
      <c r="X1021" s="17">
        <f>IF(N1021="","",IF(INDEX(Listado!$M:$M,N1021)="No","No","Sí"))</f>
        <v/>
      </c>
    </row>
    <row r="1022" spans="2:24" ht="14.25">
      <c r="N1022" s="17" t="str">
        <f>IF(V1022=0,"",IFERROR(LOOKUP(2,1/(INDEX(Listado!A:A,2):INDEX(Listado!A:A,ROW())&lt;&gt;""),ROW(INDEX(Listado!A:A,2):INDEX(Listado!A:A,ROW()))),""))</f>
        <v/>
      </c>
      <c r="O1022" s="17" t="str">
        <f>IFERROR(IF(N1022="","",IF(INDEX(Listado!M:M,N1022)="No",IF(INDEX(Listado!N:N,N1022)=0,"",INDEX(Listado!N:N,N1022)),IF(INDEX(Listado!I:I,N1022)=0,"",INDEX(Listado!I:I,N1022)))),"")</f>
        <v/>
      </c>
      <c r="P1022" s="17">
        <f t="shared" ca="1" si="46"/>
        <v/>
      </c>
      <c r="Q1022" s="17">
        <f>IFERROR(IF(AND(N1022&lt;&gt;"",ISNUMBER(O1022),O1022&gt;0,O1022&gt;=TODAY()-90),1,0),0)</f>
        <v/>
      </c>
      <c r="R1022" s="17" t="str">
        <f t="shared" si="48"/>
        <v/>
      </c>
      <c r="S1022" s="17" t="str">
        <f>IF(INDEX(Listado!A:A,ROW())="","",INDEX(Listado!A:A,ROW()))</f>
        <v/>
      </c>
      <c r="T1022" s="17" t="str">
        <f ca="1">IF(INDEX(Listado!G:G,ROW())="","",INDEX(Listado!G:G,ROW()))</f>
        <v/>
      </c>
      <c r="U1022" s="17" t="str">
        <f>IF(INDEX(Listado!F:F,ROW())="","",INDEX(Listado!F:F,ROW()))</f>
        <v/>
      </c>
      <c r="V1022" s="17">
        <f>IF(COUNTA(INDEX(Listado!B:B,ROW()):INDEX(Listado!F:F,ROW()))&gt;0,1,0)</f>
        <v/>
      </c>
      <c r="W1022" s="17" t="str">
        <f>IF(INDEX(Listado!L:L,ROW())="","",INDEX(Listado!L:L,ROW()))</f>
        <v/>
      </c>
      <c r="X1022" s="17">
        <f>IF(N1022="","",IF(INDEX(Listado!$M:$M,N1022)="No","No","Sí"))</f>
        <v/>
      </c>
    </row>
    <row r="1023" spans="2:24" ht="14.25">
      <c r="N1023" s="17" t="str">
        <f>IF(V1023=0,"",IFERROR(LOOKUP(2,1/(INDEX(Listado!A:A,2):INDEX(Listado!A:A,ROW())&lt;&gt;""),ROW(INDEX(Listado!A:A,2):INDEX(Listado!A:A,ROW()))),""))</f>
        <v/>
      </c>
      <c r="O1023" s="17" t="str">
        <f>IFERROR(IF(N1023="","",IF(INDEX(Listado!M:M,N1023)="No",IF(INDEX(Listado!N:N,N1023)=0,"",INDEX(Listado!N:N,N1023)),IF(INDEX(Listado!I:I,N1023)=0,"",INDEX(Listado!I:I,N1023)))),"")</f>
        <v/>
      </c>
      <c r="P1023" s="17">
        <f t="shared" ca="1" si="46"/>
        <v/>
      </c>
      <c r="Q1023" s="17">
        <f>IFERROR(IF(AND(N1023&lt;&gt;"",ISNUMBER(O1023),O1023&gt;0,O1023&gt;=TODAY()-90),1,0),0)</f>
        <v/>
      </c>
      <c r="R1023" s="17" t="str">
        <f t="shared" si="48"/>
        <v/>
      </c>
      <c r="S1023" s="17" t="str">
        <f>IF(INDEX(Listado!A:A,ROW())="","",INDEX(Listado!A:A,ROW()))</f>
        <v/>
      </c>
      <c r="T1023" s="17" t="str">
        <f ca="1">IF(INDEX(Listado!G:G,ROW())="","",INDEX(Listado!G:G,ROW()))</f>
        <v/>
      </c>
      <c r="U1023" s="17" t="str">
        <f>IF(INDEX(Listado!F:F,ROW())="","",INDEX(Listado!F:F,ROW()))</f>
        <v/>
      </c>
      <c r="V1023" s="17">
        <f>IF(COUNTA(INDEX(Listado!B:B,ROW()):INDEX(Listado!F:F,ROW()))&gt;0,1,0)</f>
        <v/>
      </c>
      <c r="W1023" s="17" t="str">
        <f>IF(INDEX(Listado!L:L,ROW())="","",INDEX(Listado!L:L,ROW()))</f>
        <v/>
      </c>
      <c r="X1023" s="17">
        <f>IF(N1023="","",IF(INDEX(Listado!$M:$M,N1023)="No","No","Sí"))</f>
        <v/>
      </c>
    </row>
    <row r="1024" spans="2:24" ht="14.25">
      <c r="N1024" s="17" t="str">
        <f>IF(V1024=0,"",IFERROR(LOOKUP(2,1/(INDEX(Listado!A:A,2):INDEX(Listado!A:A,ROW())&lt;&gt;""),ROW(INDEX(Listado!A:A,2):INDEX(Listado!A:A,ROW()))),""))</f>
        <v/>
      </c>
      <c r="O1024" s="17" t="str">
        <f>IFERROR(IF(N1024="","",IF(INDEX(Listado!M:M,N1024)="No",IF(INDEX(Listado!N:N,N1024)=0,"",INDEX(Listado!N:N,N1024)),IF(INDEX(Listado!I:I,N1024)=0,"",INDEX(Listado!I:I,N1024)))),"")</f>
        <v/>
      </c>
      <c r="P1024" s="17">
        <f t="shared" ca="1" si="46"/>
        <v/>
      </c>
      <c r="Q1024" s="17">
        <f>IFERROR(IF(AND(N1024&lt;&gt;"",ISNUMBER(O1024),O1024&gt;0,O1024&gt;=TODAY()-90),1,0),0)</f>
        <v/>
      </c>
      <c r="R1024" s="17" t="str">
        <f t="shared" si="48"/>
        <v/>
      </c>
      <c r="S1024" s="17" t="str">
        <f>IF(INDEX(Listado!A:A,ROW())="","",INDEX(Listado!A:A,ROW()))</f>
        <v/>
      </c>
      <c r="T1024" s="17" t="str">
        <f ca="1">IF(INDEX(Listado!G:G,ROW())="","",INDEX(Listado!G:G,ROW()))</f>
        <v/>
      </c>
      <c r="U1024" s="17" t="str">
        <f>IF(INDEX(Listado!F:F,ROW())="","",INDEX(Listado!F:F,ROW()))</f>
        <v/>
      </c>
      <c r="V1024" s="17">
        <f>IF(COUNTA(INDEX(Listado!B:B,ROW()):INDEX(Listado!F:F,ROW()))&gt;0,1,0)</f>
        <v/>
      </c>
      <c r="W1024" s="17" t="str">
        <f>IF(INDEX(Listado!L:L,ROW())="","",INDEX(Listado!L:L,ROW()))</f>
        <v/>
      </c>
      <c r="X1024" s="17">
        <f>IF(N1024="","",IF(INDEX(Listado!$M:$M,N1024)="No","No","Sí"))</f>
        <v/>
      </c>
    </row>
    <row r="1025" spans="2:24" ht="14.25">
      <c r="N1025" s="17" t="str">
        <f>IF(V1025=0,"",IFERROR(LOOKUP(2,1/(INDEX(Listado!A:A,2):INDEX(Listado!A:A,ROW())&lt;&gt;""),ROW(INDEX(Listado!A:A,2):INDEX(Listado!A:A,ROW()))),""))</f>
        <v/>
      </c>
      <c r="O1025" s="17" t="str">
        <f>IFERROR(IF(N1025="","",IF(INDEX(Listado!M:M,N1025)="No",IF(INDEX(Listado!N:N,N1025)=0,"",INDEX(Listado!N:N,N1025)),IF(INDEX(Listado!I:I,N1025)=0,"",INDEX(Listado!I:I,N1025)))),"")</f>
        <v/>
      </c>
      <c r="P1025" s="17">
        <f t="shared" ca="1" si="46"/>
        <v/>
      </c>
      <c r="Q1025" s="17">
        <f>IFERROR(IF(AND(N1025&lt;&gt;"",ISNUMBER(O1025),O1025&gt;0,O1025&gt;=TODAY()-90),1,0),0)</f>
        <v/>
      </c>
      <c r="R1025" s="17" t="str">
        <f t="shared" si="48"/>
        <v/>
      </c>
      <c r="S1025" s="17" t="str">
        <f>IF(INDEX(Listado!A:A,ROW())="","",INDEX(Listado!A:A,ROW()))</f>
        <v/>
      </c>
      <c r="T1025" s="17" t="str">
        <f ca="1">IF(INDEX(Listado!G:G,ROW())="","",INDEX(Listado!G:G,ROW()))</f>
        <v/>
      </c>
      <c r="U1025" s="17" t="str">
        <f>IF(INDEX(Listado!F:F,ROW())="","",INDEX(Listado!F:F,ROW()))</f>
        <v/>
      </c>
      <c r="V1025" s="17">
        <f>IF(COUNTA(INDEX(Listado!B:B,ROW()):INDEX(Listado!F:F,ROW()))&gt;0,1,0)</f>
        <v/>
      </c>
      <c r="W1025" s="17" t="str">
        <f>IF(INDEX(Listado!L:L,ROW())="","",INDEX(Listado!L:L,ROW()))</f>
        <v/>
      </c>
      <c r="X1025" s="17">
        <f>IF(N1025="","",IF(INDEX(Listado!$M:$M,N1025)="No","No","Sí"))</f>
        <v/>
      </c>
    </row>
    <row r="1026" spans="2:24" ht="14.25">
      <c r="N1026" s="17" t="str">
        <f>IF(V1026=0,"",IFERROR(LOOKUP(2,1/(INDEX(Listado!A:A,2):INDEX(Listado!A:A,ROW())&lt;&gt;""),ROW(INDEX(Listado!A:A,2):INDEX(Listado!A:A,ROW()))),""))</f>
        <v/>
      </c>
      <c r="O1026" s="17" t="str">
        <f>IFERROR(IF(N1026="","",IF(INDEX(Listado!M:M,N1026)="No",IF(INDEX(Listado!N:N,N1026)=0,"",INDEX(Listado!N:N,N1026)),IF(INDEX(Listado!I:I,N1026)=0,"",INDEX(Listado!I:I,N1026)))),"")</f>
        <v/>
      </c>
      <c r="P1026" s="17">
        <f t="shared" ref="P1026:P1089" ca="1" si="49">IF(W1026="",0,IFERROR(IF(AND(ISNUMBER(W1026),W1026=INT(W1026),ISNUMBER(O1026),O1026&gt;0,W1026&gt;=TODAY(),W1026&lt;=O1026+90),0,1),1))</f>
        <v/>
      </c>
      <c r="Q1026" s="17">
        <f>IFERROR(IF(AND(N1026&lt;&gt;"",ISNUMBER(O1026),O1026&gt;0,O1026&gt;=TODAY()-90),1,0),0)</f>
        <v/>
      </c>
      <c r="R1026" s="17" t="str">
        <f t="shared" ref="R1026:R1089" si="51">IF(S1026="","",COUNTIFS($N$2:$N$2999,ROW(),$Q$2:$Q$2999,1))</f>
        <v/>
      </c>
      <c r="S1026" s="17" t="str">
        <f>IF(INDEX(Listado!A:A,ROW())="","",INDEX(Listado!A:A,ROW()))</f>
        <v/>
      </c>
      <c r="T1026" s="17" t="str">
        <f ca="1">IF(INDEX(Listado!G:G,ROW())="","",INDEX(Listado!G:G,ROW()))</f>
        <v/>
      </c>
      <c r="U1026" s="17" t="str">
        <f>IF(INDEX(Listado!F:F,ROW())="","",INDEX(Listado!F:F,ROW()))</f>
        <v/>
      </c>
      <c r="V1026" s="17">
        <f>IF(COUNTA(INDEX(Listado!B:B,ROW()):INDEX(Listado!F:F,ROW()))&gt;0,1,0)</f>
        <v/>
      </c>
      <c r="W1026" s="17" t="str">
        <f>IF(INDEX(Listado!L:L,ROW())="","",INDEX(Listado!L:L,ROW()))</f>
        <v/>
      </c>
      <c r="X1026" s="17">
        <f>IF(N1026="","",IF(INDEX(Listado!$M:$M,N1026)="No","No","Sí"))</f>
        <v/>
      </c>
    </row>
    <row r="1027" spans="2:24" ht="14.25">
      <c r="N1027" s="17" t="str">
        <f>IF(V1027=0,"",IFERROR(LOOKUP(2,1/(INDEX(Listado!A:A,2):INDEX(Listado!A:A,ROW())&lt;&gt;""),ROW(INDEX(Listado!A:A,2):INDEX(Listado!A:A,ROW()))),""))</f>
        <v/>
      </c>
      <c r="O1027" s="17" t="str">
        <f>IFERROR(IF(N1027="","",IF(INDEX(Listado!M:M,N1027)="No",IF(INDEX(Listado!N:N,N1027)=0,"",INDEX(Listado!N:N,N1027)),IF(INDEX(Listado!I:I,N1027)=0,"",INDEX(Listado!I:I,N1027)))),"")</f>
        <v/>
      </c>
      <c r="P1027" s="17">
        <f t="shared" ca="1" si="49"/>
        <v/>
      </c>
      <c r="Q1027" s="17">
        <f>IFERROR(IF(AND(N1027&lt;&gt;"",ISNUMBER(O1027),O1027&gt;0,O1027&gt;=TODAY()-90),1,0),0)</f>
        <v/>
      </c>
      <c r="R1027" s="17" t="str">
        <f t="shared" si="51"/>
        <v/>
      </c>
      <c r="S1027" s="17" t="str">
        <f>IF(INDEX(Listado!A:A,ROW())="","",INDEX(Listado!A:A,ROW()))</f>
        <v/>
      </c>
      <c r="T1027" s="17" t="str">
        <f ca="1">IF(INDEX(Listado!G:G,ROW())="","",INDEX(Listado!G:G,ROW()))</f>
        <v/>
      </c>
      <c r="U1027" s="17" t="str">
        <f>IF(INDEX(Listado!F:F,ROW())="","",INDEX(Listado!F:F,ROW()))</f>
        <v/>
      </c>
      <c r="V1027" s="17">
        <f>IF(COUNTA(INDEX(Listado!B:B,ROW()):INDEX(Listado!F:F,ROW()))&gt;0,1,0)</f>
        <v/>
      </c>
      <c r="W1027" s="17" t="str">
        <f>IF(INDEX(Listado!L:L,ROW())="","",INDEX(Listado!L:L,ROW()))</f>
        <v/>
      </c>
      <c r="X1027" s="17">
        <f>IF(N1027="","",IF(INDEX(Listado!$M:$M,N1027)="No","No","Sí"))</f>
        <v/>
      </c>
    </row>
    <row r="1028" spans="2:24" ht="14.25">
      <c r="N1028" s="17" t="str">
        <f>IF(V1028=0,"",IFERROR(LOOKUP(2,1/(INDEX(Listado!A:A,2):INDEX(Listado!A:A,ROW())&lt;&gt;""),ROW(INDEX(Listado!A:A,2):INDEX(Listado!A:A,ROW()))),""))</f>
        <v/>
      </c>
      <c r="O1028" s="17" t="str">
        <f>IFERROR(IF(N1028="","",IF(INDEX(Listado!M:M,N1028)="No",IF(INDEX(Listado!N:N,N1028)=0,"",INDEX(Listado!N:N,N1028)),IF(INDEX(Listado!I:I,N1028)=0,"",INDEX(Listado!I:I,N1028)))),"")</f>
        <v/>
      </c>
      <c r="P1028" s="17">
        <f t="shared" ca="1" si="49"/>
        <v/>
      </c>
      <c r="Q1028" s="17">
        <f>IFERROR(IF(AND(N1028&lt;&gt;"",ISNUMBER(O1028),O1028&gt;0,O1028&gt;=TODAY()-90),1,0),0)</f>
        <v/>
      </c>
      <c r="R1028" s="17" t="str">
        <f t="shared" si="51"/>
        <v/>
      </c>
      <c r="S1028" s="17" t="str">
        <f>IF(INDEX(Listado!A:A,ROW())="","",INDEX(Listado!A:A,ROW()))</f>
        <v/>
      </c>
      <c r="T1028" s="17" t="str">
        <f ca="1">IF(INDEX(Listado!G:G,ROW())="","",INDEX(Listado!G:G,ROW()))</f>
        <v/>
      </c>
      <c r="U1028" s="17" t="str">
        <f>IF(INDEX(Listado!F:F,ROW())="","",INDEX(Listado!F:F,ROW()))</f>
        <v/>
      </c>
      <c r="V1028" s="17">
        <f>IF(COUNTA(INDEX(Listado!B:B,ROW()):INDEX(Listado!F:F,ROW()))&gt;0,1,0)</f>
        <v/>
      </c>
      <c r="W1028" s="17" t="str">
        <f>IF(INDEX(Listado!L:L,ROW())="","",INDEX(Listado!L:L,ROW()))</f>
        <v/>
      </c>
      <c r="X1028" s="17">
        <f>IF(N1028="","",IF(INDEX(Listado!$M:$M,N1028)="No","No","Sí"))</f>
        <v/>
      </c>
    </row>
    <row r="1029" spans="2:24" ht="14.25">
      <c r="N1029" s="17" t="str">
        <f>IF(V1029=0,"",IFERROR(LOOKUP(2,1/(INDEX(Listado!A:A,2):INDEX(Listado!A:A,ROW())&lt;&gt;""),ROW(INDEX(Listado!A:A,2):INDEX(Listado!A:A,ROW()))),""))</f>
        <v/>
      </c>
      <c r="O1029" s="17" t="str">
        <f>IFERROR(IF(N1029="","",IF(INDEX(Listado!M:M,N1029)="No",IF(INDEX(Listado!N:N,N1029)=0,"",INDEX(Listado!N:N,N1029)),IF(INDEX(Listado!I:I,N1029)=0,"",INDEX(Listado!I:I,N1029)))),"")</f>
        <v/>
      </c>
      <c r="P1029" s="17">
        <f t="shared" ca="1" si="49"/>
        <v/>
      </c>
      <c r="Q1029" s="17">
        <f>IFERROR(IF(AND(N1029&lt;&gt;"",ISNUMBER(O1029),O1029&gt;0,O1029&gt;=TODAY()-90),1,0),0)</f>
        <v/>
      </c>
      <c r="R1029" s="17" t="str">
        <f t="shared" si="51"/>
        <v/>
      </c>
      <c r="S1029" s="17" t="str">
        <f>IF(INDEX(Listado!A:A,ROW())="","",INDEX(Listado!A:A,ROW()))</f>
        <v/>
      </c>
      <c r="T1029" s="17" t="str">
        <f ca="1">IF(INDEX(Listado!G:G,ROW())="","",INDEX(Listado!G:G,ROW()))</f>
        <v/>
      </c>
      <c r="U1029" s="17" t="str">
        <f>IF(INDEX(Listado!F:F,ROW())="","",INDEX(Listado!F:F,ROW()))</f>
        <v/>
      </c>
      <c r="V1029" s="17">
        <f>IF(COUNTA(INDEX(Listado!B:B,ROW()):INDEX(Listado!F:F,ROW()))&gt;0,1,0)</f>
        <v/>
      </c>
      <c r="W1029" s="17" t="str">
        <f>IF(INDEX(Listado!L:L,ROW())="","",INDEX(Listado!L:L,ROW()))</f>
        <v/>
      </c>
      <c r="X1029" s="17">
        <f>IF(N1029="","",IF(INDEX(Listado!$M:$M,N1029)="No","No","Sí"))</f>
        <v/>
      </c>
    </row>
    <row r="1030" spans="2:24" ht="14.25">
      <c r="N1030" s="17" t="str">
        <f>IF(V1030=0,"",IFERROR(LOOKUP(2,1/(INDEX(Listado!A:A,2):INDEX(Listado!A:A,ROW())&lt;&gt;""),ROW(INDEX(Listado!A:A,2):INDEX(Listado!A:A,ROW()))),""))</f>
        <v/>
      </c>
      <c r="O1030" s="17" t="str">
        <f>IFERROR(IF(N1030="","",IF(INDEX(Listado!M:M,N1030)="No",IF(INDEX(Listado!N:N,N1030)=0,"",INDEX(Listado!N:N,N1030)),IF(INDEX(Listado!I:I,N1030)=0,"",INDEX(Listado!I:I,N1030)))),"")</f>
        <v/>
      </c>
      <c r="P1030" s="17">
        <f t="shared" ca="1" si="49"/>
        <v/>
      </c>
      <c r="Q1030" s="17">
        <f>IFERROR(IF(AND(N1030&lt;&gt;"",ISNUMBER(O1030),O1030&gt;0,O1030&gt;=TODAY()-90),1,0),0)</f>
        <v/>
      </c>
      <c r="R1030" s="17" t="str">
        <f t="shared" si="51"/>
        <v/>
      </c>
      <c r="S1030" s="17" t="str">
        <f>IF(INDEX(Listado!A:A,ROW())="","",INDEX(Listado!A:A,ROW()))</f>
        <v/>
      </c>
      <c r="T1030" s="17" t="str">
        <f ca="1">IF(INDEX(Listado!G:G,ROW())="","",INDEX(Listado!G:G,ROW()))</f>
        <v/>
      </c>
      <c r="U1030" s="17" t="str">
        <f>IF(INDEX(Listado!F:F,ROW())="","",INDEX(Listado!F:F,ROW()))</f>
        <v/>
      </c>
      <c r="V1030" s="17">
        <f>IF(COUNTA(INDEX(Listado!B:B,ROW()):INDEX(Listado!F:F,ROW()))&gt;0,1,0)</f>
        <v/>
      </c>
      <c r="W1030" s="17" t="str">
        <f>IF(INDEX(Listado!L:L,ROW())="","",INDEX(Listado!L:L,ROW()))</f>
        <v/>
      </c>
      <c r="X1030" s="17">
        <f>IF(N1030="","",IF(INDEX(Listado!$M:$M,N1030)="No","No","Sí"))</f>
        <v/>
      </c>
    </row>
    <row r="1031" spans="2:24" ht="14.25">
      <c r="N1031" s="17" t="str">
        <f>IF(V1031=0,"",IFERROR(LOOKUP(2,1/(INDEX(Listado!A:A,2):INDEX(Listado!A:A,ROW())&lt;&gt;""),ROW(INDEX(Listado!A:A,2):INDEX(Listado!A:A,ROW()))),""))</f>
        <v/>
      </c>
      <c r="O1031" s="17" t="str">
        <f>IFERROR(IF(N1031="","",IF(INDEX(Listado!M:M,N1031)="No",IF(INDEX(Listado!N:N,N1031)=0,"",INDEX(Listado!N:N,N1031)),IF(INDEX(Listado!I:I,N1031)=0,"",INDEX(Listado!I:I,N1031)))),"")</f>
        <v/>
      </c>
      <c r="P1031" s="17">
        <f t="shared" ca="1" si="49"/>
        <v/>
      </c>
      <c r="Q1031" s="17">
        <f>IFERROR(IF(AND(N1031&lt;&gt;"",ISNUMBER(O1031),O1031&gt;0,O1031&gt;=TODAY()-90),1,0),0)</f>
        <v/>
      </c>
      <c r="R1031" s="17" t="str">
        <f t="shared" si="51"/>
        <v/>
      </c>
      <c r="S1031" s="17" t="str">
        <f>IF(INDEX(Listado!A:A,ROW())="","",INDEX(Listado!A:A,ROW()))</f>
        <v/>
      </c>
      <c r="T1031" s="17" t="str">
        <f ca="1">IF(INDEX(Listado!G:G,ROW())="","",INDEX(Listado!G:G,ROW()))</f>
        <v/>
      </c>
      <c r="U1031" s="17" t="str">
        <f>IF(INDEX(Listado!F:F,ROW())="","",INDEX(Listado!F:F,ROW()))</f>
        <v/>
      </c>
      <c r="V1031" s="17">
        <f>IF(COUNTA(INDEX(Listado!B:B,ROW()):INDEX(Listado!F:F,ROW()))&gt;0,1,0)</f>
        <v/>
      </c>
      <c r="W1031" s="17" t="str">
        <f>IF(INDEX(Listado!L:L,ROW())="","",INDEX(Listado!L:L,ROW()))</f>
        <v/>
      </c>
      <c r="X1031" s="17">
        <f>IF(N1031="","",IF(INDEX(Listado!$M:$M,N1031)="No","No","Sí"))</f>
        <v/>
      </c>
    </row>
    <row r="1032" spans="2:24" ht="14.25">
      <c r="N1032" s="17" t="str">
        <f>IF(V1032=0,"",IFERROR(LOOKUP(2,1/(INDEX(Listado!A:A,2):INDEX(Listado!A:A,ROW())&lt;&gt;""),ROW(INDEX(Listado!A:A,2):INDEX(Listado!A:A,ROW()))),""))</f>
        <v/>
      </c>
      <c r="O1032" s="17" t="str">
        <f>IFERROR(IF(N1032="","",IF(INDEX(Listado!M:M,N1032)="No",IF(INDEX(Listado!N:N,N1032)=0,"",INDEX(Listado!N:N,N1032)),IF(INDEX(Listado!I:I,N1032)=0,"",INDEX(Listado!I:I,N1032)))),"")</f>
        <v/>
      </c>
      <c r="P1032" s="17">
        <f t="shared" ca="1" si="49"/>
        <v/>
      </c>
      <c r="Q1032" s="17">
        <f>IFERROR(IF(AND(N1032&lt;&gt;"",ISNUMBER(O1032),O1032&gt;0,O1032&gt;=TODAY()-90),1,0),0)</f>
        <v/>
      </c>
      <c r="R1032" s="17" t="str">
        <f t="shared" si="51"/>
        <v/>
      </c>
      <c r="S1032" s="17" t="str">
        <f>IF(INDEX(Listado!A:A,ROW())="","",INDEX(Listado!A:A,ROW()))</f>
        <v/>
      </c>
      <c r="T1032" s="17" t="str">
        <f ca="1">IF(INDEX(Listado!G:G,ROW())="","",INDEX(Listado!G:G,ROW()))</f>
        <v/>
      </c>
      <c r="U1032" s="17" t="str">
        <f>IF(INDEX(Listado!F:F,ROW())="","",INDEX(Listado!F:F,ROW()))</f>
        <v/>
      </c>
      <c r="V1032" s="17">
        <f>IF(COUNTA(INDEX(Listado!B:B,ROW()):INDEX(Listado!F:F,ROW()))&gt;0,1,0)</f>
        <v/>
      </c>
      <c r="W1032" s="17" t="str">
        <f>IF(INDEX(Listado!L:L,ROW())="","",INDEX(Listado!L:L,ROW()))</f>
        <v/>
      </c>
      <c r="X1032" s="17">
        <f>IF(N1032="","",IF(INDEX(Listado!$M:$M,N1032)="No","No","Sí"))</f>
        <v/>
      </c>
    </row>
    <row r="1033" spans="2:24" ht="14.25">
      <c r="N1033" s="17" t="str">
        <f>IF(V1033=0,"",IFERROR(LOOKUP(2,1/(INDEX(Listado!A:A,2):INDEX(Listado!A:A,ROW())&lt;&gt;""),ROW(INDEX(Listado!A:A,2):INDEX(Listado!A:A,ROW()))),""))</f>
        <v/>
      </c>
      <c r="O1033" s="17" t="str">
        <f>IFERROR(IF(N1033="","",IF(INDEX(Listado!M:M,N1033)="No",IF(INDEX(Listado!N:N,N1033)=0,"",INDEX(Listado!N:N,N1033)),IF(INDEX(Listado!I:I,N1033)=0,"",INDEX(Listado!I:I,N1033)))),"")</f>
        <v/>
      </c>
      <c r="P1033" s="17">
        <f t="shared" ca="1" si="49"/>
        <v/>
      </c>
      <c r="Q1033" s="17">
        <f>IFERROR(IF(AND(N1033&lt;&gt;"",ISNUMBER(O1033),O1033&gt;0,O1033&gt;=TODAY()-90),1,0),0)</f>
        <v/>
      </c>
      <c r="R1033" s="17" t="str">
        <f t="shared" si="51"/>
        <v/>
      </c>
      <c r="S1033" s="17" t="str">
        <f>IF(INDEX(Listado!A:A,ROW())="","",INDEX(Listado!A:A,ROW()))</f>
        <v/>
      </c>
      <c r="T1033" s="17" t="str">
        <f ca="1">IF(INDEX(Listado!G:G,ROW())="","",INDEX(Listado!G:G,ROW()))</f>
        <v/>
      </c>
      <c r="U1033" s="17" t="str">
        <f>IF(INDEX(Listado!F:F,ROW())="","",INDEX(Listado!F:F,ROW()))</f>
        <v/>
      </c>
      <c r="V1033" s="17">
        <f>IF(COUNTA(INDEX(Listado!B:B,ROW()):INDEX(Listado!F:F,ROW()))&gt;0,1,0)</f>
        <v/>
      </c>
      <c r="W1033" s="17" t="str">
        <f>IF(INDEX(Listado!L:L,ROW())="","",INDEX(Listado!L:L,ROW()))</f>
        <v/>
      </c>
      <c r="X1033" s="17">
        <f>IF(N1033="","",IF(INDEX(Listado!$M:$M,N1033)="No","No","Sí"))</f>
        <v/>
      </c>
    </row>
    <row r="1034" spans="2:24" ht="14.25">
      <c r="N1034" s="17" t="str">
        <f>IF(V1034=0,"",IFERROR(LOOKUP(2,1/(INDEX(Listado!A:A,2):INDEX(Listado!A:A,ROW())&lt;&gt;""),ROW(INDEX(Listado!A:A,2):INDEX(Listado!A:A,ROW()))),""))</f>
        <v/>
      </c>
      <c r="O1034" s="17" t="str">
        <f>IFERROR(IF(N1034="","",IF(INDEX(Listado!M:M,N1034)="No",IF(INDEX(Listado!N:N,N1034)=0,"",INDEX(Listado!N:N,N1034)),IF(INDEX(Listado!I:I,N1034)=0,"",INDEX(Listado!I:I,N1034)))),"")</f>
        <v/>
      </c>
      <c r="P1034" s="17">
        <f t="shared" ca="1" si="49"/>
        <v/>
      </c>
      <c r="Q1034" s="17">
        <f>IFERROR(IF(AND(N1034&lt;&gt;"",ISNUMBER(O1034),O1034&gt;0,O1034&gt;=TODAY()-90),1,0),0)</f>
        <v/>
      </c>
      <c r="R1034" s="17" t="str">
        <f t="shared" si="51"/>
        <v/>
      </c>
      <c r="S1034" s="17" t="str">
        <f>IF(INDEX(Listado!A:A,ROW())="","",INDEX(Listado!A:A,ROW()))</f>
        <v/>
      </c>
      <c r="T1034" s="17" t="str">
        <f ca="1">IF(INDEX(Listado!G:G,ROW())="","",INDEX(Listado!G:G,ROW()))</f>
        <v/>
      </c>
      <c r="U1034" s="17" t="str">
        <f>IF(INDEX(Listado!F:F,ROW())="","",INDEX(Listado!F:F,ROW()))</f>
        <v/>
      </c>
      <c r="V1034" s="17">
        <f>IF(COUNTA(INDEX(Listado!B:B,ROW()):INDEX(Listado!F:F,ROW()))&gt;0,1,0)</f>
        <v/>
      </c>
      <c r="W1034" s="17" t="str">
        <f>IF(INDEX(Listado!L:L,ROW())="","",INDEX(Listado!L:L,ROW()))</f>
        <v/>
      </c>
      <c r="X1034" s="17">
        <f>IF(N1034="","",IF(INDEX(Listado!$M:$M,N1034)="No","No","Sí"))</f>
        <v/>
      </c>
    </row>
    <row r="1035" spans="2:24" ht="14.25">
      <c r="N1035" s="17" t="str">
        <f>IF(V1035=0,"",IFERROR(LOOKUP(2,1/(INDEX(Listado!A:A,2):INDEX(Listado!A:A,ROW())&lt;&gt;""),ROW(INDEX(Listado!A:A,2):INDEX(Listado!A:A,ROW()))),""))</f>
        <v/>
      </c>
      <c r="O1035" s="17" t="str">
        <f>IFERROR(IF(N1035="","",IF(INDEX(Listado!M:M,N1035)="No",IF(INDEX(Listado!N:N,N1035)=0,"",INDEX(Listado!N:N,N1035)),IF(INDEX(Listado!I:I,N1035)=0,"",INDEX(Listado!I:I,N1035)))),"")</f>
        <v/>
      </c>
      <c r="P1035" s="17">
        <f t="shared" ca="1" si="49"/>
        <v/>
      </c>
      <c r="Q1035" s="17">
        <f>IFERROR(IF(AND(N1035&lt;&gt;"",ISNUMBER(O1035),O1035&gt;0,O1035&gt;=TODAY()-90),1,0),0)</f>
        <v/>
      </c>
      <c r="R1035" s="17" t="str">
        <f t="shared" si="51"/>
        <v/>
      </c>
      <c r="S1035" s="17" t="str">
        <f>IF(INDEX(Listado!A:A,ROW())="","",INDEX(Listado!A:A,ROW()))</f>
        <v/>
      </c>
      <c r="T1035" s="17" t="str">
        <f ca="1">IF(INDEX(Listado!G:G,ROW())="","",INDEX(Listado!G:G,ROW()))</f>
        <v/>
      </c>
      <c r="U1035" s="17" t="str">
        <f>IF(INDEX(Listado!F:F,ROW())="","",INDEX(Listado!F:F,ROW()))</f>
        <v/>
      </c>
      <c r="V1035" s="17">
        <f>IF(COUNTA(INDEX(Listado!B:B,ROW()):INDEX(Listado!F:F,ROW()))&gt;0,1,0)</f>
        <v/>
      </c>
      <c r="W1035" s="17" t="str">
        <f>IF(INDEX(Listado!L:L,ROW())="","",INDEX(Listado!L:L,ROW()))</f>
        <v/>
      </c>
      <c r="X1035" s="17">
        <f>IF(N1035="","",IF(INDEX(Listado!$M:$M,N1035)="No","No","Sí"))</f>
        <v/>
      </c>
    </row>
    <row r="1036" spans="2:24" ht="14.25">
      <c r="N1036" s="17" t="str">
        <f>IF(V1036=0,"",IFERROR(LOOKUP(2,1/(INDEX(Listado!A:A,2):INDEX(Listado!A:A,ROW())&lt;&gt;""),ROW(INDEX(Listado!A:A,2):INDEX(Listado!A:A,ROW()))),""))</f>
        <v/>
      </c>
      <c r="O1036" s="17" t="str">
        <f>IFERROR(IF(N1036="","",IF(INDEX(Listado!M:M,N1036)="No",IF(INDEX(Listado!N:N,N1036)=0,"",INDEX(Listado!N:N,N1036)),IF(INDEX(Listado!I:I,N1036)=0,"",INDEX(Listado!I:I,N1036)))),"")</f>
        <v/>
      </c>
      <c r="P1036" s="17">
        <f t="shared" ca="1" si="49"/>
        <v/>
      </c>
      <c r="Q1036" s="17">
        <f>IFERROR(IF(AND(N1036&lt;&gt;"",ISNUMBER(O1036),O1036&gt;0,O1036&gt;=TODAY()-90),1,0),0)</f>
        <v/>
      </c>
      <c r="R1036" s="17" t="str">
        <f t="shared" si="51"/>
        <v/>
      </c>
      <c r="S1036" s="17" t="str">
        <f>IF(INDEX(Listado!A:A,ROW())="","",INDEX(Listado!A:A,ROW()))</f>
        <v/>
      </c>
      <c r="T1036" s="17" t="str">
        <f ca="1">IF(INDEX(Listado!G:G,ROW())="","",INDEX(Listado!G:G,ROW()))</f>
        <v/>
      </c>
      <c r="U1036" s="17" t="str">
        <f>IF(INDEX(Listado!F:F,ROW())="","",INDEX(Listado!F:F,ROW()))</f>
        <v/>
      </c>
      <c r="V1036" s="17">
        <f>IF(COUNTA(INDEX(Listado!B:B,ROW()):INDEX(Listado!F:F,ROW()))&gt;0,1,0)</f>
        <v/>
      </c>
      <c r="W1036" s="17" t="str">
        <f>IF(INDEX(Listado!L:L,ROW())="","",INDEX(Listado!L:L,ROW()))</f>
        <v/>
      </c>
      <c r="X1036" s="17">
        <f>IF(N1036="","",IF(INDEX(Listado!$M:$M,N1036)="No","No","Sí"))</f>
        <v/>
      </c>
    </row>
    <row r="1037" spans="2:24" ht="14.25">
      <c r="N1037" s="17" t="str">
        <f>IF(V1037=0,"",IFERROR(LOOKUP(2,1/(INDEX(Listado!A:A,2):INDEX(Listado!A:A,ROW())&lt;&gt;""),ROW(INDEX(Listado!A:A,2):INDEX(Listado!A:A,ROW()))),""))</f>
        <v/>
      </c>
      <c r="O1037" s="17" t="str">
        <f>IFERROR(IF(N1037="","",IF(INDEX(Listado!M:M,N1037)="No",IF(INDEX(Listado!N:N,N1037)=0,"",INDEX(Listado!N:N,N1037)),IF(INDEX(Listado!I:I,N1037)=0,"",INDEX(Listado!I:I,N1037)))),"")</f>
        <v/>
      </c>
      <c r="P1037" s="17">
        <f t="shared" ca="1" si="49"/>
        <v/>
      </c>
      <c r="Q1037" s="17">
        <f>IFERROR(IF(AND(N1037&lt;&gt;"",ISNUMBER(O1037),O1037&gt;0,O1037&gt;=TODAY()-90),1,0),0)</f>
        <v/>
      </c>
      <c r="R1037" s="17" t="str">
        <f t="shared" si="51"/>
        <v/>
      </c>
      <c r="S1037" s="17" t="str">
        <f>IF(INDEX(Listado!A:A,ROW())="","",INDEX(Listado!A:A,ROW()))</f>
        <v/>
      </c>
      <c r="T1037" s="17" t="str">
        <f ca="1">IF(INDEX(Listado!G:G,ROW())="","",INDEX(Listado!G:G,ROW()))</f>
        <v/>
      </c>
      <c r="U1037" s="17" t="str">
        <f>IF(INDEX(Listado!F:F,ROW())="","",INDEX(Listado!F:F,ROW()))</f>
        <v/>
      </c>
      <c r="V1037" s="17">
        <f>IF(COUNTA(INDEX(Listado!B:B,ROW()):INDEX(Listado!F:F,ROW()))&gt;0,1,0)</f>
        <v/>
      </c>
      <c r="W1037" s="17" t="str">
        <f>IF(INDEX(Listado!L:L,ROW())="","",INDEX(Listado!L:L,ROW()))</f>
        <v/>
      </c>
      <c r="X1037" s="17">
        <f>IF(N1037="","",IF(INDEX(Listado!$M:$M,N1037)="No","No","Sí"))</f>
        <v/>
      </c>
    </row>
    <row r="1038" spans="2:24" ht="14.25">
      <c r="N1038" s="17" t="str">
        <f>IF(V1038=0,"",IFERROR(LOOKUP(2,1/(INDEX(Listado!A:A,2):INDEX(Listado!A:A,ROW())&lt;&gt;""),ROW(INDEX(Listado!A:A,2):INDEX(Listado!A:A,ROW()))),""))</f>
        <v/>
      </c>
      <c r="O1038" s="17" t="str">
        <f>IFERROR(IF(N1038="","",IF(INDEX(Listado!M:M,N1038)="No",IF(INDEX(Listado!N:N,N1038)=0,"",INDEX(Listado!N:N,N1038)),IF(INDEX(Listado!I:I,N1038)=0,"",INDEX(Listado!I:I,N1038)))),"")</f>
        <v/>
      </c>
      <c r="P1038" s="17">
        <f t="shared" ca="1" si="49"/>
        <v/>
      </c>
      <c r="Q1038" s="17">
        <f>IFERROR(IF(AND(N1038&lt;&gt;"",ISNUMBER(O1038),O1038&gt;0,O1038&gt;=TODAY()-90),1,0),0)</f>
        <v/>
      </c>
      <c r="R1038" s="17" t="str">
        <f t="shared" si="51"/>
        <v/>
      </c>
      <c r="S1038" s="17" t="str">
        <f>IF(INDEX(Listado!A:A,ROW())="","",INDEX(Listado!A:A,ROW()))</f>
        <v/>
      </c>
      <c r="T1038" s="17" t="str">
        <f ca="1">IF(INDEX(Listado!G:G,ROW())="","",INDEX(Listado!G:G,ROW()))</f>
        <v/>
      </c>
      <c r="U1038" s="17" t="str">
        <f>IF(INDEX(Listado!F:F,ROW())="","",INDEX(Listado!F:F,ROW()))</f>
        <v/>
      </c>
      <c r="V1038" s="17">
        <f>IF(COUNTA(INDEX(Listado!B:B,ROW()):INDEX(Listado!F:F,ROW()))&gt;0,1,0)</f>
        <v/>
      </c>
      <c r="W1038" s="17" t="str">
        <f>IF(INDEX(Listado!L:L,ROW())="","",INDEX(Listado!L:L,ROW()))</f>
        <v/>
      </c>
      <c r="X1038" s="17">
        <f>IF(N1038="","",IF(INDEX(Listado!$M:$M,N1038)="No","No","Sí"))</f>
        <v/>
      </c>
    </row>
    <row r="1039" spans="2:24" ht="14.25">
      <c r="N1039" s="17" t="str">
        <f>IF(V1039=0,"",IFERROR(LOOKUP(2,1/(INDEX(Listado!A:A,2):INDEX(Listado!A:A,ROW())&lt;&gt;""),ROW(INDEX(Listado!A:A,2):INDEX(Listado!A:A,ROW()))),""))</f>
        <v/>
      </c>
      <c r="O1039" s="17" t="str">
        <f>IFERROR(IF(N1039="","",IF(INDEX(Listado!M:M,N1039)="No",IF(INDEX(Listado!N:N,N1039)=0,"",INDEX(Listado!N:N,N1039)),IF(INDEX(Listado!I:I,N1039)=0,"",INDEX(Listado!I:I,N1039)))),"")</f>
        <v/>
      </c>
      <c r="P1039" s="17">
        <f t="shared" ca="1" si="49"/>
        <v/>
      </c>
      <c r="Q1039" s="17">
        <f>IFERROR(IF(AND(N1039&lt;&gt;"",ISNUMBER(O1039),O1039&gt;0,O1039&gt;=TODAY()-90),1,0),0)</f>
        <v/>
      </c>
      <c r="R1039" s="17" t="str">
        <f t="shared" si="51"/>
        <v/>
      </c>
      <c r="S1039" s="17" t="str">
        <f>IF(INDEX(Listado!A:A,ROW())="","",INDEX(Listado!A:A,ROW()))</f>
        <v/>
      </c>
      <c r="T1039" s="17" t="str">
        <f ca="1">IF(INDEX(Listado!G:G,ROW())="","",INDEX(Listado!G:G,ROW()))</f>
        <v/>
      </c>
      <c r="U1039" s="17" t="str">
        <f>IF(INDEX(Listado!F:F,ROW())="","",INDEX(Listado!F:F,ROW()))</f>
        <v/>
      </c>
      <c r="V1039" s="17">
        <f>IF(COUNTA(INDEX(Listado!B:B,ROW()):INDEX(Listado!F:F,ROW()))&gt;0,1,0)</f>
        <v/>
      </c>
      <c r="W1039" s="17" t="str">
        <f>IF(INDEX(Listado!L:L,ROW())="","",INDEX(Listado!L:L,ROW()))</f>
        <v/>
      </c>
      <c r="X1039" s="17">
        <f>IF(N1039="","",IF(INDEX(Listado!$M:$M,N1039)="No","No","Sí"))</f>
        <v/>
      </c>
    </row>
    <row r="1040" spans="2:24" ht="14.25">
      <c r="N1040" s="17" t="str">
        <f>IF(V1040=0,"",IFERROR(LOOKUP(2,1/(INDEX(Listado!A:A,2):INDEX(Listado!A:A,ROW())&lt;&gt;""),ROW(INDEX(Listado!A:A,2):INDEX(Listado!A:A,ROW()))),""))</f>
        <v/>
      </c>
      <c r="O1040" s="17" t="str">
        <f>IFERROR(IF(N1040="","",IF(INDEX(Listado!M:M,N1040)="No",IF(INDEX(Listado!N:N,N1040)=0,"",INDEX(Listado!N:N,N1040)),IF(INDEX(Listado!I:I,N1040)=0,"",INDEX(Listado!I:I,N1040)))),"")</f>
        <v/>
      </c>
      <c r="P1040" s="17">
        <f t="shared" ca="1" si="49"/>
        <v/>
      </c>
      <c r="Q1040" s="17">
        <f>IFERROR(IF(AND(N1040&lt;&gt;"",ISNUMBER(O1040),O1040&gt;0,O1040&gt;=TODAY()-90),1,0),0)</f>
        <v/>
      </c>
      <c r="R1040" s="17" t="str">
        <f t="shared" si="51"/>
        <v/>
      </c>
      <c r="S1040" s="17" t="str">
        <f>IF(INDEX(Listado!A:A,ROW())="","",INDEX(Listado!A:A,ROW()))</f>
        <v/>
      </c>
      <c r="T1040" s="17" t="str">
        <f ca="1">IF(INDEX(Listado!G:G,ROW())="","",INDEX(Listado!G:G,ROW()))</f>
        <v/>
      </c>
      <c r="U1040" s="17" t="str">
        <f>IF(INDEX(Listado!F:F,ROW())="","",INDEX(Listado!F:F,ROW()))</f>
        <v/>
      </c>
      <c r="V1040" s="17">
        <f>IF(COUNTA(INDEX(Listado!B:B,ROW()):INDEX(Listado!F:F,ROW()))&gt;0,1,0)</f>
        <v/>
      </c>
      <c r="W1040" s="17" t="str">
        <f>IF(INDEX(Listado!L:L,ROW())="","",INDEX(Listado!L:L,ROW()))</f>
        <v/>
      </c>
      <c r="X1040" s="17">
        <f>IF(N1040="","",IF(INDEX(Listado!$M:$M,N1040)="No","No","Sí"))</f>
        <v/>
      </c>
    </row>
    <row r="1041" spans="2:24" ht="14.25">
      <c r="N1041" s="17" t="str">
        <f>IF(V1041=0,"",IFERROR(LOOKUP(2,1/(INDEX(Listado!A:A,2):INDEX(Listado!A:A,ROW())&lt;&gt;""),ROW(INDEX(Listado!A:A,2):INDEX(Listado!A:A,ROW()))),""))</f>
        <v/>
      </c>
      <c r="O1041" s="17" t="str">
        <f>IFERROR(IF(N1041="","",IF(INDEX(Listado!M:M,N1041)="No",IF(INDEX(Listado!N:N,N1041)=0,"",INDEX(Listado!N:N,N1041)),IF(INDEX(Listado!I:I,N1041)=0,"",INDEX(Listado!I:I,N1041)))),"")</f>
        <v/>
      </c>
      <c r="P1041" s="17">
        <f t="shared" ca="1" si="49"/>
        <v/>
      </c>
      <c r="Q1041" s="17">
        <f>IFERROR(IF(AND(N1041&lt;&gt;"",ISNUMBER(O1041),O1041&gt;0,O1041&gt;=TODAY()-90),1,0),0)</f>
        <v/>
      </c>
      <c r="R1041" s="17" t="str">
        <f t="shared" si="51"/>
        <v/>
      </c>
      <c r="S1041" s="17" t="str">
        <f>IF(INDEX(Listado!A:A,ROW())="","",INDEX(Listado!A:A,ROW()))</f>
        <v/>
      </c>
      <c r="T1041" s="17" t="str">
        <f ca="1">IF(INDEX(Listado!G:G,ROW())="","",INDEX(Listado!G:G,ROW()))</f>
        <v/>
      </c>
      <c r="U1041" s="17" t="str">
        <f>IF(INDEX(Listado!F:F,ROW())="","",INDEX(Listado!F:F,ROW()))</f>
        <v/>
      </c>
      <c r="V1041" s="17">
        <f>IF(COUNTA(INDEX(Listado!B:B,ROW()):INDEX(Listado!F:F,ROW()))&gt;0,1,0)</f>
        <v/>
      </c>
      <c r="W1041" s="17" t="str">
        <f>IF(INDEX(Listado!L:L,ROW())="","",INDEX(Listado!L:L,ROW()))</f>
        <v/>
      </c>
      <c r="X1041" s="17">
        <f>IF(N1041="","",IF(INDEX(Listado!$M:$M,N1041)="No","No","Sí"))</f>
        <v/>
      </c>
    </row>
    <row r="1042" spans="2:24" ht="14.25">
      <c r="N1042" s="17" t="str">
        <f>IF(V1042=0,"",IFERROR(LOOKUP(2,1/(INDEX(Listado!A:A,2):INDEX(Listado!A:A,ROW())&lt;&gt;""),ROW(INDEX(Listado!A:A,2):INDEX(Listado!A:A,ROW()))),""))</f>
        <v/>
      </c>
      <c r="O1042" s="17" t="str">
        <f>IFERROR(IF(N1042="","",IF(INDEX(Listado!M:M,N1042)="No",IF(INDEX(Listado!N:N,N1042)=0,"",INDEX(Listado!N:N,N1042)),IF(INDEX(Listado!I:I,N1042)=0,"",INDEX(Listado!I:I,N1042)))),"")</f>
        <v/>
      </c>
      <c r="P1042" s="17">
        <f t="shared" ca="1" si="49"/>
        <v/>
      </c>
      <c r="Q1042" s="17">
        <f>IFERROR(IF(AND(N1042&lt;&gt;"",ISNUMBER(O1042),O1042&gt;0,O1042&gt;=TODAY()-90),1,0),0)</f>
        <v/>
      </c>
      <c r="R1042" s="17" t="str">
        <f t="shared" si="51"/>
        <v/>
      </c>
      <c r="S1042" s="17" t="str">
        <f>IF(INDEX(Listado!A:A,ROW())="","",INDEX(Listado!A:A,ROW()))</f>
        <v/>
      </c>
      <c r="T1042" s="17" t="str">
        <f ca="1">IF(INDEX(Listado!G:G,ROW())="","",INDEX(Listado!G:G,ROW()))</f>
        <v/>
      </c>
      <c r="U1042" s="17" t="str">
        <f>IF(INDEX(Listado!F:F,ROW())="","",INDEX(Listado!F:F,ROW()))</f>
        <v/>
      </c>
      <c r="V1042" s="17">
        <f>IF(COUNTA(INDEX(Listado!B:B,ROW()):INDEX(Listado!F:F,ROW()))&gt;0,1,0)</f>
        <v/>
      </c>
      <c r="W1042" s="17" t="str">
        <f>IF(INDEX(Listado!L:L,ROW())="","",INDEX(Listado!L:L,ROW()))</f>
        <v/>
      </c>
      <c r="X1042" s="17">
        <f>IF(N1042="","",IF(INDEX(Listado!$M:$M,N1042)="No","No","Sí"))</f>
        <v/>
      </c>
    </row>
    <row r="1043" spans="2:24" ht="14.25">
      <c r="N1043" s="17" t="str">
        <f>IF(V1043=0,"",IFERROR(LOOKUP(2,1/(INDEX(Listado!A:A,2):INDEX(Listado!A:A,ROW())&lt;&gt;""),ROW(INDEX(Listado!A:A,2):INDEX(Listado!A:A,ROW()))),""))</f>
        <v/>
      </c>
      <c r="O1043" s="17" t="str">
        <f>IFERROR(IF(N1043="","",IF(INDEX(Listado!M:M,N1043)="No",IF(INDEX(Listado!N:N,N1043)=0,"",INDEX(Listado!N:N,N1043)),IF(INDEX(Listado!I:I,N1043)=0,"",INDEX(Listado!I:I,N1043)))),"")</f>
        <v/>
      </c>
      <c r="P1043" s="17">
        <f t="shared" ca="1" si="49"/>
        <v/>
      </c>
      <c r="Q1043" s="17">
        <f>IFERROR(IF(AND(N1043&lt;&gt;"",ISNUMBER(O1043),O1043&gt;0,O1043&gt;=TODAY()-90),1,0),0)</f>
        <v/>
      </c>
      <c r="R1043" s="17" t="str">
        <f t="shared" si="51"/>
        <v/>
      </c>
      <c r="S1043" s="17" t="str">
        <f>IF(INDEX(Listado!A:A,ROW())="","",INDEX(Listado!A:A,ROW()))</f>
        <v/>
      </c>
      <c r="T1043" s="17" t="str">
        <f ca="1">IF(INDEX(Listado!G:G,ROW())="","",INDEX(Listado!G:G,ROW()))</f>
        <v/>
      </c>
      <c r="U1043" s="17" t="str">
        <f>IF(INDEX(Listado!F:F,ROW())="","",INDEX(Listado!F:F,ROW()))</f>
        <v/>
      </c>
      <c r="V1043" s="17">
        <f>IF(COUNTA(INDEX(Listado!B:B,ROW()):INDEX(Listado!F:F,ROW()))&gt;0,1,0)</f>
        <v/>
      </c>
      <c r="W1043" s="17" t="str">
        <f>IF(INDEX(Listado!L:L,ROW())="","",INDEX(Listado!L:L,ROW()))</f>
        <v/>
      </c>
      <c r="X1043" s="17">
        <f>IF(N1043="","",IF(INDEX(Listado!$M:$M,N1043)="No","No","Sí"))</f>
        <v/>
      </c>
    </row>
    <row r="1044" spans="2:24" ht="14.25">
      <c r="N1044" s="17" t="str">
        <f>IF(V1044=0,"",IFERROR(LOOKUP(2,1/(INDEX(Listado!A:A,2):INDEX(Listado!A:A,ROW())&lt;&gt;""),ROW(INDEX(Listado!A:A,2):INDEX(Listado!A:A,ROW()))),""))</f>
        <v/>
      </c>
      <c r="O1044" s="17" t="str">
        <f>IFERROR(IF(N1044="","",IF(INDEX(Listado!M:M,N1044)="No",IF(INDEX(Listado!N:N,N1044)=0,"",INDEX(Listado!N:N,N1044)),IF(INDEX(Listado!I:I,N1044)=0,"",INDEX(Listado!I:I,N1044)))),"")</f>
        <v/>
      </c>
      <c r="P1044" s="17">
        <f t="shared" ca="1" si="49"/>
        <v/>
      </c>
      <c r="Q1044" s="17">
        <f>IFERROR(IF(AND(N1044&lt;&gt;"",ISNUMBER(O1044),O1044&gt;0,O1044&gt;=TODAY()-90),1,0),0)</f>
        <v/>
      </c>
      <c r="R1044" s="17" t="str">
        <f t="shared" si="51"/>
        <v/>
      </c>
      <c r="S1044" s="17" t="str">
        <f>IF(INDEX(Listado!A:A,ROW())="","",INDEX(Listado!A:A,ROW()))</f>
        <v/>
      </c>
      <c r="T1044" s="17" t="str">
        <f ca="1">IF(INDEX(Listado!G:G,ROW())="","",INDEX(Listado!G:G,ROW()))</f>
        <v/>
      </c>
      <c r="U1044" s="17" t="str">
        <f>IF(INDEX(Listado!F:F,ROW())="","",INDEX(Listado!F:F,ROW()))</f>
        <v/>
      </c>
      <c r="V1044" s="17">
        <f>IF(COUNTA(INDEX(Listado!B:B,ROW()):INDEX(Listado!F:F,ROW()))&gt;0,1,0)</f>
        <v/>
      </c>
      <c r="W1044" s="17" t="str">
        <f>IF(INDEX(Listado!L:L,ROW())="","",INDEX(Listado!L:L,ROW()))</f>
        <v/>
      </c>
      <c r="X1044" s="17">
        <f>IF(N1044="","",IF(INDEX(Listado!$M:$M,N1044)="No","No","Sí"))</f>
        <v/>
      </c>
    </row>
    <row r="1045" spans="2:24" ht="14.25">
      <c r="N1045" s="17" t="str">
        <f>IF(V1045=0,"",IFERROR(LOOKUP(2,1/(INDEX(Listado!A:A,2):INDEX(Listado!A:A,ROW())&lt;&gt;""),ROW(INDEX(Listado!A:A,2):INDEX(Listado!A:A,ROW()))),""))</f>
        <v/>
      </c>
      <c r="O1045" s="17" t="str">
        <f>IFERROR(IF(N1045="","",IF(INDEX(Listado!M:M,N1045)="No",IF(INDEX(Listado!N:N,N1045)=0,"",INDEX(Listado!N:N,N1045)),IF(INDEX(Listado!I:I,N1045)=0,"",INDEX(Listado!I:I,N1045)))),"")</f>
        <v/>
      </c>
      <c r="P1045" s="17">
        <f t="shared" ca="1" si="49"/>
        <v/>
      </c>
      <c r="Q1045" s="17">
        <f>IFERROR(IF(AND(N1045&lt;&gt;"",ISNUMBER(O1045),O1045&gt;0,O1045&gt;=TODAY()-90),1,0),0)</f>
        <v/>
      </c>
      <c r="R1045" s="17" t="str">
        <f t="shared" si="51"/>
        <v/>
      </c>
      <c r="S1045" s="17" t="str">
        <f>IF(INDEX(Listado!A:A,ROW())="","",INDEX(Listado!A:A,ROW()))</f>
        <v/>
      </c>
      <c r="T1045" s="17" t="str">
        <f ca="1">IF(INDEX(Listado!G:G,ROW())="","",INDEX(Listado!G:G,ROW()))</f>
        <v/>
      </c>
      <c r="U1045" s="17" t="str">
        <f>IF(INDEX(Listado!F:F,ROW())="","",INDEX(Listado!F:F,ROW()))</f>
        <v/>
      </c>
      <c r="V1045" s="17">
        <f>IF(COUNTA(INDEX(Listado!B:B,ROW()):INDEX(Listado!F:F,ROW()))&gt;0,1,0)</f>
        <v/>
      </c>
      <c r="W1045" s="17" t="str">
        <f>IF(INDEX(Listado!L:L,ROW())="","",INDEX(Listado!L:L,ROW()))</f>
        <v/>
      </c>
      <c r="X1045" s="17">
        <f>IF(N1045="","",IF(INDEX(Listado!$M:$M,N1045)="No","No","Sí"))</f>
        <v/>
      </c>
    </row>
    <row r="1046" spans="2:24" ht="14.25">
      <c r="N1046" s="17" t="str">
        <f>IF(V1046=0,"",IFERROR(LOOKUP(2,1/(INDEX(Listado!A:A,2):INDEX(Listado!A:A,ROW())&lt;&gt;""),ROW(INDEX(Listado!A:A,2):INDEX(Listado!A:A,ROW()))),""))</f>
        <v/>
      </c>
      <c r="O1046" s="17" t="str">
        <f>IFERROR(IF(N1046="","",IF(INDEX(Listado!M:M,N1046)="No",IF(INDEX(Listado!N:N,N1046)=0,"",INDEX(Listado!N:N,N1046)),IF(INDEX(Listado!I:I,N1046)=0,"",INDEX(Listado!I:I,N1046)))),"")</f>
        <v/>
      </c>
      <c r="P1046" s="17">
        <f t="shared" ca="1" si="49"/>
        <v/>
      </c>
      <c r="Q1046" s="17">
        <f>IFERROR(IF(AND(N1046&lt;&gt;"",ISNUMBER(O1046),O1046&gt;0,O1046&gt;=TODAY()-90),1,0),0)</f>
        <v/>
      </c>
      <c r="R1046" s="17" t="str">
        <f t="shared" si="51"/>
        <v/>
      </c>
      <c r="S1046" s="17" t="str">
        <f>IF(INDEX(Listado!A:A,ROW())="","",INDEX(Listado!A:A,ROW()))</f>
        <v/>
      </c>
      <c r="T1046" s="17" t="str">
        <f ca="1">IF(INDEX(Listado!G:G,ROW())="","",INDEX(Listado!G:G,ROW()))</f>
        <v/>
      </c>
      <c r="U1046" s="17" t="str">
        <f>IF(INDEX(Listado!F:F,ROW())="","",INDEX(Listado!F:F,ROW()))</f>
        <v/>
      </c>
      <c r="V1046" s="17">
        <f>IF(COUNTA(INDEX(Listado!B:B,ROW()):INDEX(Listado!F:F,ROW()))&gt;0,1,0)</f>
        <v/>
      </c>
      <c r="W1046" s="17" t="str">
        <f>IF(INDEX(Listado!L:L,ROW())="","",INDEX(Listado!L:L,ROW()))</f>
        <v/>
      </c>
      <c r="X1046" s="17">
        <f>IF(N1046="","",IF(INDEX(Listado!$M:$M,N1046)="No","No","Sí"))</f>
        <v/>
      </c>
    </row>
    <row r="1047" spans="2:24" ht="14.25">
      <c r="N1047" s="17" t="str">
        <f>IF(V1047=0,"",IFERROR(LOOKUP(2,1/(INDEX(Listado!A:A,2):INDEX(Listado!A:A,ROW())&lt;&gt;""),ROW(INDEX(Listado!A:A,2):INDEX(Listado!A:A,ROW()))),""))</f>
        <v/>
      </c>
      <c r="O1047" s="17" t="str">
        <f>IFERROR(IF(N1047="","",IF(INDEX(Listado!M:M,N1047)="No",IF(INDEX(Listado!N:N,N1047)=0,"",INDEX(Listado!N:N,N1047)),IF(INDEX(Listado!I:I,N1047)=0,"",INDEX(Listado!I:I,N1047)))),"")</f>
        <v/>
      </c>
      <c r="P1047" s="17">
        <f t="shared" ca="1" si="49"/>
        <v/>
      </c>
      <c r="Q1047" s="17">
        <f>IFERROR(IF(AND(N1047&lt;&gt;"",ISNUMBER(O1047),O1047&gt;0,O1047&gt;=TODAY()-90),1,0),0)</f>
        <v/>
      </c>
      <c r="R1047" s="17" t="str">
        <f t="shared" si="51"/>
        <v/>
      </c>
      <c r="S1047" s="17" t="str">
        <f>IF(INDEX(Listado!A:A,ROW())="","",INDEX(Listado!A:A,ROW()))</f>
        <v/>
      </c>
      <c r="T1047" s="17" t="str">
        <f ca="1">IF(INDEX(Listado!G:G,ROW())="","",INDEX(Listado!G:G,ROW()))</f>
        <v/>
      </c>
      <c r="U1047" s="17" t="str">
        <f>IF(INDEX(Listado!F:F,ROW())="","",INDEX(Listado!F:F,ROW()))</f>
        <v/>
      </c>
      <c r="V1047" s="17">
        <f>IF(COUNTA(INDEX(Listado!B:B,ROW()):INDEX(Listado!F:F,ROW()))&gt;0,1,0)</f>
        <v/>
      </c>
      <c r="W1047" s="17" t="str">
        <f>IF(INDEX(Listado!L:L,ROW())="","",INDEX(Listado!L:L,ROW()))</f>
        <v/>
      </c>
      <c r="X1047" s="17">
        <f>IF(N1047="","",IF(INDEX(Listado!$M:$M,N1047)="No","No","Sí"))</f>
        <v/>
      </c>
    </row>
    <row r="1048" spans="2:24" ht="14.25">
      <c r="N1048" s="17" t="str">
        <f>IF(V1048=0,"",IFERROR(LOOKUP(2,1/(INDEX(Listado!A:A,2):INDEX(Listado!A:A,ROW())&lt;&gt;""),ROW(INDEX(Listado!A:A,2):INDEX(Listado!A:A,ROW()))),""))</f>
        <v/>
      </c>
      <c r="O1048" s="17" t="str">
        <f>IFERROR(IF(N1048="","",IF(INDEX(Listado!M:M,N1048)="No",IF(INDEX(Listado!N:N,N1048)=0,"",INDEX(Listado!N:N,N1048)),IF(INDEX(Listado!I:I,N1048)=0,"",INDEX(Listado!I:I,N1048)))),"")</f>
        <v/>
      </c>
      <c r="P1048" s="17">
        <f t="shared" ca="1" si="49"/>
        <v/>
      </c>
      <c r="Q1048" s="17">
        <f>IFERROR(IF(AND(N1048&lt;&gt;"",ISNUMBER(O1048),O1048&gt;0,O1048&gt;=TODAY()-90),1,0),0)</f>
        <v/>
      </c>
      <c r="R1048" s="17" t="str">
        <f t="shared" si="51"/>
        <v/>
      </c>
      <c r="S1048" s="17" t="str">
        <f>IF(INDEX(Listado!A:A,ROW())="","",INDEX(Listado!A:A,ROW()))</f>
        <v/>
      </c>
      <c r="T1048" s="17" t="str">
        <f ca="1">IF(INDEX(Listado!G:G,ROW())="","",INDEX(Listado!G:G,ROW()))</f>
        <v/>
      </c>
      <c r="U1048" s="17" t="str">
        <f>IF(INDEX(Listado!F:F,ROW())="","",INDEX(Listado!F:F,ROW()))</f>
        <v/>
      </c>
      <c r="V1048" s="17">
        <f>IF(COUNTA(INDEX(Listado!B:B,ROW()):INDEX(Listado!F:F,ROW()))&gt;0,1,0)</f>
        <v/>
      </c>
      <c r="W1048" s="17" t="str">
        <f>IF(INDEX(Listado!L:L,ROW())="","",INDEX(Listado!L:L,ROW()))</f>
        <v/>
      </c>
      <c r="X1048" s="17">
        <f>IF(N1048="","",IF(INDEX(Listado!$M:$M,N1048)="No","No","Sí"))</f>
        <v/>
      </c>
    </row>
    <row r="1049" spans="2:24" ht="14.25">
      <c r="N1049" s="17" t="str">
        <f>IF(V1049=0,"",IFERROR(LOOKUP(2,1/(INDEX(Listado!A:A,2):INDEX(Listado!A:A,ROW())&lt;&gt;""),ROW(INDEX(Listado!A:A,2):INDEX(Listado!A:A,ROW()))),""))</f>
        <v/>
      </c>
      <c r="O1049" s="17" t="str">
        <f>IFERROR(IF(N1049="","",IF(INDEX(Listado!M:M,N1049)="No",IF(INDEX(Listado!N:N,N1049)=0,"",INDEX(Listado!N:N,N1049)),IF(INDEX(Listado!I:I,N1049)=0,"",INDEX(Listado!I:I,N1049)))),"")</f>
        <v/>
      </c>
      <c r="P1049" s="17">
        <f t="shared" ca="1" si="49"/>
        <v/>
      </c>
      <c r="Q1049" s="17">
        <f>IFERROR(IF(AND(N1049&lt;&gt;"",ISNUMBER(O1049),O1049&gt;0,O1049&gt;=TODAY()-90),1,0),0)</f>
        <v/>
      </c>
      <c r="R1049" s="17" t="str">
        <f t="shared" si="51"/>
        <v/>
      </c>
      <c r="S1049" s="17" t="str">
        <f>IF(INDEX(Listado!A:A,ROW())="","",INDEX(Listado!A:A,ROW()))</f>
        <v/>
      </c>
      <c r="T1049" s="17" t="str">
        <f ca="1">IF(INDEX(Listado!G:G,ROW())="","",INDEX(Listado!G:G,ROW()))</f>
        <v/>
      </c>
      <c r="U1049" s="17" t="str">
        <f>IF(INDEX(Listado!F:F,ROW())="","",INDEX(Listado!F:F,ROW()))</f>
        <v/>
      </c>
      <c r="V1049" s="17">
        <f>IF(COUNTA(INDEX(Listado!B:B,ROW()):INDEX(Listado!F:F,ROW()))&gt;0,1,0)</f>
        <v/>
      </c>
      <c r="W1049" s="17" t="str">
        <f>IF(INDEX(Listado!L:L,ROW())="","",INDEX(Listado!L:L,ROW()))</f>
        <v/>
      </c>
      <c r="X1049" s="17">
        <f>IF(N1049="","",IF(INDEX(Listado!$M:$M,N1049)="No","No","Sí"))</f>
        <v/>
      </c>
    </row>
    <row r="1050" spans="2:24" ht="14.25">
      <c r="N1050" s="17" t="str">
        <f>IF(V1050=0,"",IFERROR(LOOKUP(2,1/(INDEX(Listado!A:A,2):INDEX(Listado!A:A,ROW())&lt;&gt;""),ROW(INDEX(Listado!A:A,2):INDEX(Listado!A:A,ROW()))),""))</f>
        <v/>
      </c>
      <c r="O1050" s="17" t="str">
        <f>IFERROR(IF(N1050="","",IF(INDEX(Listado!M:M,N1050)="No",IF(INDEX(Listado!N:N,N1050)=0,"",INDEX(Listado!N:N,N1050)),IF(INDEX(Listado!I:I,N1050)=0,"",INDEX(Listado!I:I,N1050)))),"")</f>
        <v/>
      </c>
      <c r="P1050" s="17">
        <f t="shared" ca="1" si="49"/>
        <v/>
      </c>
      <c r="Q1050" s="17">
        <f>IFERROR(IF(AND(N1050&lt;&gt;"",ISNUMBER(O1050),O1050&gt;0,O1050&gt;=TODAY()-90),1,0),0)</f>
        <v/>
      </c>
      <c r="R1050" s="17" t="str">
        <f t="shared" si="51"/>
        <v/>
      </c>
      <c r="S1050" s="17" t="str">
        <f>IF(INDEX(Listado!A:A,ROW())="","",INDEX(Listado!A:A,ROW()))</f>
        <v/>
      </c>
      <c r="T1050" s="17" t="str">
        <f ca="1">IF(INDEX(Listado!G:G,ROW())="","",INDEX(Listado!G:G,ROW()))</f>
        <v/>
      </c>
      <c r="U1050" s="17" t="str">
        <f>IF(INDEX(Listado!F:F,ROW())="","",INDEX(Listado!F:F,ROW()))</f>
        <v/>
      </c>
      <c r="V1050" s="17">
        <f>IF(COUNTA(INDEX(Listado!B:B,ROW()):INDEX(Listado!F:F,ROW()))&gt;0,1,0)</f>
        <v/>
      </c>
      <c r="W1050" s="17" t="str">
        <f>IF(INDEX(Listado!L:L,ROW())="","",INDEX(Listado!L:L,ROW()))</f>
        <v/>
      </c>
      <c r="X1050" s="17">
        <f>IF(N1050="","",IF(INDEX(Listado!$M:$M,N1050)="No","No","Sí"))</f>
        <v/>
      </c>
    </row>
    <row r="1051" spans="2:24" ht="14.25">
      <c r="N1051" s="17" t="str">
        <f>IF(V1051=0,"",IFERROR(LOOKUP(2,1/(INDEX(Listado!A:A,2):INDEX(Listado!A:A,ROW())&lt;&gt;""),ROW(INDEX(Listado!A:A,2):INDEX(Listado!A:A,ROW()))),""))</f>
        <v/>
      </c>
      <c r="O1051" s="17" t="str">
        <f>IFERROR(IF(N1051="","",IF(INDEX(Listado!M:M,N1051)="No",IF(INDEX(Listado!N:N,N1051)=0,"",INDEX(Listado!N:N,N1051)),IF(INDEX(Listado!I:I,N1051)=0,"",INDEX(Listado!I:I,N1051)))),"")</f>
        <v/>
      </c>
      <c r="P1051" s="17">
        <f t="shared" ca="1" si="49"/>
        <v/>
      </c>
      <c r="Q1051" s="17">
        <f>IFERROR(IF(AND(N1051&lt;&gt;"",ISNUMBER(O1051),O1051&gt;0,O1051&gt;=TODAY()-90),1,0),0)</f>
        <v/>
      </c>
      <c r="R1051" s="17" t="str">
        <f t="shared" si="51"/>
        <v/>
      </c>
      <c r="S1051" s="17" t="str">
        <f>IF(INDEX(Listado!A:A,ROW())="","",INDEX(Listado!A:A,ROW()))</f>
        <v/>
      </c>
      <c r="T1051" s="17" t="str">
        <f ca="1">IF(INDEX(Listado!G:G,ROW())="","",INDEX(Listado!G:G,ROW()))</f>
        <v/>
      </c>
      <c r="U1051" s="17" t="str">
        <f>IF(INDEX(Listado!F:F,ROW())="","",INDEX(Listado!F:F,ROW()))</f>
        <v/>
      </c>
      <c r="V1051" s="17">
        <f>IF(COUNTA(INDEX(Listado!B:B,ROW()):INDEX(Listado!F:F,ROW()))&gt;0,1,0)</f>
        <v/>
      </c>
      <c r="W1051" s="17" t="str">
        <f>IF(INDEX(Listado!L:L,ROW())="","",INDEX(Listado!L:L,ROW()))</f>
        <v/>
      </c>
      <c r="X1051" s="17">
        <f>IF(N1051="","",IF(INDEX(Listado!$M:$M,N1051)="No","No","Sí"))</f>
        <v/>
      </c>
    </row>
    <row r="1052" spans="2:24" ht="14.25">
      <c r="N1052" s="17" t="str">
        <f>IF(V1052=0,"",IFERROR(LOOKUP(2,1/(INDEX(Listado!A:A,2):INDEX(Listado!A:A,ROW())&lt;&gt;""),ROW(INDEX(Listado!A:A,2):INDEX(Listado!A:A,ROW()))),""))</f>
        <v/>
      </c>
      <c r="O1052" s="17" t="str">
        <f>IFERROR(IF(N1052="","",IF(INDEX(Listado!M:M,N1052)="No",IF(INDEX(Listado!N:N,N1052)=0,"",INDEX(Listado!N:N,N1052)),IF(INDEX(Listado!I:I,N1052)=0,"",INDEX(Listado!I:I,N1052)))),"")</f>
        <v/>
      </c>
      <c r="P1052" s="17">
        <f t="shared" ca="1" si="49"/>
        <v/>
      </c>
      <c r="Q1052" s="17">
        <f>IFERROR(IF(AND(N1052&lt;&gt;"",ISNUMBER(O1052),O1052&gt;0,O1052&gt;=TODAY()-90),1,0),0)</f>
        <v/>
      </c>
      <c r="R1052" s="17" t="str">
        <f t="shared" si="51"/>
        <v/>
      </c>
      <c r="S1052" s="17" t="str">
        <f>IF(INDEX(Listado!A:A,ROW())="","",INDEX(Listado!A:A,ROW()))</f>
        <v/>
      </c>
      <c r="T1052" s="17" t="str">
        <f ca="1">IF(INDEX(Listado!G:G,ROW())="","",INDEX(Listado!G:G,ROW()))</f>
        <v/>
      </c>
      <c r="U1052" s="17" t="str">
        <f>IF(INDEX(Listado!F:F,ROW())="","",INDEX(Listado!F:F,ROW()))</f>
        <v/>
      </c>
      <c r="V1052" s="17">
        <f>IF(COUNTA(INDEX(Listado!B:B,ROW()):INDEX(Listado!F:F,ROW()))&gt;0,1,0)</f>
        <v/>
      </c>
      <c r="W1052" s="17" t="str">
        <f>IF(INDEX(Listado!L:L,ROW())="","",INDEX(Listado!L:L,ROW()))</f>
        <v/>
      </c>
      <c r="X1052" s="17">
        <f>IF(N1052="","",IF(INDEX(Listado!$M:$M,N1052)="No","No","Sí"))</f>
        <v/>
      </c>
    </row>
    <row r="1053" spans="2:24" ht="14.25">
      <c r="N1053" s="17" t="str">
        <f>IF(V1053=0,"",IFERROR(LOOKUP(2,1/(INDEX(Listado!A:A,2):INDEX(Listado!A:A,ROW())&lt;&gt;""),ROW(INDEX(Listado!A:A,2):INDEX(Listado!A:A,ROW()))),""))</f>
        <v/>
      </c>
      <c r="O1053" s="17" t="str">
        <f>IFERROR(IF(N1053="","",IF(INDEX(Listado!M:M,N1053)="No",IF(INDEX(Listado!N:N,N1053)=0,"",INDEX(Listado!N:N,N1053)),IF(INDEX(Listado!I:I,N1053)=0,"",INDEX(Listado!I:I,N1053)))),"")</f>
        <v/>
      </c>
      <c r="P1053" s="17">
        <f t="shared" ca="1" si="49"/>
        <v/>
      </c>
      <c r="Q1053" s="17">
        <f>IFERROR(IF(AND(N1053&lt;&gt;"",ISNUMBER(O1053),O1053&gt;0,O1053&gt;=TODAY()-90),1,0),0)</f>
        <v/>
      </c>
      <c r="R1053" s="17" t="str">
        <f t="shared" si="51"/>
        <v/>
      </c>
      <c r="S1053" s="17" t="str">
        <f>IF(INDEX(Listado!A:A,ROW())="","",INDEX(Listado!A:A,ROW()))</f>
        <v/>
      </c>
      <c r="T1053" s="17" t="str">
        <f ca="1">IF(INDEX(Listado!G:G,ROW())="","",INDEX(Listado!G:G,ROW()))</f>
        <v/>
      </c>
      <c r="U1053" s="17" t="str">
        <f>IF(INDEX(Listado!F:F,ROW())="","",INDEX(Listado!F:F,ROW()))</f>
        <v/>
      </c>
      <c r="V1053" s="17">
        <f>IF(COUNTA(INDEX(Listado!B:B,ROW()):INDEX(Listado!F:F,ROW()))&gt;0,1,0)</f>
        <v/>
      </c>
      <c r="W1053" s="17" t="str">
        <f>IF(INDEX(Listado!L:L,ROW())="","",INDEX(Listado!L:L,ROW()))</f>
        <v/>
      </c>
      <c r="X1053" s="17">
        <f>IF(N1053="","",IF(INDEX(Listado!$M:$M,N1053)="No","No","Sí"))</f>
        <v/>
      </c>
    </row>
    <row r="1054" spans="2:24" ht="14.25">
      <c r="N1054" s="17" t="str">
        <f>IF(V1054=0,"",IFERROR(LOOKUP(2,1/(INDEX(Listado!A:A,2):INDEX(Listado!A:A,ROW())&lt;&gt;""),ROW(INDEX(Listado!A:A,2):INDEX(Listado!A:A,ROW()))),""))</f>
        <v/>
      </c>
      <c r="O1054" s="17" t="str">
        <f>IFERROR(IF(N1054="","",IF(INDEX(Listado!M:M,N1054)="No",IF(INDEX(Listado!N:N,N1054)=0,"",INDEX(Listado!N:N,N1054)),IF(INDEX(Listado!I:I,N1054)=0,"",INDEX(Listado!I:I,N1054)))),"")</f>
        <v/>
      </c>
      <c r="P1054" s="17">
        <f t="shared" ca="1" si="49"/>
        <v/>
      </c>
      <c r="Q1054" s="17">
        <f>IFERROR(IF(AND(N1054&lt;&gt;"",ISNUMBER(O1054),O1054&gt;0,O1054&gt;=TODAY()-90),1,0),0)</f>
        <v/>
      </c>
      <c r="R1054" s="17" t="str">
        <f t="shared" si="51"/>
        <v/>
      </c>
      <c r="S1054" s="17" t="str">
        <f>IF(INDEX(Listado!A:A,ROW())="","",INDEX(Listado!A:A,ROW()))</f>
        <v/>
      </c>
      <c r="T1054" s="17" t="str">
        <f ca="1">IF(INDEX(Listado!G:G,ROW())="","",INDEX(Listado!G:G,ROW()))</f>
        <v/>
      </c>
      <c r="U1054" s="17" t="str">
        <f>IF(INDEX(Listado!F:F,ROW())="","",INDEX(Listado!F:F,ROW()))</f>
        <v/>
      </c>
      <c r="V1054" s="17">
        <f>IF(COUNTA(INDEX(Listado!B:B,ROW()):INDEX(Listado!F:F,ROW()))&gt;0,1,0)</f>
        <v/>
      </c>
      <c r="W1054" s="17" t="str">
        <f>IF(INDEX(Listado!L:L,ROW())="","",INDEX(Listado!L:L,ROW()))</f>
        <v/>
      </c>
      <c r="X1054" s="17">
        <f>IF(N1054="","",IF(INDEX(Listado!$M:$M,N1054)="No","No","Sí"))</f>
        <v/>
      </c>
    </row>
    <row r="1055" spans="2:24" ht="14.25">
      <c r="N1055" s="17" t="str">
        <f>IF(V1055=0,"",IFERROR(LOOKUP(2,1/(INDEX(Listado!A:A,2):INDEX(Listado!A:A,ROW())&lt;&gt;""),ROW(INDEX(Listado!A:A,2):INDEX(Listado!A:A,ROW()))),""))</f>
        <v/>
      </c>
      <c r="O1055" s="17" t="str">
        <f>IFERROR(IF(N1055="","",IF(INDEX(Listado!M:M,N1055)="No",IF(INDEX(Listado!N:N,N1055)=0,"",INDEX(Listado!N:N,N1055)),IF(INDEX(Listado!I:I,N1055)=0,"",INDEX(Listado!I:I,N1055)))),"")</f>
        <v/>
      </c>
      <c r="P1055" s="17">
        <f t="shared" ca="1" si="49"/>
        <v/>
      </c>
      <c r="Q1055" s="17">
        <f>IFERROR(IF(AND(N1055&lt;&gt;"",ISNUMBER(O1055),O1055&gt;0,O1055&gt;=TODAY()-90),1,0),0)</f>
        <v/>
      </c>
      <c r="R1055" s="17" t="str">
        <f t="shared" si="51"/>
        <v/>
      </c>
      <c r="S1055" s="17" t="str">
        <f>IF(INDEX(Listado!A:A,ROW())="","",INDEX(Listado!A:A,ROW()))</f>
        <v/>
      </c>
      <c r="T1055" s="17" t="str">
        <f ca="1">IF(INDEX(Listado!G:G,ROW())="","",INDEX(Listado!G:G,ROW()))</f>
        <v/>
      </c>
      <c r="U1055" s="17" t="str">
        <f>IF(INDEX(Listado!F:F,ROW())="","",INDEX(Listado!F:F,ROW()))</f>
        <v/>
      </c>
      <c r="V1055" s="17">
        <f>IF(COUNTA(INDEX(Listado!B:B,ROW()):INDEX(Listado!F:F,ROW()))&gt;0,1,0)</f>
        <v/>
      </c>
      <c r="W1055" s="17" t="str">
        <f>IF(INDEX(Listado!L:L,ROW())="","",INDEX(Listado!L:L,ROW()))</f>
        <v/>
      </c>
      <c r="X1055" s="17">
        <f>IF(N1055="","",IF(INDEX(Listado!$M:$M,N1055)="No","No","Sí"))</f>
        <v/>
      </c>
    </row>
    <row r="1056" spans="2:24" ht="14.25">
      <c r="N1056" s="17" t="str">
        <f>IF(V1056=0,"",IFERROR(LOOKUP(2,1/(INDEX(Listado!A:A,2):INDEX(Listado!A:A,ROW())&lt;&gt;""),ROW(INDEX(Listado!A:A,2):INDEX(Listado!A:A,ROW()))),""))</f>
        <v/>
      </c>
      <c r="O1056" s="17" t="str">
        <f>IFERROR(IF(N1056="","",IF(INDEX(Listado!M:M,N1056)="No",IF(INDEX(Listado!N:N,N1056)=0,"",INDEX(Listado!N:N,N1056)),IF(INDEX(Listado!I:I,N1056)=0,"",INDEX(Listado!I:I,N1056)))),"")</f>
        <v/>
      </c>
      <c r="P1056" s="17">
        <f t="shared" ca="1" si="49"/>
        <v/>
      </c>
      <c r="Q1056" s="17">
        <f>IFERROR(IF(AND(N1056&lt;&gt;"",ISNUMBER(O1056),O1056&gt;0,O1056&gt;=TODAY()-90),1,0),0)</f>
        <v/>
      </c>
      <c r="R1056" s="17" t="str">
        <f t="shared" si="51"/>
        <v/>
      </c>
      <c r="S1056" s="17" t="str">
        <f>IF(INDEX(Listado!A:A,ROW())="","",INDEX(Listado!A:A,ROW()))</f>
        <v/>
      </c>
      <c r="T1056" s="17" t="str">
        <f ca="1">IF(INDEX(Listado!G:G,ROW())="","",INDEX(Listado!G:G,ROW()))</f>
        <v/>
      </c>
      <c r="U1056" s="17" t="str">
        <f>IF(INDEX(Listado!F:F,ROW())="","",INDEX(Listado!F:F,ROW()))</f>
        <v/>
      </c>
      <c r="V1056" s="17">
        <f>IF(COUNTA(INDEX(Listado!B:B,ROW()):INDEX(Listado!F:F,ROW()))&gt;0,1,0)</f>
        <v/>
      </c>
      <c r="W1056" s="17" t="str">
        <f>IF(INDEX(Listado!L:L,ROW())="","",INDEX(Listado!L:L,ROW()))</f>
        <v/>
      </c>
      <c r="X1056" s="17">
        <f>IF(N1056="","",IF(INDEX(Listado!$M:$M,N1056)="No","No","Sí"))</f>
        <v/>
      </c>
    </row>
    <row r="1057" spans="2:24" ht="14.25">
      <c r="N1057" s="17" t="str">
        <f>IF(V1057=0,"",IFERROR(LOOKUP(2,1/(INDEX(Listado!A:A,2):INDEX(Listado!A:A,ROW())&lt;&gt;""),ROW(INDEX(Listado!A:A,2):INDEX(Listado!A:A,ROW()))),""))</f>
        <v/>
      </c>
      <c r="O1057" s="17" t="str">
        <f>IFERROR(IF(N1057="","",IF(INDEX(Listado!M:M,N1057)="No",IF(INDEX(Listado!N:N,N1057)=0,"",INDEX(Listado!N:N,N1057)),IF(INDEX(Listado!I:I,N1057)=0,"",INDEX(Listado!I:I,N1057)))),"")</f>
        <v/>
      </c>
      <c r="P1057" s="17">
        <f t="shared" ca="1" si="49"/>
        <v/>
      </c>
      <c r="Q1057" s="17">
        <f>IFERROR(IF(AND(N1057&lt;&gt;"",ISNUMBER(O1057),O1057&gt;0,O1057&gt;=TODAY()-90),1,0),0)</f>
        <v/>
      </c>
      <c r="R1057" s="17" t="str">
        <f t="shared" si="51"/>
        <v/>
      </c>
      <c r="S1057" s="17" t="str">
        <f>IF(INDEX(Listado!A:A,ROW())="","",INDEX(Listado!A:A,ROW()))</f>
        <v/>
      </c>
      <c r="T1057" s="17" t="str">
        <f ca="1">IF(INDEX(Listado!G:G,ROW())="","",INDEX(Listado!G:G,ROW()))</f>
        <v/>
      </c>
      <c r="U1057" s="17" t="str">
        <f>IF(INDEX(Listado!F:F,ROW())="","",INDEX(Listado!F:F,ROW()))</f>
        <v/>
      </c>
      <c r="V1057" s="17">
        <f>IF(COUNTA(INDEX(Listado!B:B,ROW()):INDEX(Listado!F:F,ROW()))&gt;0,1,0)</f>
        <v/>
      </c>
      <c r="W1057" s="17" t="str">
        <f>IF(INDEX(Listado!L:L,ROW())="","",INDEX(Listado!L:L,ROW()))</f>
        <v/>
      </c>
      <c r="X1057" s="17">
        <f>IF(N1057="","",IF(INDEX(Listado!$M:$M,N1057)="No","No","Sí"))</f>
        <v/>
      </c>
    </row>
    <row r="1058" spans="2:24" ht="14.25">
      <c r="N1058" s="17" t="str">
        <f>IF(V1058=0,"",IFERROR(LOOKUP(2,1/(INDEX(Listado!A:A,2):INDEX(Listado!A:A,ROW())&lt;&gt;""),ROW(INDEX(Listado!A:A,2):INDEX(Listado!A:A,ROW()))),""))</f>
        <v/>
      </c>
      <c r="O1058" s="17" t="str">
        <f>IFERROR(IF(N1058="","",IF(INDEX(Listado!M:M,N1058)="No",IF(INDEX(Listado!N:N,N1058)=0,"",INDEX(Listado!N:N,N1058)),IF(INDEX(Listado!I:I,N1058)=0,"",INDEX(Listado!I:I,N1058)))),"")</f>
        <v/>
      </c>
      <c r="P1058" s="17">
        <f t="shared" ca="1" si="49"/>
        <v/>
      </c>
      <c r="Q1058" s="17">
        <f>IFERROR(IF(AND(N1058&lt;&gt;"",ISNUMBER(O1058),O1058&gt;0,O1058&gt;=TODAY()-90),1,0),0)</f>
        <v/>
      </c>
      <c r="R1058" s="17" t="str">
        <f t="shared" si="51"/>
        <v/>
      </c>
      <c r="S1058" s="17" t="str">
        <f>IF(INDEX(Listado!A:A,ROW())="","",INDEX(Listado!A:A,ROW()))</f>
        <v/>
      </c>
      <c r="T1058" s="17" t="str">
        <f ca="1">IF(INDEX(Listado!G:G,ROW())="","",INDEX(Listado!G:G,ROW()))</f>
        <v/>
      </c>
      <c r="U1058" s="17" t="str">
        <f>IF(INDEX(Listado!F:F,ROW())="","",INDEX(Listado!F:F,ROW()))</f>
        <v/>
      </c>
      <c r="V1058" s="17">
        <f>IF(COUNTA(INDEX(Listado!B:B,ROW()):INDEX(Listado!F:F,ROW()))&gt;0,1,0)</f>
        <v/>
      </c>
      <c r="W1058" s="17" t="str">
        <f>IF(INDEX(Listado!L:L,ROW())="","",INDEX(Listado!L:L,ROW()))</f>
        <v/>
      </c>
      <c r="X1058" s="17">
        <f>IF(N1058="","",IF(INDEX(Listado!$M:$M,N1058)="No","No","Sí"))</f>
        <v/>
      </c>
    </row>
    <row r="1059" spans="2:24" ht="14.25">
      <c r="N1059" s="17" t="str">
        <f>IF(V1059=0,"",IFERROR(LOOKUP(2,1/(INDEX(Listado!A:A,2):INDEX(Listado!A:A,ROW())&lt;&gt;""),ROW(INDEX(Listado!A:A,2):INDEX(Listado!A:A,ROW()))),""))</f>
        <v/>
      </c>
      <c r="O1059" s="17" t="str">
        <f>IFERROR(IF(N1059="","",IF(INDEX(Listado!M:M,N1059)="No",IF(INDEX(Listado!N:N,N1059)=0,"",INDEX(Listado!N:N,N1059)),IF(INDEX(Listado!I:I,N1059)=0,"",INDEX(Listado!I:I,N1059)))),"")</f>
        <v/>
      </c>
      <c r="P1059" s="17">
        <f t="shared" ca="1" si="49"/>
        <v/>
      </c>
      <c r="Q1059" s="17">
        <f>IFERROR(IF(AND(N1059&lt;&gt;"",ISNUMBER(O1059),O1059&gt;0,O1059&gt;=TODAY()-90),1,0),0)</f>
        <v/>
      </c>
      <c r="R1059" s="17" t="str">
        <f t="shared" si="51"/>
        <v/>
      </c>
      <c r="S1059" s="17" t="str">
        <f>IF(INDEX(Listado!A:A,ROW())="","",INDEX(Listado!A:A,ROW()))</f>
        <v/>
      </c>
      <c r="T1059" s="17" t="str">
        <f ca="1">IF(INDEX(Listado!G:G,ROW())="","",INDEX(Listado!G:G,ROW()))</f>
        <v/>
      </c>
      <c r="U1059" s="17" t="str">
        <f>IF(INDEX(Listado!F:F,ROW())="","",INDEX(Listado!F:F,ROW()))</f>
        <v/>
      </c>
      <c r="V1059" s="17">
        <f>IF(COUNTA(INDEX(Listado!B:B,ROW()):INDEX(Listado!F:F,ROW()))&gt;0,1,0)</f>
        <v/>
      </c>
      <c r="W1059" s="17" t="str">
        <f>IF(INDEX(Listado!L:L,ROW())="","",INDEX(Listado!L:L,ROW()))</f>
        <v/>
      </c>
      <c r="X1059" s="17">
        <f>IF(N1059="","",IF(INDEX(Listado!$M:$M,N1059)="No","No","Sí"))</f>
        <v/>
      </c>
    </row>
    <row r="1060" spans="2:24" ht="14.25">
      <c r="N1060" s="17" t="str">
        <f>IF(V1060=0,"",IFERROR(LOOKUP(2,1/(INDEX(Listado!A:A,2):INDEX(Listado!A:A,ROW())&lt;&gt;""),ROW(INDEX(Listado!A:A,2):INDEX(Listado!A:A,ROW()))),""))</f>
        <v/>
      </c>
      <c r="O1060" s="17" t="str">
        <f>IFERROR(IF(N1060="","",IF(INDEX(Listado!M:M,N1060)="No",IF(INDEX(Listado!N:N,N1060)=0,"",INDEX(Listado!N:N,N1060)),IF(INDEX(Listado!I:I,N1060)=0,"",INDEX(Listado!I:I,N1060)))),"")</f>
        <v/>
      </c>
      <c r="P1060" s="17">
        <f t="shared" ca="1" si="49"/>
        <v/>
      </c>
      <c r="Q1060" s="17">
        <f>IFERROR(IF(AND(N1060&lt;&gt;"",ISNUMBER(O1060),O1060&gt;0,O1060&gt;=TODAY()-90),1,0),0)</f>
        <v/>
      </c>
      <c r="R1060" s="17" t="str">
        <f t="shared" si="51"/>
        <v/>
      </c>
      <c r="S1060" s="17" t="str">
        <f>IF(INDEX(Listado!A:A,ROW())="","",INDEX(Listado!A:A,ROW()))</f>
        <v/>
      </c>
      <c r="T1060" s="17" t="str">
        <f ca="1">IF(INDEX(Listado!G:G,ROW())="","",INDEX(Listado!G:G,ROW()))</f>
        <v/>
      </c>
      <c r="U1060" s="17" t="str">
        <f>IF(INDEX(Listado!F:F,ROW())="","",INDEX(Listado!F:F,ROW()))</f>
        <v/>
      </c>
      <c r="V1060" s="17">
        <f>IF(COUNTA(INDEX(Listado!B:B,ROW()):INDEX(Listado!F:F,ROW()))&gt;0,1,0)</f>
        <v/>
      </c>
      <c r="W1060" s="17" t="str">
        <f>IF(INDEX(Listado!L:L,ROW())="","",INDEX(Listado!L:L,ROW()))</f>
        <v/>
      </c>
      <c r="X1060" s="17">
        <f>IF(N1060="","",IF(INDEX(Listado!$M:$M,N1060)="No","No","Sí"))</f>
        <v/>
      </c>
    </row>
    <row r="1061" spans="2:24" ht="14.25">
      <c r="N1061" s="17" t="str">
        <f>IF(V1061=0,"",IFERROR(LOOKUP(2,1/(INDEX(Listado!A:A,2):INDEX(Listado!A:A,ROW())&lt;&gt;""),ROW(INDEX(Listado!A:A,2):INDEX(Listado!A:A,ROW()))),""))</f>
        <v/>
      </c>
      <c r="O1061" s="17" t="str">
        <f>IFERROR(IF(N1061="","",IF(INDEX(Listado!M:M,N1061)="No",IF(INDEX(Listado!N:N,N1061)=0,"",INDEX(Listado!N:N,N1061)),IF(INDEX(Listado!I:I,N1061)=0,"",INDEX(Listado!I:I,N1061)))),"")</f>
        <v/>
      </c>
      <c r="P1061" s="17">
        <f t="shared" ca="1" si="49"/>
        <v/>
      </c>
      <c r="Q1061" s="17">
        <f>IFERROR(IF(AND(N1061&lt;&gt;"",ISNUMBER(O1061),O1061&gt;0,O1061&gt;=TODAY()-90),1,0),0)</f>
        <v/>
      </c>
      <c r="R1061" s="17" t="str">
        <f t="shared" si="51"/>
        <v/>
      </c>
      <c r="S1061" s="17" t="str">
        <f>IF(INDEX(Listado!A:A,ROW())="","",INDEX(Listado!A:A,ROW()))</f>
        <v/>
      </c>
      <c r="T1061" s="17" t="str">
        <f ca="1">IF(INDEX(Listado!G:G,ROW())="","",INDEX(Listado!G:G,ROW()))</f>
        <v/>
      </c>
      <c r="U1061" s="17" t="str">
        <f>IF(INDEX(Listado!F:F,ROW())="","",INDEX(Listado!F:F,ROW()))</f>
        <v/>
      </c>
      <c r="V1061" s="17">
        <f>IF(COUNTA(INDEX(Listado!B:B,ROW()):INDEX(Listado!F:F,ROW()))&gt;0,1,0)</f>
        <v/>
      </c>
      <c r="W1061" s="17" t="str">
        <f>IF(INDEX(Listado!L:L,ROW())="","",INDEX(Listado!L:L,ROW()))</f>
        <v/>
      </c>
      <c r="X1061" s="17">
        <f>IF(N1061="","",IF(INDEX(Listado!$M:$M,N1061)="No","No","Sí"))</f>
        <v/>
      </c>
    </row>
    <row r="1062" spans="2:24" ht="14.25">
      <c r="N1062" s="17" t="str">
        <f>IF(V1062=0,"",IFERROR(LOOKUP(2,1/(INDEX(Listado!A:A,2):INDEX(Listado!A:A,ROW())&lt;&gt;""),ROW(INDEX(Listado!A:A,2):INDEX(Listado!A:A,ROW()))),""))</f>
        <v/>
      </c>
      <c r="O1062" s="17" t="str">
        <f>IFERROR(IF(N1062="","",IF(INDEX(Listado!M:M,N1062)="No",IF(INDEX(Listado!N:N,N1062)=0,"",INDEX(Listado!N:N,N1062)),IF(INDEX(Listado!I:I,N1062)=0,"",INDEX(Listado!I:I,N1062)))),"")</f>
        <v/>
      </c>
      <c r="P1062" s="17">
        <f t="shared" ca="1" si="49"/>
        <v/>
      </c>
      <c r="Q1062" s="17">
        <f>IFERROR(IF(AND(N1062&lt;&gt;"",ISNUMBER(O1062),O1062&gt;0,O1062&gt;=TODAY()-90),1,0),0)</f>
        <v/>
      </c>
      <c r="R1062" s="17" t="str">
        <f t="shared" si="51"/>
        <v/>
      </c>
      <c r="S1062" s="17" t="str">
        <f>IF(INDEX(Listado!A:A,ROW())="","",INDEX(Listado!A:A,ROW()))</f>
        <v/>
      </c>
      <c r="T1062" s="17" t="str">
        <f ca="1">IF(INDEX(Listado!G:G,ROW())="","",INDEX(Listado!G:G,ROW()))</f>
        <v/>
      </c>
      <c r="U1062" s="17" t="str">
        <f>IF(INDEX(Listado!F:F,ROW())="","",INDEX(Listado!F:F,ROW()))</f>
        <v/>
      </c>
      <c r="V1062" s="17">
        <f>IF(COUNTA(INDEX(Listado!B:B,ROW()):INDEX(Listado!F:F,ROW()))&gt;0,1,0)</f>
        <v/>
      </c>
      <c r="W1062" s="17" t="str">
        <f>IF(INDEX(Listado!L:L,ROW())="","",INDEX(Listado!L:L,ROW()))</f>
        <v/>
      </c>
      <c r="X1062" s="17">
        <f>IF(N1062="","",IF(INDEX(Listado!$M:$M,N1062)="No","No","Sí"))</f>
        <v/>
      </c>
    </row>
    <row r="1063" spans="2:24" ht="14.25">
      <c r="N1063" s="17" t="str">
        <f>IF(V1063=0,"",IFERROR(LOOKUP(2,1/(INDEX(Listado!A:A,2):INDEX(Listado!A:A,ROW())&lt;&gt;""),ROW(INDEX(Listado!A:A,2):INDEX(Listado!A:A,ROW()))),""))</f>
        <v/>
      </c>
      <c r="O1063" s="17" t="str">
        <f>IFERROR(IF(N1063="","",IF(INDEX(Listado!M:M,N1063)="No",IF(INDEX(Listado!N:N,N1063)=0,"",INDEX(Listado!N:N,N1063)),IF(INDEX(Listado!I:I,N1063)=0,"",INDEX(Listado!I:I,N1063)))),"")</f>
        <v/>
      </c>
      <c r="P1063" s="17">
        <f t="shared" ca="1" si="49"/>
        <v/>
      </c>
      <c r="Q1063" s="17">
        <f>IFERROR(IF(AND(N1063&lt;&gt;"",ISNUMBER(O1063),O1063&gt;0,O1063&gt;=TODAY()-90),1,0),0)</f>
        <v/>
      </c>
      <c r="R1063" s="17" t="str">
        <f t="shared" si="51"/>
        <v/>
      </c>
      <c r="S1063" s="17" t="str">
        <f>IF(INDEX(Listado!A:A,ROW())="","",INDEX(Listado!A:A,ROW()))</f>
        <v/>
      </c>
      <c r="T1063" s="17" t="str">
        <f ca="1">IF(INDEX(Listado!G:G,ROW())="","",INDEX(Listado!G:G,ROW()))</f>
        <v/>
      </c>
      <c r="U1063" s="17" t="str">
        <f>IF(INDEX(Listado!F:F,ROW())="","",INDEX(Listado!F:F,ROW()))</f>
        <v/>
      </c>
      <c r="V1063" s="17">
        <f>IF(COUNTA(INDEX(Listado!B:B,ROW()):INDEX(Listado!F:F,ROW()))&gt;0,1,0)</f>
        <v/>
      </c>
      <c r="W1063" s="17" t="str">
        <f>IF(INDEX(Listado!L:L,ROW())="","",INDEX(Listado!L:L,ROW()))</f>
        <v/>
      </c>
      <c r="X1063" s="17">
        <f>IF(N1063="","",IF(INDEX(Listado!$M:$M,N1063)="No","No","Sí"))</f>
        <v/>
      </c>
    </row>
    <row r="1064" spans="2:24" ht="14.25">
      <c r="N1064" s="17" t="str">
        <f>IF(V1064=0,"",IFERROR(LOOKUP(2,1/(INDEX(Listado!A:A,2):INDEX(Listado!A:A,ROW())&lt;&gt;""),ROW(INDEX(Listado!A:A,2):INDEX(Listado!A:A,ROW()))),""))</f>
        <v/>
      </c>
      <c r="O1064" s="17" t="str">
        <f>IFERROR(IF(N1064="","",IF(INDEX(Listado!M:M,N1064)="No",IF(INDEX(Listado!N:N,N1064)=0,"",INDEX(Listado!N:N,N1064)),IF(INDEX(Listado!I:I,N1064)=0,"",INDEX(Listado!I:I,N1064)))),"")</f>
        <v/>
      </c>
      <c r="P1064" s="17">
        <f t="shared" ca="1" si="49"/>
        <v/>
      </c>
      <c r="Q1064" s="17">
        <f>IFERROR(IF(AND(N1064&lt;&gt;"",ISNUMBER(O1064),O1064&gt;0,O1064&gt;=TODAY()-90),1,0),0)</f>
        <v/>
      </c>
      <c r="R1064" s="17" t="str">
        <f t="shared" si="51"/>
        <v/>
      </c>
      <c r="S1064" s="17" t="str">
        <f>IF(INDEX(Listado!A:A,ROW())="","",INDEX(Listado!A:A,ROW()))</f>
        <v/>
      </c>
      <c r="T1064" s="17" t="str">
        <f ca="1">IF(INDEX(Listado!G:G,ROW())="","",INDEX(Listado!G:G,ROW()))</f>
        <v/>
      </c>
      <c r="U1064" s="17" t="str">
        <f>IF(INDEX(Listado!F:F,ROW())="","",INDEX(Listado!F:F,ROW()))</f>
        <v/>
      </c>
      <c r="V1064" s="17">
        <f>IF(COUNTA(INDEX(Listado!B:B,ROW()):INDEX(Listado!F:F,ROW()))&gt;0,1,0)</f>
        <v/>
      </c>
      <c r="W1064" s="17" t="str">
        <f>IF(INDEX(Listado!L:L,ROW())="","",INDEX(Listado!L:L,ROW()))</f>
        <v/>
      </c>
      <c r="X1064" s="17">
        <f>IF(N1064="","",IF(INDEX(Listado!$M:$M,N1064)="No","No","Sí"))</f>
        <v/>
      </c>
    </row>
    <row r="1065" spans="2:24" ht="14.25">
      <c r="N1065" s="17" t="str">
        <f>IF(V1065=0,"",IFERROR(LOOKUP(2,1/(INDEX(Listado!A:A,2):INDEX(Listado!A:A,ROW())&lt;&gt;""),ROW(INDEX(Listado!A:A,2):INDEX(Listado!A:A,ROW()))),""))</f>
        <v/>
      </c>
      <c r="O1065" s="17" t="str">
        <f>IFERROR(IF(N1065="","",IF(INDEX(Listado!M:M,N1065)="No",IF(INDEX(Listado!N:N,N1065)=0,"",INDEX(Listado!N:N,N1065)),IF(INDEX(Listado!I:I,N1065)=0,"",INDEX(Listado!I:I,N1065)))),"")</f>
        <v/>
      </c>
      <c r="P1065" s="17">
        <f t="shared" ca="1" si="49"/>
        <v/>
      </c>
      <c r="Q1065" s="17">
        <f>IFERROR(IF(AND(N1065&lt;&gt;"",ISNUMBER(O1065),O1065&gt;0,O1065&gt;=TODAY()-90),1,0),0)</f>
        <v/>
      </c>
      <c r="R1065" s="17" t="str">
        <f t="shared" si="51"/>
        <v/>
      </c>
      <c r="S1065" s="17" t="str">
        <f>IF(INDEX(Listado!A:A,ROW())="","",INDEX(Listado!A:A,ROW()))</f>
        <v/>
      </c>
      <c r="T1065" s="17" t="str">
        <f ca="1">IF(INDEX(Listado!G:G,ROW())="","",INDEX(Listado!G:G,ROW()))</f>
        <v/>
      </c>
      <c r="U1065" s="17" t="str">
        <f>IF(INDEX(Listado!F:F,ROW())="","",INDEX(Listado!F:F,ROW()))</f>
        <v/>
      </c>
      <c r="V1065" s="17">
        <f>IF(COUNTA(INDEX(Listado!B:B,ROW()):INDEX(Listado!F:F,ROW()))&gt;0,1,0)</f>
        <v/>
      </c>
      <c r="W1065" s="17" t="str">
        <f>IF(INDEX(Listado!L:L,ROW())="","",INDEX(Listado!L:L,ROW()))</f>
        <v/>
      </c>
      <c r="X1065" s="17">
        <f>IF(N1065="","",IF(INDEX(Listado!$M:$M,N1065)="No","No","Sí"))</f>
        <v/>
      </c>
    </row>
    <row r="1066" spans="2:24" ht="14.25">
      <c r="N1066" s="17" t="str">
        <f>IF(V1066=0,"",IFERROR(LOOKUP(2,1/(INDEX(Listado!A:A,2):INDEX(Listado!A:A,ROW())&lt;&gt;""),ROW(INDEX(Listado!A:A,2):INDEX(Listado!A:A,ROW()))),""))</f>
        <v/>
      </c>
      <c r="O1066" s="17" t="str">
        <f>IFERROR(IF(N1066="","",IF(INDEX(Listado!M:M,N1066)="No",IF(INDEX(Listado!N:N,N1066)=0,"",INDEX(Listado!N:N,N1066)),IF(INDEX(Listado!I:I,N1066)=0,"",INDEX(Listado!I:I,N1066)))),"")</f>
        <v/>
      </c>
      <c r="P1066" s="17">
        <f t="shared" ca="1" si="49"/>
        <v/>
      </c>
      <c r="Q1066" s="17">
        <f>IFERROR(IF(AND(N1066&lt;&gt;"",ISNUMBER(O1066),O1066&gt;0,O1066&gt;=TODAY()-90),1,0),0)</f>
        <v/>
      </c>
      <c r="R1066" s="17" t="str">
        <f t="shared" si="51"/>
        <v/>
      </c>
      <c r="S1066" s="17" t="str">
        <f>IF(INDEX(Listado!A:A,ROW())="","",INDEX(Listado!A:A,ROW()))</f>
        <v/>
      </c>
      <c r="T1066" s="17" t="str">
        <f ca="1">IF(INDEX(Listado!G:G,ROW())="","",INDEX(Listado!G:G,ROW()))</f>
        <v/>
      </c>
      <c r="U1066" s="17" t="str">
        <f>IF(INDEX(Listado!F:F,ROW())="","",INDEX(Listado!F:F,ROW()))</f>
        <v/>
      </c>
      <c r="V1066" s="17">
        <f>IF(COUNTA(INDEX(Listado!B:B,ROW()):INDEX(Listado!F:F,ROW()))&gt;0,1,0)</f>
        <v/>
      </c>
      <c r="W1066" s="17" t="str">
        <f>IF(INDEX(Listado!L:L,ROW())="","",INDEX(Listado!L:L,ROW()))</f>
        <v/>
      </c>
      <c r="X1066" s="17">
        <f>IF(N1066="","",IF(INDEX(Listado!$M:$M,N1066)="No","No","Sí"))</f>
        <v/>
      </c>
    </row>
    <row r="1067" spans="2:24" ht="14.25">
      <c r="N1067" s="17" t="str">
        <f>IF(V1067=0,"",IFERROR(LOOKUP(2,1/(INDEX(Listado!A:A,2):INDEX(Listado!A:A,ROW())&lt;&gt;""),ROW(INDEX(Listado!A:A,2):INDEX(Listado!A:A,ROW()))),""))</f>
        <v/>
      </c>
      <c r="O1067" s="17" t="str">
        <f>IFERROR(IF(N1067="","",IF(INDEX(Listado!M:M,N1067)="No",IF(INDEX(Listado!N:N,N1067)=0,"",INDEX(Listado!N:N,N1067)),IF(INDEX(Listado!I:I,N1067)=0,"",INDEX(Listado!I:I,N1067)))),"")</f>
        <v/>
      </c>
      <c r="P1067" s="17">
        <f t="shared" ca="1" si="49"/>
        <v/>
      </c>
      <c r="Q1067" s="17">
        <f>IFERROR(IF(AND(N1067&lt;&gt;"",ISNUMBER(O1067),O1067&gt;0,O1067&gt;=TODAY()-90),1,0),0)</f>
        <v/>
      </c>
      <c r="R1067" s="17" t="str">
        <f t="shared" si="51"/>
        <v/>
      </c>
      <c r="S1067" s="17" t="str">
        <f>IF(INDEX(Listado!A:A,ROW())="","",INDEX(Listado!A:A,ROW()))</f>
        <v/>
      </c>
      <c r="T1067" s="17" t="str">
        <f ca="1">IF(INDEX(Listado!G:G,ROW())="","",INDEX(Listado!G:G,ROW()))</f>
        <v/>
      </c>
      <c r="U1067" s="17" t="str">
        <f>IF(INDEX(Listado!F:F,ROW())="","",INDEX(Listado!F:F,ROW()))</f>
        <v/>
      </c>
      <c r="V1067" s="17">
        <f>IF(COUNTA(INDEX(Listado!B:B,ROW()):INDEX(Listado!F:F,ROW()))&gt;0,1,0)</f>
        <v/>
      </c>
      <c r="W1067" s="17" t="str">
        <f>IF(INDEX(Listado!L:L,ROW())="","",INDEX(Listado!L:L,ROW()))</f>
        <v/>
      </c>
      <c r="X1067" s="17">
        <f>IF(N1067="","",IF(INDEX(Listado!$M:$M,N1067)="No","No","Sí"))</f>
        <v/>
      </c>
    </row>
    <row r="1068" spans="2:24" ht="14.25">
      <c r="N1068" s="17" t="str">
        <f>IF(V1068=0,"",IFERROR(LOOKUP(2,1/(INDEX(Listado!A:A,2):INDEX(Listado!A:A,ROW())&lt;&gt;""),ROW(INDEX(Listado!A:A,2):INDEX(Listado!A:A,ROW()))),""))</f>
        <v/>
      </c>
      <c r="O1068" s="17" t="str">
        <f>IFERROR(IF(N1068="","",IF(INDEX(Listado!M:M,N1068)="No",IF(INDEX(Listado!N:N,N1068)=0,"",INDEX(Listado!N:N,N1068)),IF(INDEX(Listado!I:I,N1068)=0,"",INDEX(Listado!I:I,N1068)))),"")</f>
        <v/>
      </c>
      <c r="P1068" s="17">
        <f t="shared" ca="1" si="49"/>
        <v/>
      </c>
      <c r="Q1068" s="17">
        <f>IFERROR(IF(AND(N1068&lt;&gt;"",ISNUMBER(O1068),O1068&gt;0,O1068&gt;=TODAY()-90),1,0),0)</f>
        <v/>
      </c>
      <c r="R1068" s="17" t="str">
        <f t="shared" si="51"/>
        <v/>
      </c>
      <c r="S1068" s="17" t="str">
        <f>IF(INDEX(Listado!A:A,ROW())="","",INDEX(Listado!A:A,ROW()))</f>
        <v/>
      </c>
      <c r="T1068" s="17" t="str">
        <f ca="1">IF(INDEX(Listado!G:G,ROW())="","",INDEX(Listado!G:G,ROW()))</f>
        <v/>
      </c>
      <c r="U1068" s="17" t="str">
        <f>IF(INDEX(Listado!F:F,ROW())="","",INDEX(Listado!F:F,ROW()))</f>
        <v/>
      </c>
      <c r="V1068" s="17">
        <f>IF(COUNTA(INDEX(Listado!B:B,ROW()):INDEX(Listado!F:F,ROW()))&gt;0,1,0)</f>
        <v/>
      </c>
      <c r="W1068" s="17" t="str">
        <f>IF(INDEX(Listado!L:L,ROW())="","",INDEX(Listado!L:L,ROW()))</f>
        <v/>
      </c>
      <c r="X1068" s="17">
        <f>IF(N1068="","",IF(INDEX(Listado!$M:$M,N1068)="No","No","Sí"))</f>
        <v/>
      </c>
    </row>
    <row r="1069" spans="2:24" ht="14.25">
      <c r="N1069" s="17" t="str">
        <f>IF(V1069=0,"",IFERROR(LOOKUP(2,1/(INDEX(Listado!A:A,2):INDEX(Listado!A:A,ROW())&lt;&gt;""),ROW(INDEX(Listado!A:A,2):INDEX(Listado!A:A,ROW()))),""))</f>
        <v/>
      </c>
      <c r="O1069" s="17" t="str">
        <f>IFERROR(IF(N1069="","",IF(INDEX(Listado!M:M,N1069)="No",IF(INDEX(Listado!N:N,N1069)=0,"",INDEX(Listado!N:N,N1069)),IF(INDEX(Listado!I:I,N1069)=0,"",INDEX(Listado!I:I,N1069)))),"")</f>
        <v/>
      </c>
      <c r="P1069" s="17">
        <f t="shared" ca="1" si="49"/>
        <v/>
      </c>
      <c r="Q1069" s="17">
        <f>IFERROR(IF(AND(N1069&lt;&gt;"",ISNUMBER(O1069),O1069&gt;0,O1069&gt;=TODAY()-90),1,0),0)</f>
        <v/>
      </c>
      <c r="R1069" s="17" t="str">
        <f t="shared" si="51"/>
        <v/>
      </c>
      <c r="S1069" s="17" t="str">
        <f>IF(INDEX(Listado!A:A,ROW())="","",INDEX(Listado!A:A,ROW()))</f>
        <v/>
      </c>
      <c r="T1069" s="17" t="str">
        <f ca="1">IF(INDEX(Listado!G:G,ROW())="","",INDEX(Listado!G:G,ROW()))</f>
        <v/>
      </c>
      <c r="U1069" s="17" t="str">
        <f>IF(INDEX(Listado!F:F,ROW())="","",INDEX(Listado!F:F,ROW()))</f>
        <v/>
      </c>
      <c r="V1069" s="17">
        <f>IF(COUNTA(INDEX(Listado!B:B,ROW()):INDEX(Listado!F:F,ROW()))&gt;0,1,0)</f>
        <v/>
      </c>
      <c r="W1069" s="17" t="str">
        <f>IF(INDEX(Listado!L:L,ROW())="","",INDEX(Listado!L:L,ROW()))</f>
        <v/>
      </c>
      <c r="X1069" s="17">
        <f>IF(N1069="","",IF(INDEX(Listado!$M:$M,N1069)="No","No","Sí"))</f>
        <v/>
      </c>
    </row>
    <row r="1070" spans="2:24" ht="14.25">
      <c r="N1070" s="17" t="str">
        <f>IF(V1070=0,"",IFERROR(LOOKUP(2,1/(INDEX(Listado!A:A,2):INDEX(Listado!A:A,ROW())&lt;&gt;""),ROW(INDEX(Listado!A:A,2):INDEX(Listado!A:A,ROW()))),""))</f>
        <v/>
      </c>
      <c r="O1070" s="17" t="str">
        <f>IFERROR(IF(N1070="","",IF(INDEX(Listado!M:M,N1070)="No",IF(INDEX(Listado!N:N,N1070)=0,"",INDEX(Listado!N:N,N1070)),IF(INDEX(Listado!I:I,N1070)=0,"",INDEX(Listado!I:I,N1070)))),"")</f>
        <v/>
      </c>
      <c r="P1070" s="17">
        <f t="shared" ca="1" si="49"/>
        <v/>
      </c>
      <c r="Q1070" s="17">
        <f>IFERROR(IF(AND(N1070&lt;&gt;"",ISNUMBER(O1070),O1070&gt;0,O1070&gt;=TODAY()-90),1,0),0)</f>
        <v/>
      </c>
      <c r="R1070" s="17" t="str">
        <f t="shared" si="51"/>
        <v/>
      </c>
      <c r="S1070" s="17" t="str">
        <f>IF(INDEX(Listado!A:A,ROW())="","",INDEX(Listado!A:A,ROW()))</f>
        <v/>
      </c>
      <c r="T1070" s="17" t="str">
        <f ca="1">IF(INDEX(Listado!G:G,ROW())="","",INDEX(Listado!G:G,ROW()))</f>
        <v/>
      </c>
      <c r="U1070" s="17" t="str">
        <f>IF(INDEX(Listado!F:F,ROW())="","",INDEX(Listado!F:F,ROW()))</f>
        <v/>
      </c>
      <c r="V1070" s="17">
        <f>IF(COUNTA(INDEX(Listado!B:B,ROW()):INDEX(Listado!F:F,ROW()))&gt;0,1,0)</f>
        <v/>
      </c>
      <c r="W1070" s="17" t="str">
        <f>IF(INDEX(Listado!L:L,ROW())="","",INDEX(Listado!L:L,ROW()))</f>
        <v/>
      </c>
      <c r="X1070" s="17">
        <f>IF(N1070="","",IF(INDEX(Listado!$M:$M,N1070)="No","No","Sí"))</f>
        <v/>
      </c>
    </row>
    <row r="1071" spans="2:24" ht="14.25">
      <c r="N1071" s="17" t="str">
        <f>IF(V1071=0,"",IFERROR(LOOKUP(2,1/(INDEX(Listado!A:A,2):INDEX(Listado!A:A,ROW())&lt;&gt;""),ROW(INDEX(Listado!A:A,2):INDEX(Listado!A:A,ROW()))),""))</f>
        <v/>
      </c>
      <c r="O1071" s="17" t="str">
        <f>IFERROR(IF(N1071="","",IF(INDEX(Listado!M:M,N1071)="No",IF(INDEX(Listado!N:N,N1071)=0,"",INDEX(Listado!N:N,N1071)),IF(INDEX(Listado!I:I,N1071)=0,"",INDEX(Listado!I:I,N1071)))),"")</f>
        <v/>
      </c>
      <c r="P1071" s="17">
        <f t="shared" ca="1" si="49"/>
        <v/>
      </c>
      <c r="Q1071" s="17">
        <f>IFERROR(IF(AND(N1071&lt;&gt;"",ISNUMBER(O1071),O1071&gt;0,O1071&gt;=TODAY()-90),1,0),0)</f>
        <v/>
      </c>
      <c r="R1071" s="17" t="str">
        <f t="shared" si="51"/>
        <v/>
      </c>
      <c r="S1071" s="17" t="str">
        <f>IF(INDEX(Listado!A:A,ROW())="","",INDEX(Listado!A:A,ROW()))</f>
        <v/>
      </c>
      <c r="T1071" s="17" t="str">
        <f ca="1">IF(INDEX(Listado!G:G,ROW())="","",INDEX(Listado!G:G,ROW()))</f>
        <v/>
      </c>
      <c r="U1071" s="17" t="str">
        <f>IF(INDEX(Listado!F:F,ROW())="","",INDEX(Listado!F:F,ROW()))</f>
        <v/>
      </c>
      <c r="V1071" s="17">
        <f>IF(COUNTA(INDEX(Listado!B:B,ROW()):INDEX(Listado!F:F,ROW()))&gt;0,1,0)</f>
        <v/>
      </c>
      <c r="W1071" s="17" t="str">
        <f>IF(INDEX(Listado!L:L,ROW())="","",INDEX(Listado!L:L,ROW()))</f>
        <v/>
      </c>
      <c r="X1071" s="17">
        <f>IF(N1071="","",IF(INDEX(Listado!$M:$M,N1071)="No","No","Sí"))</f>
        <v/>
      </c>
    </row>
    <row r="1072" spans="2:24" ht="14.25">
      <c r="N1072" s="17" t="str">
        <f>IF(V1072=0,"",IFERROR(LOOKUP(2,1/(INDEX(Listado!A:A,2):INDEX(Listado!A:A,ROW())&lt;&gt;""),ROW(INDEX(Listado!A:A,2):INDEX(Listado!A:A,ROW()))),""))</f>
        <v/>
      </c>
      <c r="O1072" s="17" t="str">
        <f>IFERROR(IF(N1072="","",IF(INDEX(Listado!M:M,N1072)="No",IF(INDEX(Listado!N:N,N1072)=0,"",INDEX(Listado!N:N,N1072)),IF(INDEX(Listado!I:I,N1072)=0,"",INDEX(Listado!I:I,N1072)))),"")</f>
        <v/>
      </c>
      <c r="P1072" s="17">
        <f t="shared" ca="1" si="49"/>
        <v/>
      </c>
      <c r="Q1072" s="17">
        <f>IFERROR(IF(AND(N1072&lt;&gt;"",ISNUMBER(O1072),O1072&gt;0,O1072&gt;=TODAY()-90),1,0),0)</f>
        <v/>
      </c>
      <c r="R1072" s="17" t="str">
        <f t="shared" si="51"/>
        <v/>
      </c>
      <c r="S1072" s="17" t="str">
        <f>IF(INDEX(Listado!A:A,ROW())="","",INDEX(Listado!A:A,ROW()))</f>
        <v/>
      </c>
      <c r="T1072" s="17" t="str">
        <f ca="1">IF(INDEX(Listado!G:G,ROW())="","",INDEX(Listado!G:G,ROW()))</f>
        <v/>
      </c>
      <c r="U1072" s="17" t="str">
        <f>IF(INDEX(Listado!F:F,ROW())="","",INDEX(Listado!F:F,ROW()))</f>
        <v/>
      </c>
      <c r="V1072" s="17">
        <f>IF(COUNTA(INDEX(Listado!B:B,ROW()):INDEX(Listado!F:F,ROW()))&gt;0,1,0)</f>
        <v/>
      </c>
      <c r="W1072" s="17" t="str">
        <f>IF(INDEX(Listado!L:L,ROW())="","",INDEX(Listado!L:L,ROW()))</f>
        <v/>
      </c>
      <c r="X1072" s="17">
        <f>IF(N1072="","",IF(INDEX(Listado!$M:$M,N1072)="No","No","Sí"))</f>
        <v/>
      </c>
    </row>
    <row r="1073" spans="2:24" ht="14.25">
      <c r="N1073" s="17" t="str">
        <f>IF(V1073=0,"",IFERROR(LOOKUP(2,1/(INDEX(Listado!A:A,2):INDEX(Listado!A:A,ROW())&lt;&gt;""),ROW(INDEX(Listado!A:A,2):INDEX(Listado!A:A,ROW()))),""))</f>
        <v/>
      </c>
      <c r="O1073" s="17" t="str">
        <f>IFERROR(IF(N1073="","",IF(INDEX(Listado!M:M,N1073)="No",IF(INDEX(Listado!N:N,N1073)=0,"",INDEX(Listado!N:N,N1073)),IF(INDEX(Listado!I:I,N1073)=0,"",INDEX(Listado!I:I,N1073)))),"")</f>
        <v/>
      </c>
      <c r="P1073" s="17">
        <f t="shared" ca="1" si="49"/>
        <v/>
      </c>
      <c r="Q1073" s="17">
        <f>IFERROR(IF(AND(N1073&lt;&gt;"",ISNUMBER(O1073),O1073&gt;0,O1073&gt;=TODAY()-90),1,0),0)</f>
        <v/>
      </c>
      <c r="R1073" s="17" t="str">
        <f t="shared" si="51"/>
        <v/>
      </c>
      <c r="S1073" s="17" t="str">
        <f>IF(INDEX(Listado!A:A,ROW())="","",INDEX(Listado!A:A,ROW()))</f>
        <v/>
      </c>
      <c r="T1073" s="17" t="str">
        <f ca="1">IF(INDEX(Listado!G:G,ROW())="","",INDEX(Listado!G:G,ROW()))</f>
        <v/>
      </c>
      <c r="U1073" s="17" t="str">
        <f>IF(INDEX(Listado!F:F,ROW())="","",INDEX(Listado!F:F,ROW()))</f>
        <v/>
      </c>
      <c r="V1073" s="17">
        <f>IF(COUNTA(INDEX(Listado!B:B,ROW()):INDEX(Listado!F:F,ROW()))&gt;0,1,0)</f>
        <v/>
      </c>
      <c r="W1073" s="17" t="str">
        <f>IF(INDEX(Listado!L:L,ROW())="","",INDEX(Listado!L:L,ROW()))</f>
        <v/>
      </c>
      <c r="X1073" s="17">
        <f>IF(N1073="","",IF(INDEX(Listado!$M:$M,N1073)="No","No","Sí"))</f>
        <v/>
      </c>
    </row>
    <row r="1074" spans="2:24" ht="14.25">
      <c r="N1074" s="17" t="str">
        <f>IF(V1074=0,"",IFERROR(LOOKUP(2,1/(INDEX(Listado!A:A,2):INDEX(Listado!A:A,ROW())&lt;&gt;""),ROW(INDEX(Listado!A:A,2):INDEX(Listado!A:A,ROW()))),""))</f>
        <v/>
      </c>
      <c r="O1074" s="17" t="str">
        <f>IFERROR(IF(N1074="","",IF(INDEX(Listado!M:M,N1074)="No",IF(INDEX(Listado!N:N,N1074)=0,"",INDEX(Listado!N:N,N1074)),IF(INDEX(Listado!I:I,N1074)=0,"",INDEX(Listado!I:I,N1074)))),"")</f>
        <v/>
      </c>
      <c r="P1074" s="17">
        <f t="shared" ca="1" si="49"/>
        <v/>
      </c>
      <c r="Q1074" s="17">
        <f>IFERROR(IF(AND(N1074&lt;&gt;"",ISNUMBER(O1074),O1074&gt;0,O1074&gt;=TODAY()-90),1,0),0)</f>
        <v/>
      </c>
      <c r="R1074" s="17" t="str">
        <f t="shared" si="51"/>
        <v/>
      </c>
      <c r="S1074" s="17" t="str">
        <f>IF(INDEX(Listado!A:A,ROW())="","",INDEX(Listado!A:A,ROW()))</f>
        <v/>
      </c>
      <c r="T1074" s="17" t="str">
        <f ca="1">IF(INDEX(Listado!G:G,ROW())="","",INDEX(Listado!G:G,ROW()))</f>
        <v/>
      </c>
      <c r="U1074" s="17" t="str">
        <f>IF(INDEX(Listado!F:F,ROW())="","",INDEX(Listado!F:F,ROW()))</f>
        <v/>
      </c>
      <c r="V1074" s="17">
        <f>IF(COUNTA(INDEX(Listado!B:B,ROW()):INDEX(Listado!F:F,ROW()))&gt;0,1,0)</f>
        <v/>
      </c>
      <c r="W1074" s="17" t="str">
        <f>IF(INDEX(Listado!L:L,ROW())="","",INDEX(Listado!L:L,ROW()))</f>
        <v/>
      </c>
      <c r="X1074" s="17">
        <f>IF(N1074="","",IF(INDEX(Listado!$M:$M,N1074)="No","No","Sí"))</f>
        <v/>
      </c>
    </row>
    <row r="1075" spans="2:24" ht="14.25">
      <c r="N1075" s="17" t="str">
        <f>IF(V1075=0,"",IFERROR(LOOKUP(2,1/(INDEX(Listado!A:A,2):INDEX(Listado!A:A,ROW())&lt;&gt;""),ROW(INDEX(Listado!A:A,2):INDEX(Listado!A:A,ROW()))),""))</f>
        <v/>
      </c>
      <c r="O1075" s="17" t="str">
        <f>IFERROR(IF(N1075="","",IF(INDEX(Listado!M:M,N1075)="No",IF(INDEX(Listado!N:N,N1075)=0,"",INDEX(Listado!N:N,N1075)),IF(INDEX(Listado!I:I,N1075)=0,"",INDEX(Listado!I:I,N1075)))),"")</f>
        <v/>
      </c>
      <c r="P1075" s="17">
        <f t="shared" ca="1" si="49"/>
        <v/>
      </c>
      <c r="Q1075" s="17">
        <f>IFERROR(IF(AND(N1075&lt;&gt;"",ISNUMBER(O1075),O1075&gt;0,O1075&gt;=TODAY()-90),1,0),0)</f>
        <v/>
      </c>
      <c r="R1075" s="17" t="str">
        <f t="shared" si="51"/>
        <v/>
      </c>
      <c r="S1075" s="17" t="str">
        <f>IF(INDEX(Listado!A:A,ROW())="","",INDEX(Listado!A:A,ROW()))</f>
        <v/>
      </c>
      <c r="T1075" s="17" t="str">
        <f ca="1">IF(INDEX(Listado!G:G,ROW())="","",INDEX(Listado!G:G,ROW()))</f>
        <v/>
      </c>
      <c r="U1075" s="17" t="str">
        <f>IF(INDEX(Listado!F:F,ROW())="","",INDEX(Listado!F:F,ROW()))</f>
        <v/>
      </c>
      <c r="V1075" s="17">
        <f>IF(COUNTA(INDEX(Listado!B:B,ROW()):INDEX(Listado!F:F,ROW()))&gt;0,1,0)</f>
        <v/>
      </c>
      <c r="W1075" s="17" t="str">
        <f>IF(INDEX(Listado!L:L,ROW())="","",INDEX(Listado!L:L,ROW()))</f>
        <v/>
      </c>
      <c r="X1075" s="17">
        <f>IF(N1075="","",IF(INDEX(Listado!$M:$M,N1075)="No","No","Sí"))</f>
        <v/>
      </c>
    </row>
    <row r="1076" spans="2:24" ht="14.25">
      <c r="N1076" s="17" t="str">
        <f>IF(V1076=0,"",IFERROR(LOOKUP(2,1/(INDEX(Listado!A:A,2):INDEX(Listado!A:A,ROW())&lt;&gt;""),ROW(INDEX(Listado!A:A,2):INDEX(Listado!A:A,ROW()))),""))</f>
        <v/>
      </c>
      <c r="O1076" s="17" t="str">
        <f>IFERROR(IF(N1076="","",IF(INDEX(Listado!M:M,N1076)="No",IF(INDEX(Listado!N:N,N1076)=0,"",INDEX(Listado!N:N,N1076)),IF(INDEX(Listado!I:I,N1076)=0,"",INDEX(Listado!I:I,N1076)))),"")</f>
        <v/>
      </c>
      <c r="P1076" s="17">
        <f t="shared" ca="1" si="49"/>
        <v/>
      </c>
      <c r="Q1076" s="17">
        <f>IFERROR(IF(AND(N1076&lt;&gt;"",ISNUMBER(O1076),O1076&gt;0,O1076&gt;=TODAY()-90),1,0),0)</f>
        <v/>
      </c>
      <c r="R1076" s="17" t="str">
        <f t="shared" si="51"/>
        <v/>
      </c>
      <c r="S1076" s="17" t="str">
        <f>IF(INDEX(Listado!A:A,ROW())="","",INDEX(Listado!A:A,ROW()))</f>
        <v/>
      </c>
      <c r="T1076" s="17" t="str">
        <f ca="1">IF(INDEX(Listado!G:G,ROW())="","",INDEX(Listado!G:G,ROW()))</f>
        <v/>
      </c>
      <c r="U1076" s="17" t="str">
        <f>IF(INDEX(Listado!F:F,ROW())="","",INDEX(Listado!F:F,ROW()))</f>
        <v/>
      </c>
      <c r="V1076" s="17">
        <f>IF(COUNTA(INDEX(Listado!B:B,ROW()):INDEX(Listado!F:F,ROW()))&gt;0,1,0)</f>
        <v/>
      </c>
      <c r="W1076" s="17" t="str">
        <f>IF(INDEX(Listado!L:L,ROW())="","",INDEX(Listado!L:L,ROW()))</f>
        <v/>
      </c>
      <c r="X1076" s="17">
        <f>IF(N1076="","",IF(INDEX(Listado!$M:$M,N1076)="No","No","Sí"))</f>
        <v/>
      </c>
    </row>
    <row r="1077" spans="2:24" ht="14.25">
      <c r="N1077" s="17" t="str">
        <f>IF(V1077=0,"",IFERROR(LOOKUP(2,1/(INDEX(Listado!A:A,2):INDEX(Listado!A:A,ROW())&lt;&gt;""),ROW(INDEX(Listado!A:A,2):INDEX(Listado!A:A,ROW()))),""))</f>
        <v/>
      </c>
      <c r="O1077" s="17" t="str">
        <f>IFERROR(IF(N1077="","",IF(INDEX(Listado!M:M,N1077)="No",IF(INDEX(Listado!N:N,N1077)=0,"",INDEX(Listado!N:N,N1077)),IF(INDEX(Listado!I:I,N1077)=0,"",INDEX(Listado!I:I,N1077)))),"")</f>
        <v/>
      </c>
      <c r="P1077" s="17">
        <f t="shared" ca="1" si="49"/>
        <v/>
      </c>
      <c r="Q1077" s="17">
        <f>IFERROR(IF(AND(N1077&lt;&gt;"",ISNUMBER(O1077),O1077&gt;0,O1077&gt;=TODAY()-90),1,0),0)</f>
        <v/>
      </c>
      <c r="R1077" s="17" t="str">
        <f t="shared" si="51"/>
        <v/>
      </c>
      <c r="S1077" s="17" t="str">
        <f>IF(INDEX(Listado!A:A,ROW())="","",INDEX(Listado!A:A,ROW()))</f>
        <v/>
      </c>
      <c r="T1077" s="17" t="str">
        <f ca="1">IF(INDEX(Listado!G:G,ROW())="","",INDEX(Listado!G:G,ROW()))</f>
        <v/>
      </c>
      <c r="U1077" s="17" t="str">
        <f>IF(INDEX(Listado!F:F,ROW())="","",INDEX(Listado!F:F,ROW()))</f>
        <v/>
      </c>
      <c r="V1077" s="17">
        <f>IF(COUNTA(INDEX(Listado!B:B,ROW()):INDEX(Listado!F:F,ROW()))&gt;0,1,0)</f>
        <v/>
      </c>
      <c r="W1077" s="17" t="str">
        <f>IF(INDEX(Listado!L:L,ROW())="","",INDEX(Listado!L:L,ROW()))</f>
        <v/>
      </c>
      <c r="X1077" s="17">
        <f>IF(N1077="","",IF(INDEX(Listado!$M:$M,N1077)="No","No","Sí"))</f>
        <v/>
      </c>
    </row>
    <row r="1078" spans="2:24" ht="14.25">
      <c r="N1078" s="17" t="str">
        <f>IF(V1078=0,"",IFERROR(LOOKUP(2,1/(INDEX(Listado!A:A,2):INDEX(Listado!A:A,ROW())&lt;&gt;""),ROW(INDEX(Listado!A:A,2):INDEX(Listado!A:A,ROW()))),""))</f>
        <v/>
      </c>
      <c r="O1078" s="17" t="str">
        <f>IFERROR(IF(N1078="","",IF(INDEX(Listado!M:M,N1078)="No",IF(INDEX(Listado!N:N,N1078)=0,"",INDEX(Listado!N:N,N1078)),IF(INDEX(Listado!I:I,N1078)=0,"",INDEX(Listado!I:I,N1078)))),"")</f>
        <v/>
      </c>
      <c r="P1078" s="17">
        <f t="shared" ca="1" si="49"/>
        <v/>
      </c>
      <c r="Q1078" s="17">
        <f>IFERROR(IF(AND(N1078&lt;&gt;"",ISNUMBER(O1078),O1078&gt;0,O1078&gt;=TODAY()-90),1,0),0)</f>
        <v/>
      </c>
      <c r="R1078" s="17" t="str">
        <f t="shared" si="51"/>
        <v/>
      </c>
      <c r="S1078" s="17" t="str">
        <f>IF(INDEX(Listado!A:A,ROW())="","",INDEX(Listado!A:A,ROW()))</f>
        <v/>
      </c>
      <c r="T1078" s="17" t="str">
        <f ca="1">IF(INDEX(Listado!G:G,ROW())="","",INDEX(Listado!G:G,ROW()))</f>
        <v/>
      </c>
      <c r="U1078" s="17" t="str">
        <f>IF(INDEX(Listado!F:F,ROW())="","",INDEX(Listado!F:F,ROW()))</f>
        <v/>
      </c>
      <c r="V1078" s="17">
        <f>IF(COUNTA(INDEX(Listado!B:B,ROW()):INDEX(Listado!F:F,ROW()))&gt;0,1,0)</f>
        <v/>
      </c>
      <c r="W1078" s="17" t="str">
        <f>IF(INDEX(Listado!L:L,ROW())="","",INDEX(Listado!L:L,ROW()))</f>
        <v/>
      </c>
      <c r="X1078" s="17">
        <f>IF(N1078="","",IF(INDEX(Listado!$M:$M,N1078)="No","No","Sí"))</f>
        <v/>
      </c>
    </row>
    <row r="1079" spans="2:24" ht="14.25">
      <c r="N1079" s="17" t="str">
        <f>IF(V1079=0,"",IFERROR(LOOKUP(2,1/(INDEX(Listado!A:A,2):INDEX(Listado!A:A,ROW())&lt;&gt;""),ROW(INDEX(Listado!A:A,2):INDEX(Listado!A:A,ROW()))),""))</f>
        <v/>
      </c>
      <c r="O1079" s="17" t="str">
        <f>IFERROR(IF(N1079="","",IF(INDEX(Listado!M:M,N1079)="No",IF(INDEX(Listado!N:N,N1079)=0,"",INDEX(Listado!N:N,N1079)),IF(INDEX(Listado!I:I,N1079)=0,"",INDEX(Listado!I:I,N1079)))),"")</f>
        <v/>
      </c>
      <c r="P1079" s="17">
        <f t="shared" ca="1" si="49"/>
        <v/>
      </c>
      <c r="Q1079" s="17">
        <f>IFERROR(IF(AND(N1079&lt;&gt;"",ISNUMBER(O1079),O1079&gt;0,O1079&gt;=TODAY()-90),1,0),0)</f>
        <v/>
      </c>
      <c r="R1079" s="17" t="str">
        <f t="shared" si="51"/>
        <v/>
      </c>
      <c r="S1079" s="17" t="str">
        <f>IF(INDEX(Listado!A:A,ROW())="","",INDEX(Listado!A:A,ROW()))</f>
        <v/>
      </c>
      <c r="T1079" s="17" t="str">
        <f ca="1">IF(INDEX(Listado!G:G,ROW())="","",INDEX(Listado!G:G,ROW()))</f>
        <v/>
      </c>
      <c r="U1079" s="17" t="str">
        <f>IF(INDEX(Listado!F:F,ROW())="","",INDEX(Listado!F:F,ROW()))</f>
        <v/>
      </c>
      <c r="V1079" s="17">
        <f>IF(COUNTA(INDEX(Listado!B:B,ROW()):INDEX(Listado!F:F,ROW()))&gt;0,1,0)</f>
        <v/>
      </c>
      <c r="W1079" s="17" t="str">
        <f>IF(INDEX(Listado!L:L,ROW())="","",INDEX(Listado!L:L,ROW()))</f>
        <v/>
      </c>
      <c r="X1079" s="17">
        <f>IF(N1079="","",IF(INDEX(Listado!$M:$M,N1079)="No","No","Sí"))</f>
        <v/>
      </c>
    </row>
    <row r="1080" spans="2:24" ht="14.25">
      <c r="N1080" s="17" t="str">
        <f>IF(V1080=0,"",IFERROR(LOOKUP(2,1/(INDEX(Listado!A:A,2):INDEX(Listado!A:A,ROW())&lt;&gt;""),ROW(INDEX(Listado!A:A,2):INDEX(Listado!A:A,ROW()))),""))</f>
        <v/>
      </c>
      <c r="O1080" s="17" t="str">
        <f>IFERROR(IF(N1080="","",IF(INDEX(Listado!M:M,N1080)="No",IF(INDEX(Listado!N:N,N1080)=0,"",INDEX(Listado!N:N,N1080)),IF(INDEX(Listado!I:I,N1080)=0,"",INDEX(Listado!I:I,N1080)))),"")</f>
        <v/>
      </c>
      <c r="P1080" s="17">
        <f t="shared" ca="1" si="49"/>
        <v/>
      </c>
      <c r="Q1080" s="17">
        <f>IFERROR(IF(AND(N1080&lt;&gt;"",ISNUMBER(O1080),O1080&gt;0,O1080&gt;=TODAY()-90),1,0),0)</f>
        <v/>
      </c>
      <c r="R1080" s="17" t="str">
        <f t="shared" si="51"/>
        <v/>
      </c>
      <c r="S1080" s="17" t="str">
        <f>IF(INDEX(Listado!A:A,ROW())="","",INDEX(Listado!A:A,ROW()))</f>
        <v/>
      </c>
      <c r="T1080" s="17" t="str">
        <f ca="1">IF(INDEX(Listado!G:G,ROW())="","",INDEX(Listado!G:G,ROW()))</f>
        <v/>
      </c>
      <c r="U1080" s="17" t="str">
        <f>IF(INDEX(Listado!F:F,ROW())="","",INDEX(Listado!F:F,ROW()))</f>
        <v/>
      </c>
      <c r="V1080" s="17">
        <f>IF(COUNTA(INDEX(Listado!B:B,ROW()):INDEX(Listado!F:F,ROW()))&gt;0,1,0)</f>
        <v/>
      </c>
      <c r="W1080" s="17" t="str">
        <f>IF(INDEX(Listado!L:L,ROW())="","",INDEX(Listado!L:L,ROW()))</f>
        <v/>
      </c>
      <c r="X1080" s="17">
        <f>IF(N1080="","",IF(INDEX(Listado!$M:$M,N1080)="No","No","Sí"))</f>
        <v/>
      </c>
    </row>
    <row r="1081" spans="2:24" ht="14.25">
      <c r="N1081" s="17" t="str">
        <f>IF(V1081=0,"",IFERROR(LOOKUP(2,1/(INDEX(Listado!A:A,2):INDEX(Listado!A:A,ROW())&lt;&gt;""),ROW(INDEX(Listado!A:A,2):INDEX(Listado!A:A,ROW()))),""))</f>
        <v/>
      </c>
      <c r="O1081" s="17" t="str">
        <f>IFERROR(IF(N1081="","",IF(INDEX(Listado!M:M,N1081)="No",IF(INDEX(Listado!N:N,N1081)=0,"",INDEX(Listado!N:N,N1081)),IF(INDEX(Listado!I:I,N1081)=0,"",INDEX(Listado!I:I,N1081)))),"")</f>
        <v/>
      </c>
      <c r="P1081" s="17">
        <f t="shared" ca="1" si="49"/>
        <v/>
      </c>
      <c r="Q1081" s="17">
        <f>IFERROR(IF(AND(N1081&lt;&gt;"",ISNUMBER(O1081),O1081&gt;0,O1081&gt;=TODAY()-90),1,0),0)</f>
        <v/>
      </c>
      <c r="R1081" s="17" t="str">
        <f t="shared" si="51"/>
        <v/>
      </c>
      <c r="S1081" s="17" t="str">
        <f>IF(INDEX(Listado!A:A,ROW())="","",INDEX(Listado!A:A,ROW()))</f>
        <v/>
      </c>
      <c r="T1081" s="17" t="str">
        <f ca="1">IF(INDEX(Listado!G:G,ROW())="","",INDEX(Listado!G:G,ROW()))</f>
        <v/>
      </c>
      <c r="U1081" s="17" t="str">
        <f>IF(INDEX(Listado!F:F,ROW())="","",INDEX(Listado!F:F,ROW()))</f>
        <v/>
      </c>
      <c r="V1081" s="17">
        <f>IF(COUNTA(INDEX(Listado!B:B,ROW()):INDEX(Listado!F:F,ROW()))&gt;0,1,0)</f>
        <v/>
      </c>
      <c r="W1081" s="17" t="str">
        <f>IF(INDEX(Listado!L:L,ROW())="","",INDEX(Listado!L:L,ROW()))</f>
        <v/>
      </c>
      <c r="X1081" s="17">
        <f>IF(N1081="","",IF(INDEX(Listado!$M:$M,N1081)="No","No","Sí"))</f>
        <v/>
      </c>
    </row>
    <row r="1082" spans="2:24" ht="14.25">
      <c r="N1082" s="17" t="str">
        <f>IF(V1082=0,"",IFERROR(LOOKUP(2,1/(INDEX(Listado!A:A,2):INDEX(Listado!A:A,ROW())&lt;&gt;""),ROW(INDEX(Listado!A:A,2):INDEX(Listado!A:A,ROW()))),""))</f>
        <v/>
      </c>
      <c r="O1082" s="17" t="str">
        <f>IFERROR(IF(N1082="","",IF(INDEX(Listado!M:M,N1082)="No",IF(INDEX(Listado!N:N,N1082)=0,"",INDEX(Listado!N:N,N1082)),IF(INDEX(Listado!I:I,N1082)=0,"",INDEX(Listado!I:I,N1082)))),"")</f>
        <v/>
      </c>
      <c r="P1082" s="17">
        <f t="shared" ca="1" si="49"/>
        <v/>
      </c>
      <c r="Q1082" s="17">
        <f>IFERROR(IF(AND(N1082&lt;&gt;"",ISNUMBER(O1082),O1082&gt;0,O1082&gt;=TODAY()-90),1,0),0)</f>
        <v/>
      </c>
      <c r="R1082" s="17" t="str">
        <f t="shared" si="51"/>
        <v/>
      </c>
      <c r="S1082" s="17" t="str">
        <f>IF(INDEX(Listado!A:A,ROW())="","",INDEX(Listado!A:A,ROW()))</f>
        <v/>
      </c>
      <c r="T1082" s="17" t="str">
        <f ca="1">IF(INDEX(Listado!G:G,ROW())="","",INDEX(Listado!G:G,ROW()))</f>
        <v/>
      </c>
      <c r="U1082" s="17" t="str">
        <f>IF(INDEX(Listado!F:F,ROW())="","",INDEX(Listado!F:F,ROW()))</f>
        <v/>
      </c>
      <c r="V1082" s="17">
        <f>IF(COUNTA(INDEX(Listado!B:B,ROW()):INDEX(Listado!F:F,ROW()))&gt;0,1,0)</f>
        <v/>
      </c>
      <c r="W1082" s="17" t="str">
        <f>IF(INDEX(Listado!L:L,ROW())="","",INDEX(Listado!L:L,ROW()))</f>
        <v/>
      </c>
      <c r="X1082" s="17">
        <f>IF(N1082="","",IF(INDEX(Listado!$M:$M,N1082)="No","No","Sí"))</f>
        <v/>
      </c>
    </row>
    <row r="1083" spans="2:24" ht="14.25">
      <c r="N1083" s="17" t="str">
        <f>IF(V1083=0,"",IFERROR(LOOKUP(2,1/(INDEX(Listado!A:A,2):INDEX(Listado!A:A,ROW())&lt;&gt;""),ROW(INDEX(Listado!A:A,2):INDEX(Listado!A:A,ROW()))),""))</f>
        <v/>
      </c>
      <c r="O1083" s="17" t="str">
        <f>IFERROR(IF(N1083="","",IF(INDEX(Listado!M:M,N1083)="No",IF(INDEX(Listado!N:N,N1083)=0,"",INDEX(Listado!N:N,N1083)),IF(INDEX(Listado!I:I,N1083)=0,"",INDEX(Listado!I:I,N1083)))),"")</f>
        <v/>
      </c>
      <c r="P1083" s="17">
        <f t="shared" ca="1" si="49"/>
        <v/>
      </c>
      <c r="Q1083" s="17">
        <f>IFERROR(IF(AND(N1083&lt;&gt;"",ISNUMBER(O1083),O1083&gt;0,O1083&gt;=TODAY()-90),1,0),0)</f>
        <v/>
      </c>
      <c r="R1083" s="17" t="str">
        <f t="shared" si="51"/>
        <v/>
      </c>
      <c r="S1083" s="17" t="str">
        <f>IF(INDEX(Listado!A:A,ROW())="","",INDEX(Listado!A:A,ROW()))</f>
        <v/>
      </c>
      <c r="T1083" s="17" t="str">
        <f ca="1">IF(INDEX(Listado!G:G,ROW())="","",INDEX(Listado!G:G,ROW()))</f>
        <v/>
      </c>
      <c r="U1083" s="17" t="str">
        <f>IF(INDEX(Listado!F:F,ROW())="","",INDEX(Listado!F:F,ROW()))</f>
        <v/>
      </c>
      <c r="V1083" s="17">
        <f>IF(COUNTA(INDEX(Listado!B:B,ROW()):INDEX(Listado!F:F,ROW()))&gt;0,1,0)</f>
        <v/>
      </c>
      <c r="W1083" s="17" t="str">
        <f>IF(INDEX(Listado!L:L,ROW())="","",INDEX(Listado!L:L,ROW()))</f>
        <v/>
      </c>
      <c r="X1083" s="17">
        <f>IF(N1083="","",IF(INDEX(Listado!$M:$M,N1083)="No","No","Sí"))</f>
        <v/>
      </c>
    </row>
    <row r="1084" spans="2:24" ht="14.25">
      <c r="N1084" s="17" t="str">
        <f>IF(V1084=0,"",IFERROR(LOOKUP(2,1/(INDEX(Listado!A:A,2):INDEX(Listado!A:A,ROW())&lt;&gt;""),ROW(INDEX(Listado!A:A,2):INDEX(Listado!A:A,ROW()))),""))</f>
        <v/>
      </c>
      <c r="O1084" s="17" t="str">
        <f>IFERROR(IF(N1084="","",IF(INDEX(Listado!M:M,N1084)="No",IF(INDEX(Listado!N:N,N1084)=0,"",INDEX(Listado!N:N,N1084)),IF(INDEX(Listado!I:I,N1084)=0,"",INDEX(Listado!I:I,N1084)))),"")</f>
        <v/>
      </c>
      <c r="P1084" s="17">
        <f t="shared" ca="1" si="49"/>
        <v/>
      </c>
      <c r="Q1084" s="17">
        <f>IFERROR(IF(AND(N1084&lt;&gt;"",ISNUMBER(O1084),O1084&gt;0,O1084&gt;=TODAY()-90),1,0),0)</f>
        <v/>
      </c>
      <c r="R1084" s="17" t="str">
        <f t="shared" si="51"/>
        <v/>
      </c>
      <c r="S1084" s="17" t="str">
        <f>IF(INDEX(Listado!A:A,ROW())="","",INDEX(Listado!A:A,ROW()))</f>
        <v/>
      </c>
      <c r="T1084" s="17" t="str">
        <f ca="1">IF(INDEX(Listado!G:G,ROW())="","",INDEX(Listado!G:G,ROW()))</f>
        <v/>
      </c>
      <c r="U1084" s="17" t="str">
        <f>IF(INDEX(Listado!F:F,ROW())="","",INDEX(Listado!F:F,ROW()))</f>
        <v/>
      </c>
      <c r="V1084" s="17">
        <f>IF(COUNTA(INDEX(Listado!B:B,ROW()):INDEX(Listado!F:F,ROW()))&gt;0,1,0)</f>
        <v/>
      </c>
      <c r="W1084" s="17" t="str">
        <f>IF(INDEX(Listado!L:L,ROW())="","",INDEX(Listado!L:L,ROW()))</f>
        <v/>
      </c>
      <c r="X1084" s="17">
        <f>IF(N1084="","",IF(INDEX(Listado!$M:$M,N1084)="No","No","Sí"))</f>
        <v/>
      </c>
    </row>
    <row r="1085" spans="2:24" ht="14.25">
      <c r="N1085" s="17" t="str">
        <f>IF(V1085=0,"",IFERROR(LOOKUP(2,1/(INDEX(Listado!A:A,2):INDEX(Listado!A:A,ROW())&lt;&gt;""),ROW(INDEX(Listado!A:A,2):INDEX(Listado!A:A,ROW()))),""))</f>
        <v/>
      </c>
      <c r="O1085" s="17" t="str">
        <f>IFERROR(IF(N1085="","",IF(INDEX(Listado!M:M,N1085)="No",IF(INDEX(Listado!N:N,N1085)=0,"",INDEX(Listado!N:N,N1085)),IF(INDEX(Listado!I:I,N1085)=0,"",INDEX(Listado!I:I,N1085)))),"")</f>
        <v/>
      </c>
      <c r="P1085" s="17">
        <f t="shared" ca="1" si="49"/>
        <v/>
      </c>
      <c r="Q1085" s="17">
        <f>IFERROR(IF(AND(N1085&lt;&gt;"",ISNUMBER(O1085),O1085&gt;0,O1085&gt;=TODAY()-90),1,0),0)</f>
        <v/>
      </c>
      <c r="R1085" s="17" t="str">
        <f t="shared" si="51"/>
        <v/>
      </c>
      <c r="S1085" s="17" t="str">
        <f>IF(INDEX(Listado!A:A,ROW())="","",INDEX(Listado!A:A,ROW()))</f>
        <v/>
      </c>
      <c r="T1085" s="17" t="str">
        <f ca="1">IF(INDEX(Listado!G:G,ROW())="","",INDEX(Listado!G:G,ROW()))</f>
        <v/>
      </c>
      <c r="U1085" s="17" t="str">
        <f>IF(INDEX(Listado!F:F,ROW())="","",INDEX(Listado!F:F,ROW()))</f>
        <v/>
      </c>
      <c r="V1085" s="17">
        <f>IF(COUNTA(INDEX(Listado!B:B,ROW()):INDEX(Listado!F:F,ROW()))&gt;0,1,0)</f>
        <v/>
      </c>
      <c r="W1085" s="17" t="str">
        <f>IF(INDEX(Listado!L:L,ROW())="","",INDEX(Listado!L:L,ROW()))</f>
        <v/>
      </c>
      <c r="X1085" s="17">
        <f>IF(N1085="","",IF(INDEX(Listado!$M:$M,N1085)="No","No","Sí"))</f>
        <v/>
      </c>
    </row>
    <row r="1086" spans="2:24" ht="14.25">
      <c r="N1086" s="17" t="str">
        <f>IF(V1086=0,"",IFERROR(LOOKUP(2,1/(INDEX(Listado!A:A,2):INDEX(Listado!A:A,ROW())&lt;&gt;""),ROW(INDEX(Listado!A:A,2):INDEX(Listado!A:A,ROW()))),""))</f>
        <v/>
      </c>
      <c r="O1086" s="17" t="str">
        <f>IFERROR(IF(N1086="","",IF(INDEX(Listado!M:M,N1086)="No",IF(INDEX(Listado!N:N,N1086)=0,"",INDEX(Listado!N:N,N1086)),IF(INDEX(Listado!I:I,N1086)=0,"",INDEX(Listado!I:I,N1086)))),"")</f>
        <v/>
      </c>
      <c r="P1086" s="17">
        <f t="shared" ca="1" si="49"/>
        <v/>
      </c>
      <c r="Q1086" s="17">
        <f>IFERROR(IF(AND(N1086&lt;&gt;"",ISNUMBER(O1086),O1086&gt;0,O1086&gt;=TODAY()-90),1,0),0)</f>
        <v/>
      </c>
      <c r="R1086" s="17" t="str">
        <f t="shared" si="51"/>
        <v/>
      </c>
      <c r="S1086" s="17" t="str">
        <f>IF(INDEX(Listado!A:A,ROW())="","",INDEX(Listado!A:A,ROW()))</f>
        <v/>
      </c>
      <c r="T1086" s="17" t="str">
        <f ca="1">IF(INDEX(Listado!G:G,ROW())="","",INDEX(Listado!G:G,ROW()))</f>
        <v/>
      </c>
      <c r="U1086" s="17" t="str">
        <f>IF(INDEX(Listado!F:F,ROW())="","",INDEX(Listado!F:F,ROW()))</f>
        <v/>
      </c>
      <c r="V1086" s="17">
        <f>IF(COUNTA(INDEX(Listado!B:B,ROW()):INDEX(Listado!F:F,ROW()))&gt;0,1,0)</f>
        <v/>
      </c>
      <c r="W1086" s="17" t="str">
        <f>IF(INDEX(Listado!L:L,ROW())="","",INDEX(Listado!L:L,ROW()))</f>
        <v/>
      </c>
      <c r="X1086" s="17">
        <f>IF(N1086="","",IF(INDEX(Listado!$M:$M,N1086)="No","No","Sí"))</f>
        <v/>
      </c>
    </row>
    <row r="1087" spans="2:24" ht="14.25">
      <c r="N1087" s="17" t="str">
        <f>IF(V1087=0,"",IFERROR(LOOKUP(2,1/(INDEX(Listado!A:A,2):INDEX(Listado!A:A,ROW())&lt;&gt;""),ROW(INDEX(Listado!A:A,2):INDEX(Listado!A:A,ROW()))),""))</f>
        <v/>
      </c>
      <c r="O1087" s="17" t="str">
        <f>IFERROR(IF(N1087="","",IF(INDEX(Listado!M:M,N1087)="No",IF(INDEX(Listado!N:N,N1087)=0,"",INDEX(Listado!N:N,N1087)),IF(INDEX(Listado!I:I,N1087)=0,"",INDEX(Listado!I:I,N1087)))),"")</f>
        <v/>
      </c>
      <c r="P1087" s="17">
        <f t="shared" ca="1" si="49"/>
        <v/>
      </c>
      <c r="Q1087" s="17">
        <f>IFERROR(IF(AND(N1087&lt;&gt;"",ISNUMBER(O1087),O1087&gt;0,O1087&gt;=TODAY()-90),1,0),0)</f>
        <v/>
      </c>
      <c r="R1087" s="17" t="str">
        <f t="shared" si="51"/>
        <v/>
      </c>
      <c r="S1087" s="17" t="str">
        <f>IF(INDEX(Listado!A:A,ROW())="","",INDEX(Listado!A:A,ROW()))</f>
        <v/>
      </c>
      <c r="T1087" s="17" t="str">
        <f ca="1">IF(INDEX(Listado!G:G,ROW())="","",INDEX(Listado!G:G,ROW()))</f>
        <v/>
      </c>
      <c r="U1087" s="17" t="str">
        <f>IF(INDEX(Listado!F:F,ROW())="","",INDEX(Listado!F:F,ROW()))</f>
        <v/>
      </c>
      <c r="V1087" s="17">
        <f>IF(COUNTA(INDEX(Listado!B:B,ROW()):INDEX(Listado!F:F,ROW()))&gt;0,1,0)</f>
        <v/>
      </c>
      <c r="W1087" s="17" t="str">
        <f>IF(INDEX(Listado!L:L,ROW())="","",INDEX(Listado!L:L,ROW()))</f>
        <v/>
      </c>
      <c r="X1087" s="17">
        <f>IF(N1087="","",IF(INDEX(Listado!$M:$M,N1087)="No","No","Sí"))</f>
        <v/>
      </c>
    </row>
    <row r="1088" spans="2:24" ht="14.25">
      <c r="N1088" s="17" t="str">
        <f>IF(V1088=0,"",IFERROR(LOOKUP(2,1/(INDEX(Listado!A:A,2):INDEX(Listado!A:A,ROW())&lt;&gt;""),ROW(INDEX(Listado!A:A,2):INDEX(Listado!A:A,ROW()))),""))</f>
        <v/>
      </c>
      <c r="O1088" s="17" t="str">
        <f>IFERROR(IF(N1088="","",IF(INDEX(Listado!M:M,N1088)="No",IF(INDEX(Listado!N:N,N1088)=0,"",INDEX(Listado!N:N,N1088)),IF(INDEX(Listado!I:I,N1088)=0,"",INDEX(Listado!I:I,N1088)))),"")</f>
        <v/>
      </c>
      <c r="P1088" s="17">
        <f t="shared" ca="1" si="49"/>
        <v/>
      </c>
      <c r="Q1088" s="17">
        <f>IFERROR(IF(AND(N1088&lt;&gt;"",ISNUMBER(O1088),O1088&gt;0,O1088&gt;=TODAY()-90),1,0),0)</f>
        <v/>
      </c>
      <c r="R1088" s="17" t="str">
        <f t="shared" si="51"/>
        <v/>
      </c>
      <c r="S1088" s="17" t="str">
        <f>IF(INDEX(Listado!A:A,ROW())="","",INDEX(Listado!A:A,ROW()))</f>
        <v/>
      </c>
      <c r="T1088" s="17" t="str">
        <f ca="1">IF(INDEX(Listado!G:G,ROW())="","",INDEX(Listado!G:G,ROW()))</f>
        <v/>
      </c>
      <c r="U1088" s="17" t="str">
        <f>IF(INDEX(Listado!F:F,ROW())="","",INDEX(Listado!F:F,ROW()))</f>
        <v/>
      </c>
      <c r="V1088" s="17">
        <f>IF(COUNTA(INDEX(Listado!B:B,ROW()):INDEX(Listado!F:F,ROW()))&gt;0,1,0)</f>
        <v/>
      </c>
      <c r="W1088" s="17" t="str">
        <f>IF(INDEX(Listado!L:L,ROW())="","",INDEX(Listado!L:L,ROW()))</f>
        <v/>
      </c>
      <c r="X1088" s="17">
        <f>IF(N1088="","",IF(INDEX(Listado!$M:$M,N1088)="No","No","Sí"))</f>
        <v/>
      </c>
    </row>
    <row r="1089" spans="2:24" ht="14.25">
      <c r="N1089" s="17" t="str">
        <f>IF(V1089=0,"",IFERROR(LOOKUP(2,1/(INDEX(Listado!A:A,2):INDEX(Listado!A:A,ROW())&lt;&gt;""),ROW(INDEX(Listado!A:A,2):INDEX(Listado!A:A,ROW()))),""))</f>
        <v/>
      </c>
      <c r="O1089" s="17" t="str">
        <f>IFERROR(IF(N1089="","",IF(INDEX(Listado!M:M,N1089)="No",IF(INDEX(Listado!N:N,N1089)=0,"",INDEX(Listado!N:N,N1089)),IF(INDEX(Listado!I:I,N1089)=0,"",INDEX(Listado!I:I,N1089)))),"")</f>
        <v/>
      </c>
      <c r="P1089" s="17">
        <f t="shared" ca="1" si="49"/>
        <v/>
      </c>
      <c r="Q1089" s="17">
        <f>IFERROR(IF(AND(N1089&lt;&gt;"",ISNUMBER(O1089),O1089&gt;0,O1089&gt;=TODAY()-90),1,0),0)</f>
        <v/>
      </c>
      <c r="R1089" s="17" t="str">
        <f t="shared" si="51"/>
        <v/>
      </c>
      <c r="S1089" s="17" t="str">
        <f>IF(INDEX(Listado!A:A,ROW())="","",INDEX(Listado!A:A,ROW()))</f>
        <v/>
      </c>
      <c r="T1089" s="17" t="str">
        <f ca="1">IF(INDEX(Listado!G:G,ROW())="","",INDEX(Listado!G:G,ROW()))</f>
        <v/>
      </c>
      <c r="U1089" s="17" t="str">
        <f>IF(INDEX(Listado!F:F,ROW())="","",INDEX(Listado!F:F,ROW()))</f>
        <v/>
      </c>
      <c r="V1089" s="17">
        <f>IF(COUNTA(INDEX(Listado!B:B,ROW()):INDEX(Listado!F:F,ROW()))&gt;0,1,0)</f>
        <v/>
      </c>
      <c r="W1089" s="17" t="str">
        <f>IF(INDEX(Listado!L:L,ROW())="","",INDEX(Listado!L:L,ROW()))</f>
        <v/>
      </c>
      <c r="X1089" s="17">
        <f>IF(N1089="","",IF(INDEX(Listado!$M:$M,N1089)="No","No","Sí"))</f>
        <v/>
      </c>
    </row>
    <row r="1090" spans="2:24" ht="14.25">
      <c r="N1090" s="17" t="str">
        <f>IF(V1090=0,"",IFERROR(LOOKUP(2,1/(INDEX(Listado!A:A,2):INDEX(Listado!A:A,ROW())&lt;&gt;""),ROW(INDEX(Listado!A:A,2):INDEX(Listado!A:A,ROW()))),""))</f>
        <v/>
      </c>
      <c r="O1090" s="17" t="str">
        <f>IFERROR(IF(N1090="","",IF(INDEX(Listado!M:M,N1090)="No",IF(INDEX(Listado!N:N,N1090)=0,"",INDEX(Listado!N:N,N1090)),IF(INDEX(Listado!I:I,N1090)=0,"",INDEX(Listado!I:I,N1090)))),"")</f>
        <v/>
      </c>
      <c r="P1090" s="17">
        <f t="shared" ref="P1090:P1153" ca="1" si="52">IF(W1090="",0,IFERROR(IF(AND(ISNUMBER(W1090),W1090=INT(W1090),ISNUMBER(O1090),O1090&gt;0,W1090&gt;=TODAY(),W1090&lt;=O1090+90),0,1),1))</f>
        <v/>
      </c>
      <c r="Q1090" s="17">
        <f>IFERROR(IF(AND(N1090&lt;&gt;"",ISNUMBER(O1090),O1090&gt;0,O1090&gt;=TODAY()-90),1,0),0)</f>
        <v/>
      </c>
      <c r="R1090" s="17" t="str">
        <f t="shared" ref="R1090:R1153" si="54">IF(S1090="","",COUNTIFS($N$2:$N$2999,ROW(),$Q$2:$Q$2999,1))</f>
        <v/>
      </c>
      <c r="S1090" s="17" t="str">
        <f>IF(INDEX(Listado!A:A,ROW())="","",INDEX(Listado!A:A,ROW()))</f>
        <v/>
      </c>
      <c r="T1090" s="17" t="str">
        <f ca="1">IF(INDEX(Listado!G:G,ROW())="","",INDEX(Listado!G:G,ROW()))</f>
        <v/>
      </c>
      <c r="U1090" s="17" t="str">
        <f>IF(INDEX(Listado!F:F,ROW())="","",INDEX(Listado!F:F,ROW()))</f>
        <v/>
      </c>
      <c r="V1090" s="17">
        <f>IF(COUNTA(INDEX(Listado!B:B,ROW()):INDEX(Listado!F:F,ROW()))&gt;0,1,0)</f>
        <v/>
      </c>
      <c r="W1090" s="17" t="str">
        <f>IF(INDEX(Listado!L:L,ROW())="","",INDEX(Listado!L:L,ROW()))</f>
        <v/>
      </c>
      <c r="X1090" s="17">
        <f>IF(N1090="","",IF(INDEX(Listado!$M:$M,N1090)="No","No","Sí"))</f>
        <v/>
      </c>
    </row>
    <row r="1091" spans="2:24" ht="14.25">
      <c r="N1091" s="17" t="str">
        <f>IF(V1091=0,"",IFERROR(LOOKUP(2,1/(INDEX(Listado!A:A,2):INDEX(Listado!A:A,ROW())&lt;&gt;""),ROW(INDEX(Listado!A:A,2):INDEX(Listado!A:A,ROW()))),""))</f>
        <v/>
      </c>
      <c r="O1091" s="17" t="str">
        <f>IFERROR(IF(N1091="","",IF(INDEX(Listado!M:M,N1091)="No",IF(INDEX(Listado!N:N,N1091)=0,"",INDEX(Listado!N:N,N1091)),IF(INDEX(Listado!I:I,N1091)=0,"",INDEX(Listado!I:I,N1091)))),"")</f>
        <v/>
      </c>
      <c r="P1091" s="17">
        <f t="shared" ca="1" si="52"/>
        <v/>
      </c>
      <c r="Q1091" s="17">
        <f>IFERROR(IF(AND(N1091&lt;&gt;"",ISNUMBER(O1091),O1091&gt;0,O1091&gt;=TODAY()-90),1,0),0)</f>
        <v/>
      </c>
      <c r="R1091" s="17" t="str">
        <f t="shared" si="54"/>
        <v/>
      </c>
      <c r="S1091" s="17" t="str">
        <f>IF(INDEX(Listado!A:A,ROW())="","",INDEX(Listado!A:A,ROW()))</f>
        <v/>
      </c>
      <c r="T1091" s="17" t="str">
        <f ca="1">IF(INDEX(Listado!G:G,ROW())="","",INDEX(Listado!G:G,ROW()))</f>
        <v/>
      </c>
      <c r="U1091" s="17" t="str">
        <f>IF(INDEX(Listado!F:F,ROW())="","",INDEX(Listado!F:F,ROW()))</f>
        <v/>
      </c>
      <c r="V1091" s="17">
        <f>IF(COUNTA(INDEX(Listado!B:B,ROW()):INDEX(Listado!F:F,ROW()))&gt;0,1,0)</f>
        <v/>
      </c>
      <c r="W1091" s="17" t="str">
        <f>IF(INDEX(Listado!L:L,ROW())="","",INDEX(Listado!L:L,ROW()))</f>
        <v/>
      </c>
      <c r="X1091" s="17">
        <f>IF(N1091="","",IF(INDEX(Listado!$M:$M,N1091)="No","No","Sí"))</f>
        <v/>
      </c>
    </row>
    <row r="1092" spans="2:24" ht="14.25">
      <c r="N1092" s="17" t="str">
        <f>IF(V1092=0,"",IFERROR(LOOKUP(2,1/(INDEX(Listado!A:A,2):INDEX(Listado!A:A,ROW())&lt;&gt;""),ROW(INDEX(Listado!A:A,2):INDEX(Listado!A:A,ROW()))),""))</f>
        <v/>
      </c>
      <c r="O1092" s="17" t="str">
        <f>IFERROR(IF(N1092="","",IF(INDEX(Listado!M:M,N1092)="No",IF(INDEX(Listado!N:N,N1092)=0,"",INDEX(Listado!N:N,N1092)),IF(INDEX(Listado!I:I,N1092)=0,"",INDEX(Listado!I:I,N1092)))),"")</f>
        <v/>
      </c>
      <c r="P1092" s="17">
        <f t="shared" ca="1" si="52"/>
        <v/>
      </c>
      <c r="Q1092" s="17">
        <f>IFERROR(IF(AND(N1092&lt;&gt;"",ISNUMBER(O1092),O1092&gt;0,O1092&gt;=TODAY()-90),1,0),0)</f>
        <v/>
      </c>
      <c r="R1092" s="17" t="str">
        <f t="shared" si="54"/>
        <v/>
      </c>
      <c r="S1092" s="17" t="str">
        <f>IF(INDEX(Listado!A:A,ROW())="","",INDEX(Listado!A:A,ROW()))</f>
        <v/>
      </c>
      <c r="T1092" s="17" t="str">
        <f ca="1">IF(INDEX(Listado!G:G,ROW())="","",INDEX(Listado!G:G,ROW()))</f>
        <v/>
      </c>
      <c r="U1092" s="17" t="str">
        <f>IF(INDEX(Listado!F:F,ROW())="","",INDEX(Listado!F:F,ROW()))</f>
        <v/>
      </c>
      <c r="V1092" s="17">
        <f>IF(COUNTA(INDEX(Listado!B:B,ROW()):INDEX(Listado!F:F,ROW()))&gt;0,1,0)</f>
        <v/>
      </c>
      <c r="W1092" s="17" t="str">
        <f>IF(INDEX(Listado!L:L,ROW())="","",INDEX(Listado!L:L,ROW()))</f>
        <v/>
      </c>
      <c r="X1092" s="17">
        <f>IF(N1092="","",IF(INDEX(Listado!$M:$M,N1092)="No","No","Sí"))</f>
        <v/>
      </c>
    </row>
    <row r="1093" spans="2:24" ht="14.25">
      <c r="N1093" s="17" t="str">
        <f>IF(V1093=0,"",IFERROR(LOOKUP(2,1/(INDEX(Listado!A:A,2):INDEX(Listado!A:A,ROW())&lt;&gt;""),ROW(INDEX(Listado!A:A,2):INDEX(Listado!A:A,ROW()))),""))</f>
        <v/>
      </c>
      <c r="O1093" s="17" t="str">
        <f>IFERROR(IF(N1093="","",IF(INDEX(Listado!M:M,N1093)="No",IF(INDEX(Listado!N:N,N1093)=0,"",INDEX(Listado!N:N,N1093)),IF(INDEX(Listado!I:I,N1093)=0,"",INDEX(Listado!I:I,N1093)))),"")</f>
        <v/>
      </c>
      <c r="P1093" s="17">
        <f t="shared" ca="1" si="52"/>
        <v/>
      </c>
      <c r="Q1093" s="17">
        <f>IFERROR(IF(AND(N1093&lt;&gt;"",ISNUMBER(O1093),O1093&gt;0,O1093&gt;=TODAY()-90),1,0),0)</f>
        <v/>
      </c>
      <c r="R1093" s="17" t="str">
        <f t="shared" si="54"/>
        <v/>
      </c>
      <c r="S1093" s="17" t="str">
        <f>IF(INDEX(Listado!A:A,ROW())="","",INDEX(Listado!A:A,ROW()))</f>
        <v/>
      </c>
      <c r="T1093" s="17" t="str">
        <f ca="1">IF(INDEX(Listado!G:G,ROW())="","",INDEX(Listado!G:G,ROW()))</f>
        <v/>
      </c>
      <c r="U1093" s="17" t="str">
        <f>IF(INDEX(Listado!F:F,ROW())="","",INDEX(Listado!F:F,ROW()))</f>
        <v/>
      </c>
      <c r="V1093" s="17">
        <f>IF(COUNTA(INDEX(Listado!B:B,ROW()):INDEX(Listado!F:F,ROW()))&gt;0,1,0)</f>
        <v/>
      </c>
      <c r="W1093" s="17" t="str">
        <f>IF(INDEX(Listado!L:L,ROW())="","",INDEX(Listado!L:L,ROW()))</f>
        <v/>
      </c>
      <c r="X1093" s="17">
        <f>IF(N1093="","",IF(INDEX(Listado!$M:$M,N1093)="No","No","Sí"))</f>
        <v/>
      </c>
    </row>
    <row r="1094" spans="2:24" ht="14.25">
      <c r="N1094" s="17" t="str">
        <f>IF(V1094=0,"",IFERROR(LOOKUP(2,1/(INDEX(Listado!A:A,2):INDEX(Listado!A:A,ROW())&lt;&gt;""),ROW(INDEX(Listado!A:A,2):INDEX(Listado!A:A,ROW()))),""))</f>
        <v/>
      </c>
      <c r="O1094" s="17" t="str">
        <f>IFERROR(IF(N1094="","",IF(INDEX(Listado!M:M,N1094)="No",IF(INDEX(Listado!N:N,N1094)=0,"",INDEX(Listado!N:N,N1094)),IF(INDEX(Listado!I:I,N1094)=0,"",INDEX(Listado!I:I,N1094)))),"")</f>
        <v/>
      </c>
      <c r="P1094" s="17">
        <f t="shared" ca="1" si="52"/>
        <v/>
      </c>
      <c r="Q1094" s="17">
        <f>IFERROR(IF(AND(N1094&lt;&gt;"",ISNUMBER(O1094),O1094&gt;0,O1094&gt;=TODAY()-90),1,0),0)</f>
        <v/>
      </c>
      <c r="R1094" s="17" t="str">
        <f t="shared" si="54"/>
        <v/>
      </c>
      <c r="S1094" s="17" t="str">
        <f>IF(INDEX(Listado!A:A,ROW())="","",INDEX(Listado!A:A,ROW()))</f>
        <v/>
      </c>
      <c r="T1094" s="17" t="str">
        <f ca="1">IF(INDEX(Listado!G:G,ROW())="","",INDEX(Listado!G:G,ROW()))</f>
        <v/>
      </c>
      <c r="U1094" s="17" t="str">
        <f>IF(INDEX(Listado!F:F,ROW())="","",INDEX(Listado!F:F,ROW()))</f>
        <v/>
      </c>
      <c r="V1094" s="17">
        <f>IF(COUNTA(INDEX(Listado!B:B,ROW()):INDEX(Listado!F:F,ROW()))&gt;0,1,0)</f>
        <v/>
      </c>
      <c r="W1094" s="17" t="str">
        <f>IF(INDEX(Listado!L:L,ROW())="","",INDEX(Listado!L:L,ROW()))</f>
        <v/>
      </c>
      <c r="X1094" s="17">
        <f>IF(N1094="","",IF(INDEX(Listado!$M:$M,N1094)="No","No","Sí"))</f>
        <v/>
      </c>
    </row>
    <row r="1095" spans="2:24" ht="14.25">
      <c r="N1095" s="17" t="str">
        <f>IF(V1095=0,"",IFERROR(LOOKUP(2,1/(INDEX(Listado!A:A,2):INDEX(Listado!A:A,ROW())&lt;&gt;""),ROW(INDEX(Listado!A:A,2):INDEX(Listado!A:A,ROW()))),""))</f>
        <v/>
      </c>
      <c r="O1095" s="17" t="str">
        <f>IFERROR(IF(N1095="","",IF(INDEX(Listado!M:M,N1095)="No",IF(INDEX(Listado!N:N,N1095)=0,"",INDEX(Listado!N:N,N1095)),IF(INDEX(Listado!I:I,N1095)=0,"",INDEX(Listado!I:I,N1095)))),"")</f>
        <v/>
      </c>
      <c r="P1095" s="17">
        <f t="shared" ca="1" si="52"/>
        <v/>
      </c>
      <c r="Q1095" s="17">
        <f>IFERROR(IF(AND(N1095&lt;&gt;"",ISNUMBER(O1095),O1095&gt;0,O1095&gt;=TODAY()-90),1,0),0)</f>
        <v/>
      </c>
      <c r="R1095" s="17" t="str">
        <f t="shared" si="54"/>
        <v/>
      </c>
      <c r="S1095" s="17" t="str">
        <f>IF(INDEX(Listado!A:A,ROW())="","",INDEX(Listado!A:A,ROW()))</f>
        <v/>
      </c>
      <c r="T1095" s="17" t="str">
        <f ca="1">IF(INDEX(Listado!G:G,ROW())="","",INDEX(Listado!G:G,ROW()))</f>
        <v/>
      </c>
      <c r="U1095" s="17" t="str">
        <f>IF(INDEX(Listado!F:F,ROW())="","",INDEX(Listado!F:F,ROW()))</f>
        <v/>
      </c>
      <c r="V1095" s="17">
        <f>IF(COUNTA(INDEX(Listado!B:B,ROW()):INDEX(Listado!F:F,ROW()))&gt;0,1,0)</f>
        <v/>
      </c>
      <c r="W1095" s="17" t="str">
        <f>IF(INDEX(Listado!L:L,ROW())="","",INDEX(Listado!L:L,ROW()))</f>
        <v/>
      </c>
      <c r="X1095" s="17">
        <f>IF(N1095="","",IF(INDEX(Listado!$M:$M,N1095)="No","No","Sí"))</f>
        <v/>
      </c>
    </row>
    <row r="1096" spans="2:24" ht="14.25">
      <c r="N1096" s="17" t="str">
        <f>IF(V1096=0,"",IFERROR(LOOKUP(2,1/(INDEX(Listado!A:A,2):INDEX(Listado!A:A,ROW())&lt;&gt;""),ROW(INDEX(Listado!A:A,2):INDEX(Listado!A:A,ROW()))),""))</f>
        <v/>
      </c>
      <c r="O1096" s="17" t="str">
        <f>IFERROR(IF(N1096="","",IF(INDEX(Listado!M:M,N1096)="No",IF(INDEX(Listado!N:N,N1096)=0,"",INDEX(Listado!N:N,N1096)),IF(INDEX(Listado!I:I,N1096)=0,"",INDEX(Listado!I:I,N1096)))),"")</f>
        <v/>
      </c>
      <c r="P1096" s="17">
        <f t="shared" ca="1" si="52"/>
        <v/>
      </c>
      <c r="Q1096" s="17">
        <f>IFERROR(IF(AND(N1096&lt;&gt;"",ISNUMBER(O1096),O1096&gt;0,O1096&gt;=TODAY()-90),1,0),0)</f>
        <v/>
      </c>
      <c r="R1096" s="17" t="str">
        <f t="shared" si="54"/>
        <v/>
      </c>
      <c r="S1096" s="17" t="str">
        <f>IF(INDEX(Listado!A:A,ROW())="","",INDEX(Listado!A:A,ROW()))</f>
        <v/>
      </c>
      <c r="T1096" s="17" t="str">
        <f ca="1">IF(INDEX(Listado!G:G,ROW())="","",INDEX(Listado!G:G,ROW()))</f>
        <v/>
      </c>
      <c r="U1096" s="17" t="str">
        <f>IF(INDEX(Listado!F:F,ROW())="","",INDEX(Listado!F:F,ROW()))</f>
        <v/>
      </c>
      <c r="V1096" s="17">
        <f>IF(COUNTA(INDEX(Listado!B:B,ROW()):INDEX(Listado!F:F,ROW()))&gt;0,1,0)</f>
        <v/>
      </c>
      <c r="W1096" s="17" t="str">
        <f>IF(INDEX(Listado!L:L,ROW())="","",INDEX(Listado!L:L,ROW()))</f>
        <v/>
      </c>
      <c r="X1096" s="17">
        <f>IF(N1096="","",IF(INDEX(Listado!$M:$M,N1096)="No","No","Sí"))</f>
        <v/>
      </c>
    </row>
    <row r="1097" spans="2:24" ht="14.25">
      <c r="N1097" s="17" t="str">
        <f>IF(V1097=0,"",IFERROR(LOOKUP(2,1/(INDEX(Listado!A:A,2):INDEX(Listado!A:A,ROW())&lt;&gt;""),ROW(INDEX(Listado!A:A,2):INDEX(Listado!A:A,ROW()))),""))</f>
        <v/>
      </c>
      <c r="O1097" s="17" t="str">
        <f>IFERROR(IF(N1097="","",IF(INDEX(Listado!M:M,N1097)="No",IF(INDEX(Listado!N:N,N1097)=0,"",INDEX(Listado!N:N,N1097)),IF(INDEX(Listado!I:I,N1097)=0,"",INDEX(Listado!I:I,N1097)))),"")</f>
        <v/>
      </c>
      <c r="P1097" s="17">
        <f t="shared" ca="1" si="52"/>
        <v/>
      </c>
      <c r="Q1097" s="17">
        <f>IFERROR(IF(AND(N1097&lt;&gt;"",ISNUMBER(O1097),O1097&gt;0,O1097&gt;=TODAY()-90),1,0),0)</f>
        <v/>
      </c>
      <c r="R1097" s="17" t="str">
        <f t="shared" si="54"/>
        <v/>
      </c>
      <c r="S1097" s="17" t="str">
        <f>IF(INDEX(Listado!A:A,ROW())="","",INDEX(Listado!A:A,ROW()))</f>
        <v/>
      </c>
      <c r="T1097" s="17" t="str">
        <f ca="1">IF(INDEX(Listado!G:G,ROW())="","",INDEX(Listado!G:G,ROW()))</f>
        <v/>
      </c>
      <c r="U1097" s="17" t="str">
        <f>IF(INDEX(Listado!F:F,ROW())="","",INDEX(Listado!F:F,ROW()))</f>
        <v/>
      </c>
      <c r="V1097" s="17">
        <f>IF(COUNTA(INDEX(Listado!B:B,ROW()):INDEX(Listado!F:F,ROW()))&gt;0,1,0)</f>
        <v/>
      </c>
      <c r="W1097" s="17" t="str">
        <f>IF(INDEX(Listado!L:L,ROW())="","",INDEX(Listado!L:L,ROW()))</f>
        <v/>
      </c>
      <c r="X1097" s="17">
        <f>IF(N1097="","",IF(INDEX(Listado!$M:$M,N1097)="No","No","Sí"))</f>
        <v/>
      </c>
    </row>
    <row r="1098" spans="2:24" ht="14.25">
      <c r="N1098" s="17" t="str">
        <f>IF(V1098=0,"",IFERROR(LOOKUP(2,1/(INDEX(Listado!A:A,2):INDEX(Listado!A:A,ROW())&lt;&gt;""),ROW(INDEX(Listado!A:A,2):INDEX(Listado!A:A,ROW()))),""))</f>
        <v/>
      </c>
      <c r="O1098" s="17" t="str">
        <f>IFERROR(IF(N1098="","",IF(INDEX(Listado!M:M,N1098)="No",IF(INDEX(Listado!N:N,N1098)=0,"",INDEX(Listado!N:N,N1098)),IF(INDEX(Listado!I:I,N1098)=0,"",INDEX(Listado!I:I,N1098)))),"")</f>
        <v/>
      </c>
      <c r="P1098" s="17">
        <f t="shared" ca="1" si="52"/>
        <v/>
      </c>
      <c r="Q1098" s="17">
        <f>IFERROR(IF(AND(N1098&lt;&gt;"",ISNUMBER(O1098),O1098&gt;0,O1098&gt;=TODAY()-90),1,0),0)</f>
        <v/>
      </c>
      <c r="R1098" s="17" t="str">
        <f t="shared" si="54"/>
        <v/>
      </c>
      <c r="S1098" s="17" t="str">
        <f>IF(INDEX(Listado!A:A,ROW())="","",INDEX(Listado!A:A,ROW()))</f>
        <v/>
      </c>
      <c r="T1098" s="17" t="str">
        <f ca="1">IF(INDEX(Listado!G:G,ROW())="","",INDEX(Listado!G:G,ROW()))</f>
        <v/>
      </c>
      <c r="U1098" s="17" t="str">
        <f>IF(INDEX(Listado!F:F,ROW())="","",INDEX(Listado!F:F,ROW()))</f>
        <v/>
      </c>
      <c r="V1098" s="17">
        <f>IF(COUNTA(INDEX(Listado!B:B,ROW()):INDEX(Listado!F:F,ROW()))&gt;0,1,0)</f>
        <v/>
      </c>
      <c r="W1098" s="17" t="str">
        <f>IF(INDEX(Listado!L:L,ROW())="","",INDEX(Listado!L:L,ROW()))</f>
        <v/>
      </c>
      <c r="X1098" s="17">
        <f>IF(N1098="","",IF(INDEX(Listado!$M:$M,N1098)="No","No","Sí"))</f>
        <v/>
      </c>
    </row>
    <row r="1099" spans="2:24" ht="14.25">
      <c r="N1099" s="17" t="str">
        <f>IF(V1099=0,"",IFERROR(LOOKUP(2,1/(INDEX(Listado!A:A,2):INDEX(Listado!A:A,ROW())&lt;&gt;""),ROW(INDEX(Listado!A:A,2):INDEX(Listado!A:A,ROW()))),""))</f>
        <v/>
      </c>
      <c r="O1099" s="17" t="str">
        <f>IFERROR(IF(N1099="","",IF(INDEX(Listado!M:M,N1099)="No",IF(INDEX(Listado!N:N,N1099)=0,"",INDEX(Listado!N:N,N1099)),IF(INDEX(Listado!I:I,N1099)=0,"",INDEX(Listado!I:I,N1099)))),"")</f>
        <v/>
      </c>
      <c r="P1099" s="17">
        <f t="shared" ca="1" si="52"/>
        <v/>
      </c>
      <c r="Q1099" s="17">
        <f>IFERROR(IF(AND(N1099&lt;&gt;"",ISNUMBER(O1099),O1099&gt;0,O1099&gt;=TODAY()-90),1,0),0)</f>
        <v/>
      </c>
      <c r="R1099" s="17" t="str">
        <f t="shared" si="54"/>
        <v/>
      </c>
      <c r="S1099" s="17" t="str">
        <f>IF(INDEX(Listado!A:A,ROW())="","",INDEX(Listado!A:A,ROW()))</f>
        <v/>
      </c>
      <c r="T1099" s="17" t="str">
        <f ca="1">IF(INDEX(Listado!G:G,ROW())="","",INDEX(Listado!G:G,ROW()))</f>
        <v/>
      </c>
      <c r="U1099" s="17" t="str">
        <f>IF(INDEX(Listado!F:F,ROW())="","",INDEX(Listado!F:F,ROW()))</f>
        <v/>
      </c>
      <c r="V1099" s="17">
        <f>IF(COUNTA(INDEX(Listado!B:B,ROW()):INDEX(Listado!F:F,ROW()))&gt;0,1,0)</f>
        <v/>
      </c>
      <c r="W1099" s="17" t="str">
        <f>IF(INDEX(Listado!L:L,ROW())="","",INDEX(Listado!L:L,ROW()))</f>
        <v/>
      </c>
      <c r="X1099" s="17">
        <f>IF(N1099="","",IF(INDEX(Listado!$M:$M,N1099)="No","No","Sí"))</f>
        <v/>
      </c>
    </row>
    <row r="1100" spans="2:24" ht="14.25">
      <c r="N1100" s="17" t="str">
        <f>IF(V1100=0,"",IFERROR(LOOKUP(2,1/(INDEX(Listado!A:A,2):INDEX(Listado!A:A,ROW())&lt;&gt;""),ROW(INDEX(Listado!A:A,2):INDEX(Listado!A:A,ROW()))),""))</f>
        <v/>
      </c>
      <c r="O1100" s="17" t="str">
        <f>IFERROR(IF(N1100="","",IF(INDEX(Listado!M:M,N1100)="No",IF(INDEX(Listado!N:N,N1100)=0,"",INDEX(Listado!N:N,N1100)),IF(INDEX(Listado!I:I,N1100)=0,"",INDEX(Listado!I:I,N1100)))),"")</f>
        <v/>
      </c>
      <c r="P1100" s="17">
        <f t="shared" ca="1" si="52"/>
        <v/>
      </c>
      <c r="Q1100" s="17">
        <f>IFERROR(IF(AND(N1100&lt;&gt;"",ISNUMBER(O1100),O1100&gt;0,O1100&gt;=TODAY()-90),1,0),0)</f>
        <v/>
      </c>
      <c r="R1100" s="17" t="str">
        <f t="shared" si="54"/>
        <v/>
      </c>
      <c r="S1100" s="17" t="str">
        <f>IF(INDEX(Listado!A:A,ROW())="","",INDEX(Listado!A:A,ROW()))</f>
        <v/>
      </c>
      <c r="T1100" s="17" t="str">
        <f ca="1">IF(INDEX(Listado!G:G,ROW())="","",INDEX(Listado!G:G,ROW()))</f>
        <v/>
      </c>
      <c r="U1100" s="17" t="str">
        <f>IF(INDEX(Listado!F:F,ROW())="","",INDEX(Listado!F:F,ROW()))</f>
        <v/>
      </c>
      <c r="V1100" s="17">
        <f>IF(COUNTA(INDEX(Listado!B:B,ROW()):INDEX(Listado!F:F,ROW()))&gt;0,1,0)</f>
        <v/>
      </c>
      <c r="W1100" s="17" t="str">
        <f>IF(INDEX(Listado!L:L,ROW())="","",INDEX(Listado!L:L,ROW()))</f>
        <v/>
      </c>
      <c r="X1100" s="17">
        <f>IF(N1100="","",IF(INDEX(Listado!$M:$M,N1100)="No","No","Sí"))</f>
        <v/>
      </c>
    </row>
    <row r="1101" spans="2:24" ht="14.25">
      <c r="N1101" s="17" t="str">
        <f>IF(V1101=0,"",IFERROR(LOOKUP(2,1/(INDEX(Listado!A:A,2):INDEX(Listado!A:A,ROW())&lt;&gt;""),ROW(INDEX(Listado!A:A,2):INDEX(Listado!A:A,ROW()))),""))</f>
        <v/>
      </c>
      <c r="O1101" s="17" t="str">
        <f>IFERROR(IF(N1101="","",IF(INDEX(Listado!M:M,N1101)="No",IF(INDEX(Listado!N:N,N1101)=0,"",INDEX(Listado!N:N,N1101)),IF(INDEX(Listado!I:I,N1101)=0,"",INDEX(Listado!I:I,N1101)))),"")</f>
        <v/>
      </c>
      <c r="P1101" s="17">
        <f t="shared" ca="1" si="52"/>
        <v/>
      </c>
      <c r="Q1101" s="17">
        <f>IFERROR(IF(AND(N1101&lt;&gt;"",ISNUMBER(O1101),O1101&gt;0,O1101&gt;=TODAY()-90),1,0),0)</f>
        <v/>
      </c>
      <c r="R1101" s="17" t="str">
        <f t="shared" si="54"/>
        <v/>
      </c>
      <c r="S1101" s="17" t="str">
        <f>IF(INDEX(Listado!A:A,ROW())="","",INDEX(Listado!A:A,ROW()))</f>
        <v/>
      </c>
      <c r="T1101" s="17" t="str">
        <f ca="1">IF(INDEX(Listado!G:G,ROW())="","",INDEX(Listado!G:G,ROW()))</f>
        <v/>
      </c>
      <c r="U1101" s="17" t="str">
        <f>IF(INDEX(Listado!F:F,ROW())="","",INDEX(Listado!F:F,ROW()))</f>
        <v/>
      </c>
      <c r="V1101" s="17">
        <f>IF(COUNTA(INDEX(Listado!B:B,ROW()):INDEX(Listado!F:F,ROW()))&gt;0,1,0)</f>
        <v/>
      </c>
      <c r="W1101" s="17" t="str">
        <f>IF(INDEX(Listado!L:L,ROW())="","",INDEX(Listado!L:L,ROW()))</f>
        <v/>
      </c>
      <c r="X1101" s="17">
        <f>IF(N1101="","",IF(INDEX(Listado!$M:$M,N1101)="No","No","Sí"))</f>
        <v/>
      </c>
    </row>
    <row r="1102" spans="2:24" ht="14.25">
      <c r="N1102" s="17" t="str">
        <f>IF(V1102=0,"",IFERROR(LOOKUP(2,1/(INDEX(Listado!A:A,2):INDEX(Listado!A:A,ROW())&lt;&gt;""),ROW(INDEX(Listado!A:A,2):INDEX(Listado!A:A,ROW()))),""))</f>
        <v/>
      </c>
      <c r="O1102" s="17" t="str">
        <f>IFERROR(IF(N1102="","",IF(INDEX(Listado!M:M,N1102)="No",IF(INDEX(Listado!N:N,N1102)=0,"",INDEX(Listado!N:N,N1102)),IF(INDEX(Listado!I:I,N1102)=0,"",INDEX(Listado!I:I,N1102)))),"")</f>
        <v/>
      </c>
      <c r="P1102" s="17">
        <f t="shared" ca="1" si="52"/>
        <v/>
      </c>
      <c r="Q1102" s="17">
        <f>IFERROR(IF(AND(N1102&lt;&gt;"",ISNUMBER(O1102),O1102&gt;0,O1102&gt;=TODAY()-90),1,0),0)</f>
        <v/>
      </c>
      <c r="R1102" s="17" t="str">
        <f t="shared" si="54"/>
        <v/>
      </c>
      <c r="S1102" s="17" t="str">
        <f>IF(INDEX(Listado!A:A,ROW())="","",INDEX(Listado!A:A,ROW()))</f>
        <v/>
      </c>
      <c r="T1102" s="17" t="str">
        <f ca="1">IF(INDEX(Listado!G:G,ROW())="","",INDEX(Listado!G:G,ROW()))</f>
        <v/>
      </c>
      <c r="U1102" s="17" t="str">
        <f>IF(INDEX(Listado!F:F,ROW())="","",INDEX(Listado!F:F,ROW()))</f>
        <v/>
      </c>
      <c r="V1102" s="17">
        <f>IF(COUNTA(INDEX(Listado!B:B,ROW()):INDEX(Listado!F:F,ROW()))&gt;0,1,0)</f>
        <v/>
      </c>
      <c r="W1102" s="17" t="str">
        <f>IF(INDEX(Listado!L:L,ROW())="","",INDEX(Listado!L:L,ROW()))</f>
        <v/>
      </c>
      <c r="X1102" s="17">
        <f>IF(N1102="","",IF(INDEX(Listado!$M:$M,N1102)="No","No","Sí"))</f>
        <v/>
      </c>
    </row>
    <row r="1103" spans="2:24" ht="14.25">
      <c r="N1103" s="17" t="str">
        <f>IF(V1103=0,"",IFERROR(LOOKUP(2,1/(INDEX(Listado!A:A,2):INDEX(Listado!A:A,ROW())&lt;&gt;""),ROW(INDEX(Listado!A:A,2):INDEX(Listado!A:A,ROW()))),""))</f>
        <v/>
      </c>
      <c r="O1103" s="17" t="str">
        <f>IFERROR(IF(N1103="","",IF(INDEX(Listado!M:M,N1103)="No",IF(INDEX(Listado!N:N,N1103)=0,"",INDEX(Listado!N:N,N1103)),IF(INDEX(Listado!I:I,N1103)=0,"",INDEX(Listado!I:I,N1103)))),"")</f>
        <v/>
      </c>
      <c r="P1103" s="17">
        <f t="shared" ca="1" si="52"/>
        <v/>
      </c>
      <c r="Q1103" s="17">
        <f>IFERROR(IF(AND(N1103&lt;&gt;"",ISNUMBER(O1103),O1103&gt;0,O1103&gt;=TODAY()-90),1,0),0)</f>
        <v/>
      </c>
      <c r="R1103" s="17" t="str">
        <f t="shared" si="54"/>
        <v/>
      </c>
      <c r="S1103" s="17" t="str">
        <f>IF(INDEX(Listado!A:A,ROW())="","",INDEX(Listado!A:A,ROW()))</f>
        <v/>
      </c>
      <c r="T1103" s="17" t="str">
        <f ca="1">IF(INDEX(Listado!G:G,ROW())="","",INDEX(Listado!G:G,ROW()))</f>
        <v/>
      </c>
      <c r="U1103" s="17" t="str">
        <f>IF(INDEX(Listado!F:F,ROW())="","",INDEX(Listado!F:F,ROW()))</f>
        <v/>
      </c>
      <c r="V1103" s="17">
        <f>IF(COUNTA(INDEX(Listado!B:B,ROW()):INDEX(Listado!F:F,ROW()))&gt;0,1,0)</f>
        <v/>
      </c>
      <c r="W1103" s="17" t="str">
        <f>IF(INDEX(Listado!L:L,ROW())="","",INDEX(Listado!L:L,ROW()))</f>
        <v/>
      </c>
      <c r="X1103" s="17">
        <f>IF(N1103="","",IF(INDEX(Listado!$M:$M,N1103)="No","No","Sí"))</f>
        <v/>
      </c>
    </row>
    <row r="1104" spans="2:24" ht="14.25">
      <c r="N1104" s="17" t="str">
        <f>IF(V1104=0,"",IFERROR(LOOKUP(2,1/(INDEX(Listado!A:A,2):INDEX(Listado!A:A,ROW())&lt;&gt;""),ROW(INDEX(Listado!A:A,2):INDEX(Listado!A:A,ROW()))),""))</f>
        <v/>
      </c>
      <c r="O1104" s="17" t="str">
        <f>IFERROR(IF(N1104="","",IF(INDEX(Listado!M:M,N1104)="No",IF(INDEX(Listado!N:N,N1104)=0,"",INDEX(Listado!N:N,N1104)),IF(INDEX(Listado!I:I,N1104)=0,"",INDEX(Listado!I:I,N1104)))),"")</f>
        <v/>
      </c>
      <c r="P1104" s="17">
        <f t="shared" ca="1" si="52"/>
        <v/>
      </c>
      <c r="Q1104" s="17">
        <f>IFERROR(IF(AND(N1104&lt;&gt;"",ISNUMBER(O1104),O1104&gt;0,O1104&gt;=TODAY()-90),1,0),0)</f>
        <v/>
      </c>
      <c r="R1104" s="17" t="str">
        <f t="shared" si="54"/>
        <v/>
      </c>
      <c r="S1104" s="17" t="str">
        <f>IF(INDEX(Listado!A:A,ROW())="","",INDEX(Listado!A:A,ROW()))</f>
        <v/>
      </c>
      <c r="T1104" s="17" t="str">
        <f ca="1">IF(INDEX(Listado!G:G,ROW())="","",INDEX(Listado!G:G,ROW()))</f>
        <v/>
      </c>
      <c r="U1104" s="17" t="str">
        <f>IF(INDEX(Listado!F:F,ROW())="","",INDEX(Listado!F:F,ROW()))</f>
        <v/>
      </c>
      <c r="V1104" s="17">
        <f>IF(COUNTA(INDEX(Listado!B:B,ROW()):INDEX(Listado!F:F,ROW()))&gt;0,1,0)</f>
        <v/>
      </c>
      <c r="W1104" s="17" t="str">
        <f>IF(INDEX(Listado!L:L,ROW())="","",INDEX(Listado!L:L,ROW()))</f>
        <v/>
      </c>
      <c r="X1104" s="17">
        <f>IF(N1104="","",IF(INDEX(Listado!$M:$M,N1104)="No","No","Sí"))</f>
        <v/>
      </c>
    </row>
    <row r="1105" spans="2:24" ht="14.25">
      <c r="N1105" s="17" t="str">
        <f>IF(V1105=0,"",IFERROR(LOOKUP(2,1/(INDEX(Listado!A:A,2):INDEX(Listado!A:A,ROW())&lt;&gt;""),ROW(INDEX(Listado!A:A,2):INDEX(Listado!A:A,ROW()))),""))</f>
        <v/>
      </c>
      <c r="O1105" s="17" t="str">
        <f>IFERROR(IF(N1105="","",IF(INDEX(Listado!M:M,N1105)="No",IF(INDEX(Listado!N:N,N1105)=0,"",INDEX(Listado!N:N,N1105)),IF(INDEX(Listado!I:I,N1105)=0,"",INDEX(Listado!I:I,N1105)))),"")</f>
        <v/>
      </c>
      <c r="P1105" s="17">
        <f t="shared" ca="1" si="52"/>
        <v/>
      </c>
      <c r="Q1105" s="17">
        <f>IFERROR(IF(AND(N1105&lt;&gt;"",ISNUMBER(O1105),O1105&gt;0,O1105&gt;=TODAY()-90),1,0),0)</f>
        <v/>
      </c>
      <c r="R1105" s="17" t="str">
        <f t="shared" si="54"/>
        <v/>
      </c>
      <c r="S1105" s="17" t="str">
        <f>IF(INDEX(Listado!A:A,ROW())="","",INDEX(Listado!A:A,ROW()))</f>
        <v/>
      </c>
      <c r="T1105" s="17" t="str">
        <f ca="1">IF(INDEX(Listado!G:G,ROW())="","",INDEX(Listado!G:G,ROW()))</f>
        <v/>
      </c>
      <c r="U1105" s="17" t="str">
        <f>IF(INDEX(Listado!F:F,ROW())="","",INDEX(Listado!F:F,ROW()))</f>
        <v/>
      </c>
      <c r="V1105" s="17">
        <f>IF(COUNTA(INDEX(Listado!B:B,ROW()):INDEX(Listado!F:F,ROW()))&gt;0,1,0)</f>
        <v/>
      </c>
      <c r="W1105" s="17" t="str">
        <f>IF(INDEX(Listado!L:L,ROW())="","",INDEX(Listado!L:L,ROW()))</f>
        <v/>
      </c>
      <c r="X1105" s="17">
        <f>IF(N1105="","",IF(INDEX(Listado!$M:$M,N1105)="No","No","Sí"))</f>
        <v/>
      </c>
    </row>
    <row r="1106" spans="2:24" ht="14.25">
      <c r="N1106" s="17" t="str">
        <f>IF(V1106=0,"",IFERROR(LOOKUP(2,1/(INDEX(Listado!A:A,2):INDEX(Listado!A:A,ROW())&lt;&gt;""),ROW(INDEX(Listado!A:A,2):INDEX(Listado!A:A,ROW()))),""))</f>
        <v/>
      </c>
      <c r="O1106" s="17" t="str">
        <f>IFERROR(IF(N1106="","",IF(INDEX(Listado!M:M,N1106)="No",IF(INDEX(Listado!N:N,N1106)=0,"",INDEX(Listado!N:N,N1106)),IF(INDEX(Listado!I:I,N1106)=0,"",INDEX(Listado!I:I,N1106)))),"")</f>
        <v/>
      </c>
      <c r="P1106" s="17">
        <f t="shared" ca="1" si="52"/>
        <v/>
      </c>
      <c r="Q1106" s="17">
        <f>IFERROR(IF(AND(N1106&lt;&gt;"",ISNUMBER(O1106),O1106&gt;0,O1106&gt;=TODAY()-90),1,0),0)</f>
        <v/>
      </c>
      <c r="R1106" s="17" t="str">
        <f t="shared" si="54"/>
        <v/>
      </c>
      <c r="S1106" s="17" t="str">
        <f>IF(INDEX(Listado!A:A,ROW())="","",INDEX(Listado!A:A,ROW()))</f>
        <v/>
      </c>
      <c r="T1106" s="17" t="str">
        <f ca="1">IF(INDEX(Listado!G:G,ROW())="","",INDEX(Listado!G:G,ROW()))</f>
        <v/>
      </c>
      <c r="U1106" s="17" t="str">
        <f>IF(INDEX(Listado!F:F,ROW())="","",INDEX(Listado!F:F,ROW()))</f>
        <v/>
      </c>
      <c r="V1106" s="17">
        <f>IF(COUNTA(INDEX(Listado!B:B,ROW()):INDEX(Listado!F:F,ROW()))&gt;0,1,0)</f>
        <v/>
      </c>
      <c r="W1106" s="17" t="str">
        <f>IF(INDEX(Listado!L:L,ROW())="","",INDEX(Listado!L:L,ROW()))</f>
        <v/>
      </c>
      <c r="X1106" s="17">
        <f>IF(N1106="","",IF(INDEX(Listado!$M:$M,N1106)="No","No","Sí"))</f>
        <v/>
      </c>
    </row>
    <row r="1107" spans="2:24" ht="14.25">
      <c r="N1107" s="17" t="str">
        <f>IF(V1107=0,"",IFERROR(LOOKUP(2,1/(INDEX(Listado!A:A,2):INDEX(Listado!A:A,ROW())&lt;&gt;""),ROW(INDEX(Listado!A:A,2):INDEX(Listado!A:A,ROW()))),""))</f>
        <v/>
      </c>
      <c r="O1107" s="17" t="str">
        <f>IFERROR(IF(N1107="","",IF(INDEX(Listado!M:M,N1107)="No",IF(INDEX(Listado!N:N,N1107)=0,"",INDEX(Listado!N:N,N1107)),IF(INDEX(Listado!I:I,N1107)=0,"",INDEX(Listado!I:I,N1107)))),"")</f>
        <v/>
      </c>
      <c r="P1107" s="17">
        <f t="shared" ca="1" si="52"/>
        <v/>
      </c>
      <c r="Q1107" s="17">
        <f>IFERROR(IF(AND(N1107&lt;&gt;"",ISNUMBER(O1107),O1107&gt;0,O1107&gt;=TODAY()-90),1,0),0)</f>
        <v/>
      </c>
      <c r="R1107" s="17" t="str">
        <f t="shared" si="54"/>
        <v/>
      </c>
      <c r="S1107" s="17" t="str">
        <f>IF(INDEX(Listado!A:A,ROW())="","",INDEX(Listado!A:A,ROW()))</f>
        <v/>
      </c>
      <c r="T1107" s="17" t="str">
        <f ca="1">IF(INDEX(Listado!G:G,ROW())="","",INDEX(Listado!G:G,ROW()))</f>
        <v/>
      </c>
      <c r="U1107" s="17" t="str">
        <f>IF(INDEX(Listado!F:F,ROW())="","",INDEX(Listado!F:F,ROW()))</f>
        <v/>
      </c>
      <c r="V1107" s="17">
        <f>IF(COUNTA(INDEX(Listado!B:B,ROW()):INDEX(Listado!F:F,ROW()))&gt;0,1,0)</f>
        <v/>
      </c>
      <c r="W1107" s="17" t="str">
        <f>IF(INDEX(Listado!L:L,ROW())="","",INDEX(Listado!L:L,ROW()))</f>
        <v/>
      </c>
      <c r="X1107" s="17">
        <f>IF(N1107="","",IF(INDEX(Listado!$M:$M,N1107)="No","No","Sí"))</f>
        <v/>
      </c>
    </row>
    <row r="1108" spans="2:24" ht="14.25">
      <c r="N1108" s="17" t="str">
        <f>IF(V1108=0,"",IFERROR(LOOKUP(2,1/(INDEX(Listado!A:A,2):INDEX(Listado!A:A,ROW())&lt;&gt;""),ROW(INDEX(Listado!A:A,2):INDEX(Listado!A:A,ROW()))),""))</f>
        <v/>
      </c>
      <c r="O1108" s="17" t="str">
        <f>IFERROR(IF(N1108="","",IF(INDEX(Listado!M:M,N1108)="No",IF(INDEX(Listado!N:N,N1108)=0,"",INDEX(Listado!N:N,N1108)),IF(INDEX(Listado!I:I,N1108)=0,"",INDEX(Listado!I:I,N1108)))),"")</f>
        <v/>
      </c>
      <c r="P1108" s="17">
        <f t="shared" ca="1" si="52"/>
        <v/>
      </c>
      <c r="Q1108" s="17">
        <f>IFERROR(IF(AND(N1108&lt;&gt;"",ISNUMBER(O1108),O1108&gt;0,O1108&gt;=TODAY()-90),1,0),0)</f>
        <v/>
      </c>
      <c r="R1108" s="17" t="str">
        <f t="shared" si="54"/>
        <v/>
      </c>
      <c r="S1108" s="17" t="str">
        <f>IF(INDEX(Listado!A:A,ROW())="","",INDEX(Listado!A:A,ROW()))</f>
        <v/>
      </c>
      <c r="T1108" s="17" t="str">
        <f ca="1">IF(INDEX(Listado!G:G,ROW())="","",INDEX(Listado!G:G,ROW()))</f>
        <v/>
      </c>
      <c r="U1108" s="17" t="str">
        <f>IF(INDEX(Listado!F:F,ROW())="","",INDEX(Listado!F:F,ROW()))</f>
        <v/>
      </c>
      <c r="V1108" s="17">
        <f>IF(COUNTA(INDEX(Listado!B:B,ROW()):INDEX(Listado!F:F,ROW()))&gt;0,1,0)</f>
        <v/>
      </c>
      <c r="W1108" s="17" t="str">
        <f>IF(INDEX(Listado!L:L,ROW())="","",INDEX(Listado!L:L,ROW()))</f>
        <v/>
      </c>
      <c r="X1108" s="17">
        <f>IF(N1108="","",IF(INDEX(Listado!$M:$M,N1108)="No","No","Sí"))</f>
        <v/>
      </c>
    </row>
    <row r="1109" spans="2:24" ht="14.25">
      <c r="N1109" s="17" t="str">
        <f>IF(V1109=0,"",IFERROR(LOOKUP(2,1/(INDEX(Listado!A:A,2):INDEX(Listado!A:A,ROW())&lt;&gt;""),ROW(INDEX(Listado!A:A,2):INDEX(Listado!A:A,ROW()))),""))</f>
        <v/>
      </c>
      <c r="O1109" s="17" t="str">
        <f>IFERROR(IF(N1109="","",IF(INDEX(Listado!M:M,N1109)="No",IF(INDEX(Listado!N:N,N1109)=0,"",INDEX(Listado!N:N,N1109)),IF(INDEX(Listado!I:I,N1109)=0,"",INDEX(Listado!I:I,N1109)))),"")</f>
        <v/>
      </c>
      <c r="P1109" s="17">
        <f t="shared" ca="1" si="52"/>
        <v/>
      </c>
      <c r="Q1109" s="17">
        <f>IFERROR(IF(AND(N1109&lt;&gt;"",ISNUMBER(O1109),O1109&gt;0,O1109&gt;=TODAY()-90),1,0),0)</f>
        <v/>
      </c>
      <c r="R1109" s="17" t="str">
        <f t="shared" si="54"/>
        <v/>
      </c>
      <c r="S1109" s="17" t="str">
        <f>IF(INDEX(Listado!A:A,ROW())="","",INDEX(Listado!A:A,ROW()))</f>
        <v/>
      </c>
      <c r="T1109" s="17" t="str">
        <f ca="1">IF(INDEX(Listado!G:G,ROW())="","",INDEX(Listado!G:G,ROW()))</f>
        <v/>
      </c>
      <c r="U1109" s="17" t="str">
        <f>IF(INDEX(Listado!F:F,ROW())="","",INDEX(Listado!F:F,ROW()))</f>
        <v/>
      </c>
      <c r="V1109" s="17">
        <f>IF(COUNTA(INDEX(Listado!B:B,ROW()):INDEX(Listado!F:F,ROW()))&gt;0,1,0)</f>
        <v/>
      </c>
      <c r="W1109" s="17" t="str">
        <f>IF(INDEX(Listado!L:L,ROW())="","",INDEX(Listado!L:L,ROW()))</f>
        <v/>
      </c>
      <c r="X1109" s="17">
        <f>IF(N1109="","",IF(INDEX(Listado!$M:$M,N1109)="No","No","Sí"))</f>
        <v/>
      </c>
    </row>
    <row r="1110" spans="2:24" ht="14.25">
      <c r="N1110" s="17" t="str">
        <f>IF(V1110=0,"",IFERROR(LOOKUP(2,1/(INDEX(Listado!A:A,2):INDEX(Listado!A:A,ROW())&lt;&gt;""),ROW(INDEX(Listado!A:A,2):INDEX(Listado!A:A,ROW()))),""))</f>
        <v/>
      </c>
      <c r="O1110" s="17" t="str">
        <f>IFERROR(IF(N1110="","",IF(INDEX(Listado!M:M,N1110)="No",IF(INDEX(Listado!N:N,N1110)=0,"",INDEX(Listado!N:N,N1110)),IF(INDEX(Listado!I:I,N1110)=0,"",INDEX(Listado!I:I,N1110)))),"")</f>
        <v/>
      </c>
      <c r="P1110" s="17">
        <f t="shared" ca="1" si="52"/>
        <v/>
      </c>
      <c r="Q1110" s="17">
        <f>IFERROR(IF(AND(N1110&lt;&gt;"",ISNUMBER(O1110),O1110&gt;0,O1110&gt;=TODAY()-90),1,0),0)</f>
        <v/>
      </c>
      <c r="R1110" s="17" t="str">
        <f t="shared" si="54"/>
        <v/>
      </c>
      <c r="S1110" s="17" t="str">
        <f>IF(INDEX(Listado!A:A,ROW())="","",INDEX(Listado!A:A,ROW()))</f>
        <v/>
      </c>
      <c r="T1110" s="17" t="str">
        <f ca="1">IF(INDEX(Listado!G:G,ROW())="","",INDEX(Listado!G:G,ROW()))</f>
        <v/>
      </c>
      <c r="U1110" s="17" t="str">
        <f>IF(INDEX(Listado!F:F,ROW())="","",INDEX(Listado!F:F,ROW()))</f>
        <v/>
      </c>
      <c r="V1110" s="17">
        <f>IF(COUNTA(INDEX(Listado!B:B,ROW()):INDEX(Listado!F:F,ROW()))&gt;0,1,0)</f>
        <v/>
      </c>
      <c r="W1110" s="17" t="str">
        <f>IF(INDEX(Listado!L:L,ROW())="","",INDEX(Listado!L:L,ROW()))</f>
        <v/>
      </c>
      <c r="X1110" s="17">
        <f>IF(N1110="","",IF(INDEX(Listado!$M:$M,N1110)="No","No","Sí"))</f>
        <v/>
      </c>
    </row>
    <row r="1111" spans="2:24" ht="14.25">
      <c r="N1111" s="17" t="str">
        <f>IF(V1111=0,"",IFERROR(LOOKUP(2,1/(INDEX(Listado!A:A,2):INDEX(Listado!A:A,ROW())&lt;&gt;""),ROW(INDEX(Listado!A:A,2):INDEX(Listado!A:A,ROW()))),""))</f>
        <v/>
      </c>
      <c r="O1111" s="17" t="str">
        <f>IFERROR(IF(N1111="","",IF(INDEX(Listado!M:M,N1111)="No",IF(INDEX(Listado!N:N,N1111)=0,"",INDEX(Listado!N:N,N1111)),IF(INDEX(Listado!I:I,N1111)=0,"",INDEX(Listado!I:I,N1111)))),"")</f>
        <v/>
      </c>
      <c r="P1111" s="17">
        <f t="shared" ca="1" si="52"/>
        <v/>
      </c>
      <c r="Q1111" s="17">
        <f>IFERROR(IF(AND(N1111&lt;&gt;"",ISNUMBER(O1111),O1111&gt;0,O1111&gt;=TODAY()-90),1,0),0)</f>
        <v/>
      </c>
      <c r="R1111" s="17" t="str">
        <f t="shared" si="54"/>
        <v/>
      </c>
      <c r="S1111" s="17" t="str">
        <f>IF(INDEX(Listado!A:A,ROW())="","",INDEX(Listado!A:A,ROW()))</f>
        <v/>
      </c>
      <c r="T1111" s="17" t="str">
        <f ca="1">IF(INDEX(Listado!G:G,ROW())="","",INDEX(Listado!G:G,ROW()))</f>
        <v/>
      </c>
      <c r="U1111" s="17" t="str">
        <f>IF(INDEX(Listado!F:F,ROW())="","",INDEX(Listado!F:F,ROW()))</f>
        <v/>
      </c>
      <c r="V1111" s="17">
        <f>IF(COUNTA(INDEX(Listado!B:B,ROW()):INDEX(Listado!F:F,ROW()))&gt;0,1,0)</f>
        <v/>
      </c>
      <c r="W1111" s="17" t="str">
        <f>IF(INDEX(Listado!L:L,ROW())="","",INDEX(Listado!L:L,ROW()))</f>
        <v/>
      </c>
      <c r="X1111" s="17">
        <f>IF(N1111="","",IF(INDEX(Listado!$M:$M,N1111)="No","No","Sí"))</f>
        <v/>
      </c>
    </row>
    <row r="1112" spans="2:24" ht="14.25">
      <c r="N1112" s="17" t="str">
        <f>IF(V1112=0,"",IFERROR(LOOKUP(2,1/(INDEX(Listado!A:A,2):INDEX(Listado!A:A,ROW())&lt;&gt;""),ROW(INDEX(Listado!A:A,2):INDEX(Listado!A:A,ROW()))),""))</f>
        <v/>
      </c>
      <c r="O1112" s="17" t="str">
        <f>IFERROR(IF(N1112="","",IF(INDEX(Listado!M:M,N1112)="No",IF(INDEX(Listado!N:N,N1112)=0,"",INDEX(Listado!N:N,N1112)),IF(INDEX(Listado!I:I,N1112)=0,"",INDEX(Listado!I:I,N1112)))),"")</f>
        <v/>
      </c>
      <c r="P1112" s="17">
        <f t="shared" ca="1" si="52"/>
        <v/>
      </c>
      <c r="Q1112" s="17">
        <f>IFERROR(IF(AND(N1112&lt;&gt;"",ISNUMBER(O1112),O1112&gt;0,O1112&gt;=TODAY()-90),1,0),0)</f>
        <v/>
      </c>
      <c r="R1112" s="17" t="str">
        <f t="shared" si="54"/>
        <v/>
      </c>
      <c r="S1112" s="17" t="str">
        <f>IF(INDEX(Listado!A:A,ROW())="","",INDEX(Listado!A:A,ROW()))</f>
        <v/>
      </c>
      <c r="T1112" s="17" t="str">
        <f ca="1">IF(INDEX(Listado!G:G,ROW())="","",INDEX(Listado!G:G,ROW()))</f>
        <v/>
      </c>
      <c r="U1112" s="17" t="str">
        <f>IF(INDEX(Listado!F:F,ROW())="","",INDEX(Listado!F:F,ROW()))</f>
        <v/>
      </c>
      <c r="V1112" s="17">
        <f>IF(COUNTA(INDEX(Listado!B:B,ROW()):INDEX(Listado!F:F,ROW()))&gt;0,1,0)</f>
        <v/>
      </c>
      <c r="W1112" s="17" t="str">
        <f>IF(INDEX(Listado!L:L,ROW())="","",INDEX(Listado!L:L,ROW()))</f>
        <v/>
      </c>
      <c r="X1112" s="17">
        <f>IF(N1112="","",IF(INDEX(Listado!$M:$M,N1112)="No","No","Sí"))</f>
        <v/>
      </c>
    </row>
    <row r="1113" spans="2:24" ht="14.25">
      <c r="N1113" s="17" t="str">
        <f>IF(V1113=0,"",IFERROR(LOOKUP(2,1/(INDEX(Listado!A:A,2):INDEX(Listado!A:A,ROW())&lt;&gt;""),ROW(INDEX(Listado!A:A,2):INDEX(Listado!A:A,ROW()))),""))</f>
        <v/>
      </c>
      <c r="O1113" s="17" t="str">
        <f>IFERROR(IF(N1113="","",IF(INDEX(Listado!M:M,N1113)="No",IF(INDEX(Listado!N:N,N1113)=0,"",INDEX(Listado!N:N,N1113)),IF(INDEX(Listado!I:I,N1113)=0,"",INDEX(Listado!I:I,N1113)))),"")</f>
        <v/>
      </c>
      <c r="P1113" s="17">
        <f t="shared" ca="1" si="52"/>
        <v/>
      </c>
      <c r="Q1113" s="17">
        <f>IFERROR(IF(AND(N1113&lt;&gt;"",ISNUMBER(O1113),O1113&gt;0,O1113&gt;=TODAY()-90),1,0),0)</f>
        <v/>
      </c>
      <c r="R1113" s="17" t="str">
        <f t="shared" si="54"/>
        <v/>
      </c>
      <c r="S1113" s="17" t="str">
        <f>IF(INDEX(Listado!A:A,ROW())="","",INDEX(Listado!A:A,ROW()))</f>
        <v/>
      </c>
      <c r="T1113" s="17" t="str">
        <f ca="1">IF(INDEX(Listado!G:G,ROW())="","",INDEX(Listado!G:G,ROW()))</f>
        <v/>
      </c>
      <c r="U1113" s="17" t="str">
        <f>IF(INDEX(Listado!F:F,ROW())="","",INDEX(Listado!F:F,ROW()))</f>
        <v/>
      </c>
      <c r="V1113" s="17">
        <f>IF(COUNTA(INDEX(Listado!B:B,ROW()):INDEX(Listado!F:F,ROW()))&gt;0,1,0)</f>
        <v/>
      </c>
      <c r="W1113" s="17" t="str">
        <f>IF(INDEX(Listado!L:L,ROW())="","",INDEX(Listado!L:L,ROW()))</f>
        <v/>
      </c>
      <c r="X1113" s="17">
        <f>IF(N1113="","",IF(INDEX(Listado!$M:$M,N1113)="No","No","Sí"))</f>
        <v/>
      </c>
    </row>
    <row r="1114" spans="2:24" ht="14.25">
      <c r="N1114" s="17" t="str">
        <f>IF(V1114=0,"",IFERROR(LOOKUP(2,1/(INDEX(Listado!A:A,2):INDEX(Listado!A:A,ROW())&lt;&gt;""),ROW(INDEX(Listado!A:A,2):INDEX(Listado!A:A,ROW()))),""))</f>
        <v/>
      </c>
      <c r="O1114" s="17" t="str">
        <f>IFERROR(IF(N1114="","",IF(INDEX(Listado!M:M,N1114)="No",IF(INDEX(Listado!N:N,N1114)=0,"",INDEX(Listado!N:N,N1114)),IF(INDEX(Listado!I:I,N1114)=0,"",INDEX(Listado!I:I,N1114)))),"")</f>
        <v/>
      </c>
      <c r="P1114" s="17">
        <f t="shared" ca="1" si="52"/>
        <v/>
      </c>
      <c r="Q1114" s="17">
        <f>IFERROR(IF(AND(N1114&lt;&gt;"",ISNUMBER(O1114),O1114&gt;0,O1114&gt;=TODAY()-90),1,0),0)</f>
        <v/>
      </c>
      <c r="R1114" s="17" t="str">
        <f t="shared" si="54"/>
        <v/>
      </c>
      <c r="S1114" s="17" t="str">
        <f>IF(INDEX(Listado!A:A,ROW())="","",INDEX(Listado!A:A,ROW()))</f>
        <v/>
      </c>
      <c r="T1114" s="17" t="str">
        <f ca="1">IF(INDEX(Listado!G:G,ROW())="","",INDEX(Listado!G:G,ROW()))</f>
        <v/>
      </c>
      <c r="U1114" s="17" t="str">
        <f>IF(INDEX(Listado!F:F,ROW())="","",INDEX(Listado!F:F,ROW()))</f>
        <v/>
      </c>
      <c r="V1114" s="17">
        <f>IF(COUNTA(INDEX(Listado!B:B,ROW()):INDEX(Listado!F:F,ROW()))&gt;0,1,0)</f>
        <v/>
      </c>
      <c r="W1114" s="17" t="str">
        <f>IF(INDEX(Listado!L:L,ROW())="","",INDEX(Listado!L:L,ROW()))</f>
        <v/>
      </c>
      <c r="X1114" s="17">
        <f>IF(N1114="","",IF(INDEX(Listado!$M:$M,N1114)="No","No","Sí"))</f>
        <v/>
      </c>
    </row>
    <row r="1115" spans="2:24" ht="14.25">
      <c r="N1115" s="17" t="str">
        <f>IF(V1115=0,"",IFERROR(LOOKUP(2,1/(INDEX(Listado!A:A,2):INDEX(Listado!A:A,ROW())&lt;&gt;""),ROW(INDEX(Listado!A:A,2):INDEX(Listado!A:A,ROW()))),""))</f>
        <v/>
      </c>
      <c r="O1115" s="17" t="str">
        <f>IFERROR(IF(N1115="","",IF(INDEX(Listado!M:M,N1115)="No",IF(INDEX(Listado!N:N,N1115)=0,"",INDEX(Listado!N:N,N1115)),IF(INDEX(Listado!I:I,N1115)=0,"",INDEX(Listado!I:I,N1115)))),"")</f>
        <v/>
      </c>
      <c r="P1115" s="17">
        <f t="shared" ca="1" si="52"/>
        <v/>
      </c>
      <c r="Q1115" s="17">
        <f>IFERROR(IF(AND(N1115&lt;&gt;"",ISNUMBER(O1115),O1115&gt;0,O1115&gt;=TODAY()-90),1,0),0)</f>
        <v/>
      </c>
      <c r="R1115" s="17" t="str">
        <f t="shared" si="54"/>
        <v/>
      </c>
      <c r="S1115" s="17" t="str">
        <f>IF(INDEX(Listado!A:A,ROW())="","",INDEX(Listado!A:A,ROW()))</f>
        <v/>
      </c>
      <c r="T1115" s="17" t="str">
        <f ca="1">IF(INDEX(Listado!G:G,ROW())="","",INDEX(Listado!G:G,ROW()))</f>
        <v/>
      </c>
      <c r="U1115" s="17" t="str">
        <f>IF(INDEX(Listado!F:F,ROW())="","",INDEX(Listado!F:F,ROW()))</f>
        <v/>
      </c>
      <c r="V1115" s="17">
        <f>IF(COUNTA(INDEX(Listado!B:B,ROW()):INDEX(Listado!F:F,ROW()))&gt;0,1,0)</f>
        <v/>
      </c>
      <c r="W1115" s="17" t="str">
        <f>IF(INDEX(Listado!L:L,ROW())="","",INDEX(Listado!L:L,ROW()))</f>
        <v/>
      </c>
      <c r="X1115" s="17">
        <f>IF(N1115="","",IF(INDEX(Listado!$M:$M,N1115)="No","No","Sí"))</f>
        <v/>
      </c>
    </row>
    <row r="1116" spans="2:24" ht="14.25">
      <c r="N1116" s="17" t="str">
        <f>IF(V1116=0,"",IFERROR(LOOKUP(2,1/(INDEX(Listado!A:A,2):INDEX(Listado!A:A,ROW())&lt;&gt;""),ROW(INDEX(Listado!A:A,2):INDEX(Listado!A:A,ROW()))),""))</f>
        <v/>
      </c>
      <c r="O1116" s="17" t="str">
        <f>IFERROR(IF(N1116="","",IF(INDEX(Listado!M:M,N1116)="No",IF(INDEX(Listado!N:N,N1116)=0,"",INDEX(Listado!N:N,N1116)),IF(INDEX(Listado!I:I,N1116)=0,"",INDEX(Listado!I:I,N1116)))),"")</f>
        <v/>
      </c>
      <c r="P1116" s="17">
        <f t="shared" ca="1" si="52"/>
        <v/>
      </c>
      <c r="Q1116" s="17">
        <f>IFERROR(IF(AND(N1116&lt;&gt;"",ISNUMBER(O1116),O1116&gt;0,O1116&gt;=TODAY()-90),1,0),0)</f>
        <v/>
      </c>
      <c r="R1116" s="17" t="str">
        <f t="shared" si="54"/>
        <v/>
      </c>
      <c r="S1116" s="17" t="str">
        <f>IF(INDEX(Listado!A:A,ROW())="","",INDEX(Listado!A:A,ROW()))</f>
        <v/>
      </c>
      <c r="T1116" s="17" t="str">
        <f ca="1">IF(INDEX(Listado!G:G,ROW())="","",INDEX(Listado!G:G,ROW()))</f>
        <v/>
      </c>
      <c r="U1116" s="17" t="str">
        <f>IF(INDEX(Listado!F:F,ROW())="","",INDEX(Listado!F:F,ROW()))</f>
        <v/>
      </c>
      <c r="V1116" s="17">
        <f>IF(COUNTA(INDEX(Listado!B:B,ROW()):INDEX(Listado!F:F,ROW()))&gt;0,1,0)</f>
        <v/>
      </c>
      <c r="W1116" s="17" t="str">
        <f>IF(INDEX(Listado!L:L,ROW())="","",INDEX(Listado!L:L,ROW()))</f>
        <v/>
      </c>
      <c r="X1116" s="17">
        <f>IF(N1116="","",IF(INDEX(Listado!$M:$M,N1116)="No","No","Sí"))</f>
        <v/>
      </c>
    </row>
    <row r="1117" spans="2:24" ht="14.25">
      <c r="N1117" s="17" t="str">
        <f>IF(V1117=0,"",IFERROR(LOOKUP(2,1/(INDEX(Listado!A:A,2):INDEX(Listado!A:A,ROW())&lt;&gt;""),ROW(INDEX(Listado!A:A,2):INDEX(Listado!A:A,ROW()))),""))</f>
        <v/>
      </c>
      <c r="O1117" s="17" t="str">
        <f>IFERROR(IF(N1117="","",IF(INDEX(Listado!M:M,N1117)="No",IF(INDEX(Listado!N:N,N1117)=0,"",INDEX(Listado!N:N,N1117)),IF(INDEX(Listado!I:I,N1117)=0,"",INDEX(Listado!I:I,N1117)))),"")</f>
        <v/>
      </c>
      <c r="P1117" s="17">
        <f t="shared" ca="1" si="52"/>
        <v/>
      </c>
      <c r="Q1117" s="17">
        <f>IFERROR(IF(AND(N1117&lt;&gt;"",ISNUMBER(O1117),O1117&gt;0,O1117&gt;=TODAY()-90),1,0),0)</f>
        <v/>
      </c>
      <c r="R1117" s="17" t="str">
        <f t="shared" si="54"/>
        <v/>
      </c>
      <c r="S1117" s="17" t="str">
        <f>IF(INDEX(Listado!A:A,ROW())="","",INDEX(Listado!A:A,ROW()))</f>
        <v/>
      </c>
      <c r="T1117" s="17" t="str">
        <f ca="1">IF(INDEX(Listado!G:G,ROW())="","",INDEX(Listado!G:G,ROW()))</f>
        <v/>
      </c>
      <c r="U1117" s="17" t="str">
        <f>IF(INDEX(Listado!F:F,ROW())="","",INDEX(Listado!F:F,ROW()))</f>
        <v/>
      </c>
      <c r="V1117" s="17">
        <f>IF(COUNTA(INDEX(Listado!B:B,ROW()):INDEX(Listado!F:F,ROW()))&gt;0,1,0)</f>
        <v/>
      </c>
      <c r="W1117" s="17" t="str">
        <f>IF(INDEX(Listado!L:L,ROW())="","",INDEX(Listado!L:L,ROW()))</f>
        <v/>
      </c>
      <c r="X1117" s="17">
        <f>IF(N1117="","",IF(INDEX(Listado!$M:$M,N1117)="No","No","Sí"))</f>
        <v/>
      </c>
    </row>
    <row r="1118" spans="2:24" ht="14.25">
      <c r="N1118" s="17" t="str">
        <f>IF(V1118=0,"",IFERROR(LOOKUP(2,1/(INDEX(Listado!A:A,2):INDEX(Listado!A:A,ROW())&lt;&gt;""),ROW(INDEX(Listado!A:A,2):INDEX(Listado!A:A,ROW()))),""))</f>
        <v/>
      </c>
      <c r="O1118" s="17" t="str">
        <f>IFERROR(IF(N1118="","",IF(INDEX(Listado!M:M,N1118)="No",IF(INDEX(Listado!N:N,N1118)=0,"",INDEX(Listado!N:N,N1118)),IF(INDEX(Listado!I:I,N1118)=0,"",INDEX(Listado!I:I,N1118)))),"")</f>
        <v/>
      </c>
      <c r="P1118" s="17">
        <f t="shared" ca="1" si="52"/>
        <v/>
      </c>
      <c r="Q1118" s="17">
        <f>IFERROR(IF(AND(N1118&lt;&gt;"",ISNUMBER(O1118),O1118&gt;0,O1118&gt;=TODAY()-90),1,0),0)</f>
        <v/>
      </c>
      <c r="R1118" s="17" t="str">
        <f t="shared" si="54"/>
        <v/>
      </c>
      <c r="S1118" s="17" t="str">
        <f>IF(INDEX(Listado!A:A,ROW())="","",INDEX(Listado!A:A,ROW()))</f>
        <v/>
      </c>
      <c r="T1118" s="17" t="str">
        <f ca="1">IF(INDEX(Listado!G:G,ROW())="","",INDEX(Listado!G:G,ROW()))</f>
        <v/>
      </c>
      <c r="U1118" s="17" t="str">
        <f>IF(INDEX(Listado!F:F,ROW())="","",INDEX(Listado!F:F,ROW()))</f>
        <v/>
      </c>
      <c r="V1118" s="17">
        <f>IF(COUNTA(INDEX(Listado!B:B,ROW()):INDEX(Listado!F:F,ROW()))&gt;0,1,0)</f>
        <v/>
      </c>
      <c r="W1118" s="17" t="str">
        <f>IF(INDEX(Listado!L:L,ROW())="","",INDEX(Listado!L:L,ROW()))</f>
        <v/>
      </c>
      <c r="X1118" s="17">
        <f>IF(N1118="","",IF(INDEX(Listado!$M:$M,N1118)="No","No","Sí"))</f>
        <v/>
      </c>
    </row>
    <row r="1119" spans="2:24" ht="14.25">
      <c r="N1119" s="17" t="str">
        <f>IF(V1119=0,"",IFERROR(LOOKUP(2,1/(INDEX(Listado!A:A,2):INDEX(Listado!A:A,ROW())&lt;&gt;""),ROW(INDEX(Listado!A:A,2):INDEX(Listado!A:A,ROW()))),""))</f>
        <v/>
      </c>
      <c r="O1119" s="17" t="str">
        <f>IFERROR(IF(N1119="","",IF(INDEX(Listado!M:M,N1119)="No",IF(INDEX(Listado!N:N,N1119)=0,"",INDEX(Listado!N:N,N1119)),IF(INDEX(Listado!I:I,N1119)=0,"",INDEX(Listado!I:I,N1119)))),"")</f>
        <v/>
      </c>
      <c r="P1119" s="17">
        <f t="shared" ca="1" si="52"/>
        <v/>
      </c>
      <c r="Q1119" s="17">
        <f>IFERROR(IF(AND(N1119&lt;&gt;"",ISNUMBER(O1119),O1119&gt;0,O1119&gt;=TODAY()-90),1,0),0)</f>
        <v/>
      </c>
      <c r="R1119" s="17" t="str">
        <f t="shared" si="54"/>
        <v/>
      </c>
      <c r="S1119" s="17" t="str">
        <f>IF(INDEX(Listado!A:A,ROW())="","",INDEX(Listado!A:A,ROW()))</f>
        <v/>
      </c>
      <c r="T1119" s="17" t="str">
        <f ca="1">IF(INDEX(Listado!G:G,ROW())="","",INDEX(Listado!G:G,ROW()))</f>
        <v/>
      </c>
      <c r="U1119" s="17" t="str">
        <f>IF(INDEX(Listado!F:F,ROW())="","",INDEX(Listado!F:F,ROW()))</f>
        <v/>
      </c>
      <c r="V1119" s="17">
        <f>IF(COUNTA(INDEX(Listado!B:B,ROW()):INDEX(Listado!F:F,ROW()))&gt;0,1,0)</f>
        <v/>
      </c>
      <c r="W1119" s="17" t="str">
        <f>IF(INDEX(Listado!L:L,ROW())="","",INDEX(Listado!L:L,ROW()))</f>
        <v/>
      </c>
      <c r="X1119" s="17">
        <f>IF(N1119="","",IF(INDEX(Listado!$M:$M,N1119)="No","No","Sí"))</f>
        <v/>
      </c>
    </row>
    <row r="1120" spans="2:24" ht="14.25">
      <c r="N1120" s="17" t="str">
        <f>IF(V1120=0,"",IFERROR(LOOKUP(2,1/(INDEX(Listado!A:A,2):INDEX(Listado!A:A,ROW())&lt;&gt;""),ROW(INDEX(Listado!A:A,2):INDEX(Listado!A:A,ROW()))),""))</f>
        <v/>
      </c>
      <c r="O1120" s="17" t="str">
        <f>IFERROR(IF(N1120="","",IF(INDEX(Listado!M:M,N1120)="No",IF(INDEX(Listado!N:N,N1120)=0,"",INDEX(Listado!N:N,N1120)),IF(INDEX(Listado!I:I,N1120)=0,"",INDEX(Listado!I:I,N1120)))),"")</f>
        <v/>
      </c>
      <c r="P1120" s="17">
        <f t="shared" ca="1" si="52"/>
        <v/>
      </c>
      <c r="Q1120" s="17">
        <f>IFERROR(IF(AND(N1120&lt;&gt;"",ISNUMBER(O1120),O1120&gt;0,O1120&gt;=TODAY()-90),1,0),0)</f>
        <v/>
      </c>
      <c r="R1120" s="17" t="str">
        <f t="shared" si="54"/>
        <v/>
      </c>
      <c r="S1120" s="17" t="str">
        <f>IF(INDEX(Listado!A:A,ROW())="","",INDEX(Listado!A:A,ROW()))</f>
        <v/>
      </c>
      <c r="T1120" s="17" t="str">
        <f ca="1">IF(INDEX(Listado!G:G,ROW())="","",INDEX(Listado!G:G,ROW()))</f>
        <v/>
      </c>
      <c r="U1120" s="17" t="str">
        <f>IF(INDEX(Listado!F:F,ROW())="","",INDEX(Listado!F:F,ROW()))</f>
        <v/>
      </c>
      <c r="V1120" s="17">
        <f>IF(COUNTA(INDEX(Listado!B:B,ROW()):INDEX(Listado!F:F,ROW()))&gt;0,1,0)</f>
        <v/>
      </c>
      <c r="W1120" s="17" t="str">
        <f>IF(INDEX(Listado!L:L,ROW())="","",INDEX(Listado!L:L,ROW()))</f>
        <v/>
      </c>
      <c r="X1120" s="17">
        <f>IF(N1120="","",IF(INDEX(Listado!$M:$M,N1120)="No","No","Sí"))</f>
        <v/>
      </c>
    </row>
    <row r="1121" spans="2:24" ht="14.25">
      <c r="N1121" s="17" t="str">
        <f>IF(V1121=0,"",IFERROR(LOOKUP(2,1/(INDEX(Listado!A:A,2):INDEX(Listado!A:A,ROW())&lt;&gt;""),ROW(INDEX(Listado!A:A,2):INDEX(Listado!A:A,ROW()))),""))</f>
        <v/>
      </c>
      <c r="O1121" s="17" t="str">
        <f>IFERROR(IF(N1121="","",IF(INDEX(Listado!M:M,N1121)="No",IF(INDEX(Listado!N:N,N1121)=0,"",INDEX(Listado!N:N,N1121)),IF(INDEX(Listado!I:I,N1121)=0,"",INDEX(Listado!I:I,N1121)))),"")</f>
        <v/>
      </c>
      <c r="P1121" s="17">
        <f t="shared" ca="1" si="52"/>
        <v/>
      </c>
      <c r="Q1121" s="17">
        <f>IFERROR(IF(AND(N1121&lt;&gt;"",ISNUMBER(O1121),O1121&gt;0,O1121&gt;=TODAY()-90),1,0),0)</f>
        <v/>
      </c>
      <c r="R1121" s="17" t="str">
        <f t="shared" si="54"/>
        <v/>
      </c>
      <c r="S1121" s="17" t="str">
        <f>IF(INDEX(Listado!A:A,ROW())="","",INDEX(Listado!A:A,ROW()))</f>
        <v/>
      </c>
      <c r="T1121" s="17" t="str">
        <f ca="1">IF(INDEX(Listado!G:G,ROW())="","",INDEX(Listado!G:G,ROW()))</f>
        <v/>
      </c>
      <c r="U1121" s="17" t="str">
        <f>IF(INDEX(Listado!F:F,ROW())="","",INDEX(Listado!F:F,ROW()))</f>
        <v/>
      </c>
      <c r="V1121" s="17">
        <f>IF(COUNTA(INDEX(Listado!B:B,ROW()):INDEX(Listado!F:F,ROW()))&gt;0,1,0)</f>
        <v/>
      </c>
      <c r="W1121" s="17" t="str">
        <f>IF(INDEX(Listado!L:L,ROW())="","",INDEX(Listado!L:L,ROW()))</f>
        <v/>
      </c>
      <c r="X1121" s="17">
        <f>IF(N1121="","",IF(INDEX(Listado!$M:$M,N1121)="No","No","Sí"))</f>
        <v/>
      </c>
    </row>
    <row r="1122" spans="2:24" ht="14.25">
      <c r="N1122" s="17" t="str">
        <f>IF(V1122=0,"",IFERROR(LOOKUP(2,1/(INDEX(Listado!A:A,2):INDEX(Listado!A:A,ROW())&lt;&gt;""),ROW(INDEX(Listado!A:A,2):INDEX(Listado!A:A,ROW()))),""))</f>
        <v/>
      </c>
      <c r="O1122" s="17" t="str">
        <f>IFERROR(IF(N1122="","",IF(INDEX(Listado!M:M,N1122)="No",IF(INDEX(Listado!N:N,N1122)=0,"",INDEX(Listado!N:N,N1122)),IF(INDEX(Listado!I:I,N1122)=0,"",INDEX(Listado!I:I,N1122)))),"")</f>
        <v/>
      </c>
      <c r="P1122" s="17">
        <f t="shared" ca="1" si="52"/>
        <v/>
      </c>
      <c r="Q1122" s="17">
        <f>IFERROR(IF(AND(N1122&lt;&gt;"",ISNUMBER(O1122),O1122&gt;0,O1122&gt;=TODAY()-90),1,0),0)</f>
        <v/>
      </c>
      <c r="R1122" s="17" t="str">
        <f t="shared" si="54"/>
        <v/>
      </c>
      <c r="S1122" s="17" t="str">
        <f>IF(INDEX(Listado!A:A,ROW())="","",INDEX(Listado!A:A,ROW()))</f>
        <v/>
      </c>
      <c r="T1122" s="17" t="str">
        <f ca="1">IF(INDEX(Listado!G:G,ROW())="","",INDEX(Listado!G:G,ROW()))</f>
        <v/>
      </c>
      <c r="U1122" s="17" t="str">
        <f>IF(INDEX(Listado!F:F,ROW())="","",INDEX(Listado!F:F,ROW()))</f>
        <v/>
      </c>
      <c r="V1122" s="17">
        <f>IF(COUNTA(INDEX(Listado!B:B,ROW()):INDEX(Listado!F:F,ROW()))&gt;0,1,0)</f>
        <v/>
      </c>
      <c r="W1122" s="17" t="str">
        <f>IF(INDEX(Listado!L:L,ROW())="","",INDEX(Listado!L:L,ROW()))</f>
        <v/>
      </c>
      <c r="X1122" s="17">
        <f>IF(N1122="","",IF(INDEX(Listado!$M:$M,N1122)="No","No","Sí"))</f>
        <v/>
      </c>
    </row>
    <row r="1123" spans="2:24" ht="14.25">
      <c r="N1123" s="17" t="str">
        <f>IF(V1123=0,"",IFERROR(LOOKUP(2,1/(INDEX(Listado!A:A,2):INDEX(Listado!A:A,ROW())&lt;&gt;""),ROW(INDEX(Listado!A:A,2):INDEX(Listado!A:A,ROW()))),""))</f>
        <v/>
      </c>
      <c r="O1123" s="17" t="str">
        <f>IFERROR(IF(N1123="","",IF(INDEX(Listado!M:M,N1123)="No",IF(INDEX(Listado!N:N,N1123)=0,"",INDEX(Listado!N:N,N1123)),IF(INDEX(Listado!I:I,N1123)=0,"",INDEX(Listado!I:I,N1123)))),"")</f>
        <v/>
      </c>
      <c r="P1123" s="17">
        <f t="shared" ca="1" si="52"/>
        <v/>
      </c>
      <c r="Q1123" s="17">
        <f>IFERROR(IF(AND(N1123&lt;&gt;"",ISNUMBER(O1123),O1123&gt;0,O1123&gt;=TODAY()-90),1,0),0)</f>
        <v/>
      </c>
      <c r="R1123" s="17" t="str">
        <f t="shared" si="54"/>
        <v/>
      </c>
      <c r="S1123" s="17" t="str">
        <f>IF(INDEX(Listado!A:A,ROW())="","",INDEX(Listado!A:A,ROW()))</f>
        <v/>
      </c>
      <c r="T1123" s="17" t="str">
        <f ca="1">IF(INDEX(Listado!G:G,ROW())="","",INDEX(Listado!G:G,ROW()))</f>
        <v/>
      </c>
      <c r="U1123" s="17" t="str">
        <f>IF(INDEX(Listado!F:F,ROW())="","",INDEX(Listado!F:F,ROW()))</f>
        <v/>
      </c>
      <c r="V1123" s="17">
        <f>IF(COUNTA(INDEX(Listado!B:B,ROW()):INDEX(Listado!F:F,ROW()))&gt;0,1,0)</f>
        <v/>
      </c>
      <c r="W1123" s="17" t="str">
        <f>IF(INDEX(Listado!L:L,ROW())="","",INDEX(Listado!L:L,ROW()))</f>
        <v/>
      </c>
      <c r="X1123" s="17">
        <f>IF(N1123="","",IF(INDEX(Listado!$M:$M,N1123)="No","No","Sí"))</f>
        <v/>
      </c>
    </row>
    <row r="1124" spans="2:24" ht="14.25">
      <c r="N1124" s="17" t="str">
        <f>IF(V1124=0,"",IFERROR(LOOKUP(2,1/(INDEX(Listado!A:A,2):INDEX(Listado!A:A,ROW())&lt;&gt;""),ROW(INDEX(Listado!A:A,2):INDEX(Listado!A:A,ROW()))),""))</f>
        <v/>
      </c>
      <c r="O1124" s="17" t="str">
        <f>IFERROR(IF(N1124="","",IF(INDEX(Listado!M:M,N1124)="No",IF(INDEX(Listado!N:N,N1124)=0,"",INDEX(Listado!N:N,N1124)),IF(INDEX(Listado!I:I,N1124)=0,"",INDEX(Listado!I:I,N1124)))),"")</f>
        <v/>
      </c>
      <c r="P1124" s="17">
        <f t="shared" ca="1" si="52"/>
        <v/>
      </c>
      <c r="Q1124" s="17">
        <f>IFERROR(IF(AND(N1124&lt;&gt;"",ISNUMBER(O1124),O1124&gt;0,O1124&gt;=TODAY()-90),1,0),0)</f>
        <v/>
      </c>
      <c r="R1124" s="17" t="str">
        <f t="shared" si="54"/>
        <v/>
      </c>
      <c r="S1124" s="17" t="str">
        <f>IF(INDEX(Listado!A:A,ROW())="","",INDEX(Listado!A:A,ROW()))</f>
        <v/>
      </c>
      <c r="T1124" s="17" t="str">
        <f ca="1">IF(INDEX(Listado!G:G,ROW())="","",INDEX(Listado!G:G,ROW()))</f>
        <v/>
      </c>
      <c r="U1124" s="17" t="str">
        <f>IF(INDEX(Listado!F:F,ROW())="","",INDEX(Listado!F:F,ROW()))</f>
        <v/>
      </c>
      <c r="V1124" s="17">
        <f>IF(COUNTA(INDEX(Listado!B:B,ROW()):INDEX(Listado!F:F,ROW()))&gt;0,1,0)</f>
        <v/>
      </c>
      <c r="W1124" s="17" t="str">
        <f>IF(INDEX(Listado!L:L,ROW())="","",INDEX(Listado!L:L,ROW()))</f>
        <v/>
      </c>
      <c r="X1124" s="17">
        <f>IF(N1124="","",IF(INDEX(Listado!$M:$M,N1124)="No","No","Sí"))</f>
        <v/>
      </c>
    </row>
    <row r="1125" spans="2:24" ht="14.25">
      <c r="N1125" s="17" t="str">
        <f>IF(V1125=0,"",IFERROR(LOOKUP(2,1/(INDEX(Listado!A:A,2):INDEX(Listado!A:A,ROW())&lt;&gt;""),ROW(INDEX(Listado!A:A,2):INDEX(Listado!A:A,ROW()))),""))</f>
        <v/>
      </c>
      <c r="O1125" s="17" t="str">
        <f>IFERROR(IF(N1125="","",IF(INDEX(Listado!M:M,N1125)="No",IF(INDEX(Listado!N:N,N1125)=0,"",INDEX(Listado!N:N,N1125)),IF(INDEX(Listado!I:I,N1125)=0,"",INDEX(Listado!I:I,N1125)))),"")</f>
        <v/>
      </c>
      <c r="P1125" s="17">
        <f t="shared" ca="1" si="52"/>
        <v/>
      </c>
      <c r="Q1125" s="17">
        <f>IFERROR(IF(AND(N1125&lt;&gt;"",ISNUMBER(O1125),O1125&gt;0,O1125&gt;=TODAY()-90),1,0),0)</f>
        <v/>
      </c>
      <c r="R1125" s="17" t="str">
        <f t="shared" si="54"/>
        <v/>
      </c>
      <c r="S1125" s="17" t="str">
        <f>IF(INDEX(Listado!A:A,ROW())="","",INDEX(Listado!A:A,ROW()))</f>
        <v/>
      </c>
      <c r="T1125" s="17" t="str">
        <f ca="1">IF(INDEX(Listado!G:G,ROW())="","",INDEX(Listado!G:G,ROW()))</f>
        <v/>
      </c>
      <c r="U1125" s="17" t="str">
        <f>IF(INDEX(Listado!F:F,ROW())="","",INDEX(Listado!F:F,ROW()))</f>
        <v/>
      </c>
      <c r="V1125" s="17">
        <f>IF(COUNTA(INDEX(Listado!B:B,ROW()):INDEX(Listado!F:F,ROW()))&gt;0,1,0)</f>
        <v/>
      </c>
      <c r="W1125" s="17" t="str">
        <f>IF(INDEX(Listado!L:L,ROW())="","",INDEX(Listado!L:L,ROW()))</f>
        <v/>
      </c>
      <c r="X1125" s="17">
        <f>IF(N1125="","",IF(INDEX(Listado!$M:$M,N1125)="No","No","Sí"))</f>
        <v/>
      </c>
    </row>
    <row r="1126" spans="2:24" ht="14.25">
      <c r="N1126" s="17" t="str">
        <f>IF(V1126=0,"",IFERROR(LOOKUP(2,1/(INDEX(Listado!A:A,2):INDEX(Listado!A:A,ROW())&lt;&gt;""),ROW(INDEX(Listado!A:A,2):INDEX(Listado!A:A,ROW()))),""))</f>
        <v/>
      </c>
      <c r="O1126" s="17" t="str">
        <f>IFERROR(IF(N1126="","",IF(INDEX(Listado!M:M,N1126)="No",IF(INDEX(Listado!N:N,N1126)=0,"",INDEX(Listado!N:N,N1126)),IF(INDEX(Listado!I:I,N1126)=0,"",INDEX(Listado!I:I,N1126)))),"")</f>
        <v/>
      </c>
      <c r="P1126" s="17">
        <f t="shared" ca="1" si="52"/>
        <v/>
      </c>
      <c r="Q1126" s="17">
        <f>IFERROR(IF(AND(N1126&lt;&gt;"",ISNUMBER(O1126),O1126&gt;0,O1126&gt;=TODAY()-90),1,0),0)</f>
        <v/>
      </c>
      <c r="R1126" s="17" t="str">
        <f t="shared" si="54"/>
        <v/>
      </c>
      <c r="S1126" s="17" t="str">
        <f>IF(INDEX(Listado!A:A,ROW())="","",INDEX(Listado!A:A,ROW()))</f>
        <v/>
      </c>
      <c r="T1126" s="17" t="str">
        <f ca="1">IF(INDEX(Listado!G:G,ROW())="","",INDEX(Listado!G:G,ROW()))</f>
        <v/>
      </c>
      <c r="U1126" s="17" t="str">
        <f>IF(INDEX(Listado!F:F,ROW())="","",INDEX(Listado!F:F,ROW()))</f>
        <v/>
      </c>
      <c r="V1126" s="17">
        <f>IF(COUNTA(INDEX(Listado!B:B,ROW()):INDEX(Listado!F:F,ROW()))&gt;0,1,0)</f>
        <v/>
      </c>
      <c r="W1126" s="17" t="str">
        <f>IF(INDEX(Listado!L:L,ROW())="","",INDEX(Listado!L:L,ROW()))</f>
        <v/>
      </c>
      <c r="X1126" s="17">
        <f>IF(N1126="","",IF(INDEX(Listado!$M:$M,N1126)="No","No","Sí"))</f>
        <v/>
      </c>
    </row>
    <row r="1127" spans="2:24" ht="14.25">
      <c r="N1127" s="17" t="str">
        <f>IF(V1127=0,"",IFERROR(LOOKUP(2,1/(INDEX(Listado!A:A,2):INDEX(Listado!A:A,ROW())&lt;&gt;""),ROW(INDEX(Listado!A:A,2):INDEX(Listado!A:A,ROW()))),""))</f>
        <v/>
      </c>
      <c r="O1127" s="17" t="str">
        <f>IFERROR(IF(N1127="","",IF(INDEX(Listado!M:M,N1127)="No",IF(INDEX(Listado!N:N,N1127)=0,"",INDEX(Listado!N:N,N1127)),IF(INDEX(Listado!I:I,N1127)=0,"",INDEX(Listado!I:I,N1127)))),"")</f>
        <v/>
      </c>
      <c r="P1127" s="17">
        <f t="shared" ca="1" si="52"/>
        <v/>
      </c>
      <c r="Q1127" s="17">
        <f>IFERROR(IF(AND(N1127&lt;&gt;"",ISNUMBER(O1127),O1127&gt;0,O1127&gt;=TODAY()-90),1,0),0)</f>
        <v/>
      </c>
      <c r="R1127" s="17" t="str">
        <f t="shared" si="54"/>
        <v/>
      </c>
      <c r="S1127" s="17" t="str">
        <f>IF(INDEX(Listado!A:A,ROW())="","",INDEX(Listado!A:A,ROW()))</f>
        <v/>
      </c>
      <c r="T1127" s="17" t="str">
        <f ca="1">IF(INDEX(Listado!G:G,ROW())="","",INDEX(Listado!G:G,ROW()))</f>
        <v/>
      </c>
      <c r="U1127" s="17" t="str">
        <f>IF(INDEX(Listado!F:F,ROW())="","",INDEX(Listado!F:F,ROW()))</f>
        <v/>
      </c>
      <c r="V1127" s="17">
        <f>IF(COUNTA(INDEX(Listado!B:B,ROW()):INDEX(Listado!F:F,ROW()))&gt;0,1,0)</f>
        <v/>
      </c>
      <c r="W1127" s="17" t="str">
        <f>IF(INDEX(Listado!L:L,ROW())="","",INDEX(Listado!L:L,ROW()))</f>
        <v/>
      </c>
      <c r="X1127" s="17">
        <f>IF(N1127="","",IF(INDEX(Listado!$M:$M,N1127)="No","No","Sí"))</f>
        <v/>
      </c>
    </row>
    <row r="1128" spans="2:24" ht="14.25">
      <c r="N1128" s="17" t="str">
        <f>IF(V1128=0,"",IFERROR(LOOKUP(2,1/(INDEX(Listado!A:A,2):INDEX(Listado!A:A,ROW())&lt;&gt;""),ROW(INDEX(Listado!A:A,2):INDEX(Listado!A:A,ROW()))),""))</f>
        <v/>
      </c>
      <c r="O1128" s="17" t="str">
        <f>IFERROR(IF(N1128="","",IF(INDEX(Listado!M:M,N1128)="No",IF(INDEX(Listado!N:N,N1128)=0,"",INDEX(Listado!N:N,N1128)),IF(INDEX(Listado!I:I,N1128)=0,"",INDEX(Listado!I:I,N1128)))),"")</f>
        <v/>
      </c>
      <c r="P1128" s="17">
        <f t="shared" ca="1" si="52"/>
        <v/>
      </c>
      <c r="Q1128" s="17">
        <f>IFERROR(IF(AND(N1128&lt;&gt;"",ISNUMBER(O1128),O1128&gt;0,O1128&gt;=TODAY()-90),1,0),0)</f>
        <v/>
      </c>
      <c r="R1128" s="17" t="str">
        <f t="shared" si="54"/>
        <v/>
      </c>
      <c r="S1128" s="17" t="str">
        <f>IF(INDEX(Listado!A:A,ROW())="","",INDEX(Listado!A:A,ROW()))</f>
        <v/>
      </c>
      <c r="T1128" s="17" t="str">
        <f ca="1">IF(INDEX(Listado!G:G,ROW())="","",INDEX(Listado!G:G,ROW()))</f>
        <v/>
      </c>
      <c r="U1128" s="17" t="str">
        <f>IF(INDEX(Listado!F:F,ROW())="","",INDEX(Listado!F:F,ROW()))</f>
        <v/>
      </c>
      <c r="V1128" s="17">
        <f>IF(COUNTA(INDEX(Listado!B:B,ROW()):INDEX(Listado!F:F,ROW()))&gt;0,1,0)</f>
        <v/>
      </c>
      <c r="W1128" s="17" t="str">
        <f>IF(INDEX(Listado!L:L,ROW())="","",INDEX(Listado!L:L,ROW()))</f>
        <v/>
      </c>
      <c r="X1128" s="17">
        <f>IF(N1128="","",IF(INDEX(Listado!$M:$M,N1128)="No","No","Sí"))</f>
        <v/>
      </c>
    </row>
    <row r="1129" spans="2:24" ht="14.25">
      <c r="N1129" s="17" t="str">
        <f>IF(V1129=0,"",IFERROR(LOOKUP(2,1/(INDEX(Listado!A:A,2):INDEX(Listado!A:A,ROW())&lt;&gt;""),ROW(INDEX(Listado!A:A,2):INDEX(Listado!A:A,ROW()))),""))</f>
        <v/>
      </c>
      <c r="O1129" s="17" t="str">
        <f>IFERROR(IF(N1129="","",IF(INDEX(Listado!M:M,N1129)="No",IF(INDEX(Listado!N:N,N1129)=0,"",INDEX(Listado!N:N,N1129)),IF(INDEX(Listado!I:I,N1129)=0,"",INDEX(Listado!I:I,N1129)))),"")</f>
        <v/>
      </c>
      <c r="P1129" s="17">
        <f t="shared" ca="1" si="52"/>
        <v/>
      </c>
      <c r="Q1129" s="17">
        <f>IFERROR(IF(AND(N1129&lt;&gt;"",ISNUMBER(O1129),O1129&gt;0,O1129&gt;=TODAY()-90),1,0),0)</f>
        <v/>
      </c>
      <c r="R1129" s="17" t="str">
        <f t="shared" si="54"/>
        <v/>
      </c>
      <c r="S1129" s="17" t="str">
        <f>IF(INDEX(Listado!A:A,ROW())="","",INDEX(Listado!A:A,ROW()))</f>
        <v/>
      </c>
      <c r="T1129" s="17" t="str">
        <f ca="1">IF(INDEX(Listado!G:G,ROW())="","",INDEX(Listado!G:G,ROW()))</f>
        <v/>
      </c>
      <c r="U1129" s="17" t="str">
        <f>IF(INDEX(Listado!F:F,ROW())="","",INDEX(Listado!F:F,ROW()))</f>
        <v/>
      </c>
      <c r="V1129" s="17">
        <f>IF(COUNTA(INDEX(Listado!B:B,ROW()):INDEX(Listado!F:F,ROW()))&gt;0,1,0)</f>
        <v/>
      </c>
      <c r="W1129" s="17" t="str">
        <f>IF(INDEX(Listado!L:L,ROW())="","",INDEX(Listado!L:L,ROW()))</f>
        <v/>
      </c>
      <c r="X1129" s="17">
        <f>IF(N1129="","",IF(INDEX(Listado!$M:$M,N1129)="No","No","Sí"))</f>
        <v/>
      </c>
    </row>
    <row r="1130" spans="2:24" ht="14.25">
      <c r="N1130" s="17" t="str">
        <f>IF(V1130=0,"",IFERROR(LOOKUP(2,1/(INDEX(Listado!A:A,2):INDEX(Listado!A:A,ROW())&lt;&gt;""),ROW(INDEX(Listado!A:A,2):INDEX(Listado!A:A,ROW()))),""))</f>
        <v/>
      </c>
      <c r="O1130" s="17" t="str">
        <f>IFERROR(IF(N1130="","",IF(INDEX(Listado!M:M,N1130)="No",IF(INDEX(Listado!N:N,N1130)=0,"",INDEX(Listado!N:N,N1130)),IF(INDEX(Listado!I:I,N1130)=0,"",INDEX(Listado!I:I,N1130)))),"")</f>
        <v/>
      </c>
      <c r="P1130" s="17">
        <f t="shared" ca="1" si="52"/>
        <v/>
      </c>
      <c r="Q1130" s="17">
        <f>IFERROR(IF(AND(N1130&lt;&gt;"",ISNUMBER(O1130),O1130&gt;0,O1130&gt;=TODAY()-90),1,0),0)</f>
        <v/>
      </c>
      <c r="R1130" s="17" t="str">
        <f t="shared" si="54"/>
        <v/>
      </c>
      <c r="S1130" s="17" t="str">
        <f>IF(INDEX(Listado!A:A,ROW())="","",INDEX(Listado!A:A,ROW()))</f>
        <v/>
      </c>
      <c r="T1130" s="17" t="str">
        <f ca="1">IF(INDEX(Listado!G:G,ROW())="","",INDEX(Listado!G:G,ROW()))</f>
        <v/>
      </c>
      <c r="U1130" s="17" t="str">
        <f>IF(INDEX(Listado!F:F,ROW())="","",INDEX(Listado!F:F,ROW()))</f>
        <v/>
      </c>
      <c r="V1130" s="17">
        <f>IF(COUNTA(INDEX(Listado!B:B,ROW()):INDEX(Listado!F:F,ROW()))&gt;0,1,0)</f>
        <v/>
      </c>
      <c r="W1130" s="17" t="str">
        <f>IF(INDEX(Listado!L:L,ROW())="","",INDEX(Listado!L:L,ROW()))</f>
        <v/>
      </c>
      <c r="X1130" s="17">
        <f>IF(N1130="","",IF(INDEX(Listado!$M:$M,N1130)="No","No","Sí"))</f>
        <v/>
      </c>
    </row>
    <row r="1131" spans="2:24" ht="14.25">
      <c r="N1131" s="17" t="str">
        <f>IF(V1131=0,"",IFERROR(LOOKUP(2,1/(INDEX(Listado!A:A,2):INDEX(Listado!A:A,ROW())&lt;&gt;""),ROW(INDEX(Listado!A:A,2):INDEX(Listado!A:A,ROW()))),""))</f>
        <v/>
      </c>
      <c r="O1131" s="17" t="str">
        <f>IFERROR(IF(N1131="","",IF(INDEX(Listado!M:M,N1131)="No",IF(INDEX(Listado!N:N,N1131)=0,"",INDEX(Listado!N:N,N1131)),IF(INDEX(Listado!I:I,N1131)=0,"",INDEX(Listado!I:I,N1131)))),"")</f>
        <v/>
      </c>
      <c r="P1131" s="17">
        <f t="shared" ca="1" si="52"/>
        <v/>
      </c>
      <c r="Q1131" s="17">
        <f>IFERROR(IF(AND(N1131&lt;&gt;"",ISNUMBER(O1131),O1131&gt;0,O1131&gt;=TODAY()-90),1,0),0)</f>
        <v/>
      </c>
      <c r="R1131" s="17" t="str">
        <f t="shared" si="54"/>
        <v/>
      </c>
      <c r="S1131" s="17" t="str">
        <f>IF(INDEX(Listado!A:A,ROW())="","",INDEX(Listado!A:A,ROW()))</f>
        <v/>
      </c>
      <c r="T1131" s="17" t="str">
        <f ca="1">IF(INDEX(Listado!G:G,ROW())="","",INDEX(Listado!G:G,ROW()))</f>
        <v/>
      </c>
      <c r="U1131" s="17" t="str">
        <f>IF(INDEX(Listado!F:F,ROW())="","",INDEX(Listado!F:F,ROW()))</f>
        <v/>
      </c>
      <c r="V1131" s="17">
        <f>IF(COUNTA(INDEX(Listado!B:B,ROW()):INDEX(Listado!F:F,ROW()))&gt;0,1,0)</f>
        <v/>
      </c>
      <c r="W1131" s="17" t="str">
        <f>IF(INDEX(Listado!L:L,ROW())="","",INDEX(Listado!L:L,ROW()))</f>
        <v/>
      </c>
      <c r="X1131" s="17">
        <f>IF(N1131="","",IF(INDEX(Listado!$M:$M,N1131)="No","No","Sí"))</f>
        <v/>
      </c>
    </row>
    <row r="1132" spans="2:24" ht="14.25">
      <c r="N1132" s="17" t="str">
        <f>IF(V1132=0,"",IFERROR(LOOKUP(2,1/(INDEX(Listado!A:A,2):INDEX(Listado!A:A,ROW())&lt;&gt;""),ROW(INDEX(Listado!A:A,2):INDEX(Listado!A:A,ROW()))),""))</f>
        <v/>
      </c>
      <c r="O1132" s="17" t="str">
        <f>IFERROR(IF(N1132="","",IF(INDEX(Listado!M:M,N1132)="No",IF(INDEX(Listado!N:N,N1132)=0,"",INDEX(Listado!N:N,N1132)),IF(INDEX(Listado!I:I,N1132)=0,"",INDEX(Listado!I:I,N1132)))),"")</f>
        <v/>
      </c>
      <c r="P1132" s="17">
        <f t="shared" ca="1" si="52"/>
        <v/>
      </c>
      <c r="Q1132" s="17">
        <f>IFERROR(IF(AND(N1132&lt;&gt;"",ISNUMBER(O1132),O1132&gt;0,O1132&gt;=TODAY()-90),1,0),0)</f>
        <v/>
      </c>
      <c r="R1132" s="17" t="str">
        <f t="shared" si="54"/>
        <v/>
      </c>
      <c r="S1132" s="17" t="str">
        <f>IF(INDEX(Listado!A:A,ROW())="","",INDEX(Listado!A:A,ROW()))</f>
        <v/>
      </c>
      <c r="T1132" s="17" t="str">
        <f ca="1">IF(INDEX(Listado!G:G,ROW())="","",INDEX(Listado!G:G,ROW()))</f>
        <v/>
      </c>
      <c r="U1132" s="17" t="str">
        <f>IF(INDEX(Listado!F:F,ROW())="","",INDEX(Listado!F:F,ROW()))</f>
        <v/>
      </c>
      <c r="V1132" s="17">
        <f>IF(COUNTA(INDEX(Listado!B:B,ROW()):INDEX(Listado!F:F,ROW()))&gt;0,1,0)</f>
        <v/>
      </c>
      <c r="W1132" s="17" t="str">
        <f>IF(INDEX(Listado!L:L,ROW())="","",INDEX(Listado!L:L,ROW()))</f>
        <v/>
      </c>
      <c r="X1132" s="17">
        <f>IF(N1132="","",IF(INDEX(Listado!$M:$M,N1132)="No","No","Sí"))</f>
        <v/>
      </c>
    </row>
    <row r="1133" spans="2:24" ht="14.25">
      <c r="N1133" s="17" t="str">
        <f>IF(V1133=0,"",IFERROR(LOOKUP(2,1/(INDEX(Listado!A:A,2):INDEX(Listado!A:A,ROW())&lt;&gt;""),ROW(INDEX(Listado!A:A,2):INDEX(Listado!A:A,ROW()))),""))</f>
        <v/>
      </c>
      <c r="O1133" s="17" t="str">
        <f>IFERROR(IF(N1133="","",IF(INDEX(Listado!M:M,N1133)="No",IF(INDEX(Listado!N:N,N1133)=0,"",INDEX(Listado!N:N,N1133)),IF(INDEX(Listado!I:I,N1133)=0,"",INDEX(Listado!I:I,N1133)))),"")</f>
        <v/>
      </c>
      <c r="P1133" s="17">
        <f t="shared" ca="1" si="52"/>
        <v/>
      </c>
      <c r="Q1133" s="17">
        <f>IFERROR(IF(AND(N1133&lt;&gt;"",ISNUMBER(O1133),O1133&gt;0,O1133&gt;=TODAY()-90),1,0),0)</f>
        <v/>
      </c>
      <c r="R1133" s="17" t="str">
        <f t="shared" si="54"/>
        <v/>
      </c>
      <c r="S1133" s="17" t="str">
        <f>IF(INDEX(Listado!A:A,ROW())="","",INDEX(Listado!A:A,ROW()))</f>
        <v/>
      </c>
      <c r="T1133" s="17" t="str">
        <f ca="1">IF(INDEX(Listado!G:G,ROW())="","",INDEX(Listado!G:G,ROW()))</f>
        <v/>
      </c>
      <c r="U1133" s="17" t="str">
        <f>IF(INDEX(Listado!F:F,ROW())="","",INDEX(Listado!F:F,ROW()))</f>
        <v/>
      </c>
      <c r="V1133" s="17">
        <f>IF(COUNTA(INDEX(Listado!B:B,ROW()):INDEX(Listado!F:F,ROW()))&gt;0,1,0)</f>
        <v/>
      </c>
      <c r="W1133" s="17" t="str">
        <f>IF(INDEX(Listado!L:L,ROW())="","",INDEX(Listado!L:L,ROW()))</f>
        <v/>
      </c>
      <c r="X1133" s="17">
        <f>IF(N1133="","",IF(INDEX(Listado!$M:$M,N1133)="No","No","Sí"))</f>
        <v/>
      </c>
    </row>
    <row r="1134" spans="2:24" ht="14.25">
      <c r="N1134" s="17" t="str">
        <f>IF(V1134=0,"",IFERROR(LOOKUP(2,1/(INDEX(Listado!A:A,2):INDEX(Listado!A:A,ROW())&lt;&gt;""),ROW(INDEX(Listado!A:A,2):INDEX(Listado!A:A,ROW()))),""))</f>
        <v/>
      </c>
      <c r="O1134" s="17" t="str">
        <f>IFERROR(IF(N1134="","",IF(INDEX(Listado!M:M,N1134)="No",IF(INDEX(Listado!N:N,N1134)=0,"",INDEX(Listado!N:N,N1134)),IF(INDEX(Listado!I:I,N1134)=0,"",INDEX(Listado!I:I,N1134)))),"")</f>
        <v/>
      </c>
      <c r="P1134" s="17">
        <f t="shared" ca="1" si="52"/>
        <v/>
      </c>
      <c r="Q1134" s="17">
        <f>IFERROR(IF(AND(N1134&lt;&gt;"",ISNUMBER(O1134),O1134&gt;0,O1134&gt;=TODAY()-90),1,0),0)</f>
        <v/>
      </c>
      <c r="R1134" s="17" t="str">
        <f t="shared" si="54"/>
        <v/>
      </c>
      <c r="S1134" s="17" t="str">
        <f>IF(INDEX(Listado!A:A,ROW())="","",INDEX(Listado!A:A,ROW()))</f>
        <v/>
      </c>
      <c r="T1134" s="17" t="str">
        <f ca="1">IF(INDEX(Listado!G:G,ROW())="","",INDEX(Listado!G:G,ROW()))</f>
        <v/>
      </c>
      <c r="U1134" s="17" t="str">
        <f>IF(INDEX(Listado!F:F,ROW())="","",INDEX(Listado!F:F,ROW()))</f>
        <v/>
      </c>
      <c r="V1134" s="17">
        <f>IF(COUNTA(INDEX(Listado!B:B,ROW()):INDEX(Listado!F:F,ROW()))&gt;0,1,0)</f>
        <v/>
      </c>
      <c r="W1134" s="17" t="str">
        <f>IF(INDEX(Listado!L:L,ROW())="","",INDEX(Listado!L:L,ROW()))</f>
        <v/>
      </c>
      <c r="X1134" s="17">
        <f>IF(N1134="","",IF(INDEX(Listado!$M:$M,N1134)="No","No","Sí"))</f>
        <v/>
      </c>
    </row>
    <row r="1135" spans="2:24" ht="14.25">
      <c r="N1135" s="17" t="str">
        <f>IF(V1135=0,"",IFERROR(LOOKUP(2,1/(INDEX(Listado!A:A,2):INDEX(Listado!A:A,ROW())&lt;&gt;""),ROW(INDEX(Listado!A:A,2):INDEX(Listado!A:A,ROW()))),""))</f>
        <v/>
      </c>
      <c r="O1135" s="17" t="str">
        <f>IFERROR(IF(N1135="","",IF(INDEX(Listado!M:M,N1135)="No",IF(INDEX(Listado!N:N,N1135)=0,"",INDEX(Listado!N:N,N1135)),IF(INDEX(Listado!I:I,N1135)=0,"",INDEX(Listado!I:I,N1135)))),"")</f>
        <v/>
      </c>
      <c r="P1135" s="17">
        <f t="shared" ca="1" si="52"/>
        <v/>
      </c>
      <c r="Q1135" s="17">
        <f>IFERROR(IF(AND(N1135&lt;&gt;"",ISNUMBER(O1135),O1135&gt;0,O1135&gt;=TODAY()-90),1,0),0)</f>
        <v/>
      </c>
      <c r="R1135" s="17" t="str">
        <f t="shared" si="54"/>
        <v/>
      </c>
      <c r="S1135" s="17" t="str">
        <f>IF(INDEX(Listado!A:A,ROW())="","",INDEX(Listado!A:A,ROW()))</f>
        <v/>
      </c>
      <c r="T1135" s="17" t="str">
        <f ca="1">IF(INDEX(Listado!G:G,ROW())="","",INDEX(Listado!G:G,ROW()))</f>
        <v/>
      </c>
      <c r="U1135" s="17" t="str">
        <f>IF(INDEX(Listado!F:F,ROW())="","",INDEX(Listado!F:F,ROW()))</f>
        <v/>
      </c>
      <c r="V1135" s="17">
        <f>IF(COUNTA(INDEX(Listado!B:B,ROW()):INDEX(Listado!F:F,ROW()))&gt;0,1,0)</f>
        <v/>
      </c>
      <c r="W1135" s="17" t="str">
        <f>IF(INDEX(Listado!L:L,ROW())="","",INDEX(Listado!L:L,ROW()))</f>
        <v/>
      </c>
      <c r="X1135" s="17">
        <f>IF(N1135="","",IF(INDEX(Listado!$M:$M,N1135)="No","No","Sí"))</f>
        <v/>
      </c>
    </row>
    <row r="1136" spans="2:24" ht="14.25">
      <c r="N1136" s="17" t="str">
        <f>IF(V1136=0,"",IFERROR(LOOKUP(2,1/(INDEX(Listado!A:A,2):INDEX(Listado!A:A,ROW())&lt;&gt;""),ROW(INDEX(Listado!A:A,2):INDEX(Listado!A:A,ROW()))),""))</f>
        <v/>
      </c>
      <c r="O1136" s="17" t="str">
        <f>IFERROR(IF(N1136="","",IF(INDEX(Listado!M:M,N1136)="No",IF(INDEX(Listado!N:N,N1136)=0,"",INDEX(Listado!N:N,N1136)),IF(INDEX(Listado!I:I,N1136)=0,"",INDEX(Listado!I:I,N1136)))),"")</f>
        <v/>
      </c>
      <c r="P1136" s="17">
        <f t="shared" ca="1" si="52"/>
        <v/>
      </c>
      <c r="Q1136" s="17">
        <f>IFERROR(IF(AND(N1136&lt;&gt;"",ISNUMBER(O1136),O1136&gt;0,O1136&gt;=TODAY()-90),1,0),0)</f>
        <v/>
      </c>
      <c r="R1136" s="17" t="str">
        <f t="shared" si="54"/>
        <v/>
      </c>
      <c r="S1136" s="17" t="str">
        <f>IF(INDEX(Listado!A:A,ROW())="","",INDEX(Listado!A:A,ROW()))</f>
        <v/>
      </c>
      <c r="T1136" s="17" t="str">
        <f ca="1">IF(INDEX(Listado!G:G,ROW())="","",INDEX(Listado!G:G,ROW()))</f>
        <v/>
      </c>
      <c r="U1136" s="17" t="str">
        <f>IF(INDEX(Listado!F:F,ROW())="","",INDEX(Listado!F:F,ROW()))</f>
        <v/>
      </c>
      <c r="V1136" s="17">
        <f>IF(COUNTA(INDEX(Listado!B:B,ROW()):INDEX(Listado!F:F,ROW()))&gt;0,1,0)</f>
        <v/>
      </c>
      <c r="W1136" s="17" t="str">
        <f>IF(INDEX(Listado!L:L,ROW())="","",INDEX(Listado!L:L,ROW()))</f>
        <v/>
      </c>
      <c r="X1136" s="17">
        <f>IF(N1136="","",IF(INDEX(Listado!$M:$M,N1136)="No","No","Sí"))</f>
        <v/>
      </c>
    </row>
    <row r="1137" spans="2:24" ht="14.25">
      <c r="N1137" s="17" t="str">
        <f>IF(V1137=0,"",IFERROR(LOOKUP(2,1/(INDEX(Listado!A:A,2):INDEX(Listado!A:A,ROW())&lt;&gt;""),ROW(INDEX(Listado!A:A,2):INDEX(Listado!A:A,ROW()))),""))</f>
        <v/>
      </c>
      <c r="O1137" s="17" t="str">
        <f>IFERROR(IF(N1137="","",IF(INDEX(Listado!M:M,N1137)="No",IF(INDEX(Listado!N:N,N1137)=0,"",INDEX(Listado!N:N,N1137)),IF(INDEX(Listado!I:I,N1137)=0,"",INDEX(Listado!I:I,N1137)))),"")</f>
        <v/>
      </c>
      <c r="P1137" s="17">
        <f t="shared" ca="1" si="52"/>
        <v/>
      </c>
      <c r="Q1137" s="17">
        <f>IFERROR(IF(AND(N1137&lt;&gt;"",ISNUMBER(O1137),O1137&gt;0,O1137&gt;=TODAY()-90),1,0),0)</f>
        <v/>
      </c>
      <c r="R1137" s="17" t="str">
        <f t="shared" si="54"/>
        <v/>
      </c>
      <c r="S1137" s="17" t="str">
        <f>IF(INDEX(Listado!A:A,ROW())="","",INDEX(Listado!A:A,ROW()))</f>
        <v/>
      </c>
      <c r="T1137" s="17" t="str">
        <f ca="1">IF(INDEX(Listado!G:G,ROW())="","",INDEX(Listado!G:G,ROW()))</f>
        <v/>
      </c>
      <c r="U1137" s="17" t="str">
        <f>IF(INDEX(Listado!F:F,ROW())="","",INDEX(Listado!F:F,ROW()))</f>
        <v/>
      </c>
      <c r="V1137" s="17">
        <f>IF(COUNTA(INDEX(Listado!B:B,ROW()):INDEX(Listado!F:F,ROW()))&gt;0,1,0)</f>
        <v/>
      </c>
      <c r="W1137" s="17" t="str">
        <f>IF(INDEX(Listado!L:L,ROW())="","",INDEX(Listado!L:L,ROW()))</f>
        <v/>
      </c>
      <c r="X1137" s="17">
        <f>IF(N1137="","",IF(INDEX(Listado!$M:$M,N1137)="No","No","Sí"))</f>
        <v/>
      </c>
    </row>
    <row r="1138" spans="2:24" ht="14.25">
      <c r="N1138" s="17" t="str">
        <f>IF(V1138=0,"",IFERROR(LOOKUP(2,1/(INDEX(Listado!A:A,2):INDEX(Listado!A:A,ROW())&lt;&gt;""),ROW(INDEX(Listado!A:A,2):INDEX(Listado!A:A,ROW()))),""))</f>
        <v/>
      </c>
      <c r="O1138" s="17" t="str">
        <f>IFERROR(IF(N1138="","",IF(INDEX(Listado!M:M,N1138)="No",IF(INDEX(Listado!N:N,N1138)=0,"",INDEX(Listado!N:N,N1138)),IF(INDEX(Listado!I:I,N1138)=0,"",INDEX(Listado!I:I,N1138)))),"")</f>
        <v/>
      </c>
      <c r="P1138" s="17">
        <f t="shared" ca="1" si="52"/>
        <v/>
      </c>
      <c r="Q1138" s="17">
        <f>IFERROR(IF(AND(N1138&lt;&gt;"",ISNUMBER(O1138),O1138&gt;0,O1138&gt;=TODAY()-90),1,0),0)</f>
        <v/>
      </c>
      <c r="R1138" s="17" t="str">
        <f t="shared" si="54"/>
        <v/>
      </c>
      <c r="S1138" s="17" t="str">
        <f>IF(INDEX(Listado!A:A,ROW())="","",INDEX(Listado!A:A,ROW()))</f>
        <v/>
      </c>
      <c r="T1138" s="17" t="str">
        <f ca="1">IF(INDEX(Listado!G:G,ROW())="","",INDEX(Listado!G:G,ROW()))</f>
        <v/>
      </c>
      <c r="U1138" s="17" t="str">
        <f>IF(INDEX(Listado!F:F,ROW())="","",INDEX(Listado!F:F,ROW()))</f>
        <v/>
      </c>
      <c r="V1138" s="17">
        <f>IF(COUNTA(INDEX(Listado!B:B,ROW()):INDEX(Listado!F:F,ROW()))&gt;0,1,0)</f>
        <v/>
      </c>
      <c r="W1138" s="17" t="str">
        <f>IF(INDEX(Listado!L:L,ROW())="","",INDEX(Listado!L:L,ROW()))</f>
        <v/>
      </c>
      <c r="X1138" s="17">
        <f>IF(N1138="","",IF(INDEX(Listado!$M:$M,N1138)="No","No","Sí"))</f>
        <v/>
      </c>
    </row>
    <row r="1139" spans="2:24" ht="14.25">
      <c r="N1139" s="17" t="str">
        <f>IF(V1139=0,"",IFERROR(LOOKUP(2,1/(INDEX(Listado!A:A,2):INDEX(Listado!A:A,ROW())&lt;&gt;""),ROW(INDEX(Listado!A:A,2):INDEX(Listado!A:A,ROW()))),""))</f>
        <v/>
      </c>
      <c r="O1139" s="17" t="str">
        <f>IFERROR(IF(N1139="","",IF(INDEX(Listado!M:M,N1139)="No",IF(INDEX(Listado!N:N,N1139)=0,"",INDEX(Listado!N:N,N1139)),IF(INDEX(Listado!I:I,N1139)=0,"",INDEX(Listado!I:I,N1139)))),"")</f>
        <v/>
      </c>
      <c r="P1139" s="17">
        <f t="shared" ca="1" si="52"/>
        <v/>
      </c>
      <c r="Q1139" s="17">
        <f>IFERROR(IF(AND(N1139&lt;&gt;"",ISNUMBER(O1139),O1139&gt;0,O1139&gt;=TODAY()-90),1,0),0)</f>
        <v/>
      </c>
      <c r="R1139" s="17" t="str">
        <f t="shared" si="54"/>
        <v/>
      </c>
      <c r="S1139" s="17" t="str">
        <f>IF(INDEX(Listado!A:A,ROW())="","",INDEX(Listado!A:A,ROW()))</f>
        <v/>
      </c>
      <c r="T1139" s="17" t="str">
        <f ca="1">IF(INDEX(Listado!G:G,ROW())="","",INDEX(Listado!G:G,ROW()))</f>
        <v/>
      </c>
      <c r="U1139" s="17" t="str">
        <f>IF(INDEX(Listado!F:F,ROW())="","",INDEX(Listado!F:F,ROW()))</f>
        <v/>
      </c>
      <c r="V1139" s="17">
        <f>IF(COUNTA(INDEX(Listado!B:B,ROW()):INDEX(Listado!F:F,ROW()))&gt;0,1,0)</f>
        <v/>
      </c>
      <c r="W1139" s="17" t="str">
        <f>IF(INDEX(Listado!L:L,ROW())="","",INDEX(Listado!L:L,ROW()))</f>
        <v/>
      </c>
      <c r="X1139" s="17">
        <f>IF(N1139="","",IF(INDEX(Listado!$M:$M,N1139)="No","No","Sí"))</f>
        <v/>
      </c>
    </row>
    <row r="1140" spans="2:24" ht="14.25">
      <c r="N1140" s="17" t="str">
        <f>IF(V1140=0,"",IFERROR(LOOKUP(2,1/(INDEX(Listado!A:A,2):INDEX(Listado!A:A,ROW())&lt;&gt;""),ROW(INDEX(Listado!A:A,2):INDEX(Listado!A:A,ROW()))),""))</f>
        <v/>
      </c>
      <c r="O1140" s="17" t="str">
        <f>IFERROR(IF(N1140="","",IF(INDEX(Listado!M:M,N1140)="No",IF(INDEX(Listado!N:N,N1140)=0,"",INDEX(Listado!N:N,N1140)),IF(INDEX(Listado!I:I,N1140)=0,"",INDEX(Listado!I:I,N1140)))),"")</f>
        <v/>
      </c>
      <c r="P1140" s="17">
        <f t="shared" ca="1" si="52"/>
        <v/>
      </c>
      <c r="Q1140" s="17">
        <f>IFERROR(IF(AND(N1140&lt;&gt;"",ISNUMBER(O1140),O1140&gt;0,O1140&gt;=TODAY()-90),1,0),0)</f>
        <v/>
      </c>
      <c r="R1140" s="17" t="str">
        <f t="shared" si="54"/>
        <v/>
      </c>
      <c r="S1140" s="17" t="str">
        <f>IF(INDEX(Listado!A:A,ROW())="","",INDEX(Listado!A:A,ROW()))</f>
        <v/>
      </c>
      <c r="T1140" s="17" t="str">
        <f ca="1">IF(INDEX(Listado!G:G,ROW())="","",INDEX(Listado!G:G,ROW()))</f>
        <v/>
      </c>
      <c r="U1140" s="17" t="str">
        <f>IF(INDEX(Listado!F:F,ROW())="","",INDEX(Listado!F:F,ROW()))</f>
        <v/>
      </c>
      <c r="V1140" s="17">
        <f>IF(COUNTA(INDEX(Listado!B:B,ROW()):INDEX(Listado!F:F,ROW()))&gt;0,1,0)</f>
        <v/>
      </c>
      <c r="W1140" s="17" t="str">
        <f>IF(INDEX(Listado!L:L,ROW())="","",INDEX(Listado!L:L,ROW()))</f>
        <v/>
      </c>
      <c r="X1140" s="17">
        <f>IF(N1140="","",IF(INDEX(Listado!$M:$M,N1140)="No","No","Sí"))</f>
        <v/>
      </c>
    </row>
    <row r="1141" spans="2:24" ht="14.25">
      <c r="N1141" s="17" t="str">
        <f>IF(V1141=0,"",IFERROR(LOOKUP(2,1/(INDEX(Listado!A:A,2):INDEX(Listado!A:A,ROW())&lt;&gt;""),ROW(INDEX(Listado!A:A,2):INDEX(Listado!A:A,ROW()))),""))</f>
        <v/>
      </c>
      <c r="O1141" s="17" t="str">
        <f>IFERROR(IF(N1141="","",IF(INDEX(Listado!M:M,N1141)="No",IF(INDEX(Listado!N:N,N1141)=0,"",INDEX(Listado!N:N,N1141)),IF(INDEX(Listado!I:I,N1141)=0,"",INDEX(Listado!I:I,N1141)))),"")</f>
        <v/>
      </c>
      <c r="P1141" s="17">
        <f t="shared" ca="1" si="52"/>
        <v/>
      </c>
      <c r="Q1141" s="17">
        <f>IFERROR(IF(AND(N1141&lt;&gt;"",ISNUMBER(O1141),O1141&gt;0,O1141&gt;=TODAY()-90),1,0),0)</f>
        <v/>
      </c>
      <c r="R1141" s="17" t="str">
        <f t="shared" si="54"/>
        <v/>
      </c>
      <c r="S1141" s="17" t="str">
        <f>IF(INDEX(Listado!A:A,ROW())="","",INDEX(Listado!A:A,ROW()))</f>
        <v/>
      </c>
      <c r="T1141" s="17" t="str">
        <f ca="1">IF(INDEX(Listado!G:G,ROW())="","",INDEX(Listado!G:G,ROW()))</f>
        <v/>
      </c>
      <c r="U1141" s="17" t="str">
        <f>IF(INDEX(Listado!F:F,ROW())="","",INDEX(Listado!F:F,ROW()))</f>
        <v/>
      </c>
      <c r="V1141" s="17">
        <f>IF(COUNTA(INDEX(Listado!B:B,ROW()):INDEX(Listado!F:F,ROW()))&gt;0,1,0)</f>
        <v/>
      </c>
      <c r="W1141" s="17" t="str">
        <f>IF(INDEX(Listado!L:L,ROW())="","",INDEX(Listado!L:L,ROW()))</f>
        <v/>
      </c>
      <c r="X1141" s="17">
        <f>IF(N1141="","",IF(INDEX(Listado!$M:$M,N1141)="No","No","Sí"))</f>
        <v/>
      </c>
    </row>
    <row r="1142" spans="2:24" ht="14.25">
      <c r="N1142" s="17" t="str">
        <f>IF(V1142=0,"",IFERROR(LOOKUP(2,1/(INDEX(Listado!A:A,2):INDEX(Listado!A:A,ROW())&lt;&gt;""),ROW(INDEX(Listado!A:A,2):INDEX(Listado!A:A,ROW()))),""))</f>
        <v/>
      </c>
      <c r="O1142" s="17" t="str">
        <f>IFERROR(IF(N1142="","",IF(INDEX(Listado!M:M,N1142)="No",IF(INDEX(Listado!N:N,N1142)=0,"",INDEX(Listado!N:N,N1142)),IF(INDEX(Listado!I:I,N1142)=0,"",INDEX(Listado!I:I,N1142)))),"")</f>
        <v/>
      </c>
      <c r="P1142" s="17">
        <f t="shared" ca="1" si="52"/>
        <v/>
      </c>
      <c r="Q1142" s="17">
        <f>IFERROR(IF(AND(N1142&lt;&gt;"",ISNUMBER(O1142),O1142&gt;0,O1142&gt;=TODAY()-90),1,0),0)</f>
        <v/>
      </c>
      <c r="R1142" s="17" t="str">
        <f t="shared" si="54"/>
        <v/>
      </c>
      <c r="S1142" s="17" t="str">
        <f>IF(INDEX(Listado!A:A,ROW())="","",INDEX(Listado!A:A,ROW()))</f>
        <v/>
      </c>
      <c r="T1142" s="17" t="str">
        <f ca="1">IF(INDEX(Listado!G:G,ROW())="","",INDEX(Listado!G:G,ROW()))</f>
        <v/>
      </c>
      <c r="U1142" s="17" t="str">
        <f>IF(INDEX(Listado!F:F,ROW())="","",INDEX(Listado!F:F,ROW()))</f>
        <v/>
      </c>
      <c r="V1142" s="17">
        <f>IF(COUNTA(INDEX(Listado!B:B,ROW()):INDEX(Listado!F:F,ROW()))&gt;0,1,0)</f>
        <v/>
      </c>
      <c r="W1142" s="17" t="str">
        <f>IF(INDEX(Listado!L:L,ROW())="","",INDEX(Listado!L:L,ROW()))</f>
        <v/>
      </c>
      <c r="X1142" s="17">
        <f>IF(N1142="","",IF(INDEX(Listado!$M:$M,N1142)="No","No","Sí"))</f>
        <v/>
      </c>
    </row>
    <row r="1143" spans="2:24" ht="14.25">
      <c r="N1143" s="17" t="str">
        <f>IF(V1143=0,"",IFERROR(LOOKUP(2,1/(INDEX(Listado!A:A,2):INDEX(Listado!A:A,ROW())&lt;&gt;""),ROW(INDEX(Listado!A:A,2):INDEX(Listado!A:A,ROW()))),""))</f>
        <v/>
      </c>
      <c r="O1143" s="17" t="str">
        <f>IFERROR(IF(N1143="","",IF(INDEX(Listado!M:M,N1143)="No",IF(INDEX(Listado!N:N,N1143)=0,"",INDEX(Listado!N:N,N1143)),IF(INDEX(Listado!I:I,N1143)=0,"",INDEX(Listado!I:I,N1143)))),"")</f>
        <v/>
      </c>
      <c r="P1143" s="17">
        <f t="shared" ca="1" si="52"/>
        <v/>
      </c>
      <c r="Q1143" s="17">
        <f>IFERROR(IF(AND(N1143&lt;&gt;"",ISNUMBER(O1143),O1143&gt;0,O1143&gt;=TODAY()-90),1,0),0)</f>
        <v/>
      </c>
      <c r="R1143" s="17" t="str">
        <f t="shared" si="54"/>
        <v/>
      </c>
      <c r="S1143" s="17" t="str">
        <f>IF(INDEX(Listado!A:A,ROW())="","",INDEX(Listado!A:A,ROW()))</f>
        <v/>
      </c>
      <c r="T1143" s="17" t="str">
        <f ca="1">IF(INDEX(Listado!G:G,ROW())="","",INDEX(Listado!G:G,ROW()))</f>
        <v/>
      </c>
      <c r="U1143" s="17" t="str">
        <f>IF(INDEX(Listado!F:F,ROW())="","",INDEX(Listado!F:F,ROW()))</f>
        <v/>
      </c>
      <c r="V1143" s="17">
        <f>IF(COUNTA(INDEX(Listado!B:B,ROW()):INDEX(Listado!F:F,ROW()))&gt;0,1,0)</f>
        <v/>
      </c>
      <c r="W1143" s="17" t="str">
        <f>IF(INDEX(Listado!L:L,ROW())="","",INDEX(Listado!L:L,ROW()))</f>
        <v/>
      </c>
      <c r="X1143" s="17">
        <f>IF(N1143="","",IF(INDEX(Listado!$M:$M,N1143)="No","No","Sí"))</f>
        <v/>
      </c>
    </row>
    <row r="1144" spans="2:24" ht="14.25">
      <c r="N1144" s="17" t="str">
        <f>IF(V1144=0,"",IFERROR(LOOKUP(2,1/(INDEX(Listado!A:A,2):INDEX(Listado!A:A,ROW())&lt;&gt;""),ROW(INDEX(Listado!A:A,2):INDEX(Listado!A:A,ROW()))),""))</f>
        <v/>
      </c>
      <c r="O1144" s="17" t="str">
        <f>IFERROR(IF(N1144="","",IF(INDEX(Listado!M:M,N1144)="No",IF(INDEX(Listado!N:N,N1144)=0,"",INDEX(Listado!N:N,N1144)),IF(INDEX(Listado!I:I,N1144)=0,"",INDEX(Listado!I:I,N1144)))),"")</f>
        <v/>
      </c>
      <c r="P1144" s="17">
        <f t="shared" ca="1" si="52"/>
        <v/>
      </c>
      <c r="Q1144" s="17">
        <f>IFERROR(IF(AND(N1144&lt;&gt;"",ISNUMBER(O1144),O1144&gt;0,O1144&gt;=TODAY()-90),1,0),0)</f>
        <v/>
      </c>
      <c r="R1144" s="17" t="str">
        <f t="shared" si="54"/>
        <v/>
      </c>
      <c r="S1144" s="17" t="str">
        <f>IF(INDEX(Listado!A:A,ROW())="","",INDEX(Listado!A:A,ROW()))</f>
        <v/>
      </c>
      <c r="T1144" s="17" t="str">
        <f ca="1">IF(INDEX(Listado!G:G,ROW())="","",INDEX(Listado!G:G,ROW()))</f>
        <v/>
      </c>
      <c r="U1144" s="17" t="str">
        <f>IF(INDEX(Listado!F:F,ROW())="","",INDEX(Listado!F:F,ROW()))</f>
        <v/>
      </c>
      <c r="V1144" s="17">
        <f>IF(COUNTA(INDEX(Listado!B:B,ROW()):INDEX(Listado!F:F,ROW()))&gt;0,1,0)</f>
        <v/>
      </c>
      <c r="W1144" s="17" t="str">
        <f>IF(INDEX(Listado!L:L,ROW())="","",INDEX(Listado!L:L,ROW()))</f>
        <v/>
      </c>
      <c r="X1144" s="17">
        <f>IF(N1144="","",IF(INDEX(Listado!$M:$M,N1144)="No","No","Sí"))</f>
        <v/>
      </c>
    </row>
    <row r="1145" spans="2:24" ht="14.25">
      <c r="N1145" s="17" t="str">
        <f>IF(V1145=0,"",IFERROR(LOOKUP(2,1/(INDEX(Listado!A:A,2):INDEX(Listado!A:A,ROW())&lt;&gt;""),ROW(INDEX(Listado!A:A,2):INDEX(Listado!A:A,ROW()))),""))</f>
        <v/>
      </c>
      <c r="O1145" s="17" t="str">
        <f>IFERROR(IF(N1145="","",IF(INDEX(Listado!M:M,N1145)="No",IF(INDEX(Listado!N:N,N1145)=0,"",INDEX(Listado!N:N,N1145)),IF(INDEX(Listado!I:I,N1145)=0,"",INDEX(Listado!I:I,N1145)))),"")</f>
        <v/>
      </c>
      <c r="P1145" s="17">
        <f t="shared" ca="1" si="52"/>
        <v/>
      </c>
      <c r="Q1145" s="17">
        <f>IFERROR(IF(AND(N1145&lt;&gt;"",ISNUMBER(O1145),O1145&gt;0,O1145&gt;=TODAY()-90),1,0),0)</f>
        <v/>
      </c>
      <c r="R1145" s="17" t="str">
        <f t="shared" si="54"/>
        <v/>
      </c>
      <c r="S1145" s="17" t="str">
        <f>IF(INDEX(Listado!A:A,ROW())="","",INDEX(Listado!A:A,ROW()))</f>
        <v/>
      </c>
      <c r="T1145" s="17" t="str">
        <f ca="1">IF(INDEX(Listado!G:G,ROW())="","",INDEX(Listado!G:G,ROW()))</f>
        <v/>
      </c>
      <c r="U1145" s="17" t="str">
        <f>IF(INDEX(Listado!F:F,ROW())="","",INDEX(Listado!F:F,ROW()))</f>
        <v/>
      </c>
      <c r="V1145" s="17">
        <f>IF(COUNTA(INDEX(Listado!B:B,ROW()):INDEX(Listado!F:F,ROW()))&gt;0,1,0)</f>
        <v/>
      </c>
      <c r="W1145" s="17" t="str">
        <f>IF(INDEX(Listado!L:L,ROW())="","",INDEX(Listado!L:L,ROW()))</f>
        <v/>
      </c>
      <c r="X1145" s="17">
        <f>IF(N1145="","",IF(INDEX(Listado!$M:$M,N1145)="No","No","Sí"))</f>
        <v/>
      </c>
    </row>
    <row r="1146" spans="2:24" ht="14.25">
      <c r="N1146" s="17" t="str">
        <f>IF(V1146=0,"",IFERROR(LOOKUP(2,1/(INDEX(Listado!A:A,2):INDEX(Listado!A:A,ROW())&lt;&gt;""),ROW(INDEX(Listado!A:A,2):INDEX(Listado!A:A,ROW()))),""))</f>
        <v/>
      </c>
      <c r="O1146" s="17" t="str">
        <f>IFERROR(IF(N1146="","",IF(INDEX(Listado!M:M,N1146)="No",IF(INDEX(Listado!N:N,N1146)=0,"",INDEX(Listado!N:N,N1146)),IF(INDEX(Listado!I:I,N1146)=0,"",INDEX(Listado!I:I,N1146)))),"")</f>
        <v/>
      </c>
      <c r="P1146" s="17">
        <f t="shared" ca="1" si="52"/>
        <v/>
      </c>
      <c r="Q1146" s="17">
        <f>IFERROR(IF(AND(N1146&lt;&gt;"",ISNUMBER(O1146),O1146&gt;0,O1146&gt;=TODAY()-90),1,0),0)</f>
        <v/>
      </c>
      <c r="R1146" s="17" t="str">
        <f t="shared" si="54"/>
        <v/>
      </c>
      <c r="S1146" s="17" t="str">
        <f>IF(INDEX(Listado!A:A,ROW())="","",INDEX(Listado!A:A,ROW()))</f>
        <v/>
      </c>
      <c r="T1146" s="17" t="str">
        <f ca="1">IF(INDEX(Listado!G:G,ROW())="","",INDEX(Listado!G:G,ROW()))</f>
        <v/>
      </c>
      <c r="U1146" s="17" t="str">
        <f>IF(INDEX(Listado!F:F,ROW())="","",INDEX(Listado!F:F,ROW()))</f>
        <v/>
      </c>
      <c r="V1146" s="17">
        <f>IF(COUNTA(INDEX(Listado!B:B,ROW()):INDEX(Listado!F:F,ROW()))&gt;0,1,0)</f>
        <v/>
      </c>
      <c r="W1146" s="17" t="str">
        <f>IF(INDEX(Listado!L:L,ROW())="","",INDEX(Listado!L:L,ROW()))</f>
        <v/>
      </c>
      <c r="X1146" s="17">
        <f>IF(N1146="","",IF(INDEX(Listado!$M:$M,N1146)="No","No","Sí"))</f>
        <v/>
      </c>
    </row>
    <row r="1147" spans="2:24" ht="14.25">
      <c r="N1147" s="17" t="str">
        <f>IF(V1147=0,"",IFERROR(LOOKUP(2,1/(INDEX(Listado!A:A,2):INDEX(Listado!A:A,ROW())&lt;&gt;""),ROW(INDEX(Listado!A:A,2):INDEX(Listado!A:A,ROW()))),""))</f>
        <v/>
      </c>
      <c r="O1147" s="17" t="str">
        <f>IFERROR(IF(N1147="","",IF(INDEX(Listado!M:M,N1147)="No",IF(INDEX(Listado!N:N,N1147)=0,"",INDEX(Listado!N:N,N1147)),IF(INDEX(Listado!I:I,N1147)=0,"",INDEX(Listado!I:I,N1147)))),"")</f>
        <v/>
      </c>
      <c r="P1147" s="17">
        <f t="shared" ca="1" si="52"/>
        <v/>
      </c>
      <c r="Q1147" s="17">
        <f>IFERROR(IF(AND(N1147&lt;&gt;"",ISNUMBER(O1147),O1147&gt;0,O1147&gt;=TODAY()-90),1,0),0)</f>
        <v/>
      </c>
      <c r="R1147" s="17" t="str">
        <f t="shared" si="54"/>
        <v/>
      </c>
      <c r="S1147" s="17" t="str">
        <f>IF(INDEX(Listado!A:A,ROW())="","",INDEX(Listado!A:A,ROW()))</f>
        <v/>
      </c>
      <c r="T1147" s="17" t="str">
        <f ca="1">IF(INDEX(Listado!G:G,ROW())="","",INDEX(Listado!G:G,ROW()))</f>
        <v/>
      </c>
      <c r="U1147" s="17" t="str">
        <f>IF(INDEX(Listado!F:F,ROW())="","",INDEX(Listado!F:F,ROW()))</f>
        <v/>
      </c>
      <c r="V1147" s="17">
        <f>IF(COUNTA(INDEX(Listado!B:B,ROW()):INDEX(Listado!F:F,ROW()))&gt;0,1,0)</f>
        <v/>
      </c>
      <c r="W1147" s="17" t="str">
        <f>IF(INDEX(Listado!L:L,ROW())="","",INDEX(Listado!L:L,ROW()))</f>
        <v/>
      </c>
      <c r="X1147" s="17">
        <f>IF(N1147="","",IF(INDEX(Listado!$M:$M,N1147)="No","No","Sí"))</f>
        <v/>
      </c>
    </row>
    <row r="1148" spans="2:24" ht="14.25">
      <c r="N1148" s="17" t="str">
        <f>IF(V1148=0,"",IFERROR(LOOKUP(2,1/(INDEX(Listado!A:A,2):INDEX(Listado!A:A,ROW())&lt;&gt;""),ROW(INDEX(Listado!A:A,2):INDEX(Listado!A:A,ROW()))),""))</f>
        <v/>
      </c>
      <c r="O1148" s="17" t="str">
        <f>IFERROR(IF(N1148="","",IF(INDEX(Listado!M:M,N1148)="No",IF(INDEX(Listado!N:N,N1148)=0,"",INDEX(Listado!N:N,N1148)),IF(INDEX(Listado!I:I,N1148)=0,"",INDEX(Listado!I:I,N1148)))),"")</f>
        <v/>
      </c>
      <c r="P1148" s="17">
        <f t="shared" ca="1" si="52"/>
        <v/>
      </c>
      <c r="Q1148" s="17">
        <f>IFERROR(IF(AND(N1148&lt;&gt;"",ISNUMBER(O1148),O1148&gt;0,O1148&gt;=TODAY()-90),1,0),0)</f>
        <v/>
      </c>
      <c r="R1148" s="17" t="str">
        <f t="shared" si="54"/>
        <v/>
      </c>
      <c r="S1148" s="17" t="str">
        <f>IF(INDEX(Listado!A:A,ROW())="","",INDEX(Listado!A:A,ROW()))</f>
        <v/>
      </c>
      <c r="T1148" s="17" t="str">
        <f ca="1">IF(INDEX(Listado!G:G,ROW())="","",INDEX(Listado!G:G,ROW()))</f>
        <v/>
      </c>
      <c r="U1148" s="17" t="str">
        <f>IF(INDEX(Listado!F:F,ROW())="","",INDEX(Listado!F:F,ROW()))</f>
        <v/>
      </c>
      <c r="V1148" s="17">
        <f>IF(COUNTA(INDEX(Listado!B:B,ROW()):INDEX(Listado!F:F,ROW()))&gt;0,1,0)</f>
        <v/>
      </c>
      <c r="W1148" s="17" t="str">
        <f>IF(INDEX(Listado!L:L,ROW())="","",INDEX(Listado!L:L,ROW()))</f>
        <v/>
      </c>
      <c r="X1148" s="17">
        <f>IF(N1148="","",IF(INDEX(Listado!$M:$M,N1148)="No","No","Sí"))</f>
        <v/>
      </c>
    </row>
    <row r="1149" spans="2:24" ht="14.25">
      <c r="N1149" s="17" t="str">
        <f>IF(V1149=0,"",IFERROR(LOOKUP(2,1/(INDEX(Listado!A:A,2):INDEX(Listado!A:A,ROW())&lt;&gt;""),ROW(INDEX(Listado!A:A,2):INDEX(Listado!A:A,ROW()))),""))</f>
        <v/>
      </c>
      <c r="O1149" s="17" t="str">
        <f>IFERROR(IF(N1149="","",IF(INDEX(Listado!M:M,N1149)="No",IF(INDEX(Listado!N:N,N1149)=0,"",INDEX(Listado!N:N,N1149)),IF(INDEX(Listado!I:I,N1149)=0,"",INDEX(Listado!I:I,N1149)))),"")</f>
        <v/>
      </c>
      <c r="P1149" s="17">
        <f t="shared" ca="1" si="52"/>
        <v/>
      </c>
      <c r="Q1149" s="17">
        <f>IFERROR(IF(AND(N1149&lt;&gt;"",ISNUMBER(O1149),O1149&gt;0,O1149&gt;=TODAY()-90),1,0),0)</f>
        <v/>
      </c>
      <c r="R1149" s="17" t="str">
        <f t="shared" si="54"/>
        <v/>
      </c>
      <c r="S1149" s="17" t="str">
        <f>IF(INDEX(Listado!A:A,ROW())="","",INDEX(Listado!A:A,ROW()))</f>
        <v/>
      </c>
      <c r="T1149" s="17" t="str">
        <f ca="1">IF(INDEX(Listado!G:G,ROW())="","",INDEX(Listado!G:G,ROW()))</f>
        <v/>
      </c>
      <c r="U1149" s="17" t="str">
        <f>IF(INDEX(Listado!F:F,ROW())="","",INDEX(Listado!F:F,ROW()))</f>
        <v/>
      </c>
      <c r="V1149" s="17">
        <f>IF(COUNTA(INDEX(Listado!B:B,ROW()):INDEX(Listado!F:F,ROW()))&gt;0,1,0)</f>
        <v/>
      </c>
      <c r="W1149" s="17" t="str">
        <f>IF(INDEX(Listado!L:L,ROW())="","",INDEX(Listado!L:L,ROW()))</f>
        <v/>
      </c>
      <c r="X1149" s="17">
        <f>IF(N1149="","",IF(INDEX(Listado!$M:$M,N1149)="No","No","Sí"))</f>
        <v/>
      </c>
    </row>
    <row r="1150" spans="2:24" ht="14.25">
      <c r="N1150" s="17" t="str">
        <f>IF(V1150=0,"",IFERROR(LOOKUP(2,1/(INDEX(Listado!A:A,2):INDEX(Listado!A:A,ROW())&lt;&gt;""),ROW(INDEX(Listado!A:A,2):INDEX(Listado!A:A,ROW()))),""))</f>
        <v/>
      </c>
      <c r="O1150" s="17" t="str">
        <f>IFERROR(IF(N1150="","",IF(INDEX(Listado!M:M,N1150)="No",IF(INDEX(Listado!N:N,N1150)=0,"",INDEX(Listado!N:N,N1150)),IF(INDEX(Listado!I:I,N1150)=0,"",INDEX(Listado!I:I,N1150)))),"")</f>
        <v/>
      </c>
      <c r="P1150" s="17">
        <f t="shared" ca="1" si="52"/>
        <v/>
      </c>
      <c r="Q1150" s="17">
        <f>IFERROR(IF(AND(N1150&lt;&gt;"",ISNUMBER(O1150),O1150&gt;0,O1150&gt;=TODAY()-90),1,0),0)</f>
        <v/>
      </c>
      <c r="R1150" s="17" t="str">
        <f t="shared" si="54"/>
        <v/>
      </c>
      <c r="S1150" s="17" t="str">
        <f>IF(INDEX(Listado!A:A,ROW())="","",INDEX(Listado!A:A,ROW()))</f>
        <v/>
      </c>
      <c r="T1150" s="17" t="str">
        <f ca="1">IF(INDEX(Listado!G:G,ROW())="","",INDEX(Listado!G:G,ROW()))</f>
        <v/>
      </c>
      <c r="U1150" s="17" t="str">
        <f>IF(INDEX(Listado!F:F,ROW())="","",INDEX(Listado!F:F,ROW()))</f>
        <v/>
      </c>
      <c r="V1150" s="17">
        <f>IF(COUNTA(INDEX(Listado!B:B,ROW()):INDEX(Listado!F:F,ROW()))&gt;0,1,0)</f>
        <v/>
      </c>
      <c r="W1150" s="17" t="str">
        <f>IF(INDEX(Listado!L:L,ROW())="","",INDEX(Listado!L:L,ROW()))</f>
        <v/>
      </c>
      <c r="X1150" s="17">
        <f>IF(N1150="","",IF(INDEX(Listado!$M:$M,N1150)="No","No","Sí"))</f>
        <v/>
      </c>
    </row>
    <row r="1151" spans="2:24" ht="14.25">
      <c r="N1151" s="17" t="str">
        <f>IF(V1151=0,"",IFERROR(LOOKUP(2,1/(INDEX(Listado!A:A,2):INDEX(Listado!A:A,ROW())&lt;&gt;""),ROW(INDEX(Listado!A:A,2):INDEX(Listado!A:A,ROW()))),""))</f>
        <v/>
      </c>
      <c r="O1151" s="17" t="str">
        <f>IFERROR(IF(N1151="","",IF(INDEX(Listado!M:M,N1151)="No",IF(INDEX(Listado!N:N,N1151)=0,"",INDEX(Listado!N:N,N1151)),IF(INDEX(Listado!I:I,N1151)=0,"",INDEX(Listado!I:I,N1151)))),"")</f>
        <v/>
      </c>
      <c r="P1151" s="17">
        <f t="shared" ca="1" si="52"/>
        <v/>
      </c>
      <c r="Q1151" s="17">
        <f>IFERROR(IF(AND(N1151&lt;&gt;"",ISNUMBER(O1151),O1151&gt;0,O1151&gt;=TODAY()-90),1,0),0)</f>
        <v/>
      </c>
      <c r="R1151" s="17" t="str">
        <f t="shared" si="54"/>
        <v/>
      </c>
      <c r="S1151" s="17" t="str">
        <f>IF(INDEX(Listado!A:A,ROW())="","",INDEX(Listado!A:A,ROW()))</f>
        <v/>
      </c>
      <c r="T1151" s="17" t="str">
        <f ca="1">IF(INDEX(Listado!G:G,ROW())="","",INDEX(Listado!G:G,ROW()))</f>
        <v/>
      </c>
      <c r="U1151" s="17" t="str">
        <f>IF(INDEX(Listado!F:F,ROW())="","",INDEX(Listado!F:F,ROW()))</f>
        <v/>
      </c>
      <c r="V1151" s="17">
        <f>IF(COUNTA(INDEX(Listado!B:B,ROW()):INDEX(Listado!F:F,ROW()))&gt;0,1,0)</f>
        <v/>
      </c>
      <c r="W1151" s="17" t="str">
        <f>IF(INDEX(Listado!L:L,ROW())="","",INDEX(Listado!L:L,ROW()))</f>
        <v/>
      </c>
      <c r="X1151" s="17">
        <f>IF(N1151="","",IF(INDEX(Listado!$M:$M,N1151)="No","No","Sí"))</f>
        <v/>
      </c>
    </row>
    <row r="1152" spans="2:24" ht="14.25">
      <c r="N1152" s="17" t="str">
        <f>IF(V1152=0,"",IFERROR(LOOKUP(2,1/(INDEX(Listado!A:A,2):INDEX(Listado!A:A,ROW())&lt;&gt;""),ROW(INDEX(Listado!A:A,2):INDEX(Listado!A:A,ROW()))),""))</f>
        <v/>
      </c>
      <c r="O1152" s="17" t="str">
        <f>IFERROR(IF(N1152="","",IF(INDEX(Listado!M:M,N1152)="No",IF(INDEX(Listado!N:N,N1152)=0,"",INDEX(Listado!N:N,N1152)),IF(INDEX(Listado!I:I,N1152)=0,"",INDEX(Listado!I:I,N1152)))),"")</f>
        <v/>
      </c>
      <c r="P1152" s="17">
        <f t="shared" ca="1" si="52"/>
        <v/>
      </c>
      <c r="Q1152" s="17">
        <f>IFERROR(IF(AND(N1152&lt;&gt;"",ISNUMBER(O1152),O1152&gt;0,O1152&gt;=TODAY()-90),1,0),0)</f>
        <v/>
      </c>
      <c r="R1152" s="17" t="str">
        <f t="shared" si="54"/>
        <v/>
      </c>
      <c r="S1152" s="17" t="str">
        <f>IF(INDEX(Listado!A:A,ROW())="","",INDEX(Listado!A:A,ROW()))</f>
        <v/>
      </c>
      <c r="T1152" s="17" t="str">
        <f ca="1">IF(INDEX(Listado!G:G,ROW())="","",INDEX(Listado!G:G,ROW()))</f>
        <v/>
      </c>
      <c r="U1152" s="17" t="str">
        <f>IF(INDEX(Listado!F:F,ROW())="","",INDEX(Listado!F:F,ROW()))</f>
        <v/>
      </c>
      <c r="V1152" s="17">
        <f>IF(COUNTA(INDEX(Listado!B:B,ROW()):INDEX(Listado!F:F,ROW()))&gt;0,1,0)</f>
        <v/>
      </c>
      <c r="W1152" s="17" t="str">
        <f>IF(INDEX(Listado!L:L,ROW())="","",INDEX(Listado!L:L,ROW()))</f>
        <v/>
      </c>
      <c r="X1152" s="17">
        <f>IF(N1152="","",IF(INDEX(Listado!$M:$M,N1152)="No","No","Sí"))</f>
        <v/>
      </c>
    </row>
    <row r="1153" spans="2:24" ht="14.25">
      <c r="N1153" s="17" t="str">
        <f>IF(V1153=0,"",IFERROR(LOOKUP(2,1/(INDEX(Listado!A:A,2):INDEX(Listado!A:A,ROW())&lt;&gt;""),ROW(INDEX(Listado!A:A,2):INDEX(Listado!A:A,ROW()))),""))</f>
        <v/>
      </c>
      <c r="O1153" s="17" t="str">
        <f>IFERROR(IF(N1153="","",IF(INDEX(Listado!M:M,N1153)="No",IF(INDEX(Listado!N:N,N1153)=0,"",INDEX(Listado!N:N,N1153)),IF(INDEX(Listado!I:I,N1153)=0,"",INDEX(Listado!I:I,N1153)))),"")</f>
        <v/>
      </c>
      <c r="P1153" s="17">
        <f t="shared" ca="1" si="52"/>
        <v/>
      </c>
      <c r="Q1153" s="17">
        <f>IFERROR(IF(AND(N1153&lt;&gt;"",ISNUMBER(O1153),O1153&gt;0,O1153&gt;=TODAY()-90),1,0),0)</f>
        <v/>
      </c>
      <c r="R1153" s="17" t="str">
        <f t="shared" si="54"/>
        <v/>
      </c>
      <c r="S1153" s="17" t="str">
        <f>IF(INDEX(Listado!A:A,ROW())="","",INDEX(Listado!A:A,ROW()))</f>
        <v/>
      </c>
      <c r="T1153" s="17" t="str">
        <f ca="1">IF(INDEX(Listado!G:G,ROW())="","",INDEX(Listado!G:G,ROW()))</f>
        <v/>
      </c>
      <c r="U1153" s="17" t="str">
        <f>IF(INDEX(Listado!F:F,ROW())="","",INDEX(Listado!F:F,ROW()))</f>
        <v/>
      </c>
      <c r="V1153" s="17">
        <f>IF(COUNTA(INDEX(Listado!B:B,ROW()):INDEX(Listado!F:F,ROW()))&gt;0,1,0)</f>
        <v/>
      </c>
      <c r="W1153" s="17" t="str">
        <f>IF(INDEX(Listado!L:L,ROW())="","",INDEX(Listado!L:L,ROW()))</f>
        <v/>
      </c>
      <c r="X1153" s="17">
        <f>IF(N1153="","",IF(INDEX(Listado!$M:$M,N1153)="No","No","Sí"))</f>
        <v/>
      </c>
    </row>
    <row r="1154" spans="2:24" ht="14.25">
      <c r="N1154" s="17" t="str">
        <f>IF(V1154=0,"",IFERROR(LOOKUP(2,1/(INDEX(Listado!A:A,2):INDEX(Listado!A:A,ROW())&lt;&gt;""),ROW(INDEX(Listado!A:A,2):INDEX(Listado!A:A,ROW()))),""))</f>
        <v/>
      </c>
      <c r="O1154" s="17" t="str">
        <f>IFERROR(IF(N1154="","",IF(INDEX(Listado!M:M,N1154)="No",IF(INDEX(Listado!N:N,N1154)=0,"",INDEX(Listado!N:N,N1154)),IF(INDEX(Listado!I:I,N1154)=0,"",INDEX(Listado!I:I,N1154)))),"")</f>
        <v/>
      </c>
      <c r="P1154" s="17">
        <f t="shared" ref="P1154:P1217" ca="1" si="55">IF(W1154="",0,IFERROR(IF(AND(ISNUMBER(W1154),W1154=INT(W1154),ISNUMBER(O1154),O1154&gt;0,W1154&gt;=TODAY(),W1154&lt;=O1154+90),0,1),1))</f>
        <v/>
      </c>
      <c r="Q1154" s="17">
        <f>IFERROR(IF(AND(N1154&lt;&gt;"",ISNUMBER(O1154),O1154&gt;0,O1154&gt;=TODAY()-90),1,0),0)</f>
        <v/>
      </c>
      <c r="R1154" s="17" t="str">
        <f t="shared" ref="R1154:R1217" si="57">IF(S1154="","",COUNTIFS($N$2:$N$2999,ROW(),$Q$2:$Q$2999,1))</f>
        <v/>
      </c>
      <c r="S1154" s="17" t="str">
        <f>IF(INDEX(Listado!A:A,ROW())="","",INDEX(Listado!A:A,ROW()))</f>
        <v/>
      </c>
      <c r="T1154" s="17" t="str">
        <f ca="1">IF(INDEX(Listado!G:G,ROW())="","",INDEX(Listado!G:G,ROW()))</f>
        <v/>
      </c>
      <c r="U1154" s="17" t="str">
        <f>IF(INDEX(Listado!F:F,ROW())="","",INDEX(Listado!F:F,ROW()))</f>
        <v/>
      </c>
      <c r="V1154" s="17">
        <f>IF(COUNTA(INDEX(Listado!B:B,ROW()):INDEX(Listado!F:F,ROW()))&gt;0,1,0)</f>
        <v/>
      </c>
      <c r="W1154" s="17" t="str">
        <f>IF(INDEX(Listado!L:L,ROW())="","",INDEX(Listado!L:L,ROW()))</f>
        <v/>
      </c>
      <c r="X1154" s="17">
        <f>IF(N1154="","",IF(INDEX(Listado!$M:$M,N1154)="No","No","Sí"))</f>
        <v/>
      </c>
    </row>
    <row r="1155" spans="2:24" ht="14.25">
      <c r="N1155" s="17" t="str">
        <f>IF(V1155=0,"",IFERROR(LOOKUP(2,1/(INDEX(Listado!A:A,2):INDEX(Listado!A:A,ROW())&lt;&gt;""),ROW(INDEX(Listado!A:A,2):INDEX(Listado!A:A,ROW()))),""))</f>
        <v/>
      </c>
      <c r="O1155" s="17" t="str">
        <f>IFERROR(IF(N1155="","",IF(INDEX(Listado!M:M,N1155)="No",IF(INDEX(Listado!N:N,N1155)=0,"",INDEX(Listado!N:N,N1155)),IF(INDEX(Listado!I:I,N1155)=0,"",INDEX(Listado!I:I,N1155)))),"")</f>
        <v/>
      </c>
      <c r="P1155" s="17">
        <f t="shared" ca="1" si="55"/>
        <v/>
      </c>
      <c r="Q1155" s="17">
        <f>IFERROR(IF(AND(N1155&lt;&gt;"",ISNUMBER(O1155),O1155&gt;0,O1155&gt;=TODAY()-90),1,0),0)</f>
        <v/>
      </c>
      <c r="R1155" s="17" t="str">
        <f t="shared" si="57"/>
        <v/>
      </c>
      <c r="S1155" s="17" t="str">
        <f>IF(INDEX(Listado!A:A,ROW())="","",INDEX(Listado!A:A,ROW()))</f>
        <v/>
      </c>
      <c r="T1155" s="17" t="str">
        <f ca="1">IF(INDEX(Listado!G:G,ROW())="","",INDEX(Listado!G:G,ROW()))</f>
        <v/>
      </c>
      <c r="U1155" s="17" t="str">
        <f>IF(INDEX(Listado!F:F,ROW())="","",INDEX(Listado!F:F,ROW()))</f>
        <v/>
      </c>
      <c r="V1155" s="17">
        <f>IF(COUNTA(INDEX(Listado!B:B,ROW()):INDEX(Listado!F:F,ROW()))&gt;0,1,0)</f>
        <v/>
      </c>
      <c r="W1155" s="17" t="str">
        <f>IF(INDEX(Listado!L:L,ROW())="","",INDEX(Listado!L:L,ROW()))</f>
        <v/>
      </c>
      <c r="X1155" s="17">
        <f>IF(N1155="","",IF(INDEX(Listado!$M:$M,N1155)="No","No","Sí"))</f>
        <v/>
      </c>
    </row>
    <row r="1156" spans="2:24" ht="14.25">
      <c r="N1156" s="17" t="str">
        <f>IF(V1156=0,"",IFERROR(LOOKUP(2,1/(INDEX(Listado!A:A,2):INDEX(Listado!A:A,ROW())&lt;&gt;""),ROW(INDEX(Listado!A:A,2):INDEX(Listado!A:A,ROW()))),""))</f>
        <v/>
      </c>
      <c r="O1156" s="17" t="str">
        <f>IFERROR(IF(N1156="","",IF(INDEX(Listado!M:M,N1156)="No",IF(INDEX(Listado!N:N,N1156)=0,"",INDEX(Listado!N:N,N1156)),IF(INDEX(Listado!I:I,N1156)=0,"",INDEX(Listado!I:I,N1156)))),"")</f>
        <v/>
      </c>
      <c r="P1156" s="17">
        <f t="shared" ca="1" si="55"/>
        <v/>
      </c>
      <c r="Q1156" s="17">
        <f>IFERROR(IF(AND(N1156&lt;&gt;"",ISNUMBER(O1156),O1156&gt;0,O1156&gt;=TODAY()-90),1,0),0)</f>
        <v/>
      </c>
      <c r="R1156" s="17" t="str">
        <f t="shared" si="57"/>
        <v/>
      </c>
      <c r="S1156" s="17" t="str">
        <f>IF(INDEX(Listado!A:A,ROW())="","",INDEX(Listado!A:A,ROW()))</f>
        <v/>
      </c>
      <c r="T1156" s="17" t="str">
        <f ca="1">IF(INDEX(Listado!G:G,ROW())="","",INDEX(Listado!G:G,ROW()))</f>
        <v/>
      </c>
      <c r="U1156" s="17" t="str">
        <f>IF(INDEX(Listado!F:F,ROW())="","",INDEX(Listado!F:F,ROW()))</f>
        <v/>
      </c>
      <c r="V1156" s="17">
        <f>IF(COUNTA(INDEX(Listado!B:B,ROW()):INDEX(Listado!F:F,ROW()))&gt;0,1,0)</f>
        <v/>
      </c>
      <c r="W1156" s="17" t="str">
        <f>IF(INDEX(Listado!L:L,ROW())="","",INDEX(Listado!L:L,ROW()))</f>
        <v/>
      </c>
      <c r="X1156" s="17">
        <f>IF(N1156="","",IF(INDEX(Listado!$M:$M,N1156)="No","No","Sí"))</f>
        <v/>
      </c>
    </row>
    <row r="1157" spans="2:24" ht="14.25">
      <c r="N1157" s="17" t="str">
        <f>IF(V1157=0,"",IFERROR(LOOKUP(2,1/(INDEX(Listado!A:A,2):INDEX(Listado!A:A,ROW())&lt;&gt;""),ROW(INDEX(Listado!A:A,2):INDEX(Listado!A:A,ROW()))),""))</f>
        <v/>
      </c>
      <c r="O1157" s="17" t="str">
        <f>IFERROR(IF(N1157="","",IF(INDEX(Listado!M:M,N1157)="No",IF(INDEX(Listado!N:N,N1157)=0,"",INDEX(Listado!N:N,N1157)),IF(INDEX(Listado!I:I,N1157)=0,"",INDEX(Listado!I:I,N1157)))),"")</f>
        <v/>
      </c>
      <c r="P1157" s="17">
        <f t="shared" ca="1" si="55"/>
        <v/>
      </c>
      <c r="Q1157" s="17">
        <f>IFERROR(IF(AND(N1157&lt;&gt;"",ISNUMBER(O1157),O1157&gt;0,O1157&gt;=TODAY()-90),1,0),0)</f>
        <v/>
      </c>
      <c r="R1157" s="17" t="str">
        <f t="shared" si="57"/>
        <v/>
      </c>
      <c r="S1157" s="17" t="str">
        <f>IF(INDEX(Listado!A:A,ROW())="","",INDEX(Listado!A:A,ROW()))</f>
        <v/>
      </c>
      <c r="T1157" s="17" t="str">
        <f ca="1">IF(INDEX(Listado!G:G,ROW())="","",INDEX(Listado!G:G,ROW()))</f>
        <v/>
      </c>
      <c r="U1157" s="17" t="str">
        <f>IF(INDEX(Listado!F:F,ROW())="","",INDEX(Listado!F:F,ROW()))</f>
        <v/>
      </c>
      <c r="V1157" s="17">
        <f>IF(COUNTA(INDEX(Listado!B:B,ROW()):INDEX(Listado!F:F,ROW()))&gt;0,1,0)</f>
        <v/>
      </c>
      <c r="W1157" s="17" t="str">
        <f>IF(INDEX(Listado!L:L,ROW())="","",INDEX(Listado!L:L,ROW()))</f>
        <v/>
      </c>
      <c r="X1157" s="17">
        <f>IF(N1157="","",IF(INDEX(Listado!$M:$M,N1157)="No","No","Sí"))</f>
        <v/>
      </c>
    </row>
    <row r="1158" spans="2:24" ht="14.25">
      <c r="N1158" s="17" t="str">
        <f>IF(V1158=0,"",IFERROR(LOOKUP(2,1/(INDEX(Listado!A:A,2):INDEX(Listado!A:A,ROW())&lt;&gt;""),ROW(INDEX(Listado!A:A,2):INDEX(Listado!A:A,ROW()))),""))</f>
        <v/>
      </c>
      <c r="O1158" s="17" t="str">
        <f>IFERROR(IF(N1158="","",IF(INDEX(Listado!M:M,N1158)="No",IF(INDEX(Listado!N:N,N1158)=0,"",INDEX(Listado!N:N,N1158)),IF(INDEX(Listado!I:I,N1158)=0,"",INDEX(Listado!I:I,N1158)))),"")</f>
        <v/>
      </c>
      <c r="P1158" s="17">
        <f t="shared" ca="1" si="55"/>
        <v/>
      </c>
      <c r="Q1158" s="17">
        <f>IFERROR(IF(AND(N1158&lt;&gt;"",ISNUMBER(O1158),O1158&gt;0,O1158&gt;=TODAY()-90),1,0),0)</f>
        <v/>
      </c>
      <c r="R1158" s="17" t="str">
        <f t="shared" si="57"/>
        <v/>
      </c>
      <c r="S1158" s="17" t="str">
        <f>IF(INDEX(Listado!A:A,ROW())="","",INDEX(Listado!A:A,ROW()))</f>
        <v/>
      </c>
      <c r="T1158" s="17" t="str">
        <f ca="1">IF(INDEX(Listado!G:G,ROW())="","",INDEX(Listado!G:G,ROW()))</f>
        <v/>
      </c>
      <c r="U1158" s="17" t="str">
        <f>IF(INDEX(Listado!F:F,ROW())="","",INDEX(Listado!F:F,ROW()))</f>
        <v/>
      </c>
      <c r="V1158" s="17">
        <f>IF(COUNTA(INDEX(Listado!B:B,ROW()):INDEX(Listado!F:F,ROW()))&gt;0,1,0)</f>
        <v/>
      </c>
      <c r="W1158" s="17" t="str">
        <f>IF(INDEX(Listado!L:L,ROW())="","",INDEX(Listado!L:L,ROW()))</f>
        <v/>
      </c>
      <c r="X1158" s="17">
        <f>IF(N1158="","",IF(INDEX(Listado!$M:$M,N1158)="No","No","Sí"))</f>
        <v/>
      </c>
    </row>
    <row r="1159" spans="2:24" ht="14.25">
      <c r="N1159" s="17" t="str">
        <f>IF(V1159=0,"",IFERROR(LOOKUP(2,1/(INDEX(Listado!A:A,2):INDEX(Listado!A:A,ROW())&lt;&gt;""),ROW(INDEX(Listado!A:A,2):INDEX(Listado!A:A,ROW()))),""))</f>
        <v/>
      </c>
      <c r="O1159" s="17" t="str">
        <f>IFERROR(IF(N1159="","",IF(INDEX(Listado!M:M,N1159)="No",IF(INDEX(Listado!N:N,N1159)=0,"",INDEX(Listado!N:N,N1159)),IF(INDEX(Listado!I:I,N1159)=0,"",INDEX(Listado!I:I,N1159)))),"")</f>
        <v/>
      </c>
      <c r="P1159" s="17">
        <f t="shared" ca="1" si="55"/>
        <v/>
      </c>
      <c r="Q1159" s="17">
        <f>IFERROR(IF(AND(N1159&lt;&gt;"",ISNUMBER(O1159),O1159&gt;0,O1159&gt;=TODAY()-90),1,0),0)</f>
        <v/>
      </c>
      <c r="R1159" s="17" t="str">
        <f t="shared" si="57"/>
        <v/>
      </c>
      <c r="S1159" s="17" t="str">
        <f>IF(INDEX(Listado!A:A,ROW())="","",INDEX(Listado!A:A,ROW()))</f>
        <v/>
      </c>
      <c r="T1159" s="17" t="str">
        <f ca="1">IF(INDEX(Listado!G:G,ROW())="","",INDEX(Listado!G:G,ROW()))</f>
        <v/>
      </c>
      <c r="U1159" s="17" t="str">
        <f>IF(INDEX(Listado!F:F,ROW())="","",INDEX(Listado!F:F,ROW()))</f>
        <v/>
      </c>
      <c r="V1159" s="17">
        <f>IF(COUNTA(INDEX(Listado!B:B,ROW()):INDEX(Listado!F:F,ROW()))&gt;0,1,0)</f>
        <v/>
      </c>
      <c r="W1159" s="17" t="str">
        <f>IF(INDEX(Listado!L:L,ROW())="","",INDEX(Listado!L:L,ROW()))</f>
        <v/>
      </c>
      <c r="X1159" s="17">
        <f>IF(N1159="","",IF(INDEX(Listado!$M:$M,N1159)="No","No","Sí"))</f>
        <v/>
      </c>
    </row>
    <row r="1160" spans="2:24" ht="14.25">
      <c r="N1160" s="17" t="str">
        <f>IF(V1160=0,"",IFERROR(LOOKUP(2,1/(INDEX(Listado!A:A,2):INDEX(Listado!A:A,ROW())&lt;&gt;""),ROW(INDEX(Listado!A:A,2):INDEX(Listado!A:A,ROW()))),""))</f>
        <v/>
      </c>
      <c r="O1160" s="17" t="str">
        <f>IFERROR(IF(N1160="","",IF(INDEX(Listado!M:M,N1160)="No",IF(INDEX(Listado!N:N,N1160)=0,"",INDEX(Listado!N:N,N1160)),IF(INDEX(Listado!I:I,N1160)=0,"",INDEX(Listado!I:I,N1160)))),"")</f>
        <v/>
      </c>
      <c r="P1160" s="17">
        <f t="shared" ca="1" si="55"/>
        <v/>
      </c>
      <c r="Q1160" s="17">
        <f>IFERROR(IF(AND(N1160&lt;&gt;"",ISNUMBER(O1160),O1160&gt;0,O1160&gt;=TODAY()-90),1,0),0)</f>
        <v/>
      </c>
      <c r="R1160" s="17" t="str">
        <f t="shared" si="57"/>
        <v/>
      </c>
      <c r="S1160" s="17" t="str">
        <f>IF(INDEX(Listado!A:A,ROW())="","",INDEX(Listado!A:A,ROW()))</f>
        <v/>
      </c>
      <c r="T1160" s="17" t="str">
        <f ca="1">IF(INDEX(Listado!G:G,ROW())="","",INDEX(Listado!G:G,ROW()))</f>
        <v/>
      </c>
      <c r="U1160" s="17" t="str">
        <f>IF(INDEX(Listado!F:F,ROW())="","",INDEX(Listado!F:F,ROW()))</f>
        <v/>
      </c>
      <c r="V1160" s="17">
        <f>IF(COUNTA(INDEX(Listado!B:B,ROW()):INDEX(Listado!F:F,ROW()))&gt;0,1,0)</f>
        <v/>
      </c>
      <c r="W1160" s="17" t="str">
        <f>IF(INDEX(Listado!L:L,ROW())="","",INDEX(Listado!L:L,ROW()))</f>
        <v/>
      </c>
      <c r="X1160" s="17">
        <f>IF(N1160="","",IF(INDEX(Listado!$M:$M,N1160)="No","No","Sí"))</f>
        <v/>
      </c>
    </row>
    <row r="1161" spans="2:24" ht="14.25">
      <c r="N1161" s="17" t="str">
        <f>IF(V1161=0,"",IFERROR(LOOKUP(2,1/(INDEX(Listado!A:A,2):INDEX(Listado!A:A,ROW())&lt;&gt;""),ROW(INDEX(Listado!A:A,2):INDEX(Listado!A:A,ROW()))),""))</f>
        <v/>
      </c>
      <c r="O1161" s="17" t="str">
        <f>IFERROR(IF(N1161="","",IF(INDEX(Listado!M:M,N1161)="No",IF(INDEX(Listado!N:N,N1161)=0,"",INDEX(Listado!N:N,N1161)),IF(INDEX(Listado!I:I,N1161)=0,"",INDEX(Listado!I:I,N1161)))),"")</f>
        <v/>
      </c>
      <c r="P1161" s="17">
        <f t="shared" ca="1" si="55"/>
        <v/>
      </c>
      <c r="Q1161" s="17">
        <f>IFERROR(IF(AND(N1161&lt;&gt;"",ISNUMBER(O1161),O1161&gt;0,O1161&gt;=TODAY()-90),1,0),0)</f>
        <v/>
      </c>
      <c r="R1161" s="17" t="str">
        <f t="shared" si="57"/>
        <v/>
      </c>
      <c r="S1161" s="17" t="str">
        <f>IF(INDEX(Listado!A:A,ROW())="","",INDEX(Listado!A:A,ROW()))</f>
        <v/>
      </c>
      <c r="T1161" s="17" t="str">
        <f ca="1">IF(INDEX(Listado!G:G,ROW())="","",INDEX(Listado!G:G,ROW()))</f>
        <v/>
      </c>
      <c r="U1161" s="17" t="str">
        <f>IF(INDEX(Listado!F:F,ROW())="","",INDEX(Listado!F:F,ROW()))</f>
        <v/>
      </c>
      <c r="V1161" s="17">
        <f>IF(COUNTA(INDEX(Listado!B:B,ROW()):INDEX(Listado!F:F,ROW()))&gt;0,1,0)</f>
        <v/>
      </c>
      <c r="W1161" s="17" t="str">
        <f>IF(INDEX(Listado!L:L,ROW())="","",INDEX(Listado!L:L,ROW()))</f>
        <v/>
      </c>
      <c r="X1161" s="17">
        <f>IF(N1161="","",IF(INDEX(Listado!$M:$M,N1161)="No","No","Sí"))</f>
        <v/>
      </c>
    </row>
    <row r="1162" spans="2:24" ht="14.25">
      <c r="N1162" s="17" t="str">
        <f>IF(V1162=0,"",IFERROR(LOOKUP(2,1/(INDEX(Listado!A:A,2):INDEX(Listado!A:A,ROW())&lt;&gt;""),ROW(INDEX(Listado!A:A,2):INDEX(Listado!A:A,ROW()))),""))</f>
        <v/>
      </c>
      <c r="O1162" s="17" t="str">
        <f>IFERROR(IF(N1162="","",IF(INDEX(Listado!M:M,N1162)="No",IF(INDEX(Listado!N:N,N1162)=0,"",INDEX(Listado!N:N,N1162)),IF(INDEX(Listado!I:I,N1162)=0,"",INDEX(Listado!I:I,N1162)))),"")</f>
        <v/>
      </c>
      <c r="P1162" s="17">
        <f t="shared" ca="1" si="55"/>
        <v/>
      </c>
      <c r="Q1162" s="17">
        <f>IFERROR(IF(AND(N1162&lt;&gt;"",ISNUMBER(O1162),O1162&gt;0,O1162&gt;=TODAY()-90),1,0),0)</f>
        <v/>
      </c>
      <c r="R1162" s="17" t="str">
        <f t="shared" si="57"/>
        <v/>
      </c>
      <c r="S1162" s="17" t="str">
        <f>IF(INDEX(Listado!A:A,ROW())="","",INDEX(Listado!A:A,ROW()))</f>
        <v/>
      </c>
      <c r="T1162" s="17" t="str">
        <f ca="1">IF(INDEX(Listado!G:G,ROW())="","",INDEX(Listado!G:G,ROW()))</f>
        <v/>
      </c>
      <c r="U1162" s="17" t="str">
        <f>IF(INDEX(Listado!F:F,ROW())="","",INDEX(Listado!F:F,ROW()))</f>
        <v/>
      </c>
      <c r="V1162" s="17">
        <f>IF(COUNTA(INDEX(Listado!B:B,ROW()):INDEX(Listado!F:F,ROW()))&gt;0,1,0)</f>
        <v/>
      </c>
      <c r="W1162" s="17" t="str">
        <f>IF(INDEX(Listado!L:L,ROW())="","",INDEX(Listado!L:L,ROW()))</f>
        <v/>
      </c>
      <c r="X1162" s="17">
        <f>IF(N1162="","",IF(INDEX(Listado!$M:$M,N1162)="No","No","Sí"))</f>
        <v/>
      </c>
    </row>
    <row r="1163" spans="2:24" ht="14.25">
      <c r="N1163" s="17" t="str">
        <f>IF(V1163=0,"",IFERROR(LOOKUP(2,1/(INDEX(Listado!A:A,2):INDEX(Listado!A:A,ROW())&lt;&gt;""),ROW(INDEX(Listado!A:A,2):INDEX(Listado!A:A,ROW()))),""))</f>
        <v/>
      </c>
      <c r="O1163" s="17" t="str">
        <f>IFERROR(IF(N1163="","",IF(INDEX(Listado!M:M,N1163)="No",IF(INDEX(Listado!N:N,N1163)=0,"",INDEX(Listado!N:N,N1163)),IF(INDEX(Listado!I:I,N1163)=0,"",INDEX(Listado!I:I,N1163)))),"")</f>
        <v/>
      </c>
      <c r="P1163" s="17">
        <f t="shared" ca="1" si="55"/>
        <v/>
      </c>
      <c r="Q1163" s="17">
        <f>IFERROR(IF(AND(N1163&lt;&gt;"",ISNUMBER(O1163),O1163&gt;0,O1163&gt;=TODAY()-90),1,0),0)</f>
        <v/>
      </c>
      <c r="R1163" s="17" t="str">
        <f t="shared" si="57"/>
        <v/>
      </c>
      <c r="S1163" s="17" t="str">
        <f>IF(INDEX(Listado!A:A,ROW())="","",INDEX(Listado!A:A,ROW()))</f>
        <v/>
      </c>
      <c r="T1163" s="17" t="str">
        <f ca="1">IF(INDEX(Listado!G:G,ROW())="","",INDEX(Listado!G:G,ROW()))</f>
        <v/>
      </c>
      <c r="U1163" s="17" t="str">
        <f>IF(INDEX(Listado!F:F,ROW())="","",INDEX(Listado!F:F,ROW()))</f>
        <v/>
      </c>
      <c r="V1163" s="17">
        <f>IF(COUNTA(INDEX(Listado!B:B,ROW()):INDEX(Listado!F:F,ROW()))&gt;0,1,0)</f>
        <v/>
      </c>
      <c r="W1163" s="17" t="str">
        <f>IF(INDEX(Listado!L:L,ROW())="","",INDEX(Listado!L:L,ROW()))</f>
        <v/>
      </c>
      <c r="X1163" s="17">
        <f>IF(N1163="","",IF(INDEX(Listado!$M:$M,N1163)="No","No","Sí"))</f>
        <v/>
      </c>
    </row>
    <row r="1164" spans="2:24" ht="14.25">
      <c r="N1164" s="17" t="str">
        <f>IF(V1164=0,"",IFERROR(LOOKUP(2,1/(INDEX(Listado!A:A,2):INDEX(Listado!A:A,ROW())&lt;&gt;""),ROW(INDEX(Listado!A:A,2):INDEX(Listado!A:A,ROW()))),""))</f>
        <v/>
      </c>
      <c r="O1164" s="17" t="str">
        <f>IFERROR(IF(N1164="","",IF(INDEX(Listado!M:M,N1164)="No",IF(INDEX(Listado!N:N,N1164)=0,"",INDEX(Listado!N:N,N1164)),IF(INDEX(Listado!I:I,N1164)=0,"",INDEX(Listado!I:I,N1164)))),"")</f>
        <v/>
      </c>
      <c r="P1164" s="17">
        <f t="shared" ca="1" si="55"/>
        <v/>
      </c>
      <c r="Q1164" s="17">
        <f>IFERROR(IF(AND(N1164&lt;&gt;"",ISNUMBER(O1164),O1164&gt;0,O1164&gt;=TODAY()-90),1,0),0)</f>
        <v/>
      </c>
      <c r="R1164" s="17" t="str">
        <f t="shared" si="57"/>
        <v/>
      </c>
      <c r="S1164" s="17" t="str">
        <f>IF(INDEX(Listado!A:A,ROW())="","",INDEX(Listado!A:A,ROW()))</f>
        <v/>
      </c>
      <c r="T1164" s="17" t="str">
        <f ca="1">IF(INDEX(Listado!G:G,ROW())="","",INDEX(Listado!G:G,ROW()))</f>
        <v/>
      </c>
      <c r="U1164" s="17" t="str">
        <f>IF(INDEX(Listado!F:F,ROW())="","",INDEX(Listado!F:F,ROW()))</f>
        <v/>
      </c>
      <c r="V1164" s="17">
        <f>IF(COUNTA(INDEX(Listado!B:B,ROW()):INDEX(Listado!F:F,ROW()))&gt;0,1,0)</f>
        <v/>
      </c>
      <c r="W1164" s="17" t="str">
        <f>IF(INDEX(Listado!L:L,ROW())="","",INDEX(Listado!L:L,ROW()))</f>
        <v/>
      </c>
      <c r="X1164" s="17">
        <f>IF(N1164="","",IF(INDEX(Listado!$M:$M,N1164)="No","No","Sí"))</f>
        <v/>
      </c>
    </row>
    <row r="1165" spans="2:24" ht="14.25">
      <c r="N1165" s="17" t="str">
        <f>IF(V1165=0,"",IFERROR(LOOKUP(2,1/(INDEX(Listado!A:A,2):INDEX(Listado!A:A,ROW())&lt;&gt;""),ROW(INDEX(Listado!A:A,2):INDEX(Listado!A:A,ROW()))),""))</f>
        <v/>
      </c>
      <c r="O1165" s="17" t="str">
        <f>IFERROR(IF(N1165="","",IF(INDEX(Listado!M:M,N1165)="No",IF(INDEX(Listado!N:N,N1165)=0,"",INDEX(Listado!N:N,N1165)),IF(INDEX(Listado!I:I,N1165)=0,"",INDEX(Listado!I:I,N1165)))),"")</f>
        <v/>
      </c>
      <c r="P1165" s="17">
        <f t="shared" ca="1" si="55"/>
        <v/>
      </c>
      <c r="Q1165" s="17">
        <f>IFERROR(IF(AND(N1165&lt;&gt;"",ISNUMBER(O1165),O1165&gt;0,O1165&gt;=TODAY()-90),1,0),0)</f>
        <v/>
      </c>
      <c r="R1165" s="17" t="str">
        <f t="shared" si="57"/>
        <v/>
      </c>
      <c r="S1165" s="17" t="str">
        <f>IF(INDEX(Listado!A:A,ROW())="","",INDEX(Listado!A:A,ROW()))</f>
        <v/>
      </c>
      <c r="T1165" s="17" t="str">
        <f ca="1">IF(INDEX(Listado!G:G,ROW())="","",INDEX(Listado!G:G,ROW()))</f>
        <v/>
      </c>
      <c r="U1165" s="17" t="str">
        <f>IF(INDEX(Listado!F:F,ROW())="","",INDEX(Listado!F:F,ROW()))</f>
        <v/>
      </c>
      <c r="V1165" s="17">
        <f>IF(COUNTA(INDEX(Listado!B:B,ROW()):INDEX(Listado!F:F,ROW()))&gt;0,1,0)</f>
        <v/>
      </c>
      <c r="W1165" s="17" t="str">
        <f>IF(INDEX(Listado!L:L,ROW())="","",INDEX(Listado!L:L,ROW()))</f>
        <v/>
      </c>
      <c r="X1165" s="17">
        <f>IF(N1165="","",IF(INDEX(Listado!$M:$M,N1165)="No","No","Sí"))</f>
        <v/>
      </c>
    </row>
    <row r="1166" spans="2:24" ht="14.25">
      <c r="N1166" s="17" t="str">
        <f>IF(V1166=0,"",IFERROR(LOOKUP(2,1/(INDEX(Listado!A:A,2):INDEX(Listado!A:A,ROW())&lt;&gt;""),ROW(INDEX(Listado!A:A,2):INDEX(Listado!A:A,ROW()))),""))</f>
        <v/>
      </c>
      <c r="O1166" s="17" t="str">
        <f>IFERROR(IF(N1166="","",IF(INDEX(Listado!M:M,N1166)="No",IF(INDEX(Listado!N:N,N1166)=0,"",INDEX(Listado!N:N,N1166)),IF(INDEX(Listado!I:I,N1166)=0,"",INDEX(Listado!I:I,N1166)))),"")</f>
        <v/>
      </c>
      <c r="P1166" s="17">
        <f t="shared" ca="1" si="55"/>
        <v/>
      </c>
      <c r="Q1166" s="17">
        <f>IFERROR(IF(AND(N1166&lt;&gt;"",ISNUMBER(O1166),O1166&gt;0,O1166&gt;=TODAY()-90),1,0),0)</f>
        <v/>
      </c>
      <c r="R1166" s="17" t="str">
        <f t="shared" si="57"/>
        <v/>
      </c>
      <c r="S1166" s="17" t="str">
        <f>IF(INDEX(Listado!A:A,ROW())="","",INDEX(Listado!A:A,ROW()))</f>
        <v/>
      </c>
      <c r="T1166" s="17" t="str">
        <f ca="1">IF(INDEX(Listado!G:G,ROW())="","",INDEX(Listado!G:G,ROW()))</f>
        <v/>
      </c>
      <c r="U1166" s="17" t="str">
        <f>IF(INDEX(Listado!F:F,ROW())="","",INDEX(Listado!F:F,ROW()))</f>
        <v/>
      </c>
      <c r="V1166" s="17">
        <f>IF(COUNTA(INDEX(Listado!B:B,ROW()):INDEX(Listado!F:F,ROW()))&gt;0,1,0)</f>
        <v/>
      </c>
      <c r="W1166" s="17" t="str">
        <f>IF(INDEX(Listado!L:L,ROW())="","",INDEX(Listado!L:L,ROW()))</f>
        <v/>
      </c>
      <c r="X1166" s="17">
        <f>IF(N1166="","",IF(INDEX(Listado!$M:$M,N1166)="No","No","Sí"))</f>
        <v/>
      </c>
    </row>
    <row r="1167" spans="2:24" ht="14.25">
      <c r="N1167" s="17" t="str">
        <f>IF(V1167=0,"",IFERROR(LOOKUP(2,1/(INDEX(Listado!A:A,2):INDEX(Listado!A:A,ROW())&lt;&gt;""),ROW(INDEX(Listado!A:A,2):INDEX(Listado!A:A,ROW()))),""))</f>
        <v/>
      </c>
      <c r="O1167" s="17" t="str">
        <f>IFERROR(IF(N1167="","",IF(INDEX(Listado!M:M,N1167)="No",IF(INDEX(Listado!N:N,N1167)=0,"",INDEX(Listado!N:N,N1167)),IF(INDEX(Listado!I:I,N1167)=0,"",INDEX(Listado!I:I,N1167)))),"")</f>
        <v/>
      </c>
      <c r="P1167" s="17">
        <f t="shared" ca="1" si="55"/>
        <v/>
      </c>
      <c r="Q1167" s="17">
        <f>IFERROR(IF(AND(N1167&lt;&gt;"",ISNUMBER(O1167),O1167&gt;0,O1167&gt;=TODAY()-90),1,0),0)</f>
        <v/>
      </c>
      <c r="R1167" s="17" t="str">
        <f t="shared" si="57"/>
        <v/>
      </c>
      <c r="S1167" s="17" t="str">
        <f>IF(INDEX(Listado!A:A,ROW())="","",INDEX(Listado!A:A,ROW()))</f>
        <v/>
      </c>
      <c r="T1167" s="17" t="str">
        <f ca="1">IF(INDEX(Listado!G:G,ROW())="","",INDEX(Listado!G:G,ROW()))</f>
        <v/>
      </c>
      <c r="U1167" s="17" t="str">
        <f>IF(INDEX(Listado!F:F,ROW())="","",INDEX(Listado!F:F,ROW()))</f>
        <v/>
      </c>
      <c r="V1167" s="17">
        <f>IF(COUNTA(INDEX(Listado!B:B,ROW()):INDEX(Listado!F:F,ROW()))&gt;0,1,0)</f>
        <v/>
      </c>
      <c r="W1167" s="17" t="str">
        <f>IF(INDEX(Listado!L:L,ROW())="","",INDEX(Listado!L:L,ROW()))</f>
        <v/>
      </c>
      <c r="X1167" s="17">
        <f>IF(N1167="","",IF(INDEX(Listado!$M:$M,N1167)="No","No","Sí"))</f>
        <v/>
      </c>
    </row>
    <row r="1168" spans="2:24" ht="14.25">
      <c r="N1168" s="17" t="str">
        <f>IF(V1168=0,"",IFERROR(LOOKUP(2,1/(INDEX(Listado!A:A,2):INDEX(Listado!A:A,ROW())&lt;&gt;""),ROW(INDEX(Listado!A:A,2):INDEX(Listado!A:A,ROW()))),""))</f>
        <v/>
      </c>
      <c r="O1168" s="17" t="str">
        <f>IFERROR(IF(N1168="","",IF(INDEX(Listado!M:M,N1168)="No",IF(INDEX(Listado!N:N,N1168)=0,"",INDEX(Listado!N:N,N1168)),IF(INDEX(Listado!I:I,N1168)=0,"",INDEX(Listado!I:I,N1168)))),"")</f>
        <v/>
      </c>
      <c r="P1168" s="17">
        <f t="shared" ca="1" si="55"/>
        <v/>
      </c>
      <c r="Q1168" s="17">
        <f>IFERROR(IF(AND(N1168&lt;&gt;"",ISNUMBER(O1168),O1168&gt;0,O1168&gt;=TODAY()-90),1,0),0)</f>
        <v/>
      </c>
      <c r="R1168" s="17" t="str">
        <f t="shared" si="57"/>
        <v/>
      </c>
      <c r="S1168" s="17" t="str">
        <f>IF(INDEX(Listado!A:A,ROW())="","",INDEX(Listado!A:A,ROW()))</f>
        <v/>
      </c>
      <c r="T1168" s="17" t="str">
        <f ca="1">IF(INDEX(Listado!G:G,ROW())="","",INDEX(Listado!G:G,ROW()))</f>
        <v/>
      </c>
      <c r="U1168" s="17" t="str">
        <f>IF(INDEX(Listado!F:F,ROW())="","",INDEX(Listado!F:F,ROW()))</f>
        <v/>
      </c>
      <c r="V1168" s="17">
        <f>IF(COUNTA(INDEX(Listado!B:B,ROW()):INDEX(Listado!F:F,ROW()))&gt;0,1,0)</f>
        <v/>
      </c>
      <c r="W1168" s="17" t="str">
        <f>IF(INDEX(Listado!L:L,ROW())="","",INDEX(Listado!L:L,ROW()))</f>
        <v/>
      </c>
      <c r="X1168" s="17">
        <f>IF(N1168="","",IF(INDEX(Listado!$M:$M,N1168)="No","No","Sí"))</f>
        <v/>
      </c>
    </row>
    <row r="1169" spans="2:24" ht="14.25">
      <c r="N1169" s="17" t="str">
        <f>IF(V1169=0,"",IFERROR(LOOKUP(2,1/(INDEX(Listado!A:A,2):INDEX(Listado!A:A,ROW())&lt;&gt;""),ROW(INDEX(Listado!A:A,2):INDEX(Listado!A:A,ROW()))),""))</f>
        <v/>
      </c>
      <c r="O1169" s="17" t="str">
        <f>IFERROR(IF(N1169="","",IF(INDEX(Listado!M:M,N1169)="No",IF(INDEX(Listado!N:N,N1169)=0,"",INDEX(Listado!N:N,N1169)),IF(INDEX(Listado!I:I,N1169)=0,"",INDEX(Listado!I:I,N1169)))),"")</f>
        <v/>
      </c>
      <c r="P1169" s="17">
        <f t="shared" ca="1" si="55"/>
        <v/>
      </c>
      <c r="Q1169" s="17">
        <f>IFERROR(IF(AND(N1169&lt;&gt;"",ISNUMBER(O1169),O1169&gt;0,O1169&gt;=TODAY()-90),1,0),0)</f>
        <v/>
      </c>
      <c r="R1169" s="17" t="str">
        <f t="shared" si="57"/>
        <v/>
      </c>
      <c r="S1169" s="17" t="str">
        <f>IF(INDEX(Listado!A:A,ROW())="","",INDEX(Listado!A:A,ROW()))</f>
        <v/>
      </c>
      <c r="T1169" s="17" t="str">
        <f ca="1">IF(INDEX(Listado!G:G,ROW())="","",INDEX(Listado!G:G,ROW()))</f>
        <v/>
      </c>
      <c r="U1169" s="17" t="str">
        <f>IF(INDEX(Listado!F:F,ROW())="","",INDEX(Listado!F:F,ROW()))</f>
        <v/>
      </c>
      <c r="V1169" s="17">
        <f>IF(COUNTA(INDEX(Listado!B:B,ROW()):INDEX(Listado!F:F,ROW()))&gt;0,1,0)</f>
        <v/>
      </c>
      <c r="W1169" s="17" t="str">
        <f>IF(INDEX(Listado!L:L,ROW())="","",INDEX(Listado!L:L,ROW()))</f>
        <v/>
      </c>
      <c r="X1169" s="17">
        <f>IF(N1169="","",IF(INDEX(Listado!$M:$M,N1169)="No","No","Sí"))</f>
        <v/>
      </c>
    </row>
    <row r="1170" spans="2:24" ht="14.25">
      <c r="N1170" s="17" t="str">
        <f>IF(V1170=0,"",IFERROR(LOOKUP(2,1/(INDEX(Listado!A:A,2):INDEX(Listado!A:A,ROW())&lt;&gt;""),ROW(INDEX(Listado!A:A,2):INDEX(Listado!A:A,ROW()))),""))</f>
        <v/>
      </c>
      <c r="O1170" s="17" t="str">
        <f>IFERROR(IF(N1170="","",IF(INDEX(Listado!M:M,N1170)="No",IF(INDEX(Listado!N:N,N1170)=0,"",INDEX(Listado!N:N,N1170)),IF(INDEX(Listado!I:I,N1170)=0,"",INDEX(Listado!I:I,N1170)))),"")</f>
        <v/>
      </c>
      <c r="P1170" s="17">
        <f t="shared" ca="1" si="55"/>
        <v/>
      </c>
      <c r="Q1170" s="17">
        <f>IFERROR(IF(AND(N1170&lt;&gt;"",ISNUMBER(O1170),O1170&gt;0,O1170&gt;=TODAY()-90),1,0),0)</f>
        <v/>
      </c>
      <c r="R1170" s="17" t="str">
        <f t="shared" si="57"/>
        <v/>
      </c>
      <c r="S1170" s="17" t="str">
        <f>IF(INDEX(Listado!A:A,ROW())="","",INDEX(Listado!A:A,ROW()))</f>
        <v/>
      </c>
      <c r="T1170" s="17" t="str">
        <f ca="1">IF(INDEX(Listado!G:G,ROW())="","",INDEX(Listado!G:G,ROW()))</f>
        <v/>
      </c>
      <c r="U1170" s="17" t="str">
        <f>IF(INDEX(Listado!F:F,ROW())="","",INDEX(Listado!F:F,ROW()))</f>
        <v/>
      </c>
      <c r="V1170" s="17">
        <f>IF(COUNTA(INDEX(Listado!B:B,ROW()):INDEX(Listado!F:F,ROW()))&gt;0,1,0)</f>
        <v/>
      </c>
      <c r="W1170" s="17" t="str">
        <f>IF(INDEX(Listado!L:L,ROW())="","",INDEX(Listado!L:L,ROW()))</f>
        <v/>
      </c>
      <c r="X1170" s="17">
        <f>IF(N1170="","",IF(INDEX(Listado!$M:$M,N1170)="No","No","Sí"))</f>
        <v/>
      </c>
    </row>
    <row r="1171" spans="2:24" ht="14.25">
      <c r="N1171" s="17" t="str">
        <f>IF(V1171=0,"",IFERROR(LOOKUP(2,1/(INDEX(Listado!A:A,2):INDEX(Listado!A:A,ROW())&lt;&gt;""),ROW(INDEX(Listado!A:A,2):INDEX(Listado!A:A,ROW()))),""))</f>
        <v/>
      </c>
      <c r="O1171" s="17" t="str">
        <f>IFERROR(IF(N1171="","",IF(INDEX(Listado!M:M,N1171)="No",IF(INDEX(Listado!N:N,N1171)=0,"",INDEX(Listado!N:N,N1171)),IF(INDEX(Listado!I:I,N1171)=0,"",INDEX(Listado!I:I,N1171)))),"")</f>
        <v/>
      </c>
      <c r="P1171" s="17">
        <f t="shared" ca="1" si="55"/>
        <v/>
      </c>
      <c r="Q1171" s="17">
        <f>IFERROR(IF(AND(N1171&lt;&gt;"",ISNUMBER(O1171),O1171&gt;0,O1171&gt;=TODAY()-90),1,0),0)</f>
        <v/>
      </c>
      <c r="R1171" s="17" t="str">
        <f t="shared" si="57"/>
        <v/>
      </c>
      <c r="S1171" s="17" t="str">
        <f>IF(INDEX(Listado!A:A,ROW())="","",INDEX(Listado!A:A,ROW()))</f>
        <v/>
      </c>
      <c r="T1171" s="17" t="str">
        <f ca="1">IF(INDEX(Listado!G:G,ROW())="","",INDEX(Listado!G:G,ROW()))</f>
        <v/>
      </c>
      <c r="U1171" s="17" t="str">
        <f>IF(INDEX(Listado!F:F,ROW())="","",INDEX(Listado!F:F,ROW()))</f>
        <v/>
      </c>
      <c r="V1171" s="17">
        <f>IF(COUNTA(INDEX(Listado!B:B,ROW()):INDEX(Listado!F:F,ROW()))&gt;0,1,0)</f>
        <v/>
      </c>
      <c r="W1171" s="17" t="str">
        <f>IF(INDEX(Listado!L:L,ROW())="","",INDEX(Listado!L:L,ROW()))</f>
        <v/>
      </c>
      <c r="X1171" s="17">
        <f>IF(N1171="","",IF(INDEX(Listado!$M:$M,N1171)="No","No","Sí"))</f>
        <v/>
      </c>
    </row>
    <row r="1172" spans="2:24" ht="14.25">
      <c r="N1172" s="17" t="str">
        <f>IF(V1172=0,"",IFERROR(LOOKUP(2,1/(INDEX(Listado!A:A,2):INDEX(Listado!A:A,ROW())&lt;&gt;""),ROW(INDEX(Listado!A:A,2):INDEX(Listado!A:A,ROW()))),""))</f>
        <v/>
      </c>
      <c r="O1172" s="17" t="str">
        <f>IFERROR(IF(N1172="","",IF(INDEX(Listado!M:M,N1172)="No",IF(INDEX(Listado!N:N,N1172)=0,"",INDEX(Listado!N:N,N1172)),IF(INDEX(Listado!I:I,N1172)=0,"",INDEX(Listado!I:I,N1172)))),"")</f>
        <v/>
      </c>
      <c r="P1172" s="17">
        <f t="shared" ca="1" si="55"/>
        <v/>
      </c>
      <c r="Q1172" s="17">
        <f>IFERROR(IF(AND(N1172&lt;&gt;"",ISNUMBER(O1172),O1172&gt;0,O1172&gt;=TODAY()-90),1,0),0)</f>
        <v/>
      </c>
      <c r="R1172" s="17" t="str">
        <f t="shared" si="57"/>
        <v/>
      </c>
      <c r="S1172" s="17" t="str">
        <f>IF(INDEX(Listado!A:A,ROW())="","",INDEX(Listado!A:A,ROW()))</f>
        <v/>
      </c>
      <c r="T1172" s="17" t="str">
        <f ca="1">IF(INDEX(Listado!G:G,ROW())="","",INDEX(Listado!G:G,ROW()))</f>
        <v/>
      </c>
      <c r="U1172" s="17" t="str">
        <f>IF(INDEX(Listado!F:F,ROW())="","",INDEX(Listado!F:F,ROW()))</f>
        <v/>
      </c>
      <c r="V1172" s="17">
        <f>IF(COUNTA(INDEX(Listado!B:B,ROW()):INDEX(Listado!F:F,ROW()))&gt;0,1,0)</f>
        <v/>
      </c>
      <c r="W1172" s="17" t="str">
        <f>IF(INDEX(Listado!L:L,ROW())="","",INDEX(Listado!L:L,ROW()))</f>
        <v/>
      </c>
      <c r="X1172" s="17">
        <f>IF(N1172="","",IF(INDEX(Listado!$M:$M,N1172)="No","No","Sí"))</f>
        <v/>
      </c>
    </row>
    <row r="1173" spans="2:24" ht="14.25">
      <c r="N1173" s="17" t="str">
        <f>IF(V1173=0,"",IFERROR(LOOKUP(2,1/(INDEX(Listado!A:A,2):INDEX(Listado!A:A,ROW())&lt;&gt;""),ROW(INDEX(Listado!A:A,2):INDEX(Listado!A:A,ROW()))),""))</f>
        <v/>
      </c>
      <c r="O1173" s="17" t="str">
        <f>IFERROR(IF(N1173="","",IF(INDEX(Listado!M:M,N1173)="No",IF(INDEX(Listado!N:N,N1173)=0,"",INDEX(Listado!N:N,N1173)),IF(INDEX(Listado!I:I,N1173)=0,"",INDEX(Listado!I:I,N1173)))),"")</f>
        <v/>
      </c>
      <c r="P1173" s="17">
        <f t="shared" ca="1" si="55"/>
        <v/>
      </c>
      <c r="Q1173" s="17">
        <f>IFERROR(IF(AND(N1173&lt;&gt;"",ISNUMBER(O1173),O1173&gt;0,O1173&gt;=TODAY()-90),1,0),0)</f>
        <v/>
      </c>
      <c r="R1173" s="17" t="str">
        <f t="shared" si="57"/>
        <v/>
      </c>
      <c r="S1173" s="17" t="str">
        <f>IF(INDEX(Listado!A:A,ROW())="","",INDEX(Listado!A:A,ROW()))</f>
        <v/>
      </c>
      <c r="T1173" s="17" t="str">
        <f ca="1">IF(INDEX(Listado!G:G,ROW())="","",INDEX(Listado!G:G,ROW()))</f>
        <v/>
      </c>
      <c r="U1173" s="17" t="str">
        <f>IF(INDEX(Listado!F:F,ROW())="","",INDEX(Listado!F:F,ROW()))</f>
        <v/>
      </c>
      <c r="V1173" s="17">
        <f>IF(COUNTA(INDEX(Listado!B:B,ROW()):INDEX(Listado!F:F,ROW()))&gt;0,1,0)</f>
        <v/>
      </c>
      <c r="W1173" s="17" t="str">
        <f>IF(INDEX(Listado!L:L,ROW())="","",INDEX(Listado!L:L,ROW()))</f>
        <v/>
      </c>
      <c r="X1173" s="17">
        <f>IF(N1173="","",IF(INDEX(Listado!$M:$M,N1173)="No","No","Sí"))</f>
        <v/>
      </c>
    </row>
    <row r="1174" spans="2:24" ht="14.25">
      <c r="N1174" s="17" t="str">
        <f>IF(V1174=0,"",IFERROR(LOOKUP(2,1/(INDEX(Listado!A:A,2):INDEX(Listado!A:A,ROW())&lt;&gt;""),ROW(INDEX(Listado!A:A,2):INDEX(Listado!A:A,ROW()))),""))</f>
        <v/>
      </c>
      <c r="O1174" s="17" t="str">
        <f>IFERROR(IF(N1174="","",IF(INDEX(Listado!M:M,N1174)="No",IF(INDEX(Listado!N:N,N1174)=0,"",INDEX(Listado!N:N,N1174)),IF(INDEX(Listado!I:I,N1174)=0,"",INDEX(Listado!I:I,N1174)))),"")</f>
        <v/>
      </c>
      <c r="P1174" s="17">
        <f t="shared" ca="1" si="55"/>
        <v/>
      </c>
      <c r="Q1174" s="17">
        <f>IFERROR(IF(AND(N1174&lt;&gt;"",ISNUMBER(O1174),O1174&gt;0,O1174&gt;=TODAY()-90),1,0),0)</f>
        <v/>
      </c>
      <c r="R1174" s="17" t="str">
        <f t="shared" si="57"/>
        <v/>
      </c>
      <c r="S1174" s="17" t="str">
        <f>IF(INDEX(Listado!A:A,ROW())="","",INDEX(Listado!A:A,ROW()))</f>
        <v/>
      </c>
      <c r="T1174" s="17" t="str">
        <f ca="1">IF(INDEX(Listado!G:G,ROW())="","",INDEX(Listado!G:G,ROW()))</f>
        <v/>
      </c>
      <c r="U1174" s="17" t="str">
        <f>IF(INDEX(Listado!F:F,ROW())="","",INDEX(Listado!F:F,ROW()))</f>
        <v/>
      </c>
      <c r="V1174" s="17">
        <f>IF(COUNTA(INDEX(Listado!B:B,ROW()):INDEX(Listado!F:F,ROW()))&gt;0,1,0)</f>
        <v/>
      </c>
      <c r="W1174" s="17" t="str">
        <f>IF(INDEX(Listado!L:L,ROW())="","",INDEX(Listado!L:L,ROW()))</f>
        <v/>
      </c>
      <c r="X1174" s="17">
        <f>IF(N1174="","",IF(INDEX(Listado!$M:$M,N1174)="No","No","Sí"))</f>
        <v/>
      </c>
    </row>
    <row r="1175" spans="2:24" ht="14.25">
      <c r="N1175" s="17" t="str">
        <f>IF(V1175=0,"",IFERROR(LOOKUP(2,1/(INDEX(Listado!A:A,2):INDEX(Listado!A:A,ROW())&lt;&gt;""),ROW(INDEX(Listado!A:A,2):INDEX(Listado!A:A,ROW()))),""))</f>
        <v/>
      </c>
      <c r="O1175" s="17" t="str">
        <f>IFERROR(IF(N1175="","",IF(INDEX(Listado!M:M,N1175)="No",IF(INDEX(Listado!N:N,N1175)=0,"",INDEX(Listado!N:N,N1175)),IF(INDEX(Listado!I:I,N1175)=0,"",INDEX(Listado!I:I,N1175)))),"")</f>
        <v/>
      </c>
      <c r="P1175" s="17">
        <f t="shared" ca="1" si="55"/>
        <v/>
      </c>
      <c r="Q1175" s="17">
        <f>IFERROR(IF(AND(N1175&lt;&gt;"",ISNUMBER(O1175),O1175&gt;0,O1175&gt;=TODAY()-90),1,0),0)</f>
        <v/>
      </c>
      <c r="R1175" s="17" t="str">
        <f t="shared" si="57"/>
        <v/>
      </c>
      <c r="S1175" s="17" t="str">
        <f>IF(INDEX(Listado!A:A,ROW())="","",INDEX(Listado!A:A,ROW()))</f>
        <v/>
      </c>
      <c r="T1175" s="17" t="str">
        <f ca="1">IF(INDEX(Listado!G:G,ROW())="","",INDEX(Listado!G:G,ROW()))</f>
        <v/>
      </c>
      <c r="U1175" s="17" t="str">
        <f>IF(INDEX(Listado!F:F,ROW())="","",INDEX(Listado!F:F,ROW()))</f>
        <v/>
      </c>
      <c r="V1175" s="17">
        <f>IF(COUNTA(INDEX(Listado!B:B,ROW()):INDEX(Listado!F:F,ROW()))&gt;0,1,0)</f>
        <v/>
      </c>
      <c r="W1175" s="17" t="str">
        <f>IF(INDEX(Listado!L:L,ROW())="","",INDEX(Listado!L:L,ROW()))</f>
        <v/>
      </c>
      <c r="X1175" s="17">
        <f>IF(N1175="","",IF(INDEX(Listado!$M:$M,N1175)="No","No","Sí"))</f>
        <v/>
      </c>
    </row>
    <row r="1176" spans="2:24" ht="14.25">
      <c r="N1176" s="17" t="str">
        <f>IF(V1176=0,"",IFERROR(LOOKUP(2,1/(INDEX(Listado!A:A,2):INDEX(Listado!A:A,ROW())&lt;&gt;""),ROW(INDEX(Listado!A:A,2):INDEX(Listado!A:A,ROW()))),""))</f>
        <v/>
      </c>
      <c r="O1176" s="17" t="str">
        <f>IFERROR(IF(N1176="","",IF(INDEX(Listado!M:M,N1176)="No",IF(INDEX(Listado!N:N,N1176)=0,"",INDEX(Listado!N:N,N1176)),IF(INDEX(Listado!I:I,N1176)=0,"",INDEX(Listado!I:I,N1176)))),"")</f>
        <v/>
      </c>
      <c r="P1176" s="17">
        <f t="shared" ca="1" si="55"/>
        <v/>
      </c>
      <c r="Q1176" s="17">
        <f>IFERROR(IF(AND(N1176&lt;&gt;"",ISNUMBER(O1176),O1176&gt;0,O1176&gt;=TODAY()-90),1,0),0)</f>
        <v/>
      </c>
      <c r="R1176" s="17" t="str">
        <f t="shared" si="57"/>
        <v/>
      </c>
      <c r="S1176" s="17" t="str">
        <f>IF(INDEX(Listado!A:A,ROW())="","",INDEX(Listado!A:A,ROW()))</f>
        <v/>
      </c>
      <c r="T1176" s="17" t="str">
        <f ca="1">IF(INDEX(Listado!G:G,ROW())="","",INDEX(Listado!G:G,ROW()))</f>
        <v/>
      </c>
      <c r="U1176" s="17" t="str">
        <f>IF(INDEX(Listado!F:F,ROW())="","",INDEX(Listado!F:F,ROW()))</f>
        <v/>
      </c>
      <c r="V1176" s="17">
        <f>IF(COUNTA(INDEX(Listado!B:B,ROW()):INDEX(Listado!F:F,ROW()))&gt;0,1,0)</f>
        <v/>
      </c>
      <c r="W1176" s="17" t="str">
        <f>IF(INDEX(Listado!L:L,ROW())="","",INDEX(Listado!L:L,ROW()))</f>
        <v/>
      </c>
      <c r="X1176" s="17">
        <f>IF(N1176="","",IF(INDEX(Listado!$M:$M,N1176)="No","No","Sí"))</f>
        <v/>
      </c>
    </row>
    <row r="1177" spans="2:24" ht="14.25">
      <c r="N1177" s="17" t="str">
        <f>IF(V1177=0,"",IFERROR(LOOKUP(2,1/(INDEX(Listado!A:A,2):INDEX(Listado!A:A,ROW())&lt;&gt;""),ROW(INDEX(Listado!A:A,2):INDEX(Listado!A:A,ROW()))),""))</f>
        <v/>
      </c>
      <c r="O1177" s="17" t="str">
        <f>IFERROR(IF(N1177="","",IF(INDEX(Listado!M:M,N1177)="No",IF(INDEX(Listado!N:N,N1177)=0,"",INDEX(Listado!N:N,N1177)),IF(INDEX(Listado!I:I,N1177)=0,"",INDEX(Listado!I:I,N1177)))),"")</f>
        <v/>
      </c>
      <c r="P1177" s="17">
        <f t="shared" ca="1" si="55"/>
        <v/>
      </c>
      <c r="Q1177" s="17">
        <f>IFERROR(IF(AND(N1177&lt;&gt;"",ISNUMBER(O1177),O1177&gt;0,O1177&gt;=TODAY()-90),1,0),0)</f>
        <v/>
      </c>
      <c r="R1177" s="17" t="str">
        <f t="shared" si="57"/>
        <v/>
      </c>
      <c r="S1177" s="17" t="str">
        <f>IF(INDEX(Listado!A:A,ROW())="","",INDEX(Listado!A:A,ROW()))</f>
        <v/>
      </c>
      <c r="T1177" s="17" t="str">
        <f ca="1">IF(INDEX(Listado!G:G,ROW())="","",INDEX(Listado!G:G,ROW()))</f>
        <v/>
      </c>
      <c r="U1177" s="17" t="str">
        <f>IF(INDEX(Listado!F:F,ROW())="","",INDEX(Listado!F:F,ROW()))</f>
        <v/>
      </c>
      <c r="V1177" s="17">
        <f>IF(COUNTA(INDEX(Listado!B:B,ROW()):INDEX(Listado!F:F,ROW()))&gt;0,1,0)</f>
        <v/>
      </c>
      <c r="W1177" s="17" t="str">
        <f>IF(INDEX(Listado!L:L,ROW())="","",INDEX(Listado!L:L,ROW()))</f>
        <v/>
      </c>
      <c r="X1177" s="17">
        <f>IF(N1177="","",IF(INDEX(Listado!$M:$M,N1177)="No","No","Sí"))</f>
        <v/>
      </c>
    </row>
    <row r="1178" spans="2:24" ht="14.25">
      <c r="N1178" s="17" t="str">
        <f>IF(V1178=0,"",IFERROR(LOOKUP(2,1/(INDEX(Listado!A:A,2):INDEX(Listado!A:A,ROW())&lt;&gt;""),ROW(INDEX(Listado!A:A,2):INDEX(Listado!A:A,ROW()))),""))</f>
        <v/>
      </c>
      <c r="O1178" s="17" t="str">
        <f>IFERROR(IF(N1178="","",IF(INDEX(Listado!M:M,N1178)="No",IF(INDEX(Listado!N:N,N1178)=0,"",INDEX(Listado!N:N,N1178)),IF(INDEX(Listado!I:I,N1178)=0,"",INDEX(Listado!I:I,N1178)))),"")</f>
        <v/>
      </c>
      <c r="P1178" s="17">
        <f t="shared" ca="1" si="55"/>
        <v/>
      </c>
      <c r="Q1178" s="17">
        <f>IFERROR(IF(AND(N1178&lt;&gt;"",ISNUMBER(O1178),O1178&gt;0,O1178&gt;=TODAY()-90),1,0),0)</f>
        <v/>
      </c>
      <c r="R1178" s="17" t="str">
        <f t="shared" si="57"/>
        <v/>
      </c>
      <c r="S1178" s="17" t="str">
        <f>IF(INDEX(Listado!A:A,ROW())="","",INDEX(Listado!A:A,ROW()))</f>
        <v/>
      </c>
      <c r="T1178" s="17" t="str">
        <f ca="1">IF(INDEX(Listado!G:G,ROW())="","",INDEX(Listado!G:G,ROW()))</f>
        <v/>
      </c>
      <c r="U1178" s="17" t="str">
        <f>IF(INDEX(Listado!F:F,ROW())="","",INDEX(Listado!F:F,ROW()))</f>
        <v/>
      </c>
      <c r="V1178" s="17">
        <f>IF(COUNTA(INDEX(Listado!B:B,ROW()):INDEX(Listado!F:F,ROW()))&gt;0,1,0)</f>
        <v/>
      </c>
      <c r="W1178" s="17" t="str">
        <f>IF(INDEX(Listado!L:L,ROW())="","",INDEX(Listado!L:L,ROW()))</f>
        <v/>
      </c>
      <c r="X1178" s="17">
        <f>IF(N1178="","",IF(INDEX(Listado!$M:$M,N1178)="No","No","Sí"))</f>
        <v/>
      </c>
    </row>
    <row r="1179" spans="2:24" ht="14.25">
      <c r="N1179" s="17" t="str">
        <f>IF(V1179=0,"",IFERROR(LOOKUP(2,1/(INDEX(Listado!A:A,2):INDEX(Listado!A:A,ROW())&lt;&gt;""),ROW(INDEX(Listado!A:A,2):INDEX(Listado!A:A,ROW()))),""))</f>
        <v/>
      </c>
      <c r="O1179" s="17" t="str">
        <f>IFERROR(IF(N1179="","",IF(INDEX(Listado!M:M,N1179)="No",IF(INDEX(Listado!N:N,N1179)=0,"",INDEX(Listado!N:N,N1179)),IF(INDEX(Listado!I:I,N1179)=0,"",INDEX(Listado!I:I,N1179)))),"")</f>
        <v/>
      </c>
      <c r="P1179" s="17">
        <f t="shared" ca="1" si="55"/>
        <v/>
      </c>
      <c r="Q1179" s="17">
        <f>IFERROR(IF(AND(N1179&lt;&gt;"",ISNUMBER(O1179),O1179&gt;0,O1179&gt;=TODAY()-90),1,0),0)</f>
        <v/>
      </c>
      <c r="R1179" s="17" t="str">
        <f t="shared" si="57"/>
        <v/>
      </c>
      <c r="S1179" s="17" t="str">
        <f>IF(INDEX(Listado!A:A,ROW())="","",INDEX(Listado!A:A,ROW()))</f>
        <v/>
      </c>
      <c r="T1179" s="17" t="str">
        <f ca="1">IF(INDEX(Listado!G:G,ROW())="","",INDEX(Listado!G:G,ROW()))</f>
        <v/>
      </c>
      <c r="U1179" s="17" t="str">
        <f>IF(INDEX(Listado!F:F,ROW())="","",INDEX(Listado!F:F,ROW()))</f>
        <v/>
      </c>
      <c r="V1179" s="17">
        <f>IF(COUNTA(INDEX(Listado!B:B,ROW()):INDEX(Listado!F:F,ROW()))&gt;0,1,0)</f>
        <v/>
      </c>
      <c r="W1179" s="17" t="str">
        <f>IF(INDEX(Listado!L:L,ROW())="","",INDEX(Listado!L:L,ROW()))</f>
        <v/>
      </c>
      <c r="X1179" s="17">
        <f>IF(N1179="","",IF(INDEX(Listado!$M:$M,N1179)="No","No","Sí"))</f>
        <v/>
      </c>
    </row>
    <row r="1180" spans="2:24" ht="14.25">
      <c r="N1180" s="17" t="str">
        <f>IF(V1180=0,"",IFERROR(LOOKUP(2,1/(INDEX(Listado!A:A,2):INDEX(Listado!A:A,ROW())&lt;&gt;""),ROW(INDEX(Listado!A:A,2):INDEX(Listado!A:A,ROW()))),""))</f>
        <v/>
      </c>
      <c r="O1180" s="17" t="str">
        <f>IFERROR(IF(N1180="","",IF(INDEX(Listado!M:M,N1180)="No",IF(INDEX(Listado!N:N,N1180)=0,"",INDEX(Listado!N:N,N1180)),IF(INDEX(Listado!I:I,N1180)=0,"",INDEX(Listado!I:I,N1180)))),"")</f>
        <v/>
      </c>
      <c r="P1180" s="17">
        <f t="shared" ca="1" si="55"/>
        <v/>
      </c>
      <c r="Q1180" s="17">
        <f>IFERROR(IF(AND(N1180&lt;&gt;"",ISNUMBER(O1180),O1180&gt;0,O1180&gt;=TODAY()-90),1,0),0)</f>
        <v/>
      </c>
      <c r="R1180" s="17" t="str">
        <f t="shared" si="57"/>
        <v/>
      </c>
      <c r="S1180" s="17" t="str">
        <f>IF(INDEX(Listado!A:A,ROW())="","",INDEX(Listado!A:A,ROW()))</f>
        <v/>
      </c>
      <c r="T1180" s="17" t="str">
        <f ca="1">IF(INDEX(Listado!G:G,ROW())="","",INDEX(Listado!G:G,ROW()))</f>
        <v/>
      </c>
      <c r="U1180" s="17" t="str">
        <f>IF(INDEX(Listado!F:F,ROW())="","",INDEX(Listado!F:F,ROW()))</f>
        <v/>
      </c>
      <c r="V1180" s="17">
        <f>IF(COUNTA(INDEX(Listado!B:B,ROW()):INDEX(Listado!F:F,ROW()))&gt;0,1,0)</f>
        <v/>
      </c>
      <c r="W1180" s="17" t="str">
        <f>IF(INDEX(Listado!L:L,ROW())="","",INDEX(Listado!L:L,ROW()))</f>
        <v/>
      </c>
      <c r="X1180" s="17">
        <f>IF(N1180="","",IF(INDEX(Listado!$M:$M,N1180)="No","No","Sí"))</f>
        <v/>
      </c>
    </row>
    <row r="1181" spans="2:24" ht="14.25">
      <c r="N1181" s="17" t="str">
        <f>IF(V1181=0,"",IFERROR(LOOKUP(2,1/(INDEX(Listado!A:A,2):INDEX(Listado!A:A,ROW())&lt;&gt;""),ROW(INDEX(Listado!A:A,2):INDEX(Listado!A:A,ROW()))),""))</f>
        <v/>
      </c>
      <c r="O1181" s="17" t="str">
        <f>IFERROR(IF(N1181="","",IF(INDEX(Listado!M:M,N1181)="No",IF(INDEX(Listado!N:N,N1181)=0,"",INDEX(Listado!N:N,N1181)),IF(INDEX(Listado!I:I,N1181)=0,"",INDEX(Listado!I:I,N1181)))),"")</f>
        <v/>
      </c>
      <c r="P1181" s="17">
        <f t="shared" ca="1" si="55"/>
        <v/>
      </c>
      <c r="Q1181" s="17">
        <f>IFERROR(IF(AND(N1181&lt;&gt;"",ISNUMBER(O1181),O1181&gt;0,O1181&gt;=TODAY()-90),1,0),0)</f>
        <v/>
      </c>
      <c r="R1181" s="17" t="str">
        <f t="shared" si="57"/>
        <v/>
      </c>
      <c r="S1181" s="17" t="str">
        <f>IF(INDEX(Listado!A:A,ROW())="","",INDEX(Listado!A:A,ROW()))</f>
        <v/>
      </c>
      <c r="T1181" s="17" t="str">
        <f ca="1">IF(INDEX(Listado!G:G,ROW())="","",INDEX(Listado!G:G,ROW()))</f>
        <v/>
      </c>
      <c r="U1181" s="17" t="str">
        <f>IF(INDEX(Listado!F:F,ROW())="","",INDEX(Listado!F:F,ROW()))</f>
        <v/>
      </c>
      <c r="V1181" s="17">
        <f>IF(COUNTA(INDEX(Listado!B:B,ROW()):INDEX(Listado!F:F,ROW()))&gt;0,1,0)</f>
        <v/>
      </c>
      <c r="W1181" s="17" t="str">
        <f>IF(INDEX(Listado!L:L,ROW())="","",INDEX(Listado!L:L,ROW()))</f>
        <v/>
      </c>
      <c r="X1181" s="17">
        <f>IF(N1181="","",IF(INDEX(Listado!$M:$M,N1181)="No","No","Sí"))</f>
        <v/>
      </c>
    </row>
    <row r="1182" spans="2:24" ht="14.25">
      <c r="N1182" s="17" t="str">
        <f>IF(V1182=0,"",IFERROR(LOOKUP(2,1/(INDEX(Listado!A:A,2):INDEX(Listado!A:A,ROW())&lt;&gt;""),ROW(INDEX(Listado!A:A,2):INDEX(Listado!A:A,ROW()))),""))</f>
        <v/>
      </c>
      <c r="O1182" s="17" t="str">
        <f>IFERROR(IF(N1182="","",IF(INDEX(Listado!M:M,N1182)="No",IF(INDEX(Listado!N:N,N1182)=0,"",INDEX(Listado!N:N,N1182)),IF(INDEX(Listado!I:I,N1182)=0,"",INDEX(Listado!I:I,N1182)))),"")</f>
        <v/>
      </c>
      <c r="P1182" s="17">
        <f t="shared" ca="1" si="55"/>
        <v/>
      </c>
      <c r="Q1182" s="17">
        <f>IFERROR(IF(AND(N1182&lt;&gt;"",ISNUMBER(O1182),O1182&gt;0,O1182&gt;=TODAY()-90),1,0),0)</f>
        <v/>
      </c>
      <c r="R1182" s="17" t="str">
        <f t="shared" si="57"/>
        <v/>
      </c>
      <c r="S1182" s="17" t="str">
        <f>IF(INDEX(Listado!A:A,ROW())="","",INDEX(Listado!A:A,ROW()))</f>
        <v/>
      </c>
      <c r="T1182" s="17" t="str">
        <f ca="1">IF(INDEX(Listado!G:G,ROW())="","",INDEX(Listado!G:G,ROW()))</f>
        <v/>
      </c>
      <c r="U1182" s="17" t="str">
        <f>IF(INDEX(Listado!F:F,ROW())="","",INDEX(Listado!F:F,ROW()))</f>
        <v/>
      </c>
      <c r="V1182" s="17">
        <f>IF(COUNTA(INDEX(Listado!B:B,ROW()):INDEX(Listado!F:F,ROW()))&gt;0,1,0)</f>
        <v/>
      </c>
      <c r="W1182" s="17" t="str">
        <f>IF(INDEX(Listado!L:L,ROW())="","",INDEX(Listado!L:L,ROW()))</f>
        <v/>
      </c>
      <c r="X1182" s="17">
        <f>IF(N1182="","",IF(INDEX(Listado!$M:$M,N1182)="No","No","Sí"))</f>
        <v/>
      </c>
    </row>
    <row r="1183" spans="2:24" ht="14.25">
      <c r="N1183" s="17" t="str">
        <f>IF(V1183=0,"",IFERROR(LOOKUP(2,1/(INDEX(Listado!A:A,2):INDEX(Listado!A:A,ROW())&lt;&gt;""),ROW(INDEX(Listado!A:A,2):INDEX(Listado!A:A,ROW()))),""))</f>
        <v/>
      </c>
      <c r="O1183" s="17" t="str">
        <f>IFERROR(IF(N1183="","",IF(INDEX(Listado!M:M,N1183)="No",IF(INDEX(Listado!N:N,N1183)=0,"",INDEX(Listado!N:N,N1183)),IF(INDEX(Listado!I:I,N1183)=0,"",INDEX(Listado!I:I,N1183)))),"")</f>
        <v/>
      </c>
      <c r="P1183" s="17">
        <f t="shared" ca="1" si="55"/>
        <v/>
      </c>
      <c r="Q1183" s="17">
        <f>IFERROR(IF(AND(N1183&lt;&gt;"",ISNUMBER(O1183),O1183&gt;0,O1183&gt;=TODAY()-90),1,0),0)</f>
        <v/>
      </c>
      <c r="R1183" s="17" t="str">
        <f t="shared" si="57"/>
        <v/>
      </c>
      <c r="S1183" s="17" t="str">
        <f>IF(INDEX(Listado!A:A,ROW())="","",INDEX(Listado!A:A,ROW()))</f>
        <v/>
      </c>
      <c r="T1183" s="17" t="str">
        <f ca="1">IF(INDEX(Listado!G:G,ROW())="","",INDEX(Listado!G:G,ROW()))</f>
        <v/>
      </c>
      <c r="U1183" s="17" t="str">
        <f>IF(INDEX(Listado!F:F,ROW())="","",INDEX(Listado!F:F,ROW()))</f>
        <v/>
      </c>
      <c r="V1183" s="17">
        <f>IF(COUNTA(INDEX(Listado!B:B,ROW()):INDEX(Listado!F:F,ROW()))&gt;0,1,0)</f>
        <v/>
      </c>
      <c r="W1183" s="17" t="str">
        <f>IF(INDEX(Listado!L:L,ROW())="","",INDEX(Listado!L:L,ROW()))</f>
        <v/>
      </c>
      <c r="X1183" s="17">
        <f>IF(N1183="","",IF(INDEX(Listado!$M:$M,N1183)="No","No","Sí"))</f>
        <v/>
      </c>
    </row>
    <row r="1184" spans="2:24" ht="14.25">
      <c r="N1184" s="17" t="str">
        <f>IF(V1184=0,"",IFERROR(LOOKUP(2,1/(INDEX(Listado!A:A,2):INDEX(Listado!A:A,ROW())&lt;&gt;""),ROW(INDEX(Listado!A:A,2):INDEX(Listado!A:A,ROW()))),""))</f>
        <v/>
      </c>
      <c r="O1184" s="17" t="str">
        <f>IFERROR(IF(N1184="","",IF(INDEX(Listado!M:M,N1184)="No",IF(INDEX(Listado!N:N,N1184)=0,"",INDEX(Listado!N:N,N1184)),IF(INDEX(Listado!I:I,N1184)=0,"",INDEX(Listado!I:I,N1184)))),"")</f>
        <v/>
      </c>
      <c r="P1184" s="17">
        <f t="shared" ca="1" si="55"/>
        <v/>
      </c>
      <c r="Q1184" s="17">
        <f>IFERROR(IF(AND(N1184&lt;&gt;"",ISNUMBER(O1184),O1184&gt;0,O1184&gt;=TODAY()-90),1,0),0)</f>
        <v/>
      </c>
      <c r="R1184" s="17" t="str">
        <f t="shared" si="57"/>
        <v/>
      </c>
      <c r="S1184" s="17" t="str">
        <f>IF(INDEX(Listado!A:A,ROW())="","",INDEX(Listado!A:A,ROW()))</f>
        <v/>
      </c>
      <c r="T1184" s="17" t="str">
        <f ca="1">IF(INDEX(Listado!G:G,ROW())="","",INDEX(Listado!G:G,ROW()))</f>
        <v/>
      </c>
      <c r="U1184" s="17" t="str">
        <f>IF(INDEX(Listado!F:F,ROW())="","",INDEX(Listado!F:F,ROW()))</f>
        <v/>
      </c>
      <c r="V1184" s="17">
        <f>IF(COUNTA(INDEX(Listado!B:B,ROW()):INDEX(Listado!F:F,ROW()))&gt;0,1,0)</f>
        <v/>
      </c>
      <c r="W1184" s="17" t="str">
        <f>IF(INDEX(Listado!L:L,ROW())="","",INDEX(Listado!L:L,ROW()))</f>
        <v/>
      </c>
      <c r="X1184" s="17">
        <f>IF(N1184="","",IF(INDEX(Listado!$M:$M,N1184)="No","No","Sí"))</f>
        <v/>
      </c>
    </row>
    <row r="1185" spans="2:24" ht="14.25">
      <c r="N1185" s="17" t="str">
        <f>IF(V1185=0,"",IFERROR(LOOKUP(2,1/(INDEX(Listado!A:A,2):INDEX(Listado!A:A,ROW())&lt;&gt;""),ROW(INDEX(Listado!A:A,2):INDEX(Listado!A:A,ROW()))),""))</f>
        <v/>
      </c>
      <c r="O1185" s="17" t="str">
        <f>IFERROR(IF(N1185="","",IF(INDEX(Listado!M:M,N1185)="No",IF(INDEX(Listado!N:N,N1185)=0,"",INDEX(Listado!N:N,N1185)),IF(INDEX(Listado!I:I,N1185)=0,"",INDEX(Listado!I:I,N1185)))),"")</f>
        <v/>
      </c>
      <c r="P1185" s="17">
        <f t="shared" ca="1" si="55"/>
        <v/>
      </c>
      <c r="Q1185" s="17">
        <f>IFERROR(IF(AND(N1185&lt;&gt;"",ISNUMBER(O1185),O1185&gt;0,O1185&gt;=TODAY()-90),1,0),0)</f>
        <v/>
      </c>
      <c r="R1185" s="17" t="str">
        <f t="shared" si="57"/>
        <v/>
      </c>
      <c r="S1185" s="17" t="str">
        <f>IF(INDEX(Listado!A:A,ROW())="","",INDEX(Listado!A:A,ROW()))</f>
        <v/>
      </c>
      <c r="T1185" s="17" t="str">
        <f ca="1">IF(INDEX(Listado!G:G,ROW())="","",INDEX(Listado!G:G,ROW()))</f>
        <v/>
      </c>
      <c r="U1185" s="17" t="str">
        <f>IF(INDEX(Listado!F:F,ROW())="","",INDEX(Listado!F:F,ROW()))</f>
        <v/>
      </c>
      <c r="V1185" s="17">
        <f>IF(COUNTA(INDEX(Listado!B:B,ROW()):INDEX(Listado!F:F,ROW()))&gt;0,1,0)</f>
        <v/>
      </c>
      <c r="W1185" s="17" t="str">
        <f>IF(INDEX(Listado!L:L,ROW())="","",INDEX(Listado!L:L,ROW()))</f>
        <v/>
      </c>
      <c r="X1185" s="17">
        <f>IF(N1185="","",IF(INDEX(Listado!$M:$M,N1185)="No","No","Sí"))</f>
        <v/>
      </c>
    </row>
    <row r="1186" spans="2:24" ht="14.25">
      <c r="N1186" s="17" t="str">
        <f>IF(V1186=0,"",IFERROR(LOOKUP(2,1/(INDEX(Listado!A:A,2):INDEX(Listado!A:A,ROW())&lt;&gt;""),ROW(INDEX(Listado!A:A,2):INDEX(Listado!A:A,ROW()))),""))</f>
        <v/>
      </c>
      <c r="O1186" s="17" t="str">
        <f>IFERROR(IF(N1186="","",IF(INDEX(Listado!M:M,N1186)="No",IF(INDEX(Listado!N:N,N1186)=0,"",INDEX(Listado!N:N,N1186)),IF(INDEX(Listado!I:I,N1186)=0,"",INDEX(Listado!I:I,N1186)))),"")</f>
        <v/>
      </c>
      <c r="P1186" s="17">
        <f t="shared" ca="1" si="55"/>
        <v/>
      </c>
      <c r="Q1186" s="17">
        <f>IFERROR(IF(AND(N1186&lt;&gt;"",ISNUMBER(O1186),O1186&gt;0,O1186&gt;=TODAY()-90),1,0),0)</f>
        <v/>
      </c>
      <c r="R1186" s="17" t="str">
        <f t="shared" si="57"/>
        <v/>
      </c>
      <c r="S1186" s="17" t="str">
        <f>IF(INDEX(Listado!A:A,ROW())="","",INDEX(Listado!A:A,ROW()))</f>
        <v/>
      </c>
      <c r="T1186" s="17" t="str">
        <f ca="1">IF(INDEX(Listado!G:G,ROW())="","",INDEX(Listado!G:G,ROW()))</f>
        <v/>
      </c>
      <c r="U1186" s="17" t="str">
        <f>IF(INDEX(Listado!F:F,ROW())="","",INDEX(Listado!F:F,ROW()))</f>
        <v/>
      </c>
      <c r="V1186" s="17">
        <f>IF(COUNTA(INDEX(Listado!B:B,ROW()):INDEX(Listado!F:F,ROW()))&gt;0,1,0)</f>
        <v/>
      </c>
      <c r="W1186" s="17" t="str">
        <f>IF(INDEX(Listado!L:L,ROW())="","",INDEX(Listado!L:L,ROW()))</f>
        <v/>
      </c>
      <c r="X1186" s="17">
        <f>IF(N1186="","",IF(INDEX(Listado!$M:$M,N1186)="No","No","Sí"))</f>
        <v/>
      </c>
    </row>
    <row r="1187" spans="2:24" ht="14.25">
      <c r="N1187" s="17" t="str">
        <f>IF(V1187=0,"",IFERROR(LOOKUP(2,1/(INDEX(Listado!A:A,2):INDEX(Listado!A:A,ROW())&lt;&gt;""),ROW(INDEX(Listado!A:A,2):INDEX(Listado!A:A,ROW()))),""))</f>
        <v/>
      </c>
      <c r="O1187" s="17" t="str">
        <f>IFERROR(IF(N1187="","",IF(INDEX(Listado!M:M,N1187)="No",IF(INDEX(Listado!N:N,N1187)=0,"",INDEX(Listado!N:N,N1187)),IF(INDEX(Listado!I:I,N1187)=0,"",INDEX(Listado!I:I,N1187)))),"")</f>
        <v/>
      </c>
      <c r="P1187" s="17">
        <f t="shared" ca="1" si="55"/>
        <v/>
      </c>
      <c r="Q1187" s="17">
        <f>IFERROR(IF(AND(N1187&lt;&gt;"",ISNUMBER(O1187),O1187&gt;0,O1187&gt;=TODAY()-90),1,0),0)</f>
        <v/>
      </c>
      <c r="R1187" s="17" t="str">
        <f t="shared" si="57"/>
        <v/>
      </c>
      <c r="S1187" s="17" t="str">
        <f>IF(INDEX(Listado!A:A,ROW())="","",INDEX(Listado!A:A,ROW()))</f>
        <v/>
      </c>
      <c r="T1187" s="17" t="str">
        <f ca="1">IF(INDEX(Listado!G:G,ROW())="","",INDEX(Listado!G:G,ROW()))</f>
        <v/>
      </c>
      <c r="U1187" s="17" t="str">
        <f>IF(INDEX(Listado!F:F,ROW())="","",INDEX(Listado!F:F,ROW()))</f>
        <v/>
      </c>
      <c r="V1187" s="17">
        <f>IF(COUNTA(INDEX(Listado!B:B,ROW()):INDEX(Listado!F:F,ROW()))&gt;0,1,0)</f>
        <v/>
      </c>
      <c r="W1187" s="17" t="str">
        <f>IF(INDEX(Listado!L:L,ROW())="","",INDEX(Listado!L:L,ROW()))</f>
        <v/>
      </c>
      <c r="X1187" s="17">
        <f>IF(N1187="","",IF(INDEX(Listado!$M:$M,N1187)="No","No","Sí"))</f>
        <v/>
      </c>
    </row>
    <row r="1188" spans="2:24" ht="14.25">
      <c r="N1188" s="17" t="str">
        <f>IF(V1188=0,"",IFERROR(LOOKUP(2,1/(INDEX(Listado!A:A,2):INDEX(Listado!A:A,ROW())&lt;&gt;""),ROW(INDEX(Listado!A:A,2):INDEX(Listado!A:A,ROW()))),""))</f>
        <v/>
      </c>
      <c r="O1188" s="17" t="str">
        <f>IFERROR(IF(N1188="","",IF(INDEX(Listado!M:M,N1188)="No",IF(INDEX(Listado!N:N,N1188)=0,"",INDEX(Listado!N:N,N1188)),IF(INDEX(Listado!I:I,N1188)=0,"",INDEX(Listado!I:I,N1188)))),"")</f>
        <v/>
      </c>
      <c r="P1188" s="17">
        <f t="shared" ca="1" si="55"/>
        <v/>
      </c>
      <c r="Q1188" s="17">
        <f>IFERROR(IF(AND(N1188&lt;&gt;"",ISNUMBER(O1188),O1188&gt;0,O1188&gt;=TODAY()-90),1,0),0)</f>
        <v/>
      </c>
      <c r="R1188" s="17" t="str">
        <f t="shared" si="57"/>
        <v/>
      </c>
      <c r="S1188" s="17" t="str">
        <f>IF(INDEX(Listado!A:A,ROW())="","",INDEX(Listado!A:A,ROW()))</f>
        <v/>
      </c>
      <c r="T1188" s="17" t="str">
        <f ca="1">IF(INDEX(Listado!G:G,ROW())="","",INDEX(Listado!G:G,ROW()))</f>
        <v/>
      </c>
      <c r="U1188" s="17" t="str">
        <f>IF(INDEX(Listado!F:F,ROW())="","",INDEX(Listado!F:F,ROW()))</f>
        <v/>
      </c>
      <c r="V1188" s="17">
        <f>IF(COUNTA(INDEX(Listado!B:B,ROW()):INDEX(Listado!F:F,ROW()))&gt;0,1,0)</f>
        <v/>
      </c>
      <c r="W1188" s="17" t="str">
        <f>IF(INDEX(Listado!L:L,ROW())="","",INDEX(Listado!L:L,ROW()))</f>
        <v/>
      </c>
      <c r="X1188" s="17">
        <f>IF(N1188="","",IF(INDEX(Listado!$M:$M,N1188)="No","No","Sí"))</f>
        <v/>
      </c>
    </row>
    <row r="1189" spans="2:24" ht="14.25">
      <c r="N1189" s="17" t="str">
        <f>IF(V1189=0,"",IFERROR(LOOKUP(2,1/(INDEX(Listado!A:A,2):INDEX(Listado!A:A,ROW())&lt;&gt;""),ROW(INDEX(Listado!A:A,2):INDEX(Listado!A:A,ROW()))),""))</f>
        <v/>
      </c>
      <c r="O1189" s="17" t="str">
        <f>IFERROR(IF(N1189="","",IF(INDEX(Listado!M:M,N1189)="No",IF(INDEX(Listado!N:N,N1189)=0,"",INDEX(Listado!N:N,N1189)),IF(INDEX(Listado!I:I,N1189)=0,"",INDEX(Listado!I:I,N1189)))),"")</f>
        <v/>
      </c>
      <c r="P1189" s="17">
        <f t="shared" ca="1" si="55"/>
        <v/>
      </c>
      <c r="Q1189" s="17">
        <f>IFERROR(IF(AND(N1189&lt;&gt;"",ISNUMBER(O1189),O1189&gt;0,O1189&gt;=TODAY()-90),1,0),0)</f>
        <v/>
      </c>
      <c r="R1189" s="17" t="str">
        <f t="shared" si="57"/>
        <v/>
      </c>
      <c r="S1189" s="17" t="str">
        <f>IF(INDEX(Listado!A:A,ROW())="","",INDEX(Listado!A:A,ROW()))</f>
        <v/>
      </c>
      <c r="T1189" s="17" t="str">
        <f ca="1">IF(INDEX(Listado!G:G,ROW())="","",INDEX(Listado!G:G,ROW()))</f>
        <v/>
      </c>
      <c r="U1189" s="17" t="str">
        <f>IF(INDEX(Listado!F:F,ROW())="","",INDEX(Listado!F:F,ROW()))</f>
        <v/>
      </c>
      <c r="V1189" s="17">
        <f>IF(COUNTA(INDEX(Listado!B:B,ROW()):INDEX(Listado!F:F,ROW()))&gt;0,1,0)</f>
        <v/>
      </c>
      <c r="W1189" s="17" t="str">
        <f>IF(INDEX(Listado!L:L,ROW())="","",INDEX(Listado!L:L,ROW()))</f>
        <v/>
      </c>
      <c r="X1189" s="17">
        <f>IF(N1189="","",IF(INDEX(Listado!$M:$M,N1189)="No","No","Sí"))</f>
        <v/>
      </c>
    </row>
    <row r="1190" spans="2:24" ht="14.25">
      <c r="N1190" s="17" t="str">
        <f>IF(V1190=0,"",IFERROR(LOOKUP(2,1/(INDEX(Listado!A:A,2):INDEX(Listado!A:A,ROW())&lt;&gt;""),ROW(INDEX(Listado!A:A,2):INDEX(Listado!A:A,ROW()))),""))</f>
        <v/>
      </c>
      <c r="O1190" s="17" t="str">
        <f>IFERROR(IF(N1190="","",IF(INDEX(Listado!M:M,N1190)="No",IF(INDEX(Listado!N:N,N1190)=0,"",INDEX(Listado!N:N,N1190)),IF(INDEX(Listado!I:I,N1190)=0,"",INDEX(Listado!I:I,N1190)))),"")</f>
        <v/>
      </c>
      <c r="P1190" s="17">
        <f t="shared" ca="1" si="55"/>
        <v/>
      </c>
      <c r="Q1190" s="17">
        <f>IFERROR(IF(AND(N1190&lt;&gt;"",ISNUMBER(O1190),O1190&gt;0,O1190&gt;=TODAY()-90),1,0),0)</f>
        <v/>
      </c>
      <c r="R1190" s="17" t="str">
        <f t="shared" si="57"/>
        <v/>
      </c>
      <c r="S1190" s="17" t="str">
        <f>IF(INDEX(Listado!A:A,ROW())="","",INDEX(Listado!A:A,ROW()))</f>
        <v/>
      </c>
      <c r="T1190" s="17" t="str">
        <f ca="1">IF(INDEX(Listado!G:G,ROW())="","",INDEX(Listado!G:G,ROW()))</f>
        <v/>
      </c>
      <c r="U1190" s="17" t="str">
        <f>IF(INDEX(Listado!F:F,ROW())="","",INDEX(Listado!F:F,ROW()))</f>
        <v/>
      </c>
      <c r="V1190" s="17">
        <f>IF(COUNTA(INDEX(Listado!B:B,ROW()):INDEX(Listado!F:F,ROW()))&gt;0,1,0)</f>
        <v/>
      </c>
      <c r="W1190" s="17" t="str">
        <f>IF(INDEX(Listado!L:L,ROW())="","",INDEX(Listado!L:L,ROW()))</f>
        <v/>
      </c>
      <c r="X1190" s="17">
        <f>IF(N1190="","",IF(INDEX(Listado!$M:$M,N1190)="No","No","Sí"))</f>
        <v/>
      </c>
    </row>
    <row r="1191" spans="2:24" ht="14.25">
      <c r="N1191" s="17" t="str">
        <f>IF(V1191=0,"",IFERROR(LOOKUP(2,1/(INDEX(Listado!A:A,2):INDEX(Listado!A:A,ROW())&lt;&gt;""),ROW(INDEX(Listado!A:A,2):INDEX(Listado!A:A,ROW()))),""))</f>
        <v/>
      </c>
      <c r="O1191" s="17" t="str">
        <f>IFERROR(IF(N1191="","",IF(INDEX(Listado!M:M,N1191)="No",IF(INDEX(Listado!N:N,N1191)=0,"",INDEX(Listado!N:N,N1191)),IF(INDEX(Listado!I:I,N1191)=0,"",INDEX(Listado!I:I,N1191)))),"")</f>
        <v/>
      </c>
      <c r="P1191" s="17">
        <f t="shared" ca="1" si="55"/>
        <v/>
      </c>
      <c r="Q1191" s="17">
        <f>IFERROR(IF(AND(N1191&lt;&gt;"",ISNUMBER(O1191),O1191&gt;0,O1191&gt;=TODAY()-90),1,0),0)</f>
        <v/>
      </c>
      <c r="R1191" s="17" t="str">
        <f t="shared" si="57"/>
        <v/>
      </c>
      <c r="S1191" s="17" t="str">
        <f>IF(INDEX(Listado!A:A,ROW())="","",INDEX(Listado!A:A,ROW()))</f>
        <v/>
      </c>
      <c r="T1191" s="17" t="str">
        <f ca="1">IF(INDEX(Listado!G:G,ROW())="","",INDEX(Listado!G:G,ROW()))</f>
        <v/>
      </c>
      <c r="U1191" s="17" t="str">
        <f>IF(INDEX(Listado!F:F,ROW())="","",INDEX(Listado!F:F,ROW()))</f>
        <v/>
      </c>
      <c r="V1191" s="17">
        <f>IF(COUNTA(INDEX(Listado!B:B,ROW()):INDEX(Listado!F:F,ROW()))&gt;0,1,0)</f>
        <v/>
      </c>
      <c r="W1191" s="17" t="str">
        <f>IF(INDEX(Listado!L:L,ROW())="","",INDEX(Listado!L:L,ROW()))</f>
        <v/>
      </c>
      <c r="X1191" s="17">
        <f>IF(N1191="","",IF(INDEX(Listado!$M:$M,N1191)="No","No","Sí"))</f>
        <v/>
      </c>
    </row>
    <row r="1192" spans="2:24" ht="14.25">
      <c r="N1192" s="17" t="str">
        <f>IF(V1192=0,"",IFERROR(LOOKUP(2,1/(INDEX(Listado!A:A,2):INDEX(Listado!A:A,ROW())&lt;&gt;""),ROW(INDEX(Listado!A:A,2):INDEX(Listado!A:A,ROW()))),""))</f>
        <v/>
      </c>
      <c r="O1192" s="17" t="str">
        <f>IFERROR(IF(N1192="","",IF(INDEX(Listado!M:M,N1192)="No",IF(INDEX(Listado!N:N,N1192)=0,"",INDEX(Listado!N:N,N1192)),IF(INDEX(Listado!I:I,N1192)=0,"",INDEX(Listado!I:I,N1192)))),"")</f>
        <v/>
      </c>
      <c r="P1192" s="17">
        <f t="shared" ca="1" si="55"/>
        <v/>
      </c>
      <c r="Q1192" s="17">
        <f>IFERROR(IF(AND(N1192&lt;&gt;"",ISNUMBER(O1192),O1192&gt;0,O1192&gt;=TODAY()-90),1,0),0)</f>
        <v/>
      </c>
      <c r="R1192" s="17" t="str">
        <f t="shared" si="57"/>
        <v/>
      </c>
      <c r="S1192" s="17" t="str">
        <f>IF(INDEX(Listado!A:A,ROW())="","",INDEX(Listado!A:A,ROW()))</f>
        <v/>
      </c>
      <c r="T1192" s="17" t="str">
        <f ca="1">IF(INDEX(Listado!G:G,ROW())="","",INDEX(Listado!G:G,ROW()))</f>
        <v/>
      </c>
      <c r="U1192" s="17" t="str">
        <f>IF(INDEX(Listado!F:F,ROW())="","",INDEX(Listado!F:F,ROW()))</f>
        <v/>
      </c>
      <c r="V1192" s="17">
        <f>IF(COUNTA(INDEX(Listado!B:B,ROW()):INDEX(Listado!F:F,ROW()))&gt;0,1,0)</f>
        <v/>
      </c>
      <c r="W1192" s="17" t="str">
        <f>IF(INDEX(Listado!L:L,ROW())="","",INDEX(Listado!L:L,ROW()))</f>
        <v/>
      </c>
      <c r="X1192" s="17">
        <f>IF(N1192="","",IF(INDEX(Listado!$M:$M,N1192)="No","No","Sí"))</f>
        <v/>
      </c>
    </row>
    <row r="1193" spans="2:24" ht="14.25">
      <c r="N1193" s="17" t="str">
        <f>IF(V1193=0,"",IFERROR(LOOKUP(2,1/(INDEX(Listado!A:A,2):INDEX(Listado!A:A,ROW())&lt;&gt;""),ROW(INDEX(Listado!A:A,2):INDEX(Listado!A:A,ROW()))),""))</f>
        <v/>
      </c>
      <c r="O1193" s="17" t="str">
        <f>IFERROR(IF(N1193="","",IF(INDEX(Listado!M:M,N1193)="No",IF(INDEX(Listado!N:N,N1193)=0,"",INDEX(Listado!N:N,N1193)),IF(INDEX(Listado!I:I,N1193)=0,"",INDEX(Listado!I:I,N1193)))),"")</f>
        <v/>
      </c>
      <c r="P1193" s="17">
        <f t="shared" ca="1" si="55"/>
        <v/>
      </c>
      <c r="Q1193" s="17">
        <f>IFERROR(IF(AND(N1193&lt;&gt;"",ISNUMBER(O1193),O1193&gt;0,O1193&gt;=TODAY()-90),1,0),0)</f>
        <v/>
      </c>
      <c r="R1193" s="17" t="str">
        <f t="shared" si="57"/>
        <v/>
      </c>
      <c r="S1193" s="17" t="str">
        <f>IF(INDEX(Listado!A:A,ROW())="","",INDEX(Listado!A:A,ROW()))</f>
        <v/>
      </c>
      <c r="T1193" s="17" t="str">
        <f ca="1">IF(INDEX(Listado!G:G,ROW())="","",INDEX(Listado!G:G,ROW()))</f>
        <v/>
      </c>
      <c r="U1193" s="17" t="str">
        <f>IF(INDEX(Listado!F:F,ROW())="","",INDEX(Listado!F:F,ROW()))</f>
        <v/>
      </c>
      <c r="V1193" s="17">
        <f>IF(COUNTA(INDEX(Listado!B:B,ROW()):INDEX(Listado!F:F,ROW()))&gt;0,1,0)</f>
        <v/>
      </c>
      <c r="W1193" s="17" t="str">
        <f>IF(INDEX(Listado!L:L,ROW())="","",INDEX(Listado!L:L,ROW()))</f>
        <v/>
      </c>
      <c r="X1193" s="17">
        <f>IF(N1193="","",IF(INDEX(Listado!$M:$M,N1193)="No","No","Sí"))</f>
        <v/>
      </c>
    </row>
    <row r="1194" spans="2:24" ht="14.25">
      <c r="N1194" s="17" t="str">
        <f>IF(V1194=0,"",IFERROR(LOOKUP(2,1/(INDEX(Listado!A:A,2):INDEX(Listado!A:A,ROW())&lt;&gt;""),ROW(INDEX(Listado!A:A,2):INDEX(Listado!A:A,ROW()))),""))</f>
        <v/>
      </c>
      <c r="O1194" s="17" t="str">
        <f>IFERROR(IF(N1194="","",IF(INDEX(Listado!M:M,N1194)="No",IF(INDEX(Listado!N:N,N1194)=0,"",INDEX(Listado!N:N,N1194)),IF(INDEX(Listado!I:I,N1194)=0,"",INDEX(Listado!I:I,N1194)))),"")</f>
        <v/>
      </c>
      <c r="P1194" s="17">
        <f t="shared" ca="1" si="55"/>
        <v/>
      </c>
      <c r="Q1194" s="17">
        <f>IFERROR(IF(AND(N1194&lt;&gt;"",ISNUMBER(O1194),O1194&gt;0,O1194&gt;=TODAY()-90),1,0),0)</f>
        <v/>
      </c>
      <c r="R1194" s="17" t="str">
        <f t="shared" si="57"/>
        <v/>
      </c>
      <c r="S1194" s="17" t="str">
        <f>IF(INDEX(Listado!A:A,ROW())="","",INDEX(Listado!A:A,ROW()))</f>
        <v/>
      </c>
      <c r="T1194" s="17" t="str">
        <f ca="1">IF(INDEX(Listado!G:G,ROW())="","",INDEX(Listado!G:G,ROW()))</f>
        <v/>
      </c>
      <c r="U1194" s="17" t="str">
        <f>IF(INDEX(Listado!F:F,ROW())="","",INDEX(Listado!F:F,ROW()))</f>
        <v/>
      </c>
      <c r="V1194" s="17">
        <f>IF(COUNTA(INDEX(Listado!B:B,ROW()):INDEX(Listado!F:F,ROW()))&gt;0,1,0)</f>
        <v/>
      </c>
      <c r="W1194" s="17" t="str">
        <f>IF(INDEX(Listado!L:L,ROW())="","",INDEX(Listado!L:L,ROW()))</f>
        <v/>
      </c>
      <c r="X1194" s="17">
        <f>IF(N1194="","",IF(INDEX(Listado!$M:$M,N1194)="No","No","Sí"))</f>
        <v/>
      </c>
    </row>
    <row r="1195" spans="2:24" ht="14.25">
      <c r="N1195" s="17" t="str">
        <f>IF(V1195=0,"",IFERROR(LOOKUP(2,1/(INDEX(Listado!A:A,2):INDEX(Listado!A:A,ROW())&lt;&gt;""),ROW(INDEX(Listado!A:A,2):INDEX(Listado!A:A,ROW()))),""))</f>
        <v/>
      </c>
      <c r="O1195" s="17" t="str">
        <f>IFERROR(IF(N1195="","",IF(INDEX(Listado!M:M,N1195)="No",IF(INDEX(Listado!N:N,N1195)=0,"",INDEX(Listado!N:N,N1195)),IF(INDEX(Listado!I:I,N1195)=0,"",INDEX(Listado!I:I,N1195)))),"")</f>
        <v/>
      </c>
      <c r="P1195" s="17">
        <f t="shared" ca="1" si="55"/>
        <v/>
      </c>
      <c r="Q1195" s="17">
        <f>IFERROR(IF(AND(N1195&lt;&gt;"",ISNUMBER(O1195),O1195&gt;0,O1195&gt;=TODAY()-90),1,0),0)</f>
        <v/>
      </c>
      <c r="R1195" s="17" t="str">
        <f t="shared" si="57"/>
        <v/>
      </c>
      <c r="S1195" s="17" t="str">
        <f>IF(INDEX(Listado!A:A,ROW())="","",INDEX(Listado!A:A,ROW()))</f>
        <v/>
      </c>
      <c r="T1195" s="17" t="str">
        <f ca="1">IF(INDEX(Listado!G:G,ROW())="","",INDEX(Listado!G:G,ROW()))</f>
        <v/>
      </c>
      <c r="U1195" s="17" t="str">
        <f>IF(INDEX(Listado!F:F,ROW())="","",INDEX(Listado!F:F,ROW()))</f>
        <v/>
      </c>
      <c r="V1195" s="17">
        <f>IF(COUNTA(INDEX(Listado!B:B,ROW()):INDEX(Listado!F:F,ROW()))&gt;0,1,0)</f>
        <v/>
      </c>
      <c r="W1195" s="17" t="str">
        <f>IF(INDEX(Listado!L:L,ROW())="","",INDEX(Listado!L:L,ROW()))</f>
        <v/>
      </c>
      <c r="X1195" s="17">
        <f>IF(N1195="","",IF(INDEX(Listado!$M:$M,N1195)="No","No","Sí"))</f>
        <v/>
      </c>
    </row>
    <row r="1196" spans="2:24" ht="14.25">
      <c r="N1196" s="17" t="str">
        <f>IF(V1196=0,"",IFERROR(LOOKUP(2,1/(INDEX(Listado!A:A,2):INDEX(Listado!A:A,ROW())&lt;&gt;""),ROW(INDEX(Listado!A:A,2):INDEX(Listado!A:A,ROW()))),""))</f>
        <v/>
      </c>
      <c r="O1196" s="17" t="str">
        <f>IFERROR(IF(N1196="","",IF(INDEX(Listado!M:M,N1196)="No",IF(INDEX(Listado!N:N,N1196)=0,"",INDEX(Listado!N:N,N1196)),IF(INDEX(Listado!I:I,N1196)=0,"",INDEX(Listado!I:I,N1196)))),"")</f>
        <v/>
      </c>
      <c r="P1196" s="17">
        <f t="shared" ca="1" si="55"/>
        <v/>
      </c>
      <c r="Q1196" s="17">
        <f>IFERROR(IF(AND(N1196&lt;&gt;"",ISNUMBER(O1196),O1196&gt;0,O1196&gt;=TODAY()-90),1,0),0)</f>
        <v/>
      </c>
      <c r="R1196" s="17" t="str">
        <f t="shared" si="57"/>
        <v/>
      </c>
      <c r="S1196" s="17" t="str">
        <f>IF(INDEX(Listado!A:A,ROW())="","",INDEX(Listado!A:A,ROW()))</f>
        <v/>
      </c>
      <c r="T1196" s="17" t="str">
        <f ca="1">IF(INDEX(Listado!G:G,ROW())="","",INDEX(Listado!G:G,ROW()))</f>
        <v/>
      </c>
      <c r="U1196" s="17" t="str">
        <f>IF(INDEX(Listado!F:F,ROW())="","",INDEX(Listado!F:F,ROW()))</f>
        <v/>
      </c>
      <c r="V1196" s="17">
        <f>IF(COUNTA(INDEX(Listado!B:B,ROW()):INDEX(Listado!F:F,ROW()))&gt;0,1,0)</f>
        <v/>
      </c>
      <c r="W1196" s="17" t="str">
        <f>IF(INDEX(Listado!L:L,ROW())="","",INDEX(Listado!L:L,ROW()))</f>
        <v/>
      </c>
      <c r="X1196" s="17">
        <f>IF(N1196="","",IF(INDEX(Listado!$M:$M,N1196)="No","No","Sí"))</f>
        <v/>
      </c>
    </row>
    <row r="1197" spans="2:24" ht="14.25">
      <c r="N1197" s="17" t="str">
        <f>IF(V1197=0,"",IFERROR(LOOKUP(2,1/(INDEX(Listado!A:A,2):INDEX(Listado!A:A,ROW())&lt;&gt;""),ROW(INDEX(Listado!A:A,2):INDEX(Listado!A:A,ROW()))),""))</f>
        <v/>
      </c>
      <c r="O1197" s="17" t="str">
        <f>IFERROR(IF(N1197="","",IF(INDEX(Listado!M:M,N1197)="No",IF(INDEX(Listado!N:N,N1197)=0,"",INDEX(Listado!N:N,N1197)),IF(INDEX(Listado!I:I,N1197)=0,"",INDEX(Listado!I:I,N1197)))),"")</f>
        <v/>
      </c>
      <c r="P1197" s="17">
        <f t="shared" ca="1" si="55"/>
        <v/>
      </c>
      <c r="Q1197" s="17">
        <f>IFERROR(IF(AND(N1197&lt;&gt;"",ISNUMBER(O1197),O1197&gt;0,O1197&gt;=TODAY()-90),1,0),0)</f>
        <v/>
      </c>
      <c r="R1197" s="17" t="str">
        <f t="shared" si="57"/>
        <v/>
      </c>
      <c r="S1197" s="17" t="str">
        <f>IF(INDEX(Listado!A:A,ROW())="","",INDEX(Listado!A:A,ROW()))</f>
        <v/>
      </c>
      <c r="T1197" s="17" t="str">
        <f ca="1">IF(INDEX(Listado!G:G,ROW())="","",INDEX(Listado!G:G,ROW()))</f>
        <v/>
      </c>
      <c r="U1197" s="17" t="str">
        <f>IF(INDEX(Listado!F:F,ROW())="","",INDEX(Listado!F:F,ROW()))</f>
        <v/>
      </c>
      <c r="V1197" s="17">
        <f>IF(COUNTA(INDEX(Listado!B:B,ROW()):INDEX(Listado!F:F,ROW()))&gt;0,1,0)</f>
        <v/>
      </c>
      <c r="W1197" s="17" t="str">
        <f>IF(INDEX(Listado!L:L,ROW())="","",INDEX(Listado!L:L,ROW()))</f>
        <v/>
      </c>
      <c r="X1197" s="17">
        <f>IF(N1197="","",IF(INDEX(Listado!$M:$M,N1197)="No","No","Sí"))</f>
        <v/>
      </c>
    </row>
    <row r="1198" spans="2:24" ht="14.25">
      <c r="N1198" s="17" t="str">
        <f>IF(V1198=0,"",IFERROR(LOOKUP(2,1/(INDEX(Listado!A:A,2):INDEX(Listado!A:A,ROW())&lt;&gt;""),ROW(INDEX(Listado!A:A,2):INDEX(Listado!A:A,ROW()))),""))</f>
        <v/>
      </c>
      <c r="O1198" s="17" t="str">
        <f>IFERROR(IF(N1198="","",IF(INDEX(Listado!M:M,N1198)="No",IF(INDEX(Listado!N:N,N1198)=0,"",INDEX(Listado!N:N,N1198)),IF(INDEX(Listado!I:I,N1198)=0,"",INDEX(Listado!I:I,N1198)))),"")</f>
        <v/>
      </c>
      <c r="P1198" s="17">
        <f t="shared" ca="1" si="55"/>
        <v/>
      </c>
      <c r="Q1198" s="17">
        <f>IFERROR(IF(AND(N1198&lt;&gt;"",ISNUMBER(O1198),O1198&gt;0,O1198&gt;=TODAY()-90),1,0),0)</f>
        <v/>
      </c>
      <c r="R1198" s="17" t="str">
        <f t="shared" si="57"/>
        <v/>
      </c>
      <c r="S1198" s="17" t="str">
        <f>IF(INDEX(Listado!A:A,ROW())="","",INDEX(Listado!A:A,ROW()))</f>
        <v/>
      </c>
      <c r="T1198" s="17" t="str">
        <f ca="1">IF(INDEX(Listado!G:G,ROW())="","",INDEX(Listado!G:G,ROW()))</f>
        <v/>
      </c>
      <c r="U1198" s="17" t="str">
        <f>IF(INDEX(Listado!F:F,ROW())="","",INDEX(Listado!F:F,ROW()))</f>
        <v/>
      </c>
      <c r="V1198" s="17">
        <f>IF(COUNTA(INDEX(Listado!B:B,ROW()):INDEX(Listado!F:F,ROW()))&gt;0,1,0)</f>
        <v/>
      </c>
      <c r="W1198" s="17" t="str">
        <f>IF(INDEX(Listado!L:L,ROW())="","",INDEX(Listado!L:L,ROW()))</f>
        <v/>
      </c>
      <c r="X1198" s="17">
        <f>IF(N1198="","",IF(INDEX(Listado!$M:$M,N1198)="No","No","Sí"))</f>
        <v/>
      </c>
    </row>
    <row r="1199" spans="2:24" ht="14.25">
      <c r="N1199" s="17" t="str">
        <f>IF(V1199=0,"",IFERROR(LOOKUP(2,1/(INDEX(Listado!A:A,2):INDEX(Listado!A:A,ROW())&lt;&gt;""),ROW(INDEX(Listado!A:A,2):INDEX(Listado!A:A,ROW()))),""))</f>
        <v/>
      </c>
      <c r="O1199" s="17" t="str">
        <f>IFERROR(IF(N1199="","",IF(INDEX(Listado!M:M,N1199)="No",IF(INDEX(Listado!N:N,N1199)=0,"",INDEX(Listado!N:N,N1199)),IF(INDEX(Listado!I:I,N1199)=0,"",INDEX(Listado!I:I,N1199)))),"")</f>
        <v/>
      </c>
      <c r="P1199" s="17">
        <f t="shared" ca="1" si="55"/>
        <v/>
      </c>
      <c r="Q1199" s="17">
        <f>IFERROR(IF(AND(N1199&lt;&gt;"",ISNUMBER(O1199),O1199&gt;0,O1199&gt;=TODAY()-90),1,0),0)</f>
        <v/>
      </c>
      <c r="R1199" s="17" t="str">
        <f t="shared" si="57"/>
        <v/>
      </c>
      <c r="S1199" s="17" t="str">
        <f>IF(INDEX(Listado!A:A,ROW())="","",INDEX(Listado!A:A,ROW()))</f>
        <v/>
      </c>
      <c r="T1199" s="17" t="str">
        <f ca="1">IF(INDEX(Listado!G:G,ROW())="","",INDEX(Listado!G:G,ROW()))</f>
        <v/>
      </c>
      <c r="U1199" s="17" t="str">
        <f>IF(INDEX(Listado!F:F,ROW())="","",INDEX(Listado!F:F,ROW()))</f>
        <v/>
      </c>
      <c r="V1199" s="17">
        <f>IF(COUNTA(INDEX(Listado!B:B,ROW()):INDEX(Listado!F:F,ROW()))&gt;0,1,0)</f>
        <v/>
      </c>
      <c r="W1199" s="17" t="str">
        <f>IF(INDEX(Listado!L:L,ROW())="","",INDEX(Listado!L:L,ROW()))</f>
        <v/>
      </c>
      <c r="X1199" s="17">
        <f>IF(N1199="","",IF(INDEX(Listado!$M:$M,N1199)="No","No","Sí"))</f>
        <v/>
      </c>
    </row>
    <row r="1200" spans="2:24" ht="14.25">
      <c r="N1200" s="17" t="str">
        <f>IF(V1200=0,"",IFERROR(LOOKUP(2,1/(INDEX(Listado!A:A,2):INDEX(Listado!A:A,ROW())&lt;&gt;""),ROW(INDEX(Listado!A:A,2):INDEX(Listado!A:A,ROW()))),""))</f>
        <v/>
      </c>
      <c r="O1200" s="17" t="str">
        <f>IFERROR(IF(N1200="","",IF(INDEX(Listado!M:M,N1200)="No",IF(INDEX(Listado!N:N,N1200)=0,"",INDEX(Listado!N:N,N1200)),IF(INDEX(Listado!I:I,N1200)=0,"",INDEX(Listado!I:I,N1200)))),"")</f>
        <v/>
      </c>
      <c r="P1200" s="17">
        <f t="shared" ca="1" si="55"/>
        <v/>
      </c>
      <c r="Q1200" s="17">
        <f>IFERROR(IF(AND(N1200&lt;&gt;"",ISNUMBER(O1200),O1200&gt;0,O1200&gt;=TODAY()-90),1,0),0)</f>
        <v/>
      </c>
      <c r="R1200" s="17" t="str">
        <f t="shared" si="57"/>
        <v/>
      </c>
      <c r="S1200" s="17" t="str">
        <f>IF(INDEX(Listado!A:A,ROW())="","",INDEX(Listado!A:A,ROW()))</f>
        <v/>
      </c>
      <c r="T1200" s="17" t="str">
        <f ca="1">IF(INDEX(Listado!G:G,ROW())="","",INDEX(Listado!G:G,ROW()))</f>
        <v/>
      </c>
      <c r="U1200" s="17" t="str">
        <f>IF(INDEX(Listado!F:F,ROW())="","",INDEX(Listado!F:F,ROW()))</f>
        <v/>
      </c>
      <c r="V1200" s="17">
        <f>IF(COUNTA(INDEX(Listado!B:B,ROW()):INDEX(Listado!F:F,ROW()))&gt;0,1,0)</f>
        <v/>
      </c>
      <c r="W1200" s="17" t="str">
        <f>IF(INDEX(Listado!L:L,ROW())="","",INDEX(Listado!L:L,ROW()))</f>
        <v/>
      </c>
      <c r="X1200" s="17">
        <f>IF(N1200="","",IF(INDEX(Listado!$M:$M,N1200)="No","No","Sí"))</f>
        <v/>
      </c>
    </row>
    <row r="1201" spans="2:24" ht="14.25">
      <c r="N1201" s="17" t="str">
        <f>IF(V1201=0,"",IFERROR(LOOKUP(2,1/(INDEX(Listado!A:A,2):INDEX(Listado!A:A,ROW())&lt;&gt;""),ROW(INDEX(Listado!A:A,2):INDEX(Listado!A:A,ROW()))),""))</f>
        <v/>
      </c>
      <c r="O1201" s="17" t="str">
        <f>IFERROR(IF(N1201="","",IF(INDEX(Listado!M:M,N1201)="No",IF(INDEX(Listado!N:N,N1201)=0,"",INDEX(Listado!N:N,N1201)),IF(INDEX(Listado!I:I,N1201)=0,"",INDEX(Listado!I:I,N1201)))),"")</f>
        <v/>
      </c>
      <c r="P1201" s="17">
        <f t="shared" ca="1" si="55"/>
        <v/>
      </c>
      <c r="Q1201" s="17">
        <f>IFERROR(IF(AND(N1201&lt;&gt;"",ISNUMBER(O1201),O1201&gt;0,O1201&gt;=TODAY()-90),1,0),0)</f>
        <v/>
      </c>
      <c r="R1201" s="17" t="str">
        <f t="shared" si="57"/>
        <v/>
      </c>
      <c r="S1201" s="17" t="str">
        <f>IF(INDEX(Listado!A:A,ROW())="","",INDEX(Listado!A:A,ROW()))</f>
        <v/>
      </c>
      <c r="T1201" s="17" t="str">
        <f ca="1">IF(INDEX(Listado!G:G,ROW())="","",INDEX(Listado!G:G,ROW()))</f>
        <v/>
      </c>
      <c r="U1201" s="17" t="str">
        <f>IF(INDEX(Listado!F:F,ROW())="","",INDEX(Listado!F:F,ROW()))</f>
        <v/>
      </c>
      <c r="V1201" s="17">
        <f>IF(COUNTA(INDEX(Listado!B:B,ROW()):INDEX(Listado!F:F,ROW()))&gt;0,1,0)</f>
        <v/>
      </c>
      <c r="W1201" s="17" t="str">
        <f>IF(INDEX(Listado!L:L,ROW())="","",INDEX(Listado!L:L,ROW()))</f>
        <v/>
      </c>
      <c r="X1201" s="17">
        <f>IF(N1201="","",IF(INDEX(Listado!$M:$M,N1201)="No","No","Sí"))</f>
        <v/>
      </c>
    </row>
    <row r="1202" spans="2:24" ht="14.25">
      <c r="N1202" s="17" t="str">
        <f>IF(V1202=0,"",IFERROR(LOOKUP(2,1/(INDEX(Listado!A:A,2):INDEX(Listado!A:A,ROW())&lt;&gt;""),ROW(INDEX(Listado!A:A,2):INDEX(Listado!A:A,ROW()))),""))</f>
        <v/>
      </c>
      <c r="O1202" s="17" t="str">
        <f>IFERROR(IF(N1202="","",IF(INDEX(Listado!M:M,N1202)="No",IF(INDEX(Listado!N:N,N1202)=0,"",INDEX(Listado!N:N,N1202)),IF(INDEX(Listado!I:I,N1202)=0,"",INDEX(Listado!I:I,N1202)))),"")</f>
        <v/>
      </c>
      <c r="P1202" s="17">
        <f t="shared" ca="1" si="55"/>
        <v/>
      </c>
      <c r="Q1202" s="17">
        <f>IFERROR(IF(AND(N1202&lt;&gt;"",ISNUMBER(O1202),O1202&gt;0,O1202&gt;=TODAY()-90),1,0),0)</f>
        <v/>
      </c>
      <c r="R1202" s="17" t="str">
        <f t="shared" si="57"/>
        <v/>
      </c>
      <c r="S1202" s="17" t="str">
        <f>IF(INDEX(Listado!A:A,ROW())="","",INDEX(Listado!A:A,ROW()))</f>
        <v/>
      </c>
      <c r="T1202" s="17" t="str">
        <f ca="1">IF(INDEX(Listado!G:G,ROW())="","",INDEX(Listado!G:G,ROW()))</f>
        <v/>
      </c>
      <c r="U1202" s="17" t="str">
        <f>IF(INDEX(Listado!F:F,ROW())="","",INDEX(Listado!F:F,ROW()))</f>
        <v/>
      </c>
      <c r="V1202" s="17">
        <f>IF(COUNTA(INDEX(Listado!B:B,ROW()):INDEX(Listado!F:F,ROW()))&gt;0,1,0)</f>
        <v/>
      </c>
      <c r="W1202" s="17" t="str">
        <f>IF(INDEX(Listado!L:L,ROW())="","",INDEX(Listado!L:L,ROW()))</f>
        <v/>
      </c>
      <c r="X1202" s="17">
        <f>IF(N1202="","",IF(INDEX(Listado!$M:$M,N1202)="No","No","Sí"))</f>
        <v/>
      </c>
    </row>
    <row r="1203" spans="2:24" ht="14.25">
      <c r="N1203" s="17" t="str">
        <f>IF(V1203=0,"",IFERROR(LOOKUP(2,1/(INDEX(Listado!A:A,2):INDEX(Listado!A:A,ROW())&lt;&gt;""),ROW(INDEX(Listado!A:A,2):INDEX(Listado!A:A,ROW()))),""))</f>
        <v/>
      </c>
      <c r="O1203" s="17" t="str">
        <f>IFERROR(IF(N1203="","",IF(INDEX(Listado!M:M,N1203)="No",IF(INDEX(Listado!N:N,N1203)=0,"",INDEX(Listado!N:N,N1203)),IF(INDEX(Listado!I:I,N1203)=0,"",INDEX(Listado!I:I,N1203)))),"")</f>
        <v/>
      </c>
      <c r="P1203" s="17">
        <f t="shared" ca="1" si="55"/>
        <v/>
      </c>
      <c r="Q1203" s="17">
        <f>IFERROR(IF(AND(N1203&lt;&gt;"",ISNUMBER(O1203),O1203&gt;0,O1203&gt;=TODAY()-90),1,0),0)</f>
        <v/>
      </c>
      <c r="R1203" s="17" t="str">
        <f t="shared" si="57"/>
        <v/>
      </c>
      <c r="S1203" s="17" t="str">
        <f>IF(INDEX(Listado!A:A,ROW())="","",INDEX(Listado!A:A,ROW()))</f>
        <v/>
      </c>
      <c r="T1203" s="17" t="str">
        <f ca="1">IF(INDEX(Listado!G:G,ROW())="","",INDEX(Listado!G:G,ROW()))</f>
        <v/>
      </c>
      <c r="U1203" s="17" t="str">
        <f>IF(INDEX(Listado!F:F,ROW())="","",INDEX(Listado!F:F,ROW()))</f>
        <v/>
      </c>
      <c r="V1203" s="17">
        <f>IF(COUNTA(INDEX(Listado!B:B,ROW()):INDEX(Listado!F:F,ROW()))&gt;0,1,0)</f>
        <v/>
      </c>
      <c r="W1203" s="17" t="str">
        <f>IF(INDEX(Listado!L:L,ROW())="","",INDEX(Listado!L:L,ROW()))</f>
        <v/>
      </c>
      <c r="X1203" s="17">
        <f>IF(N1203="","",IF(INDEX(Listado!$M:$M,N1203)="No","No","Sí"))</f>
        <v/>
      </c>
    </row>
    <row r="1204" spans="2:24" ht="14.25">
      <c r="N1204" s="17" t="str">
        <f>IF(V1204=0,"",IFERROR(LOOKUP(2,1/(INDEX(Listado!A:A,2):INDEX(Listado!A:A,ROW())&lt;&gt;""),ROW(INDEX(Listado!A:A,2):INDEX(Listado!A:A,ROW()))),""))</f>
        <v/>
      </c>
      <c r="O1204" s="17" t="str">
        <f>IFERROR(IF(N1204="","",IF(INDEX(Listado!M:M,N1204)="No",IF(INDEX(Listado!N:N,N1204)=0,"",INDEX(Listado!N:N,N1204)),IF(INDEX(Listado!I:I,N1204)=0,"",INDEX(Listado!I:I,N1204)))),"")</f>
        <v/>
      </c>
      <c r="P1204" s="17">
        <f t="shared" ca="1" si="55"/>
        <v/>
      </c>
      <c r="Q1204" s="17">
        <f>IFERROR(IF(AND(N1204&lt;&gt;"",ISNUMBER(O1204),O1204&gt;0,O1204&gt;=TODAY()-90),1,0),0)</f>
        <v/>
      </c>
      <c r="R1204" s="17" t="str">
        <f t="shared" si="57"/>
        <v/>
      </c>
      <c r="S1204" s="17" t="str">
        <f>IF(INDEX(Listado!A:A,ROW())="","",INDEX(Listado!A:A,ROW()))</f>
        <v/>
      </c>
      <c r="T1204" s="17" t="str">
        <f ca="1">IF(INDEX(Listado!G:G,ROW())="","",INDEX(Listado!G:G,ROW()))</f>
        <v/>
      </c>
      <c r="U1204" s="17" t="str">
        <f>IF(INDEX(Listado!F:F,ROW())="","",INDEX(Listado!F:F,ROW()))</f>
        <v/>
      </c>
      <c r="V1204" s="17">
        <f>IF(COUNTA(INDEX(Listado!B:B,ROW()):INDEX(Listado!F:F,ROW()))&gt;0,1,0)</f>
        <v/>
      </c>
      <c r="W1204" s="17" t="str">
        <f>IF(INDEX(Listado!L:L,ROW())="","",INDEX(Listado!L:L,ROW()))</f>
        <v/>
      </c>
      <c r="X1204" s="17">
        <f>IF(N1204="","",IF(INDEX(Listado!$M:$M,N1204)="No","No","Sí"))</f>
        <v/>
      </c>
    </row>
    <row r="1205" spans="2:24" ht="14.25">
      <c r="N1205" s="17" t="str">
        <f>IF(V1205=0,"",IFERROR(LOOKUP(2,1/(INDEX(Listado!A:A,2):INDEX(Listado!A:A,ROW())&lt;&gt;""),ROW(INDEX(Listado!A:A,2):INDEX(Listado!A:A,ROW()))),""))</f>
        <v/>
      </c>
      <c r="O1205" s="17" t="str">
        <f>IFERROR(IF(N1205="","",IF(INDEX(Listado!M:M,N1205)="No",IF(INDEX(Listado!N:N,N1205)=0,"",INDEX(Listado!N:N,N1205)),IF(INDEX(Listado!I:I,N1205)=0,"",INDEX(Listado!I:I,N1205)))),"")</f>
        <v/>
      </c>
      <c r="P1205" s="17">
        <f t="shared" ca="1" si="55"/>
        <v/>
      </c>
      <c r="Q1205" s="17">
        <f>IFERROR(IF(AND(N1205&lt;&gt;"",ISNUMBER(O1205),O1205&gt;0,O1205&gt;=TODAY()-90),1,0),0)</f>
        <v/>
      </c>
      <c r="R1205" s="17" t="str">
        <f t="shared" si="57"/>
        <v/>
      </c>
      <c r="S1205" s="17" t="str">
        <f>IF(INDEX(Listado!A:A,ROW())="","",INDEX(Listado!A:A,ROW()))</f>
        <v/>
      </c>
      <c r="T1205" s="17" t="str">
        <f ca="1">IF(INDEX(Listado!G:G,ROW())="","",INDEX(Listado!G:G,ROW()))</f>
        <v/>
      </c>
      <c r="U1205" s="17" t="str">
        <f>IF(INDEX(Listado!F:F,ROW())="","",INDEX(Listado!F:F,ROW()))</f>
        <v/>
      </c>
      <c r="V1205" s="17">
        <f>IF(COUNTA(INDEX(Listado!B:B,ROW()):INDEX(Listado!F:F,ROW()))&gt;0,1,0)</f>
        <v/>
      </c>
      <c r="W1205" s="17" t="str">
        <f>IF(INDEX(Listado!L:L,ROW())="","",INDEX(Listado!L:L,ROW()))</f>
        <v/>
      </c>
      <c r="X1205" s="17">
        <f>IF(N1205="","",IF(INDEX(Listado!$M:$M,N1205)="No","No","Sí"))</f>
        <v/>
      </c>
    </row>
    <row r="1206" spans="2:24" ht="14.25">
      <c r="N1206" s="17" t="str">
        <f>IF(V1206=0,"",IFERROR(LOOKUP(2,1/(INDEX(Listado!A:A,2):INDEX(Listado!A:A,ROW())&lt;&gt;""),ROW(INDEX(Listado!A:A,2):INDEX(Listado!A:A,ROW()))),""))</f>
        <v/>
      </c>
      <c r="O1206" s="17" t="str">
        <f>IFERROR(IF(N1206="","",IF(INDEX(Listado!M:M,N1206)="No",IF(INDEX(Listado!N:N,N1206)=0,"",INDEX(Listado!N:N,N1206)),IF(INDEX(Listado!I:I,N1206)=0,"",INDEX(Listado!I:I,N1206)))),"")</f>
        <v/>
      </c>
      <c r="P1206" s="17">
        <f t="shared" ca="1" si="55"/>
        <v/>
      </c>
      <c r="Q1206" s="17">
        <f>IFERROR(IF(AND(N1206&lt;&gt;"",ISNUMBER(O1206),O1206&gt;0,O1206&gt;=TODAY()-90),1,0),0)</f>
        <v/>
      </c>
      <c r="R1206" s="17" t="str">
        <f t="shared" si="57"/>
        <v/>
      </c>
      <c r="S1206" s="17" t="str">
        <f>IF(INDEX(Listado!A:A,ROW())="","",INDEX(Listado!A:A,ROW()))</f>
        <v/>
      </c>
      <c r="T1206" s="17" t="str">
        <f ca="1">IF(INDEX(Listado!G:G,ROW())="","",INDEX(Listado!G:G,ROW()))</f>
        <v/>
      </c>
      <c r="U1206" s="17" t="str">
        <f>IF(INDEX(Listado!F:F,ROW())="","",INDEX(Listado!F:F,ROW()))</f>
        <v/>
      </c>
      <c r="V1206" s="17">
        <f>IF(COUNTA(INDEX(Listado!B:B,ROW()):INDEX(Listado!F:F,ROW()))&gt;0,1,0)</f>
        <v/>
      </c>
      <c r="W1206" s="17" t="str">
        <f>IF(INDEX(Listado!L:L,ROW())="","",INDEX(Listado!L:L,ROW()))</f>
        <v/>
      </c>
      <c r="X1206" s="17">
        <f>IF(N1206="","",IF(INDEX(Listado!$M:$M,N1206)="No","No","Sí"))</f>
        <v/>
      </c>
    </row>
    <row r="1207" spans="2:24" ht="14.25">
      <c r="N1207" s="17" t="str">
        <f>IF(V1207=0,"",IFERROR(LOOKUP(2,1/(INDEX(Listado!A:A,2):INDEX(Listado!A:A,ROW())&lt;&gt;""),ROW(INDEX(Listado!A:A,2):INDEX(Listado!A:A,ROW()))),""))</f>
        <v/>
      </c>
      <c r="O1207" s="17" t="str">
        <f>IFERROR(IF(N1207="","",IF(INDEX(Listado!M:M,N1207)="No",IF(INDEX(Listado!N:N,N1207)=0,"",INDEX(Listado!N:N,N1207)),IF(INDEX(Listado!I:I,N1207)=0,"",INDEX(Listado!I:I,N1207)))),"")</f>
        <v/>
      </c>
      <c r="P1207" s="17">
        <f t="shared" ca="1" si="55"/>
        <v/>
      </c>
      <c r="Q1207" s="17">
        <f>IFERROR(IF(AND(N1207&lt;&gt;"",ISNUMBER(O1207),O1207&gt;0,O1207&gt;=TODAY()-90),1,0),0)</f>
        <v/>
      </c>
      <c r="R1207" s="17" t="str">
        <f t="shared" si="57"/>
        <v/>
      </c>
      <c r="S1207" s="17" t="str">
        <f>IF(INDEX(Listado!A:A,ROW())="","",INDEX(Listado!A:A,ROW()))</f>
        <v/>
      </c>
      <c r="T1207" s="17" t="str">
        <f ca="1">IF(INDEX(Listado!G:G,ROW())="","",INDEX(Listado!G:G,ROW()))</f>
        <v/>
      </c>
      <c r="U1207" s="17" t="str">
        <f>IF(INDEX(Listado!F:F,ROW())="","",INDEX(Listado!F:F,ROW()))</f>
        <v/>
      </c>
      <c r="V1207" s="17">
        <f>IF(COUNTA(INDEX(Listado!B:B,ROW()):INDEX(Listado!F:F,ROW()))&gt;0,1,0)</f>
        <v/>
      </c>
      <c r="W1207" s="17" t="str">
        <f>IF(INDEX(Listado!L:L,ROW())="","",INDEX(Listado!L:L,ROW()))</f>
        <v/>
      </c>
      <c r="X1207" s="17">
        <f>IF(N1207="","",IF(INDEX(Listado!$M:$M,N1207)="No","No","Sí"))</f>
        <v/>
      </c>
    </row>
    <row r="1208" spans="2:24" ht="14.25">
      <c r="N1208" s="17" t="str">
        <f>IF(V1208=0,"",IFERROR(LOOKUP(2,1/(INDEX(Listado!A:A,2):INDEX(Listado!A:A,ROW())&lt;&gt;""),ROW(INDEX(Listado!A:A,2):INDEX(Listado!A:A,ROW()))),""))</f>
        <v/>
      </c>
      <c r="O1208" s="17" t="str">
        <f>IFERROR(IF(N1208="","",IF(INDEX(Listado!M:M,N1208)="No",IF(INDEX(Listado!N:N,N1208)=0,"",INDEX(Listado!N:N,N1208)),IF(INDEX(Listado!I:I,N1208)=0,"",INDEX(Listado!I:I,N1208)))),"")</f>
        <v/>
      </c>
      <c r="P1208" s="17">
        <f t="shared" ca="1" si="55"/>
        <v/>
      </c>
      <c r="Q1208" s="17">
        <f>IFERROR(IF(AND(N1208&lt;&gt;"",ISNUMBER(O1208),O1208&gt;0,O1208&gt;=TODAY()-90),1,0),0)</f>
        <v/>
      </c>
      <c r="R1208" s="17" t="str">
        <f t="shared" si="57"/>
        <v/>
      </c>
      <c r="S1208" s="17" t="str">
        <f>IF(INDEX(Listado!A:A,ROW())="","",INDEX(Listado!A:A,ROW()))</f>
        <v/>
      </c>
      <c r="T1208" s="17" t="str">
        <f ca="1">IF(INDEX(Listado!G:G,ROW())="","",INDEX(Listado!G:G,ROW()))</f>
        <v/>
      </c>
      <c r="U1208" s="17" t="str">
        <f>IF(INDEX(Listado!F:F,ROW())="","",INDEX(Listado!F:F,ROW()))</f>
        <v/>
      </c>
      <c r="V1208" s="17">
        <f>IF(COUNTA(INDEX(Listado!B:B,ROW()):INDEX(Listado!F:F,ROW()))&gt;0,1,0)</f>
        <v/>
      </c>
      <c r="W1208" s="17" t="str">
        <f>IF(INDEX(Listado!L:L,ROW())="","",INDEX(Listado!L:L,ROW()))</f>
        <v/>
      </c>
      <c r="X1208" s="17">
        <f>IF(N1208="","",IF(INDEX(Listado!$M:$M,N1208)="No","No","Sí"))</f>
        <v/>
      </c>
    </row>
    <row r="1209" spans="2:24" ht="14.25">
      <c r="N1209" s="17" t="str">
        <f>IF(V1209=0,"",IFERROR(LOOKUP(2,1/(INDEX(Listado!A:A,2):INDEX(Listado!A:A,ROW())&lt;&gt;""),ROW(INDEX(Listado!A:A,2):INDEX(Listado!A:A,ROW()))),""))</f>
        <v/>
      </c>
      <c r="O1209" s="17" t="str">
        <f>IFERROR(IF(N1209="","",IF(INDEX(Listado!M:M,N1209)="No",IF(INDEX(Listado!N:N,N1209)=0,"",INDEX(Listado!N:N,N1209)),IF(INDEX(Listado!I:I,N1209)=0,"",INDEX(Listado!I:I,N1209)))),"")</f>
        <v/>
      </c>
      <c r="P1209" s="17">
        <f t="shared" ca="1" si="55"/>
        <v/>
      </c>
      <c r="Q1209" s="17">
        <f>IFERROR(IF(AND(N1209&lt;&gt;"",ISNUMBER(O1209),O1209&gt;0,O1209&gt;=TODAY()-90),1,0),0)</f>
        <v/>
      </c>
      <c r="R1209" s="17" t="str">
        <f t="shared" si="57"/>
        <v/>
      </c>
      <c r="S1209" s="17" t="str">
        <f>IF(INDEX(Listado!A:A,ROW())="","",INDEX(Listado!A:A,ROW()))</f>
        <v/>
      </c>
      <c r="T1209" s="17" t="str">
        <f ca="1">IF(INDEX(Listado!G:G,ROW())="","",INDEX(Listado!G:G,ROW()))</f>
        <v/>
      </c>
      <c r="U1209" s="17" t="str">
        <f>IF(INDEX(Listado!F:F,ROW())="","",INDEX(Listado!F:F,ROW()))</f>
        <v/>
      </c>
      <c r="V1209" s="17">
        <f>IF(COUNTA(INDEX(Listado!B:B,ROW()):INDEX(Listado!F:F,ROW()))&gt;0,1,0)</f>
        <v/>
      </c>
      <c r="W1209" s="17" t="str">
        <f>IF(INDEX(Listado!L:L,ROW())="","",INDEX(Listado!L:L,ROW()))</f>
        <v/>
      </c>
      <c r="X1209" s="17">
        <f>IF(N1209="","",IF(INDEX(Listado!$M:$M,N1209)="No","No","Sí"))</f>
        <v/>
      </c>
    </row>
    <row r="1210" spans="2:24" ht="14.25">
      <c r="N1210" s="17" t="str">
        <f>IF(V1210=0,"",IFERROR(LOOKUP(2,1/(INDEX(Listado!A:A,2):INDEX(Listado!A:A,ROW())&lt;&gt;""),ROW(INDEX(Listado!A:A,2):INDEX(Listado!A:A,ROW()))),""))</f>
        <v/>
      </c>
      <c r="O1210" s="17" t="str">
        <f>IFERROR(IF(N1210="","",IF(INDEX(Listado!M:M,N1210)="No",IF(INDEX(Listado!N:N,N1210)=0,"",INDEX(Listado!N:N,N1210)),IF(INDEX(Listado!I:I,N1210)=0,"",INDEX(Listado!I:I,N1210)))),"")</f>
        <v/>
      </c>
      <c r="P1210" s="17">
        <f t="shared" ca="1" si="55"/>
        <v/>
      </c>
      <c r="Q1210" s="17">
        <f>IFERROR(IF(AND(N1210&lt;&gt;"",ISNUMBER(O1210),O1210&gt;0,O1210&gt;=TODAY()-90),1,0),0)</f>
        <v/>
      </c>
      <c r="R1210" s="17" t="str">
        <f t="shared" si="57"/>
        <v/>
      </c>
      <c r="S1210" s="17" t="str">
        <f>IF(INDEX(Listado!A:A,ROW())="","",INDEX(Listado!A:A,ROW()))</f>
        <v/>
      </c>
      <c r="T1210" s="17" t="str">
        <f ca="1">IF(INDEX(Listado!G:G,ROW())="","",INDEX(Listado!G:G,ROW()))</f>
        <v/>
      </c>
      <c r="U1210" s="17" t="str">
        <f>IF(INDEX(Listado!F:F,ROW())="","",INDEX(Listado!F:F,ROW()))</f>
        <v/>
      </c>
      <c r="V1210" s="17">
        <f>IF(COUNTA(INDEX(Listado!B:B,ROW()):INDEX(Listado!F:F,ROW()))&gt;0,1,0)</f>
        <v/>
      </c>
      <c r="W1210" s="17" t="str">
        <f>IF(INDEX(Listado!L:L,ROW())="","",INDEX(Listado!L:L,ROW()))</f>
        <v/>
      </c>
      <c r="X1210" s="17">
        <f>IF(N1210="","",IF(INDEX(Listado!$M:$M,N1210)="No","No","Sí"))</f>
        <v/>
      </c>
    </row>
    <row r="1211" spans="2:24" ht="14.25">
      <c r="N1211" s="17" t="str">
        <f>IF(V1211=0,"",IFERROR(LOOKUP(2,1/(INDEX(Listado!A:A,2):INDEX(Listado!A:A,ROW())&lt;&gt;""),ROW(INDEX(Listado!A:A,2):INDEX(Listado!A:A,ROW()))),""))</f>
        <v/>
      </c>
      <c r="O1211" s="17" t="str">
        <f>IFERROR(IF(N1211="","",IF(INDEX(Listado!M:M,N1211)="No",IF(INDEX(Listado!N:N,N1211)=0,"",INDEX(Listado!N:N,N1211)),IF(INDEX(Listado!I:I,N1211)=0,"",INDEX(Listado!I:I,N1211)))),"")</f>
        <v/>
      </c>
      <c r="P1211" s="17">
        <f t="shared" ca="1" si="55"/>
        <v/>
      </c>
      <c r="Q1211" s="17">
        <f>IFERROR(IF(AND(N1211&lt;&gt;"",ISNUMBER(O1211),O1211&gt;0,O1211&gt;=TODAY()-90),1,0),0)</f>
        <v/>
      </c>
      <c r="R1211" s="17" t="str">
        <f t="shared" si="57"/>
        <v/>
      </c>
      <c r="S1211" s="17" t="str">
        <f>IF(INDEX(Listado!A:A,ROW())="","",INDEX(Listado!A:A,ROW()))</f>
        <v/>
      </c>
      <c r="T1211" s="17" t="str">
        <f ca="1">IF(INDEX(Listado!G:G,ROW())="","",INDEX(Listado!G:G,ROW()))</f>
        <v/>
      </c>
      <c r="U1211" s="17" t="str">
        <f>IF(INDEX(Listado!F:F,ROW())="","",INDEX(Listado!F:F,ROW()))</f>
        <v/>
      </c>
      <c r="V1211" s="17">
        <f>IF(COUNTA(INDEX(Listado!B:B,ROW()):INDEX(Listado!F:F,ROW()))&gt;0,1,0)</f>
        <v/>
      </c>
      <c r="W1211" s="17" t="str">
        <f>IF(INDEX(Listado!L:L,ROW())="","",INDEX(Listado!L:L,ROW()))</f>
        <v/>
      </c>
      <c r="X1211" s="17">
        <f>IF(N1211="","",IF(INDEX(Listado!$M:$M,N1211)="No","No","Sí"))</f>
        <v/>
      </c>
    </row>
    <row r="1212" spans="2:24" ht="14.25">
      <c r="N1212" s="17" t="str">
        <f>IF(V1212=0,"",IFERROR(LOOKUP(2,1/(INDEX(Listado!A:A,2):INDEX(Listado!A:A,ROW())&lt;&gt;""),ROW(INDEX(Listado!A:A,2):INDEX(Listado!A:A,ROW()))),""))</f>
        <v/>
      </c>
      <c r="O1212" s="17" t="str">
        <f>IFERROR(IF(N1212="","",IF(INDEX(Listado!M:M,N1212)="No",IF(INDEX(Listado!N:N,N1212)=0,"",INDEX(Listado!N:N,N1212)),IF(INDEX(Listado!I:I,N1212)=0,"",INDEX(Listado!I:I,N1212)))),"")</f>
        <v/>
      </c>
      <c r="P1212" s="17">
        <f t="shared" ca="1" si="55"/>
        <v/>
      </c>
      <c r="Q1212" s="17">
        <f>IFERROR(IF(AND(N1212&lt;&gt;"",ISNUMBER(O1212),O1212&gt;0,O1212&gt;=TODAY()-90),1,0),0)</f>
        <v/>
      </c>
      <c r="R1212" s="17" t="str">
        <f t="shared" si="57"/>
        <v/>
      </c>
      <c r="S1212" s="17" t="str">
        <f>IF(INDEX(Listado!A:A,ROW())="","",INDEX(Listado!A:A,ROW()))</f>
        <v/>
      </c>
      <c r="T1212" s="17" t="str">
        <f ca="1">IF(INDEX(Listado!G:G,ROW())="","",INDEX(Listado!G:G,ROW()))</f>
        <v/>
      </c>
      <c r="U1212" s="17" t="str">
        <f>IF(INDEX(Listado!F:F,ROW())="","",INDEX(Listado!F:F,ROW()))</f>
        <v/>
      </c>
      <c r="V1212" s="17">
        <f>IF(COUNTA(INDEX(Listado!B:B,ROW()):INDEX(Listado!F:F,ROW()))&gt;0,1,0)</f>
        <v/>
      </c>
      <c r="W1212" s="17" t="str">
        <f>IF(INDEX(Listado!L:L,ROW())="","",INDEX(Listado!L:L,ROW()))</f>
        <v/>
      </c>
      <c r="X1212" s="17">
        <f>IF(N1212="","",IF(INDEX(Listado!$M:$M,N1212)="No","No","Sí"))</f>
        <v/>
      </c>
    </row>
    <row r="1213" spans="2:24" ht="14.25">
      <c r="N1213" s="17" t="str">
        <f>IF(V1213=0,"",IFERROR(LOOKUP(2,1/(INDEX(Listado!A:A,2):INDEX(Listado!A:A,ROW())&lt;&gt;""),ROW(INDEX(Listado!A:A,2):INDEX(Listado!A:A,ROW()))),""))</f>
        <v/>
      </c>
      <c r="O1213" s="17" t="str">
        <f>IFERROR(IF(N1213="","",IF(INDEX(Listado!M:M,N1213)="No",IF(INDEX(Listado!N:N,N1213)=0,"",INDEX(Listado!N:N,N1213)),IF(INDEX(Listado!I:I,N1213)=0,"",INDEX(Listado!I:I,N1213)))),"")</f>
        <v/>
      </c>
      <c r="P1213" s="17">
        <f t="shared" ca="1" si="55"/>
        <v/>
      </c>
      <c r="Q1213" s="17">
        <f>IFERROR(IF(AND(N1213&lt;&gt;"",ISNUMBER(O1213),O1213&gt;0,O1213&gt;=TODAY()-90),1,0),0)</f>
        <v/>
      </c>
      <c r="R1213" s="17" t="str">
        <f t="shared" si="57"/>
        <v/>
      </c>
      <c r="S1213" s="17" t="str">
        <f>IF(INDEX(Listado!A:A,ROW())="","",INDEX(Listado!A:A,ROW()))</f>
        <v/>
      </c>
      <c r="T1213" s="17" t="str">
        <f ca="1">IF(INDEX(Listado!G:G,ROW())="","",INDEX(Listado!G:G,ROW()))</f>
        <v/>
      </c>
      <c r="U1213" s="17" t="str">
        <f>IF(INDEX(Listado!F:F,ROW())="","",INDEX(Listado!F:F,ROW()))</f>
        <v/>
      </c>
      <c r="V1213" s="17">
        <f>IF(COUNTA(INDEX(Listado!B:B,ROW()):INDEX(Listado!F:F,ROW()))&gt;0,1,0)</f>
        <v/>
      </c>
      <c r="W1213" s="17" t="str">
        <f>IF(INDEX(Listado!L:L,ROW())="","",INDEX(Listado!L:L,ROW()))</f>
        <v/>
      </c>
      <c r="X1213" s="17">
        <f>IF(N1213="","",IF(INDEX(Listado!$M:$M,N1213)="No","No","Sí"))</f>
        <v/>
      </c>
    </row>
    <row r="1214" spans="2:24" ht="14.25">
      <c r="N1214" s="17" t="str">
        <f>IF(V1214=0,"",IFERROR(LOOKUP(2,1/(INDEX(Listado!A:A,2):INDEX(Listado!A:A,ROW())&lt;&gt;""),ROW(INDEX(Listado!A:A,2):INDEX(Listado!A:A,ROW()))),""))</f>
        <v/>
      </c>
      <c r="O1214" s="17" t="str">
        <f>IFERROR(IF(N1214="","",IF(INDEX(Listado!M:M,N1214)="No",IF(INDEX(Listado!N:N,N1214)=0,"",INDEX(Listado!N:N,N1214)),IF(INDEX(Listado!I:I,N1214)=0,"",INDEX(Listado!I:I,N1214)))),"")</f>
        <v/>
      </c>
      <c r="P1214" s="17">
        <f t="shared" ca="1" si="55"/>
        <v/>
      </c>
      <c r="Q1214" s="17">
        <f>IFERROR(IF(AND(N1214&lt;&gt;"",ISNUMBER(O1214),O1214&gt;0,O1214&gt;=TODAY()-90),1,0),0)</f>
        <v/>
      </c>
      <c r="R1214" s="17" t="str">
        <f t="shared" si="57"/>
        <v/>
      </c>
      <c r="S1214" s="17" t="str">
        <f>IF(INDEX(Listado!A:A,ROW())="","",INDEX(Listado!A:A,ROW()))</f>
        <v/>
      </c>
      <c r="T1214" s="17" t="str">
        <f ca="1">IF(INDEX(Listado!G:G,ROW())="","",INDEX(Listado!G:G,ROW()))</f>
        <v/>
      </c>
      <c r="U1214" s="17" t="str">
        <f>IF(INDEX(Listado!F:F,ROW())="","",INDEX(Listado!F:F,ROW()))</f>
        <v/>
      </c>
      <c r="V1214" s="17">
        <f>IF(COUNTA(INDEX(Listado!B:B,ROW()):INDEX(Listado!F:F,ROW()))&gt;0,1,0)</f>
        <v/>
      </c>
      <c r="W1214" s="17" t="str">
        <f>IF(INDEX(Listado!L:L,ROW())="","",INDEX(Listado!L:L,ROW()))</f>
        <v/>
      </c>
      <c r="X1214" s="17">
        <f>IF(N1214="","",IF(INDEX(Listado!$M:$M,N1214)="No","No","Sí"))</f>
        <v/>
      </c>
    </row>
    <row r="1215" spans="2:24" ht="14.25">
      <c r="N1215" s="17" t="str">
        <f>IF(V1215=0,"",IFERROR(LOOKUP(2,1/(INDEX(Listado!A:A,2):INDEX(Listado!A:A,ROW())&lt;&gt;""),ROW(INDEX(Listado!A:A,2):INDEX(Listado!A:A,ROW()))),""))</f>
        <v/>
      </c>
      <c r="O1215" s="17" t="str">
        <f>IFERROR(IF(N1215="","",IF(INDEX(Listado!M:M,N1215)="No",IF(INDEX(Listado!N:N,N1215)=0,"",INDEX(Listado!N:N,N1215)),IF(INDEX(Listado!I:I,N1215)=0,"",INDEX(Listado!I:I,N1215)))),"")</f>
        <v/>
      </c>
      <c r="P1215" s="17">
        <f t="shared" ca="1" si="55"/>
        <v/>
      </c>
      <c r="Q1215" s="17">
        <f>IFERROR(IF(AND(N1215&lt;&gt;"",ISNUMBER(O1215),O1215&gt;0,O1215&gt;=TODAY()-90),1,0),0)</f>
        <v/>
      </c>
      <c r="R1215" s="17" t="str">
        <f t="shared" si="57"/>
        <v/>
      </c>
      <c r="S1215" s="17" t="str">
        <f>IF(INDEX(Listado!A:A,ROW())="","",INDEX(Listado!A:A,ROW()))</f>
        <v/>
      </c>
      <c r="T1215" s="17" t="str">
        <f ca="1">IF(INDEX(Listado!G:G,ROW())="","",INDEX(Listado!G:G,ROW()))</f>
        <v/>
      </c>
      <c r="U1215" s="17" t="str">
        <f>IF(INDEX(Listado!F:F,ROW())="","",INDEX(Listado!F:F,ROW()))</f>
        <v/>
      </c>
      <c r="V1215" s="17">
        <f>IF(COUNTA(INDEX(Listado!B:B,ROW()):INDEX(Listado!F:F,ROW()))&gt;0,1,0)</f>
        <v/>
      </c>
      <c r="W1215" s="17" t="str">
        <f>IF(INDEX(Listado!L:L,ROW())="","",INDEX(Listado!L:L,ROW()))</f>
        <v/>
      </c>
      <c r="X1215" s="17">
        <f>IF(N1215="","",IF(INDEX(Listado!$M:$M,N1215)="No","No","Sí"))</f>
        <v/>
      </c>
    </row>
    <row r="1216" spans="2:24" ht="14.25">
      <c r="N1216" s="17" t="str">
        <f>IF(V1216=0,"",IFERROR(LOOKUP(2,1/(INDEX(Listado!A:A,2):INDEX(Listado!A:A,ROW())&lt;&gt;""),ROW(INDEX(Listado!A:A,2):INDEX(Listado!A:A,ROW()))),""))</f>
        <v/>
      </c>
      <c r="O1216" s="17" t="str">
        <f>IFERROR(IF(N1216="","",IF(INDEX(Listado!M:M,N1216)="No",IF(INDEX(Listado!N:N,N1216)=0,"",INDEX(Listado!N:N,N1216)),IF(INDEX(Listado!I:I,N1216)=0,"",INDEX(Listado!I:I,N1216)))),"")</f>
        <v/>
      </c>
      <c r="P1216" s="17">
        <f t="shared" ca="1" si="55"/>
        <v/>
      </c>
      <c r="Q1216" s="17">
        <f>IFERROR(IF(AND(N1216&lt;&gt;"",ISNUMBER(O1216),O1216&gt;0,O1216&gt;=TODAY()-90),1,0),0)</f>
        <v/>
      </c>
      <c r="R1216" s="17" t="str">
        <f t="shared" si="57"/>
        <v/>
      </c>
      <c r="S1216" s="17" t="str">
        <f>IF(INDEX(Listado!A:A,ROW())="","",INDEX(Listado!A:A,ROW()))</f>
        <v/>
      </c>
      <c r="T1216" s="17" t="str">
        <f ca="1">IF(INDEX(Listado!G:G,ROW())="","",INDEX(Listado!G:G,ROW()))</f>
        <v/>
      </c>
      <c r="U1216" s="17" t="str">
        <f>IF(INDEX(Listado!F:F,ROW())="","",INDEX(Listado!F:F,ROW()))</f>
        <v/>
      </c>
      <c r="V1216" s="17">
        <f>IF(COUNTA(INDEX(Listado!B:B,ROW()):INDEX(Listado!F:F,ROW()))&gt;0,1,0)</f>
        <v/>
      </c>
      <c r="W1216" s="17" t="str">
        <f>IF(INDEX(Listado!L:L,ROW())="","",INDEX(Listado!L:L,ROW()))</f>
        <v/>
      </c>
      <c r="X1216" s="17">
        <f>IF(N1216="","",IF(INDEX(Listado!$M:$M,N1216)="No","No","Sí"))</f>
        <v/>
      </c>
    </row>
    <row r="1217" spans="2:24" ht="14.25">
      <c r="N1217" s="17" t="str">
        <f>IF(V1217=0,"",IFERROR(LOOKUP(2,1/(INDEX(Listado!A:A,2):INDEX(Listado!A:A,ROW())&lt;&gt;""),ROW(INDEX(Listado!A:A,2):INDEX(Listado!A:A,ROW()))),""))</f>
        <v/>
      </c>
      <c r="O1217" s="17" t="str">
        <f>IFERROR(IF(N1217="","",IF(INDEX(Listado!M:M,N1217)="No",IF(INDEX(Listado!N:N,N1217)=0,"",INDEX(Listado!N:N,N1217)),IF(INDEX(Listado!I:I,N1217)=0,"",INDEX(Listado!I:I,N1217)))),"")</f>
        <v/>
      </c>
      <c r="P1217" s="17">
        <f t="shared" ca="1" si="55"/>
        <v/>
      </c>
      <c r="Q1217" s="17">
        <f>IFERROR(IF(AND(N1217&lt;&gt;"",ISNUMBER(O1217),O1217&gt;0,O1217&gt;=TODAY()-90),1,0),0)</f>
        <v/>
      </c>
      <c r="R1217" s="17" t="str">
        <f t="shared" si="57"/>
        <v/>
      </c>
      <c r="S1217" s="17" t="str">
        <f>IF(INDEX(Listado!A:A,ROW())="","",INDEX(Listado!A:A,ROW()))</f>
        <v/>
      </c>
      <c r="T1217" s="17" t="str">
        <f ca="1">IF(INDEX(Listado!G:G,ROW())="","",INDEX(Listado!G:G,ROW()))</f>
        <v/>
      </c>
      <c r="U1217" s="17" t="str">
        <f>IF(INDEX(Listado!F:F,ROW())="","",INDEX(Listado!F:F,ROW()))</f>
        <v/>
      </c>
      <c r="V1217" s="17">
        <f>IF(COUNTA(INDEX(Listado!B:B,ROW()):INDEX(Listado!F:F,ROW()))&gt;0,1,0)</f>
        <v/>
      </c>
      <c r="W1217" s="17" t="str">
        <f>IF(INDEX(Listado!L:L,ROW())="","",INDEX(Listado!L:L,ROW()))</f>
        <v/>
      </c>
      <c r="X1217" s="17">
        <f>IF(N1217="","",IF(INDEX(Listado!$M:$M,N1217)="No","No","Sí"))</f>
        <v/>
      </c>
    </row>
    <row r="1218" spans="2:24" ht="14.25">
      <c r="N1218" s="17" t="str">
        <f>IF(V1218=0,"",IFERROR(LOOKUP(2,1/(INDEX(Listado!A:A,2):INDEX(Listado!A:A,ROW())&lt;&gt;""),ROW(INDEX(Listado!A:A,2):INDEX(Listado!A:A,ROW()))),""))</f>
        <v/>
      </c>
      <c r="O1218" s="17" t="str">
        <f>IFERROR(IF(N1218="","",IF(INDEX(Listado!M:M,N1218)="No",IF(INDEX(Listado!N:N,N1218)=0,"",INDEX(Listado!N:N,N1218)),IF(INDEX(Listado!I:I,N1218)=0,"",INDEX(Listado!I:I,N1218)))),"")</f>
        <v/>
      </c>
      <c r="P1218" s="17">
        <f t="shared" ref="P1218:P1281" ca="1" si="58">IF(W1218="",0,IFERROR(IF(AND(ISNUMBER(W1218),W1218=INT(W1218),ISNUMBER(O1218),O1218&gt;0,W1218&gt;=TODAY(),W1218&lt;=O1218+90),0,1),1))</f>
        <v/>
      </c>
      <c r="Q1218" s="17">
        <f>IFERROR(IF(AND(N1218&lt;&gt;"",ISNUMBER(O1218),O1218&gt;0,O1218&gt;=TODAY()-90),1,0),0)</f>
        <v/>
      </c>
      <c r="R1218" s="17" t="str">
        <f t="shared" ref="R1218:R1281" si="60">IF(S1218="","",COUNTIFS($N$2:$N$2999,ROW(),$Q$2:$Q$2999,1))</f>
        <v/>
      </c>
      <c r="S1218" s="17" t="str">
        <f>IF(INDEX(Listado!A:A,ROW())="","",INDEX(Listado!A:A,ROW()))</f>
        <v/>
      </c>
      <c r="T1218" s="17" t="str">
        <f ca="1">IF(INDEX(Listado!G:G,ROW())="","",INDEX(Listado!G:G,ROW()))</f>
        <v/>
      </c>
      <c r="U1218" s="17" t="str">
        <f>IF(INDEX(Listado!F:F,ROW())="","",INDEX(Listado!F:F,ROW()))</f>
        <v/>
      </c>
      <c r="V1218" s="17">
        <f>IF(COUNTA(INDEX(Listado!B:B,ROW()):INDEX(Listado!F:F,ROW()))&gt;0,1,0)</f>
        <v/>
      </c>
      <c r="W1218" s="17" t="str">
        <f>IF(INDEX(Listado!L:L,ROW())="","",INDEX(Listado!L:L,ROW()))</f>
        <v/>
      </c>
      <c r="X1218" s="17">
        <f>IF(N1218="","",IF(INDEX(Listado!$M:$M,N1218)="No","No","Sí"))</f>
        <v/>
      </c>
    </row>
    <row r="1219" spans="2:24" ht="14.25">
      <c r="N1219" s="17" t="str">
        <f>IF(V1219=0,"",IFERROR(LOOKUP(2,1/(INDEX(Listado!A:A,2):INDEX(Listado!A:A,ROW())&lt;&gt;""),ROW(INDEX(Listado!A:A,2):INDEX(Listado!A:A,ROW()))),""))</f>
        <v/>
      </c>
      <c r="O1219" s="17" t="str">
        <f>IFERROR(IF(N1219="","",IF(INDEX(Listado!M:M,N1219)="No",IF(INDEX(Listado!N:N,N1219)=0,"",INDEX(Listado!N:N,N1219)),IF(INDEX(Listado!I:I,N1219)=0,"",INDEX(Listado!I:I,N1219)))),"")</f>
        <v/>
      </c>
      <c r="P1219" s="17">
        <f t="shared" ca="1" si="58"/>
        <v/>
      </c>
      <c r="Q1219" s="17">
        <f>IFERROR(IF(AND(N1219&lt;&gt;"",ISNUMBER(O1219),O1219&gt;0,O1219&gt;=TODAY()-90),1,0),0)</f>
        <v/>
      </c>
      <c r="R1219" s="17" t="str">
        <f t="shared" si="60"/>
        <v/>
      </c>
      <c r="S1219" s="17" t="str">
        <f>IF(INDEX(Listado!A:A,ROW())="","",INDEX(Listado!A:A,ROW()))</f>
        <v/>
      </c>
      <c r="T1219" s="17" t="str">
        <f ca="1">IF(INDEX(Listado!G:G,ROW())="","",INDEX(Listado!G:G,ROW()))</f>
        <v/>
      </c>
      <c r="U1219" s="17" t="str">
        <f>IF(INDEX(Listado!F:F,ROW())="","",INDEX(Listado!F:F,ROW()))</f>
        <v/>
      </c>
      <c r="V1219" s="17">
        <f>IF(COUNTA(INDEX(Listado!B:B,ROW()):INDEX(Listado!F:F,ROW()))&gt;0,1,0)</f>
        <v/>
      </c>
      <c r="W1219" s="17" t="str">
        <f>IF(INDEX(Listado!L:L,ROW())="","",INDEX(Listado!L:L,ROW()))</f>
        <v/>
      </c>
      <c r="X1219" s="17">
        <f>IF(N1219="","",IF(INDEX(Listado!$M:$M,N1219)="No","No","Sí"))</f>
        <v/>
      </c>
    </row>
    <row r="1220" spans="2:24" ht="14.25">
      <c r="N1220" s="17" t="str">
        <f>IF(V1220=0,"",IFERROR(LOOKUP(2,1/(INDEX(Listado!A:A,2):INDEX(Listado!A:A,ROW())&lt;&gt;""),ROW(INDEX(Listado!A:A,2):INDEX(Listado!A:A,ROW()))),""))</f>
        <v/>
      </c>
      <c r="O1220" s="17" t="str">
        <f>IFERROR(IF(N1220="","",IF(INDEX(Listado!M:M,N1220)="No",IF(INDEX(Listado!N:N,N1220)=0,"",INDEX(Listado!N:N,N1220)),IF(INDEX(Listado!I:I,N1220)=0,"",INDEX(Listado!I:I,N1220)))),"")</f>
        <v/>
      </c>
      <c r="P1220" s="17">
        <f t="shared" ca="1" si="58"/>
        <v/>
      </c>
      <c r="Q1220" s="17">
        <f>IFERROR(IF(AND(N1220&lt;&gt;"",ISNUMBER(O1220),O1220&gt;0,O1220&gt;=TODAY()-90),1,0),0)</f>
        <v/>
      </c>
      <c r="R1220" s="17" t="str">
        <f t="shared" si="60"/>
        <v/>
      </c>
      <c r="S1220" s="17" t="str">
        <f>IF(INDEX(Listado!A:A,ROW())="","",INDEX(Listado!A:A,ROW()))</f>
        <v/>
      </c>
      <c r="T1220" s="17" t="str">
        <f ca="1">IF(INDEX(Listado!G:G,ROW())="","",INDEX(Listado!G:G,ROW()))</f>
        <v/>
      </c>
      <c r="U1220" s="17" t="str">
        <f>IF(INDEX(Listado!F:F,ROW())="","",INDEX(Listado!F:F,ROW()))</f>
        <v/>
      </c>
      <c r="V1220" s="17">
        <f>IF(COUNTA(INDEX(Listado!B:B,ROW()):INDEX(Listado!F:F,ROW()))&gt;0,1,0)</f>
        <v/>
      </c>
      <c r="W1220" s="17" t="str">
        <f>IF(INDEX(Listado!L:L,ROW())="","",INDEX(Listado!L:L,ROW()))</f>
        <v/>
      </c>
      <c r="X1220" s="17">
        <f>IF(N1220="","",IF(INDEX(Listado!$M:$M,N1220)="No","No","Sí"))</f>
        <v/>
      </c>
    </row>
    <row r="1221" spans="2:24" ht="14.25">
      <c r="N1221" s="17" t="str">
        <f>IF(V1221=0,"",IFERROR(LOOKUP(2,1/(INDEX(Listado!A:A,2):INDEX(Listado!A:A,ROW())&lt;&gt;""),ROW(INDEX(Listado!A:A,2):INDEX(Listado!A:A,ROW()))),""))</f>
        <v/>
      </c>
      <c r="O1221" s="17" t="str">
        <f>IFERROR(IF(N1221="","",IF(INDEX(Listado!M:M,N1221)="No",IF(INDEX(Listado!N:N,N1221)=0,"",INDEX(Listado!N:N,N1221)),IF(INDEX(Listado!I:I,N1221)=0,"",INDEX(Listado!I:I,N1221)))),"")</f>
        <v/>
      </c>
      <c r="P1221" s="17">
        <f t="shared" ca="1" si="58"/>
        <v/>
      </c>
      <c r="Q1221" s="17">
        <f>IFERROR(IF(AND(N1221&lt;&gt;"",ISNUMBER(O1221),O1221&gt;0,O1221&gt;=TODAY()-90),1,0),0)</f>
        <v/>
      </c>
      <c r="R1221" s="17" t="str">
        <f t="shared" si="60"/>
        <v/>
      </c>
      <c r="S1221" s="17" t="str">
        <f>IF(INDEX(Listado!A:A,ROW())="","",INDEX(Listado!A:A,ROW()))</f>
        <v/>
      </c>
      <c r="T1221" s="17" t="str">
        <f ca="1">IF(INDEX(Listado!G:G,ROW())="","",INDEX(Listado!G:G,ROW()))</f>
        <v/>
      </c>
      <c r="U1221" s="17" t="str">
        <f>IF(INDEX(Listado!F:F,ROW())="","",INDEX(Listado!F:F,ROW()))</f>
        <v/>
      </c>
      <c r="V1221" s="17">
        <f>IF(COUNTA(INDEX(Listado!B:B,ROW()):INDEX(Listado!F:F,ROW()))&gt;0,1,0)</f>
        <v/>
      </c>
      <c r="W1221" s="17" t="str">
        <f>IF(INDEX(Listado!L:L,ROW())="","",INDEX(Listado!L:L,ROW()))</f>
        <v/>
      </c>
      <c r="X1221" s="17">
        <f>IF(N1221="","",IF(INDEX(Listado!$M:$M,N1221)="No","No","Sí"))</f>
        <v/>
      </c>
    </row>
    <row r="1222" spans="2:24" ht="14.25">
      <c r="N1222" s="17" t="str">
        <f>IF(V1222=0,"",IFERROR(LOOKUP(2,1/(INDEX(Listado!A:A,2):INDEX(Listado!A:A,ROW())&lt;&gt;""),ROW(INDEX(Listado!A:A,2):INDEX(Listado!A:A,ROW()))),""))</f>
        <v/>
      </c>
      <c r="O1222" s="17" t="str">
        <f>IFERROR(IF(N1222="","",IF(INDEX(Listado!M:M,N1222)="No",IF(INDEX(Listado!N:N,N1222)=0,"",INDEX(Listado!N:N,N1222)),IF(INDEX(Listado!I:I,N1222)=0,"",INDEX(Listado!I:I,N1222)))),"")</f>
        <v/>
      </c>
      <c r="P1222" s="17">
        <f t="shared" ca="1" si="58"/>
        <v/>
      </c>
      <c r="Q1222" s="17">
        <f>IFERROR(IF(AND(N1222&lt;&gt;"",ISNUMBER(O1222),O1222&gt;0,O1222&gt;=TODAY()-90),1,0),0)</f>
        <v/>
      </c>
      <c r="R1222" s="17" t="str">
        <f t="shared" si="60"/>
        <v/>
      </c>
      <c r="S1222" s="17" t="str">
        <f>IF(INDEX(Listado!A:A,ROW())="","",INDEX(Listado!A:A,ROW()))</f>
        <v/>
      </c>
      <c r="T1222" s="17" t="str">
        <f ca="1">IF(INDEX(Listado!G:G,ROW())="","",INDEX(Listado!G:G,ROW()))</f>
        <v/>
      </c>
      <c r="U1222" s="17" t="str">
        <f>IF(INDEX(Listado!F:F,ROW())="","",INDEX(Listado!F:F,ROW()))</f>
        <v/>
      </c>
      <c r="V1222" s="17">
        <f>IF(COUNTA(INDEX(Listado!B:B,ROW()):INDEX(Listado!F:F,ROW()))&gt;0,1,0)</f>
        <v/>
      </c>
      <c r="W1222" s="17" t="str">
        <f>IF(INDEX(Listado!L:L,ROW())="","",INDEX(Listado!L:L,ROW()))</f>
        <v/>
      </c>
      <c r="X1222" s="17">
        <f>IF(N1222="","",IF(INDEX(Listado!$M:$M,N1222)="No","No","Sí"))</f>
        <v/>
      </c>
    </row>
    <row r="1223" spans="2:24" ht="14.25">
      <c r="N1223" s="17" t="str">
        <f>IF(V1223=0,"",IFERROR(LOOKUP(2,1/(INDEX(Listado!A:A,2):INDEX(Listado!A:A,ROW())&lt;&gt;""),ROW(INDEX(Listado!A:A,2):INDEX(Listado!A:A,ROW()))),""))</f>
        <v/>
      </c>
      <c r="O1223" s="17" t="str">
        <f>IFERROR(IF(N1223="","",IF(INDEX(Listado!M:M,N1223)="No",IF(INDEX(Listado!N:N,N1223)=0,"",INDEX(Listado!N:N,N1223)),IF(INDEX(Listado!I:I,N1223)=0,"",INDEX(Listado!I:I,N1223)))),"")</f>
        <v/>
      </c>
      <c r="P1223" s="17">
        <f t="shared" ca="1" si="58"/>
        <v/>
      </c>
      <c r="Q1223" s="17">
        <f>IFERROR(IF(AND(N1223&lt;&gt;"",ISNUMBER(O1223),O1223&gt;0,O1223&gt;=TODAY()-90),1,0),0)</f>
        <v/>
      </c>
      <c r="R1223" s="17" t="str">
        <f t="shared" si="60"/>
        <v/>
      </c>
      <c r="S1223" s="17" t="str">
        <f>IF(INDEX(Listado!A:A,ROW())="","",INDEX(Listado!A:A,ROW()))</f>
        <v/>
      </c>
      <c r="T1223" s="17" t="str">
        <f ca="1">IF(INDEX(Listado!G:G,ROW())="","",INDEX(Listado!G:G,ROW()))</f>
        <v/>
      </c>
      <c r="U1223" s="17" t="str">
        <f>IF(INDEX(Listado!F:F,ROW())="","",INDEX(Listado!F:F,ROW()))</f>
        <v/>
      </c>
      <c r="V1223" s="17">
        <f>IF(COUNTA(INDEX(Listado!B:B,ROW()):INDEX(Listado!F:F,ROW()))&gt;0,1,0)</f>
        <v/>
      </c>
      <c r="W1223" s="17" t="str">
        <f>IF(INDEX(Listado!L:L,ROW())="","",INDEX(Listado!L:L,ROW()))</f>
        <v/>
      </c>
      <c r="X1223" s="17">
        <f>IF(N1223="","",IF(INDEX(Listado!$M:$M,N1223)="No","No","Sí"))</f>
        <v/>
      </c>
    </row>
    <row r="1224" spans="2:24" ht="14.25">
      <c r="N1224" s="17" t="str">
        <f>IF(V1224=0,"",IFERROR(LOOKUP(2,1/(INDEX(Listado!A:A,2):INDEX(Listado!A:A,ROW())&lt;&gt;""),ROW(INDEX(Listado!A:A,2):INDEX(Listado!A:A,ROW()))),""))</f>
        <v/>
      </c>
      <c r="O1224" s="17" t="str">
        <f>IFERROR(IF(N1224="","",IF(INDEX(Listado!M:M,N1224)="No",IF(INDEX(Listado!N:N,N1224)=0,"",INDEX(Listado!N:N,N1224)),IF(INDEX(Listado!I:I,N1224)=0,"",INDEX(Listado!I:I,N1224)))),"")</f>
        <v/>
      </c>
      <c r="P1224" s="17">
        <f t="shared" ca="1" si="58"/>
        <v/>
      </c>
      <c r="Q1224" s="17">
        <f>IFERROR(IF(AND(N1224&lt;&gt;"",ISNUMBER(O1224),O1224&gt;0,O1224&gt;=TODAY()-90),1,0),0)</f>
        <v/>
      </c>
      <c r="R1224" s="17" t="str">
        <f t="shared" si="60"/>
        <v/>
      </c>
      <c r="S1224" s="17" t="str">
        <f>IF(INDEX(Listado!A:A,ROW())="","",INDEX(Listado!A:A,ROW()))</f>
        <v/>
      </c>
      <c r="T1224" s="17" t="str">
        <f ca="1">IF(INDEX(Listado!G:G,ROW())="","",INDEX(Listado!G:G,ROW()))</f>
        <v/>
      </c>
      <c r="U1224" s="17" t="str">
        <f>IF(INDEX(Listado!F:F,ROW())="","",INDEX(Listado!F:F,ROW()))</f>
        <v/>
      </c>
      <c r="V1224" s="17">
        <f>IF(COUNTA(INDEX(Listado!B:B,ROW()):INDEX(Listado!F:F,ROW()))&gt;0,1,0)</f>
        <v/>
      </c>
      <c r="W1224" s="17" t="str">
        <f>IF(INDEX(Listado!L:L,ROW())="","",INDEX(Listado!L:L,ROW()))</f>
        <v/>
      </c>
      <c r="X1224" s="17">
        <f>IF(N1224="","",IF(INDEX(Listado!$M:$M,N1224)="No","No","Sí"))</f>
        <v/>
      </c>
    </row>
    <row r="1225" spans="2:24" ht="14.25">
      <c r="N1225" s="17" t="str">
        <f>IF(V1225=0,"",IFERROR(LOOKUP(2,1/(INDEX(Listado!A:A,2):INDEX(Listado!A:A,ROW())&lt;&gt;""),ROW(INDEX(Listado!A:A,2):INDEX(Listado!A:A,ROW()))),""))</f>
        <v/>
      </c>
      <c r="O1225" s="17" t="str">
        <f>IFERROR(IF(N1225="","",IF(INDEX(Listado!M:M,N1225)="No",IF(INDEX(Listado!N:N,N1225)=0,"",INDEX(Listado!N:N,N1225)),IF(INDEX(Listado!I:I,N1225)=0,"",INDEX(Listado!I:I,N1225)))),"")</f>
        <v/>
      </c>
      <c r="P1225" s="17">
        <f t="shared" ca="1" si="58"/>
        <v/>
      </c>
      <c r="Q1225" s="17">
        <f>IFERROR(IF(AND(N1225&lt;&gt;"",ISNUMBER(O1225),O1225&gt;0,O1225&gt;=TODAY()-90),1,0),0)</f>
        <v/>
      </c>
      <c r="R1225" s="17" t="str">
        <f t="shared" si="60"/>
        <v/>
      </c>
      <c r="S1225" s="17" t="str">
        <f>IF(INDEX(Listado!A:A,ROW())="","",INDEX(Listado!A:A,ROW()))</f>
        <v/>
      </c>
      <c r="T1225" s="17" t="str">
        <f ca="1">IF(INDEX(Listado!G:G,ROW())="","",INDEX(Listado!G:G,ROW()))</f>
        <v/>
      </c>
      <c r="U1225" s="17" t="str">
        <f>IF(INDEX(Listado!F:F,ROW())="","",INDEX(Listado!F:F,ROW()))</f>
        <v/>
      </c>
      <c r="V1225" s="17">
        <f>IF(COUNTA(INDEX(Listado!B:B,ROW()):INDEX(Listado!F:F,ROW()))&gt;0,1,0)</f>
        <v/>
      </c>
      <c r="W1225" s="17" t="str">
        <f>IF(INDEX(Listado!L:L,ROW())="","",INDEX(Listado!L:L,ROW()))</f>
        <v/>
      </c>
      <c r="X1225" s="17">
        <f>IF(N1225="","",IF(INDEX(Listado!$M:$M,N1225)="No","No","Sí"))</f>
        <v/>
      </c>
    </row>
    <row r="1226" spans="2:24" ht="14.25">
      <c r="N1226" s="17" t="str">
        <f>IF(V1226=0,"",IFERROR(LOOKUP(2,1/(INDEX(Listado!A:A,2):INDEX(Listado!A:A,ROW())&lt;&gt;""),ROW(INDEX(Listado!A:A,2):INDEX(Listado!A:A,ROW()))),""))</f>
        <v/>
      </c>
      <c r="O1226" s="17" t="str">
        <f>IFERROR(IF(N1226="","",IF(INDEX(Listado!M:M,N1226)="No",IF(INDEX(Listado!N:N,N1226)=0,"",INDEX(Listado!N:N,N1226)),IF(INDEX(Listado!I:I,N1226)=0,"",INDEX(Listado!I:I,N1226)))),"")</f>
        <v/>
      </c>
      <c r="P1226" s="17">
        <f t="shared" ca="1" si="58"/>
        <v/>
      </c>
      <c r="Q1226" s="17">
        <f>IFERROR(IF(AND(N1226&lt;&gt;"",ISNUMBER(O1226),O1226&gt;0,O1226&gt;=TODAY()-90),1,0),0)</f>
        <v/>
      </c>
      <c r="R1226" s="17" t="str">
        <f t="shared" si="60"/>
        <v/>
      </c>
      <c r="S1226" s="17" t="str">
        <f>IF(INDEX(Listado!A:A,ROW())="","",INDEX(Listado!A:A,ROW()))</f>
        <v/>
      </c>
      <c r="T1226" s="17" t="str">
        <f ca="1">IF(INDEX(Listado!G:G,ROW())="","",INDEX(Listado!G:G,ROW()))</f>
        <v/>
      </c>
      <c r="U1226" s="17" t="str">
        <f>IF(INDEX(Listado!F:F,ROW())="","",INDEX(Listado!F:F,ROW()))</f>
        <v/>
      </c>
      <c r="V1226" s="17">
        <f>IF(COUNTA(INDEX(Listado!B:B,ROW()):INDEX(Listado!F:F,ROW()))&gt;0,1,0)</f>
        <v/>
      </c>
      <c r="W1226" s="17" t="str">
        <f>IF(INDEX(Listado!L:L,ROW())="","",INDEX(Listado!L:L,ROW()))</f>
        <v/>
      </c>
      <c r="X1226" s="17">
        <f>IF(N1226="","",IF(INDEX(Listado!$M:$M,N1226)="No","No","Sí"))</f>
        <v/>
      </c>
    </row>
    <row r="1227" spans="2:24" ht="14.25">
      <c r="N1227" s="17" t="str">
        <f>IF(V1227=0,"",IFERROR(LOOKUP(2,1/(INDEX(Listado!A:A,2):INDEX(Listado!A:A,ROW())&lt;&gt;""),ROW(INDEX(Listado!A:A,2):INDEX(Listado!A:A,ROW()))),""))</f>
        <v/>
      </c>
      <c r="O1227" s="17" t="str">
        <f>IFERROR(IF(N1227="","",IF(INDEX(Listado!M:M,N1227)="No",IF(INDEX(Listado!N:N,N1227)=0,"",INDEX(Listado!N:N,N1227)),IF(INDEX(Listado!I:I,N1227)=0,"",INDEX(Listado!I:I,N1227)))),"")</f>
        <v/>
      </c>
      <c r="P1227" s="17">
        <f t="shared" ca="1" si="58"/>
        <v/>
      </c>
      <c r="Q1227" s="17">
        <f>IFERROR(IF(AND(N1227&lt;&gt;"",ISNUMBER(O1227),O1227&gt;0,O1227&gt;=TODAY()-90),1,0),0)</f>
        <v/>
      </c>
      <c r="R1227" s="17" t="str">
        <f t="shared" si="60"/>
        <v/>
      </c>
      <c r="S1227" s="17" t="str">
        <f>IF(INDEX(Listado!A:A,ROW())="","",INDEX(Listado!A:A,ROW()))</f>
        <v/>
      </c>
      <c r="T1227" s="17" t="str">
        <f ca="1">IF(INDEX(Listado!G:G,ROW())="","",INDEX(Listado!G:G,ROW()))</f>
        <v/>
      </c>
      <c r="U1227" s="17" t="str">
        <f>IF(INDEX(Listado!F:F,ROW())="","",INDEX(Listado!F:F,ROW()))</f>
        <v/>
      </c>
      <c r="V1227" s="17">
        <f>IF(COUNTA(INDEX(Listado!B:B,ROW()):INDEX(Listado!F:F,ROW()))&gt;0,1,0)</f>
        <v/>
      </c>
      <c r="W1227" s="17" t="str">
        <f>IF(INDEX(Listado!L:L,ROW())="","",INDEX(Listado!L:L,ROW()))</f>
        <v/>
      </c>
      <c r="X1227" s="17">
        <f>IF(N1227="","",IF(INDEX(Listado!$M:$M,N1227)="No","No","Sí"))</f>
        <v/>
      </c>
    </row>
    <row r="1228" spans="2:24" ht="14.25">
      <c r="N1228" s="17" t="str">
        <f>IF(V1228=0,"",IFERROR(LOOKUP(2,1/(INDEX(Listado!A:A,2):INDEX(Listado!A:A,ROW())&lt;&gt;""),ROW(INDEX(Listado!A:A,2):INDEX(Listado!A:A,ROW()))),""))</f>
        <v/>
      </c>
      <c r="O1228" s="17" t="str">
        <f>IFERROR(IF(N1228="","",IF(INDEX(Listado!M:M,N1228)="No",IF(INDEX(Listado!N:N,N1228)=0,"",INDEX(Listado!N:N,N1228)),IF(INDEX(Listado!I:I,N1228)=0,"",INDEX(Listado!I:I,N1228)))),"")</f>
        <v/>
      </c>
      <c r="P1228" s="17">
        <f t="shared" ca="1" si="58"/>
        <v/>
      </c>
      <c r="Q1228" s="17">
        <f>IFERROR(IF(AND(N1228&lt;&gt;"",ISNUMBER(O1228),O1228&gt;0,O1228&gt;=TODAY()-90),1,0),0)</f>
        <v/>
      </c>
      <c r="R1228" s="17" t="str">
        <f t="shared" si="60"/>
        <v/>
      </c>
      <c r="S1228" s="17" t="str">
        <f>IF(INDEX(Listado!A:A,ROW())="","",INDEX(Listado!A:A,ROW()))</f>
        <v/>
      </c>
      <c r="T1228" s="17" t="str">
        <f ca="1">IF(INDEX(Listado!G:G,ROW())="","",INDEX(Listado!G:G,ROW()))</f>
        <v/>
      </c>
      <c r="U1228" s="17" t="str">
        <f>IF(INDEX(Listado!F:F,ROW())="","",INDEX(Listado!F:F,ROW()))</f>
        <v/>
      </c>
      <c r="V1228" s="17">
        <f>IF(COUNTA(INDEX(Listado!B:B,ROW()):INDEX(Listado!F:F,ROW()))&gt;0,1,0)</f>
        <v/>
      </c>
      <c r="W1228" s="17" t="str">
        <f>IF(INDEX(Listado!L:L,ROW())="","",INDEX(Listado!L:L,ROW()))</f>
        <v/>
      </c>
      <c r="X1228" s="17">
        <f>IF(N1228="","",IF(INDEX(Listado!$M:$M,N1228)="No","No","Sí"))</f>
        <v/>
      </c>
    </row>
    <row r="1229" spans="2:24" ht="14.25">
      <c r="N1229" s="17" t="str">
        <f>IF(V1229=0,"",IFERROR(LOOKUP(2,1/(INDEX(Listado!A:A,2):INDEX(Listado!A:A,ROW())&lt;&gt;""),ROW(INDEX(Listado!A:A,2):INDEX(Listado!A:A,ROW()))),""))</f>
        <v/>
      </c>
      <c r="O1229" s="17" t="str">
        <f>IFERROR(IF(N1229="","",IF(INDEX(Listado!M:M,N1229)="No",IF(INDEX(Listado!N:N,N1229)=0,"",INDEX(Listado!N:N,N1229)),IF(INDEX(Listado!I:I,N1229)=0,"",INDEX(Listado!I:I,N1229)))),"")</f>
        <v/>
      </c>
      <c r="P1229" s="17">
        <f t="shared" ca="1" si="58"/>
        <v/>
      </c>
      <c r="Q1229" s="17">
        <f>IFERROR(IF(AND(N1229&lt;&gt;"",ISNUMBER(O1229),O1229&gt;0,O1229&gt;=TODAY()-90),1,0),0)</f>
        <v/>
      </c>
      <c r="R1229" s="17" t="str">
        <f t="shared" si="60"/>
        <v/>
      </c>
      <c r="S1229" s="17" t="str">
        <f>IF(INDEX(Listado!A:A,ROW())="","",INDEX(Listado!A:A,ROW()))</f>
        <v/>
      </c>
      <c r="T1229" s="17" t="str">
        <f ca="1">IF(INDEX(Listado!G:G,ROW())="","",INDEX(Listado!G:G,ROW()))</f>
        <v/>
      </c>
      <c r="U1229" s="17" t="str">
        <f>IF(INDEX(Listado!F:F,ROW())="","",INDEX(Listado!F:F,ROW()))</f>
        <v/>
      </c>
      <c r="V1229" s="17">
        <f>IF(COUNTA(INDEX(Listado!B:B,ROW()):INDEX(Listado!F:F,ROW()))&gt;0,1,0)</f>
        <v/>
      </c>
      <c r="W1229" s="17" t="str">
        <f>IF(INDEX(Listado!L:L,ROW())="","",INDEX(Listado!L:L,ROW()))</f>
        <v/>
      </c>
      <c r="X1229" s="17">
        <f>IF(N1229="","",IF(INDEX(Listado!$M:$M,N1229)="No","No","Sí"))</f>
        <v/>
      </c>
    </row>
    <row r="1230" spans="2:24" ht="14.25">
      <c r="N1230" s="17" t="str">
        <f>IF(V1230=0,"",IFERROR(LOOKUP(2,1/(INDEX(Listado!A:A,2):INDEX(Listado!A:A,ROW())&lt;&gt;""),ROW(INDEX(Listado!A:A,2):INDEX(Listado!A:A,ROW()))),""))</f>
        <v/>
      </c>
      <c r="O1230" s="17" t="str">
        <f>IFERROR(IF(N1230="","",IF(INDEX(Listado!M:M,N1230)="No",IF(INDEX(Listado!N:N,N1230)=0,"",INDEX(Listado!N:N,N1230)),IF(INDEX(Listado!I:I,N1230)=0,"",INDEX(Listado!I:I,N1230)))),"")</f>
        <v/>
      </c>
      <c r="P1230" s="17">
        <f t="shared" ca="1" si="58"/>
        <v/>
      </c>
      <c r="Q1230" s="17">
        <f>IFERROR(IF(AND(N1230&lt;&gt;"",ISNUMBER(O1230),O1230&gt;0,O1230&gt;=TODAY()-90),1,0),0)</f>
        <v/>
      </c>
      <c r="R1230" s="17" t="str">
        <f t="shared" si="60"/>
        <v/>
      </c>
      <c r="S1230" s="17" t="str">
        <f>IF(INDEX(Listado!A:A,ROW())="","",INDEX(Listado!A:A,ROW()))</f>
        <v/>
      </c>
      <c r="T1230" s="17" t="str">
        <f ca="1">IF(INDEX(Listado!G:G,ROW())="","",INDEX(Listado!G:G,ROW()))</f>
        <v/>
      </c>
      <c r="U1230" s="17" t="str">
        <f>IF(INDEX(Listado!F:F,ROW())="","",INDEX(Listado!F:F,ROW()))</f>
        <v/>
      </c>
      <c r="V1230" s="17">
        <f>IF(COUNTA(INDEX(Listado!B:B,ROW()):INDEX(Listado!F:F,ROW()))&gt;0,1,0)</f>
        <v/>
      </c>
      <c r="W1230" s="17" t="str">
        <f>IF(INDEX(Listado!L:L,ROW())="","",INDEX(Listado!L:L,ROW()))</f>
        <v/>
      </c>
      <c r="X1230" s="17">
        <f>IF(N1230="","",IF(INDEX(Listado!$M:$M,N1230)="No","No","Sí"))</f>
        <v/>
      </c>
    </row>
    <row r="1231" spans="2:24" ht="14.25">
      <c r="N1231" s="17" t="str">
        <f>IF(V1231=0,"",IFERROR(LOOKUP(2,1/(INDEX(Listado!A:A,2):INDEX(Listado!A:A,ROW())&lt;&gt;""),ROW(INDEX(Listado!A:A,2):INDEX(Listado!A:A,ROW()))),""))</f>
        <v/>
      </c>
      <c r="O1231" s="17" t="str">
        <f>IFERROR(IF(N1231="","",IF(INDEX(Listado!M:M,N1231)="No",IF(INDEX(Listado!N:N,N1231)=0,"",INDEX(Listado!N:N,N1231)),IF(INDEX(Listado!I:I,N1231)=0,"",INDEX(Listado!I:I,N1231)))),"")</f>
        <v/>
      </c>
      <c r="P1231" s="17">
        <f t="shared" ca="1" si="58"/>
        <v/>
      </c>
      <c r="Q1231" s="17">
        <f>IFERROR(IF(AND(N1231&lt;&gt;"",ISNUMBER(O1231),O1231&gt;0,O1231&gt;=TODAY()-90),1,0),0)</f>
        <v/>
      </c>
      <c r="R1231" s="17" t="str">
        <f t="shared" si="60"/>
        <v/>
      </c>
      <c r="S1231" s="17" t="str">
        <f>IF(INDEX(Listado!A:A,ROW())="","",INDEX(Listado!A:A,ROW()))</f>
        <v/>
      </c>
      <c r="T1231" s="17" t="str">
        <f ca="1">IF(INDEX(Listado!G:G,ROW())="","",INDEX(Listado!G:G,ROW()))</f>
        <v/>
      </c>
      <c r="U1231" s="17" t="str">
        <f>IF(INDEX(Listado!F:F,ROW())="","",INDEX(Listado!F:F,ROW()))</f>
        <v/>
      </c>
      <c r="V1231" s="17">
        <f>IF(COUNTA(INDEX(Listado!B:B,ROW()):INDEX(Listado!F:F,ROW()))&gt;0,1,0)</f>
        <v/>
      </c>
      <c r="W1231" s="17" t="str">
        <f>IF(INDEX(Listado!L:L,ROW())="","",INDEX(Listado!L:L,ROW()))</f>
        <v/>
      </c>
      <c r="X1231" s="17">
        <f>IF(N1231="","",IF(INDEX(Listado!$M:$M,N1231)="No","No","Sí"))</f>
        <v/>
      </c>
    </row>
    <row r="1232" spans="2:24" ht="14.25">
      <c r="N1232" s="17" t="str">
        <f>IF(V1232=0,"",IFERROR(LOOKUP(2,1/(INDEX(Listado!A:A,2):INDEX(Listado!A:A,ROW())&lt;&gt;""),ROW(INDEX(Listado!A:A,2):INDEX(Listado!A:A,ROW()))),""))</f>
        <v/>
      </c>
      <c r="O1232" s="17" t="str">
        <f>IFERROR(IF(N1232="","",IF(INDEX(Listado!M:M,N1232)="No",IF(INDEX(Listado!N:N,N1232)=0,"",INDEX(Listado!N:N,N1232)),IF(INDEX(Listado!I:I,N1232)=0,"",INDEX(Listado!I:I,N1232)))),"")</f>
        <v/>
      </c>
      <c r="P1232" s="17">
        <f t="shared" ca="1" si="58"/>
        <v/>
      </c>
      <c r="Q1232" s="17">
        <f>IFERROR(IF(AND(N1232&lt;&gt;"",ISNUMBER(O1232),O1232&gt;0,O1232&gt;=TODAY()-90),1,0),0)</f>
        <v/>
      </c>
      <c r="R1232" s="17" t="str">
        <f t="shared" si="60"/>
        <v/>
      </c>
      <c r="S1232" s="17" t="str">
        <f>IF(INDEX(Listado!A:A,ROW())="","",INDEX(Listado!A:A,ROW()))</f>
        <v/>
      </c>
      <c r="T1232" s="17" t="str">
        <f ca="1">IF(INDEX(Listado!G:G,ROW())="","",INDEX(Listado!G:G,ROW()))</f>
        <v/>
      </c>
      <c r="U1232" s="17" t="str">
        <f>IF(INDEX(Listado!F:F,ROW())="","",INDEX(Listado!F:F,ROW()))</f>
        <v/>
      </c>
      <c r="V1232" s="17">
        <f>IF(COUNTA(INDEX(Listado!B:B,ROW()):INDEX(Listado!F:F,ROW()))&gt;0,1,0)</f>
        <v/>
      </c>
      <c r="W1232" s="17" t="str">
        <f>IF(INDEX(Listado!L:L,ROW())="","",INDEX(Listado!L:L,ROW()))</f>
        <v/>
      </c>
      <c r="X1232" s="17">
        <f>IF(N1232="","",IF(INDEX(Listado!$M:$M,N1232)="No","No","Sí"))</f>
        <v/>
      </c>
    </row>
    <row r="1233" spans="2:24" ht="14.25">
      <c r="N1233" s="17" t="str">
        <f>IF(V1233=0,"",IFERROR(LOOKUP(2,1/(INDEX(Listado!A:A,2):INDEX(Listado!A:A,ROW())&lt;&gt;""),ROW(INDEX(Listado!A:A,2):INDEX(Listado!A:A,ROW()))),""))</f>
        <v/>
      </c>
      <c r="O1233" s="17" t="str">
        <f>IFERROR(IF(N1233="","",IF(INDEX(Listado!M:M,N1233)="No",IF(INDEX(Listado!N:N,N1233)=0,"",INDEX(Listado!N:N,N1233)),IF(INDEX(Listado!I:I,N1233)=0,"",INDEX(Listado!I:I,N1233)))),"")</f>
        <v/>
      </c>
      <c r="P1233" s="17">
        <f t="shared" ca="1" si="58"/>
        <v/>
      </c>
      <c r="Q1233" s="17">
        <f>IFERROR(IF(AND(N1233&lt;&gt;"",ISNUMBER(O1233),O1233&gt;0,O1233&gt;=TODAY()-90),1,0),0)</f>
        <v/>
      </c>
      <c r="R1233" s="17" t="str">
        <f t="shared" si="60"/>
        <v/>
      </c>
      <c r="S1233" s="17" t="str">
        <f>IF(INDEX(Listado!A:A,ROW())="","",INDEX(Listado!A:A,ROW()))</f>
        <v/>
      </c>
      <c r="T1233" s="17" t="str">
        <f ca="1">IF(INDEX(Listado!G:G,ROW())="","",INDEX(Listado!G:G,ROW()))</f>
        <v/>
      </c>
      <c r="U1233" s="17" t="str">
        <f>IF(INDEX(Listado!F:F,ROW())="","",INDEX(Listado!F:F,ROW()))</f>
        <v/>
      </c>
      <c r="V1233" s="17">
        <f>IF(COUNTA(INDEX(Listado!B:B,ROW()):INDEX(Listado!F:F,ROW()))&gt;0,1,0)</f>
        <v/>
      </c>
      <c r="W1233" s="17" t="str">
        <f>IF(INDEX(Listado!L:L,ROW())="","",INDEX(Listado!L:L,ROW()))</f>
        <v/>
      </c>
      <c r="X1233" s="17">
        <f>IF(N1233="","",IF(INDEX(Listado!$M:$M,N1233)="No","No","Sí"))</f>
        <v/>
      </c>
    </row>
    <row r="1234" spans="2:24" ht="14.25">
      <c r="N1234" s="17" t="str">
        <f>IF(V1234=0,"",IFERROR(LOOKUP(2,1/(INDEX(Listado!A:A,2):INDEX(Listado!A:A,ROW())&lt;&gt;""),ROW(INDEX(Listado!A:A,2):INDEX(Listado!A:A,ROW()))),""))</f>
        <v/>
      </c>
      <c r="O1234" s="17" t="str">
        <f>IFERROR(IF(N1234="","",IF(INDEX(Listado!M:M,N1234)="No",IF(INDEX(Listado!N:N,N1234)=0,"",INDEX(Listado!N:N,N1234)),IF(INDEX(Listado!I:I,N1234)=0,"",INDEX(Listado!I:I,N1234)))),"")</f>
        <v/>
      </c>
      <c r="P1234" s="17">
        <f t="shared" ca="1" si="58"/>
        <v/>
      </c>
      <c r="Q1234" s="17">
        <f>IFERROR(IF(AND(N1234&lt;&gt;"",ISNUMBER(O1234),O1234&gt;0,O1234&gt;=TODAY()-90),1,0),0)</f>
        <v/>
      </c>
      <c r="R1234" s="17" t="str">
        <f t="shared" si="60"/>
        <v/>
      </c>
      <c r="S1234" s="17" t="str">
        <f>IF(INDEX(Listado!A:A,ROW())="","",INDEX(Listado!A:A,ROW()))</f>
        <v/>
      </c>
      <c r="T1234" s="17" t="str">
        <f ca="1">IF(INDEX(Listado!G:G,ROW())="","",INDEX(Listado!G:G,ROW()))</f>
        <v/>
      </c>
      <c r="U1234" s="17" t="str">
        <f>IF(INDEX(Listado!F:F,ROW())="","",INDEX(Listado!F:F,ROW()))</f>
        <v/>
      </c>
      <c r="V1234" s="17">
        <f>IF(COUNTA(INDEX(Listado!B:B,ROW()):INDEX(Listado!F:F,ROW()))&gt;0,1,0)</f>
        <v/>
      </c>
      <c r="W1234" s="17" t="str">
        <f>IF(INDEX(Listado!L:L,ROW())="","",INDEX(Listado!L:L,ROW()))</f>
        <v/>
      </c>
      <c r="X1234" s="17">
        <f>IF(N1234="","",IF(INDEX(Listado!$M:$M,N1234)="No","No","Sí"))</f>
        <v/>
      </c>
    </row>
    <row r="1235" spans="2:24" ht="14.25">
      <c r="N1235" s="17" t="str">
        <f>IF(V1235=0,"",IFERROR(LOOKUP(2,1/(INDEX(Listado!A:A,2):INDEX(Listado!A:A,ROW())&lt;&gt;""),ROW(INDEX(Listado!A:A,2):INDEX(Listado!A:A,ROW()))),""))</f>
        <v/>
      </c>
      <c r="O1235" s="17" t="str">
        <f>IFERROR(IF(N1235="","",IF(INDEX(Listado!M:M,N1235)="No",IF(INDEX(Listado!N:N,N1235)=0,"",INDEX(Listado!N:N,N1235)),IF(INDEX(Listado!I:I,N1235)=0,"",INDEX(Listado!I:I,N1235)))),"")</f>
        <v/>
      </c>
      <c r="P1235" s="17">
        <f t="shared" ca="1" si="58"/>
        <v/>
      </c>
      <c r="Q1235" s="17">
        <f>IFERROR(IF(AND(N1235&lt;&gt;"",ISNUMBER(O1235),O1235&gt;0,O1235&gt;=TODAY()-90),1,0),0)</f>
        <v/>
      </c>
      <c r="R1235" s="17" t="str">
        <f t="shared" si="60"/>
        <v/>
      </c>
      <c r="S1235" s="17" t="str">
        <f>IF(INDEX(Listado!A:A,ROW())="","",INDEX(Listado!A:A,ROW()))</f>
        <v/>
      </c>
      <c r="T1235" s="17" t="str">
        <f ca="1">IF(INDEX(Listado!G:G,ROW())="","",INDEX(Listado!G:G,ROW()))</f>
        <v/>
      </c>
      <c r="U1235" s="17" t="str">
        <f>IF(INDEX(Listado!F:F,ROW())="","",INDEX(Listado!F:F,ROW()))</f>
        <v/>
      </c>
      <c r="V1235" s="17">
        <f>IF(COUNTA(INDEX(Listado!B:B,ROW()):INDEX(Listado!F:F,ROW()))&gt;0,1,0)</f>
        <v/>
      </c>
      <c r="W1235" s="17" t="str">
        <f>IF(INDEX(Listado!L:L,ROW())="","",INDEX(Listado!L:L,ROW()))</f>
        <v/>
      </c>
      <c r="X1235" s="17">
        <f>IF(N1235="","",IF(INDEX(Listado!$M:$M,N1235)="No","No","Sí"))</f>
        <v/>
      </c>
    </row>
    <row r="1236" spans="2:24" ht="14.25">
      <c r="N1236" s="17" t="str">
        <f>IF(V1236=0,"",IFERROR(LOOKUP(2,1/(INDEX(Listado!A:A,2):INDEX(Listado!A:A,ROW())&lt;&gt;""),ROW(INDEX(Listado!A:A,2):INDEX(Listado!A:A,ROW()))),""))</f>
        <v/>
      </c>
      <c r="O1236" s="17" t="str">
        <f>IFERROR(IF(N1236="","",IF(INDEX(Listado!M:M,N1236)="No",IF(INDEX(Listado!N:N,N1236)=0,"",INDEX(Listado!N:N,N1236)),IF(INDEX(Listado!I:I,N1236)=0,"",INDEX(Listado!I:I,N1236)))),"")</f>
        <v/>
      </c>
      <c r="P1236" s="17">
        <f t="shared" ca="1" si="58"/>
        <v/>
      </c>
      <c r="Q1236" s="17">
        <f>IFERROR(IF(AND(N1236&lt;&gt;"",ISNUMBER(O1236),O1236&gt;0,O1236&gt;=TODAY()-90),1,0),0)</f>
        <v/>
      </c>
      <c r="R1236" s="17" t="str">
        <f t="shared" si="60"/>
        <v/>
      </c>
      <c r="S1236" s="17" t="str">
        <f>IF(INDEX(Listado!A:A,ROW())="","",INDEX(Listado!A:A,ROW()))</f>
        <v/>
      </c>
      <c r="T1236" s="17" t="str">
        <f ca="1">IF(INDEX(Listado!G:G,ROW())="","",INDEX(Listado!G:G,ROW()))</f>
        <v/>
      </c>
      <c r="U1236" s="17" t="str">
        <f>IF(INDEX(Listado!F:F,ROW())="","",INDEX(Listado!F:F,ROW()))</f>
        <v/>
      </c>
      <c r="V1236" s="17">
        <f>IF(COUNTA(INDEX(Listado!B:B,ROW()):INDEX(Listado!F:F,ROW()))&gt;0,1,0)</f>
        <v/>
      </c>
      <c r="W1236" s="17" t="str">
        <f>IF(INDEX(Listado!L:L,ROW())="","",INDEX(Listado!L:L,ROW()))</f>
        <v/>
      </c>
      <c r="X1236" s="17">
        <f>IF(N1236="","",IF(INDEX(Listado!$M:$M,N1236)="No","No","Sí"))</f>
        <v/>
      </c>
    </row>
    <row r="1237" spans="2:24" ht="14.25">
      <c r="N1237" s="17" t="str">
        <f>IF(V1237=0,"",IFERROR(LOOKUP(2,1/(INDEX(Listado!A:A,2):INDEX(Listado!A:A,ROW())&lt;&gt;""),ROW(INDEX(Listado!A:A,2):INDEX(Listado!A:A,ROW()))),""))</f>
        <v/>
      </c>
      <c r="O1237" s="17" t="str">
        <f>IFERROR(IF(N1237="","",IF(INDEX(Listado!M:M,N1237)="No",IF(INDEX(Listado!N:N,N1237)=0,"",INDEX(Listado!N:N,N1237)),IF(INDEX(Listado!I:I,N1237)=0,"",INDEX(Listado!I:I,N1237)))),"")</f>
        <v/>
      </c>
      <c r="P1237" s="17">
        <f t="shared" ca="1" si="58"/>
        <v/>
      </c>
      <c r="Q1237" s="17">
        <f>IFERROR(IF(AND(N1237&lt;&gt;"",ISNUMBER(O1237),O1237&gt;0,O1237&gt;=TODAY()-90),1,0),0)</f>
        <v/>
      </c>
      <c r="R1237" s="17" t="str">
        <f t="shared" si="60"/>
        <v/>
      </c>
      <c r="S1237" s="17" t="str">
        <f>IF(INDEX(Listado!A:A,ROW())="","",INDEX(Listado!A:A,ROW()))</f>
        <v/>
      </c>
      <c r="T1237" s="17" t="str">
        <f ca="1">IF(INDEX(Listado!G:G,ROW())="","",INDEX(Listado!G:G,ROW()))</f>
        <v/>
      </c>
      <c r="U1237" s="17" t="str">
        <f>IF(INDEX(Listado!F:F,ROW())="","",INDEX(Listado!F:F,ROW()))</f>
        <v/>
      </c>
      <c r="V1237" s="17">
        <f>IF(COUNTA(INDEX(Listado!B:B,ROW()):INDEX(Listado!F:F,ROW()))&gt;0,1,0)</f>
        <v/>
      </c>
      <c r="W1237" s="17" t="str">
        <f>IF(INDEX(Listado!L:L,ROW())="","",INDEX(Listado!L:L,ROW()))</f>
        <v/>
      </c>
      <c r="X1237" s="17">
        <f>IF(N1237="","",IF(INDEX(Listado!$M:$M,N1237)="No","No","Sí"))</f>
        <v/>
      </c>
    </row>
    <row r="1238" spans="2:24" ht="14.25">
      <c r="N1238" s="17" t="str">
        <f>IF(V1238=0,"",IFERROR(LOOKUP(2,1/(INDEX(Listado!A:A,2):INDEX(Listado!A:A,ROW())&lt;&gt;""),ROW(INDEX(Listado!A:A,2):INDEX(Listado!A:A,ROW()))),""))</f>
        <v/>
      </c>
      <c r="O1238" s="17" t="str">
        <f>IFERROR(IF(N1238="","",IF(INDEX(Listado!M:M,N1238)="No",IF(INDEX(Listado!N:N,N1238)=0,"",INDEX(Listado!N:N,N1238)),IF(INDEX(Listado!I:I,N1238)=0,"",INDEX(Listado!I:I,N1238)))),"")</f>
        <v/>
      </c>
      <c r="P1238" s="17">
        <f t="shared" ca="1" si="58"/>
        <v/>
      </c>
      <c r="Q1238" s="17">
        <f>IFERROR(IF(AND(N1238&lt;&gt;"",ISNUMBER(O1238),O1238&gt;0,O1238&gt;=TODAY()-90),1,0),0)</f>
        <v/>
      </c>
      <c r="R1238" s="17" t="str">
        <f t="shared" si="60"/>
        <v/>
      </c>
      <c r="S1238" s="17" t="str">
        <f>IF(INDEX(Listado!A:A,ROW())="","",INDEX(Listado!A:A,ROW()))</f>
        <v/>
      </c>
      <c r="T1238" s="17" t="str">
        <f ca="1">IF(INDEX(Listado!G:G,ROW())="","",INDEX(Listado!G:G,ROW()))</f>
        <v/>
      </c>
      <c r="U1238" s="17" t="str">
        <f>IF(INDEX(Listado!F:F,ROW())="","",INDEX(Listado!F:F,ROW()))</f>
        <v/>
      </c>
      <c r="V1238" s="17">
        <f>IF(COUNTA(INDEX(Listado!B:B,ROW()):INDEX(Listado!F:F,ROW()))&gt;0,1,0)</f>
        <v/>
      </c>
      <c r="W1238" s="17" t="str">
        <f>IF(INDEX(Listado!L:L,ROW())="","",INDEX(Listado!L:L,ROW()))</f>
        <v/>
      </c>
      <c r="X1238" s="17">
        <f>IF(N1238="","",IF(INDEX(Listado!$M:$M,N1238)="No","No","Sí"))</f>
        <v/>
      </c>
    </row>
    <row r="1239" spans="2:24" ht="14.25">
      <c r="N1239" s="17" t="str">
        <f>IF(V1239=0,"",IFERROR(LOOKUP(2,1/(INDEX(Listado!A:A,2):INDEX(Listado!A:A,ROW())&lt;&gt;""),ROW(INDEX(Listado!A:A,2):INDEX(Listado!A:A,ROW()))),""))</f>
        <v/>
      </c>
      <c r="O1239" s="17" t="str">
        <f>IFERROR(IF(N1239="","",IF(INDEX(Listado!M:M,N1239)="No",IF(INDEX(Listado!N:N,N1239)=0,"",INDEX(Listado!N:N,N1239)),IF(INDEX(Listado!I:I,N1239)=0,"",INDEX(Listado!I:I,N1239)))),"")</f>
        <v/>
      </c>
      <c r="P1239" s="17">
        <f t="shared" ca="1" si="58"/>
        <v/>
      </c>
      <c r="Q1239" s="17">
        <f>IFERROR(IF(AND(N1239&lt;&gt;"",ISNUMBER(O1239),O1239&gt;0,O1239&gt;=TODAY()-90),1,0),0)</f>
        <v/>
      </c>
      <c r="R1239" s="17" t="str">
        <f t="shared" si="60"/>
        <v/>
      </c>
      <c r="S1239" s="17" t="str">
        <f>IF(INDEX(Listado!A:A,ROW())="","",INDEX(Listado!A:A,ROW()))</f>
        <v/>
      </c>
      <c r="T1239" s="17" t="str">
        <f ca="1">IF(INDEX(Listado!G:G,ROW())="","",INDEX(Listado!G:G,ROW()))</f>
        <v/>
      </c>
      <c r="U1239" s="17" t="str">
        <f>IF(INDEX(Listado!F:F,ROW())="","",INDEX(Listado!F:F,ROW()))</f>
        <v/>
      </c>
      <c r="V1239" s="17">
        <f>IF(COUNTA(INDEX(Listado!B:B,ROW()):INDEX(Listado!F:F,ROW()))&gt;0,1,0)</f>
        <v/>
      </c>
      <c r="W1239" s="17" t="str">
        <f>IF(INDEX(Listado!L:L,ROW())="","",INDEX(Listado!L:L,ROW()))</f>
        <v/>
      </c>
      <c r="X1239" s="17">
        <f>IF(N1239="","",IF(INDEX(Listado!$M:$M,N1239)="No","No","Sí"))</f>
        <v/>
      </c>
    </row>
    <row r="1240" spans="2:24" ht="14.25">
      <c r="N1240" s="17" t="str">
        <f>IF(V1240=0,"",IFERROR(LOOKUP(2,1/(INDEX(Listado!A:A,2):INDEX(Listado!A:A,ROW())&lt;&gt;""),ROW(INDEX(Listado!A:A,2):INDEX(Listado!A:A,ROW()))),""))</f>
        <v/>
      </c>
      <c r="O1240" s="17" t="str">
        <f>IFERROR(IF(N1240="","",IF(INDEX(Listado!M:M,N1240)="No",IF(INDEX(Listado!N:N,N1240)=0,"",INDEX(Listado!N:N,N1240)),IF(INDEX(Listado!I:I,N1240)=0,"",INDEX(Listado!I:I,N1240)))),"")</f>
        <v/>
      </c>
      <c r="P1240" s="17">
        <f t="shared" ca="1" si="58"/>
        <v/>
      </c>
      <c r="Q1240" s="17">
        <f>IFERROR(IF(AND(N1240&lt;&gt;"",ISNUMBER(O1240),O1240&gt;0,O1240&gt;=TODAY()-90),1,0),0)</f>
        <v/>
      </c>
      <c r="R1240" s="17" t="str">
        <f t="shared" si="60"/>
        <v/>
      </c>
      <c r="S1240" s="17" t="str">
        <f>IF(INDEX(Listado!A:A,ROW())="","",INDEX(Listado!A:A,ROW()))</f>
        <v/>
      </c>
      <c r="T1240" s="17" t="str">
        <f ca="1">IF(INDEX(Listado!G:G,ROW())="","",INDEX(Listado!G:G,ROW()))</f>
        <v/>
      </c>
      <c r="U1240" s="17" t="str">
        <f>IF(INDEX(Listado!F:F,ROW())="","",INDEX(Listado!F:F,ROW()))</f>
        <v/>
      </c>
      <c r="V1240" s="17">
        <f>IF(COUNTA(INDEX(Listado!B:B,ROW()):INDEX(Listado!F:F,ROW()))&gt;0,1,0)</f>
        <v/>
      </c>
      <c r="W1240" s="17" t="str">
        <f>IF(INDEX(Listado!L:L,ROW())="","",INDEX(Listado!L:L,ROW()))</f>
        <v/>
      </c>
      <c r="X1240" s="17">
        <f>IF(N1240="","",IF(INDEX(Listado!$M:$M,N1240)="No","No","Sí"))</f>
        <v/>
      </c>
    </row>
    <row r="1241" spans="2:24" ht="14.25">
      <c r="N1241" s="17" t="str">
        <f>IF(V1241=0,"",IFERROR(LOOKUP(2,1/(INDEX(Listado!A:A,2):INDEX(Listado!A:A,ROW())&lt;&gt;""),ROW(INDEX(Listado!A:A,2):INDEX(Listado!A:A,ROW()))),""))</f>
        <v/>
      </c>
      <c r="O1241" s="17" t="str">
        <f>IFERROR(IF(N1241="","",IF(INDEX(Listado!M:M,N1241)="No",IF(INDEX(Listado!N:N,N1241)=0,"",INDEX(Listado!N:N,N1241)),IF(INDEX(Listado!I:I,N1241)=0,"",INDEX(Listado!I:I,N1241)))),"")</f>
        <v/>
      </c>
      <c r="P1241" s="17">
        <f t="shared" ca="1" si="58"/>
        <v/>
      </c>
      <c r="Q1241" s="17">
        <f>IFERROR(IF(AND(N1241&lt;&gt;"",ISNUMBER(O1241),O1241&gt;0,O1241&gt;=TODAY()-90),1,0),0)</f>
        <v/>
      </c>
      <c r="R1241" s="17" t="str">
        <f t="shared" si="60"/>
        <v/>
      </c>
      <c r="S1241" s="17" t="str">
        <f>IF(INDEX(Listado!A:A,ROW())="","",INDEX(Listado!A:A,ROW()))</f>
        <v/>
      </c>
      <c r="T1241" s="17" t="str">
        <f ca="1">IF(INDEX(Listado!G:G,ROW())="","",INDEX(Listado!G:G,ROW()))</f>
        <v/>
      </c>
      <c r="U1241" s="17" t="str">
        <f>IF(INDEX(Listado!F:F,ROW())="","",INDEX(Listado!F:F,ROW()))</f>
        <v/>
      </c>
      <c r="V1241" s="17">
        <f>IF(COUNTA(INDEX(Listado!B:B,ROW()):INDEX(Listado!F:F,ROW()))&gt;0,1,0)</f>
        <v/>
      </c>
      <c r="W1241" s="17" t="str">
        <f>IF(INDEX(Listado!L:L,ROW())="","",INDEX(Listado!L:L,ROW()))</f>
        <v/>
      </c>
      <c r="X1241" s="17">
        <f>IF(N1241="","",IF(INDEX(Listado!$M:$M,N1241)="No","No","Sí"))</f>
        <v/>
      </c>
    </row>
    <row r="1242" spans="2:24" ht="14.25">
      <c r="N1242" s="17" t="str">
        <f>IF(V1242=0,"",IFERROR(LOOKUP(2,1/(INDEX(Listado!A:A,2):INDEX(Listado!A:A,ROW())&lt;&gt;""),ROW(INDEX(Listado!A:A,2):INDEX(Listado!A:A,ROW()))),""))</f>
        <v/>
      </c>
      <c r="O1242" s="17" t="str">
        <f>IFERROR(IF(N1242="","",IF(INDEX(Listado!M:M,N1242)="No",IF(INDEX(Listado!N:N,N1242)=0,"",INDEX(Listado!N:N,N1242)),IF(INDEX(Listado!I:I,N1242)=0,"",INDEX(Listado!I:I,N1242)))),"")</f>
        <v/>
      </c>
      <c r="P1242" s="17">
        <f t="shared" ca="1" si="58"/>
        <v/>
      </c>
      <c r="Q1242" s="17">
        <f>IFERROR(IF(AND(N1242&lt;&gt;"",ISNUMBER(O1242),O1242&gt;0,O1242&gt;=TODAY()-90),1,0),0)</f>
        <v/>
      </c>
      <c r="R1242" s="17" t="str">
        <f t="shared" si="60"/>
        <v/>
      </c>
      <c r="S1242" s="17" t="str">
        <f>IF(INDEX(Listado!A:A,ROW())="","",INDEX(Listado!A:A,ROW()))</f>
        <v/>
      </c>
      <c r="T1242" s="17" t="str">
        <f ca="1">IF(INDEX(Listado!G:G,ROW())="","",INDEX(Listado!G:G,ROW()))</f>
        <v/>
      </c>
      <c r="U1242" s="17" t="str">
        <f>IF(INDEX(Listado!F:F,ROW())="","",INDEX(Listado!F:F,ROW()))</f>
        <v/>
      </c>
      <c r="V1242" s="17">
        <f>IF(COUNTA(INDEX(Listado!B:B,ROW()):INDEX(Listado!F:F,ROW()))&gt;0,1,0)</f>
        <v/>
      </c>
      <c r="W1242" s="17" t="str">
        <f>IF(INDEX(Listado!L:L,ROW())="","",INDEX(Listado!L:L,ROW()))</f>
        <v/>
      </c>
      <c r="X1242" s="17">
        <f>IF(N1242="","",IF(INDEX(Listado!$M:$M,N1242)="No","No","Sí"))</f>
        <v/>
      </c>
    </row>
    <row r="1243" spans="2:24" ht="14.25">
      <c r="N1243" s="17" t="str">
        <f>IF(V1243=0,"",IFERROR(LOOKUP(2,1/(INDEX(Listado!A:A,2):INDEX(Listado!A:A,ROW())&lt;&gt;""),ROW(INDEX(Listado!A:A,2):INDEX(Listado!A:A,ROW()))),""))</f>
        <v/>
      </c>
      <c r="O1243" s="17" t="str">
        <f>IFERROR(IF(N1243="","",IF(INDEX(Listado!M:M,N1243)="No",IF(INDEX(Listado!N:N,N1243)=0,"",INDEX(Listado!N:N,N1243)),IF(INDEX(Listado!I:I,N1243)=0,"",INDEX(Listado!I:I,N1243)))),"")</f>
        <v/>
      </c>
      <c r="P1243" s="17">
        <f t="shared" ca="1" si="58"/>
        <v/>
      </c>
      <c r="Q1243" s="17">
        <f>IFERROR(IF(AND(N1243&lt;&gt;"",ISNUMBER(O1243),O1243&gt;0,O1243&gt;=TODAY()-90),1,0),0)</f>
        <v/>
      </c>
      <c r="R1243" s="17" t="str">
        <f t="shared" si="60"/>
        <v/>
      </c>
      <c r="S1243" s="17" t="str">
        <f>IF(INDEX(Listado!A:A,ROW())="","",INDEX(Listado!A:A,ROW()))</f>
        <v/>
      </c>
      <c r="T1243" s="17" t="str">
        <f ca="1">IF(INDEX(Listado!G:G,ROW())="","",INDEX(Listado!G:G,ROW()))</f>
        <v/>
      </c>
      <c r="U1243" s="17" t="str">
        <f>IF(INDEX(Listado!F:F,ROW())="","",INDEX(Listado!F:F,ROW()))</f>
        <v/>
      </c>
      <c r="V1243" s="17">
        <f>IF(COUNTA(INDEX(Listado!B:B,ROW()):INDEX(Listado!F:F,ROW()))&gt;0,1,0)</f>
        <v/>
      </c>
      <c r="W1243" s="17" t="str">
        <f>IF(INDEX(Listado!L:L,ROW())="","",INDEX(Listado!L:L,ROW()))</f>
        <v/>
      </c>
      <c r="X1243" s="17">
        <f>IF(N1243="","",IF(INDEX(Listado!$M:$M,N1243)="No","No","Sí"))</f>
        <v/>
      </c>
    </row>
    <row r="1244" spans="2:24" ht="14.25">
      <c r="N1244" s="17" t="str">
        <f>IF(V1244=0,"",IFERROR(LOOKUP(2,1/(INDEX(Listado!A:A,2):INDEX(Listado!A:A,ROW())&lt;&gt;""),ROW(INDEX(Listado!A:A,2):INDEX(Listado!A:A,ROW()))),""))</f>
        <v/>
      </c>
      <c r="O1244" s="17" t="str">
        <f>IFERROR(IF(N1244="","",IF(INDEX(Listado!M:M,N1244)="No",IF(INDEX(Listado!N:N,N1244)=0,"",INDEX(Listado!N:N,N1244)),IF(INDEX(Listado!I:I,N1244)=0,"",INDEX(Listado!I:I,N1244)))),"")</f>
        <v/>
      </c>
      <c r="P1244" s="17">
        <f t="shared" ca="1" si="58"/>
        <v/>
      </c>
      <c r="Q1244" s="17">
        <f>IFERROR(IF(AND(N1244&lt;&gt;"",ISNUMBER(O1244),O1244&gt;0,O1244&gt;=TODAY()-90),1,0),0)</f>
        <v/>
      </c>
      <c r="R1244" s="17" t="str">
        <f t="shared" si="60"/>
        <v/>
      </c>
      <c r="S1244" s="17" t="str">
        <f>IF(INDEX(Listado!A:A,ROW())="","",INDEX(Listado!A:A,ROW()))</f>
        <v/>
      </c>
      <c r="T1244" s="17" t="str">
        <f ca="1">IF(INDEX(Listado!G:G,ROW())="","",INDEX(Listado!G:G,ROW()))</f>
        <v/>
      </c>
      <c r="U1244" s="17" t="str">
        <f>IF(INDEX(Listado!F:F,ROW())="","",INDEX(Listado!F:F,ROW()))</f>
        <v/>
      </c>
      <c r="V1244" s="17">
        <f>IF(COUNTA(INDEX(Listado!B:B,ROW()):INDEX(Listado!F:F,ROW()))&gt;0,1,0)</f>
        <v/>
      </c>
      <c r="W1244" s="17" t="str">
        <f>IF(INDEX(Listado!L:L,ROW())="","",INDEX(Listado!L:L,ROW()))</f>
        <v/>
      </c>
      <c r="X1244" s="17">
        <f>IF(N1244="","",IF(INDEX(Listado!$M:$M,N1244)="No","No","Sí"))</f>
        <v/>
      </c>
    </row>
    <row r="1245" spans="2:24" ht="14.25">
      <c r="N1245" s="17" t="str">
        <f>IF(V1245=0,"",IFERROR(LOOKUP(2,1/(INDEX(Listado!A:A,2):INDEX(Listado!A:A,ROW())&lt;&gt;""),ROW(INDEX(Listado!A:A,2):INDEX(Listado!A:A,ROW()))),""))</f>
        <v/>
      </c>
      <c r="O1245" s="17" t="str">
        <f>IFERROR(IF(N1245="","",IF(INDEX(Listado!M:M,N1245)="No",IF(INDEX(Listado!N:N,N1245)=0,"",INDEX(Listado!N:N,N1245)),IF(INDEX(Listado!I:I,N1245)=0,"",INDEX(Listado!I:I,N1245)))),"")</f>
        <v/>
      </c>
      <c r="P1245" s="17">
        <f t="shared" ca="1" si="58"/>
        <v/>
      </c>
      <c r="Q1245" s="17">
        <f>IFERROR(IF(AND(N1245&lt;&gt;"",ISNUMBER(O1245),O1245&gt;0,O1245&gt;=TODAY()-90),1,0),0)</f>
        <v/>
      </c>
      <c r="R1245" s="17" t="str">
        <f t="shared" si="60"/>
        <v/>
      </c>
      <c r="S1245" s="17" t="str">
        <f>IF(INDEX(Listado!A:A,ROW())="","",INDEX(Listado!A:A,ROW()))</f>
        <v/>
      </c>
      <c r="T1245" s="17" t="str">
        <f ca="1">IF(INDEX(Listado!G:G,ROW())="","",INDEX(Listado!G:G,ROW()))</f>
        <v/>
      </c>
      <c r="U1245" s="17" t="str">
        <f>IF(INDEX(Listado!F:F,ROW())="","",INDEX(Listado!F:F,ROW()))</f>
        <v/>
      </c>
      <c r="V1245" s="17">
        <f>IF(COUNTA(INDEX(Listado!B:B,ROW()):INDEX(Listado!F:F,ROW()))&gt;0,1,0)</f>
        <v/>
      </c>
      <c r="W1245" s="17" t="str">
        <f>IF(INDEX(Listado!L:L,ROW())="","",INDEX(Listado!L:L,ROW()))</f>
        <v/>
      </c>
      <c r="X1245" s="17">
        <f>IF(N1245="","",IF(INDEX(Listado!$M:$M,N1245)="No","No","Sí"))</f>
        <v/>
      </c>
    </row>
    <row r="1246" spans="2:24" ht="14.25">
      <c r="N1246" s="17" t="str">
        <f>IF(V1246=0,"",IFERROR(LOOKUP(2,1/(INDEX(Listado!A:A,2):INDEX(Listado!A:A,ROW())&lt;&gt;""),ROW(INDEX(Listado!A:A,2):INDEX(Listado!A:A,ROW()))),""))</f>
        <v/>
      </c>
      <c r="O1246" s="17" t="str">
        <f>IFERROR(IF(N1246="","",IF(INDEX(Listado!M:M,N1246)="No",IF(INDEX(Listado!N:N,N1246)=0,"",INDEX(Listado!N:N,N1246)),IF(INDEX(Listado!I:I,N1246)=0,"",INDEX(Listado!I:I,N1246)))),"")</f>
        <v/>
      </c>
      <c r="P1246" s="17">
        <f t="shared" ca="1" si="58"/>
        <v/>
      </c>
      <c r="Q1246" s="17">
        <f>IFERROR(IF(AND(N1246&lt;&gt;"",ISNUMBER(O1246),O1246&gt;0,O1246&gt;=TODAY()-90),1,0),0)</f>
        <v/>
      </c>
      <c r="R1246" s="17" t="str">
        <f t="shared" si="60"/>
        <v/>
      </c>
      <c r="S1246" s="17" t="str">
        <f>IF(INDEX(Listado!A:A,ROW())="","",INDEX(Listado!A:A,ROW()))</f>
        <v/>
      </c>
      <c r="T1246" s="17" t="str">
        <f ca="1">IF(INDEX(Listado!G:G,ROW())="","",INDEX(Listado!G:G,ROW()))</f>
        <v/>
      </c>
      <c r="U1246" s="17" t="str">
        <f>IF(INDEX(Listado!F:F,ROW())="","",INDEX(Listado!F:F,ROW()))</f>
        <v/>
      </c>
      <c r="V1246" s="17">
        <f>IF(COUNTA(INDEX(Listado!B:B,ROW()):INDEX(Listado!F:F,ROW()))&gt;0,1,0)</f>
        <v/>
      </c>
      <c r="W1246" s="17" t="str">
        <f>IF(INDEX(Listado!L:L,ROW())="","",INDEX(Listado!L:L,ROW()))</f>
        <v/>
      </c>
      <c r="X1246" s="17">
        <f>IF(N1246="","",IF(INDEX(Listado!$M:$M,N1246)="No","No","Sí"))</f>
        <v/>
      </c>
    </row>
    <row r="1247" spans="2:24" ht="14.25">
      <c r="N1247" s="17" t="str">
        <f>IF(V1247=0,"",IFERROR(LOOKUP(2,1/(INDEX(Listado!A:A,2):INDEX(Listado!A:A,ROW())&lt;&gt;""),ROW(INDEX(Listado!A:A,2):INDEX(Listado!A:A,ROW()))),""))</f>
        <v/>
      </c>
      <c r="O1247" s="17" t="str">
        <f>IFERROR(IF(N1247="","",IF(INDEX(Listado!M:M,N1247)="No",IF(INDEX(Listado!N:N,N1247)=0,"",INDEX(Listado!N:N,N1247)),IF(INDEX(Listado!I:I,N1247)=0,"",INDEX(Listado!I:I,N1247)))),"")</f>
        <v/>
      </c>
      <c r="P1247" s="17">
        <f t="shared" ca="1" si="58"/>
        <v/>
      </c>
      <c r="Q1247" s="17">
        <f>IFERROR(IF(AND(N1247&lt;&gt;"",ISNUMBER(O1247),O1247&gt;0,O1247&gt;=TODAY()-90),1,0),0)</f>
        <v/>
      </c>
      <c r="R1247" s="17" t="str">
        <f t="shared" si="60"/>
        <v/>
      </c>
      <c r="S1247" s="17" t="str">
        <f>IF(INDEX(Listado!A:A,ROW())="","",INDEX(Listado!A:A,ROW()))</f>
        <v/>
      </c>
      <c r="T1247" s="17" t="str">
        <f ca="1">IF(INDEX(Listado!G:G,ROW())="","",INDEX(Listado!G:G,ROW()))</f>
        <v/>
      </c>
      <c r="U1247" s="17" t="str">
        <f>IF(INDEX(Listado!F:F,ROW())="","",INDEX(Listado!F:F,ROW()))</f>
        <v/>
      </c>
      <c r="V1247" s="17">
        <f>IF(COUNTA(INDEX(Listado!B:B,ROW()):INDEX(Listado!F:F,ROW()))&gt;0,1,0)</f>
        <v/>
      </c>
      <c r="W1247" s="17" t="str">
        <f>IF(INDEX(Listado!L:L,ROW())="","",INDEX(Listado!L:L,ROW()))</f>
        <v/>
      </c>
      <c r="X1247" s="17">
        <f>IF(N1247="","",IF(INDEX(Listado!$M:$M,N1247)="No","No","Sí"))</f>
        <v/>
      </c>
    </row>
    <row r="1248" spans="2:24" ht="14.25">
      <c r="N1248" s="17" t="str">
        <f>IF(V1248=0,"",IFERROR(LOOKUP(2,1/(INDEX(Listado!A:A,2):INDEX(Listado!A:A,ROW())&lt;&gt;""),ROW(INDEX(Listado!A:A,2):INDEX(Listado!A:A,ROW()))),""))</f>
        <v/>
      </c>
      <c r="O1248" s="17" t="str">
        <f>IFERROR(IF(N1248="","",IF(INDEX(Listado!M:M,N1248)="No",IF(INDEX(Listado!N:N,N1248)=0,"",INDEX(Listado!N:N,N1248)),IF(INDEX(Listado!I:I,N1248)=0,"",INDEX(Listado!I:I,N1248)))),"")</f>
        <v/>
      </c>
      <c r="P1248" s="17">
        <f t="shared" ca="1" si="58"/>
        <v/>
      </c>
      <c r="Q1248" s="17">
        <f>IFERROR(IF(AND(N1248&lt;&gt;"",ISNUMBER(O1248),O1248&gt;0,O1248&gt;=TODAY()-90),1,0),0)</f>
        <v/>
      </c>
      <c r="R1248" s="17" t="str">
        <f t="shared" si="60"/>
        <v/>
      </c>
      <c r="S1248" s="17" t="str">
        <f>IF(INDEX(Listado!A:A,ROW())="","",INDEX(Listado!A:A,ROW()))</f>
        <v/>
      </c>
      <c r="T1248" s="17" t="str">
        <f ca="1">IF(INDEX(Listado!G:G,ROW())="","",INDEX(Listado!G:G,ROW()))</f>
        <v/>
      </c>
      <c r="U1248" s="17" t="str">
        <f>IF(INDEX(Listado!F:F,ROW())="","",INDEX(Listado!F:F,ROW()))</f>
        <v/>
      </c>
      <c r="V1248" s="17">
        <f>IF(COUNTA(INDEX(Listado!B:B,ROW()):INDEX(Listado!F:F,ROW()))&gt;0,1,0)</f>
        <v/>
      </c>
      <c r="W1248" s="17" t="str">
        <f>IF(INDEX(Listado!L:L,ROW())="","",INDEX(Listado!L:L,ROW()))</f>
        <v/>
      </c>
      <c r="X1248" s="17">
        <f>IF(N1248="","",IF(INDEX(Listado!$M:$M,N1248)="No","No","Sí"))</f>
        <v/>
      </c>
    </row>
    <row r="1249" spans="2:24" ht="14.25">
      <c r="N1249" s="17" t="str">
        <f>IF(V1249=0,"",IFERROR(LOOKUP(2,1/(INDEX(Listado!A:A,2):INDEX(Listado!A:A,ROW())&lt;&gt;""),ROW(INDEX(Listado!A:A,2):INDEX(Listado!A:A,ROW()))),""))</f>
        <v/>
      </c>
      <c r="O1249" s="17" t="str">
        <f>IFERROR(IF(N1249="","",IF(INDEX(Listado!M:M,N1249)="No",IF(INDEX(Listado!N:N,N1249)=0,"",INDEX(Listado!N:N,N1249)),IF(INDEX(Listado!I:I,N1249)=0,"",INDEX(Listado!I:I,N1249)))),"")</f>
        <v/>
      </c>
      <c r="P1249" s="17">
        <f t="shared" ca="1" si="58"/>
        <v/>
      </c>
      <c r="Q1249" s="17">
        <f>IFERROR(IF(AND(N1249&lt;&gt;"",ISNUMBER(O1249),O1249&gt;0,O1249&gt;=TODAY()-90),1,0),0)</f>
        <v/>
      </c>
      <c r="R1249" s="17" t="str">
        <f t="shared" si="60"/>
        <v/>
      </c>
      <c r="S1249" s="17" t="str">
        <f>IF(INDEX(Listado!A:A,ROW())="","",INDEX(Listado!A:A,ROW()))</f>
        <v/>
      </c>
      <c r="T1249" s="17" t="str">
        <f ca="1">IF(INDEX(Listado!G:G,ROW())="","",INDEX(Listado!G:G,ROW()))</f>
        <v/>
      </c>
      <c r="U1249" s="17" t="str">
        <f>IF(INDEX(Listado!F:F,ROW())="","",INDEX(Listado!F:F,ROW()))</f>
        <v/>
      </c>
      <c r="V1249" s="17">
        <f>IF(COUNTA(INDEX(Listado!B:B,ROW()):INDEX(Listado!F:F,ROW()))&gt;0,1,0)</f>
        <v/>
      </c>
      <c r="W1249" s="17" t="str">
        <f>IF(INDEX(Listado!L:L,ROW())="","",INDEX(Listado!L:L,ROW()))</f>
        <v/>
      </c>
      <c r="X1249" s="17">
        <f>IF(N1249="","",IF(INDEX(Listado!$M:$M,N1249)="No","No","Sí"))</f>
        <v/>
      </c>
    </row>
    <row r="1250" spans="2:24" ht="14.25">
      <c r="N1250" s="17" t="str">
        <f>IF(V1250=0,"",IFERROR(LOOKUP(2,1/(INDEX(Listado!A:A,2):INDEX(Listado!A:A,ROW())&lt;&gt;""),ROW(INDEX(Listado!A:A,2):INDEX(Listado!A:A,ROW()))),""))</f>
        <v/>
      </c>
      <c r="O1250" s="17" t="str">
        <f>IFERROR(IF(N1250="","",IF(INDEX(Listado!M:M,N1250)="No",IF(INDEX(Listado!N:N,N1250)=0,"",INDEX(Listado!N:N,N1250)),IF(INDEX(Listado!I:I,N1250)=0,"",INDEX(Listado!I:I,N1250)))),"")</f>
        <v/>
      </c>
      <c r="P1250" s="17">
        <f t="shared" ca="1" si="58"/>
        <v/>
      </c>
      <c r="Q1250" s="17">
        <f>IFERROR(IF(AND(N1250&lt;&gt;"",ISNUMBER(O1250),O1250&gt;0,O1250&gt;=TODAY()-90),1,0),0)</f>
        <v/>
      </c>
      <c r="R1250" s="17" t="str">
        <f t="shared" si="60"/>
        <v/>
      </c>
      <c r="S1250" s="17" t="str">
        <f>IF(INDEX(Listado!A:A,ROW())="","",INDEX(Listado!A:A,ROW()))</f>
        <v/>
      </c>
      <c r="T1250" s="17" t="str">
        <f ca="1">IF(INDEX(Listado!G:G,ROW())="","",INDEX(Listado!G:G,ROW()))</f>
        <v/>
      </c>
      <c r="U1250" s="17" t="str">
        <f>IF(INDEX(Listado!F:F,ROW())="","",INDEX(Listado!F:F,ROW()))</f>
        <v/>
      </c>
      <c r="V1250" s="17">
        <f>IF(COUNTA(INDEX(Listado!B:B,ROW()):INDEX(Listado!F:F,ROW()))&gt;0,1,0)</f>
        <v/>
      </c>
      <c r="W1250" s="17" t="str">
        <f>IF(INDEX(Listado!L:L,ROW())="","",INDEX(Listado!L:L,ROW()))</f>
        <v/>
      </c>
      <c r="X1250" s="17">
        <f>IF(N1250="","",IF(INDEX(Listado!$M:$M,N1250)="No","No","Sí"))</f>
        <v/>
      </c>
    </row>
    <row r="1251" spans="2:24" ht="14.25">
      <c r="N1251" s="17" t="str">
        <f>IF(V1251=0,"",IFERROR(LOOKUP(2,1/(INDEX(Listado!A:A,2):INDEX(Listado!A:A,ROW())&lt;&gt;""),ROW(INDEX(Listado!A:A,2):INDEX(Listado!A:A,ROW()))),""))</f>
        <v/>
      </c>
      <c r="O1251" s="17" t="str">
        <f>IFERROR(IF(N1251="","",IF(INDEX(Listado!M:M,N1251)="No",IF(INDEX(Listado!N:N,N1251)=0,"",INDEX(Listado!N:N,N1251)),IF(INDEX(Listado!I:I,N1251)=0,"",INDEX(Listado!I:I,N1251)))),"")</f>
        <v/>
      </c>
      <c r="P1251" s="17">
        <f t="shared" ca="1" si="58"/>
        <v/>
      </c>
      <c r="Q1251" s="17">
        <f>IFERROR(IF(AND(N1251&lt;&gt;"",ISNUMBER(O1251),O1251&gt;0,O1251&gt;=TODAY()-90),1,0),0)</f>
        <v/>
      </c>
      <c r="R1251" s="17" t="str">
        <f t="shared" si="60"/>
        <v/>
      </c>
      <c r="S1251" s="17" t="str">
        <f>IF(INDEX(Listado!A:A,ROW())="","",INDEX(Listado!A:A,ROW()))</f>
        <v/>
      </c>
      <c r="T1251" s="17" t="str">
        <f ca="1">IF(INDEX(Listado!G:G,ROW())="","",INDEX(Listado!G:G,ROW()))</f>
        <v/>
      </c>
      <c r="U1251" s="17" t="str">
        <f>IF(INDEX(Listado!F:F,ROW())="","",INDEX(Listado!F:F,ROW()))</f>
        <v/>
      </c>
      <c r="V1251" s="17">
        <f>IF(COUNTA(INDEX(Listado!B:B,ROW()):INDEX(Listado!F:F,ROW()))&gt;0,1,0)</f>
        <v/>
      </c>
      <c r="W1251" s="17" t="str">
        <f>IF(INDEX(Listado!L:L,ROW())="","",INDEX(Listado!L:L,ROW()))</f>
        <v/>
      </c>
      <c r="X1251" s="17">
        <f>IF(N1251="","",IF(INDEX(Listado!$M:$M,N1251)="No","No","Sí"))</f>
        <v/>
      </c>
    </row>
    <row r="1252" spans="2:24" ht="14.25">
      <c r="N1252" s="17" t="str">
        <f>IF(V1252=0,"",IFERROR(LOOKUP(2,1/(INDEX(Listado!A:A,2):INDEX(Listado!A:A,ROW())&lt;&gt;""),ROW(INDEX(Listado!A:A,2):INDEX(Listado!A:A,ROW()))),""))</f>
        <v/>
      </c>
      <c r="O1252" s="17" t="str">
        <f>IFERROR(IF(N1252="","",IF(INDEX(Listado!M:M,N1252)="No",IF(INDEX(Listado!N:N,N1252)=0,"",INDEX(Listado!N:N,N1252)),IF(INDEX(Listado!I:I,N1252)=0,"",INDEX(Listado!I:I,N1252)))),"")</f>
        <v/>
      </c>
      <c r="P1252" s="17">
        <f t="shared" ca="1" si="58"/>
        <v/>
      </c>
      <c r="Q1252" s="17">
        <f>IFERROR(IF(AND(N1252&lt;&gt;"",ISNUMBER(O1252),O1252&gt;0,O1252&gt;=TODAY()-90),1,0),0)</f>
        <v/>
      </c>
      <c r="R1252" s="17" t="str">
        <f t="shared" si="60"/>
        <v/>
      </c>
      <c r="S1252" s="17" t="str">
        <f>IF(INDEX(Listado!A:A,ROW())="","",INDEX(Listado!A:A,ROW()))</f>
        <v/>
      </c>
      <c r="T1252" s="17" t="str">
        <f ca="1">IF(INDEX(Listado!G:G,ROW())="","",INDEX(Listado!G:G,ROW()))</f>
        <v/>
      </c>
      <c r="U1252" s="17" t="str">
        <f>IF(INDEX(Listado!F:F,ROW())="","",INDEX(Listado!F:F,ROW()))</f>
        <v/>
      </c>
      <c r="V1252" s="17">
        <f>IF(COUNTA(INDEX(Listado!B:B,ROW()):INDEX(Listado!F:F,ROW()))&gt;0,1,0)</f>
        <v/>
      </c>
      <c r="W1252" s="17" t="str">
        <f>IF(INDEX(Listado!L:L,ROW())="","",INDEX(Listado!L:L,ROW()))</f>
        <v/>
      </c>
      <c r="X1252" s="17">
        <f>IF(N1252="","",IF(INDEX(Listado!$M:$M,N1252)="No","No","Sí"))</f>
        <v/>
      </c>
    </row>
    <row r="1253" spans="2:24" ht="14.25">
      <c r="N1253" s="17" t="str">
        <f>IF(V1253=0,"",IFERROR(LOOKUP(2,1/(INDEX(Listado!A:A,2):INDEX(Listado!A:A,ROW())&lt;&gt;""),ROW(INDEX(Listado!A:A,2):INDEX(Listado!A:A,ROW()))),""))</f>
        <v/>
      </c>
      <c r="O1253" s="17" t="str">
        <f>IFERROR(IF(N1253="","",IF(INDEX(Listado!M:M,N1253)="No",IF(INDEX(Listado!N:N,N1253)=0,"",INDEX(Listado!N:N,N1253)),IF(INDEX(Listado!I:I,N1253)=0,"",INDEX(Listado!I:I,N1253)))),"")</f>
        <v/>
      </c>
      <c r="P1253" s="17">
        <f t="shared" ca="1" si="58"/>
        <v/>
      </c>
      <c r="Q1253" s="17">
        <f>IFERROR(IF(AND(N1253&lt;&gt;"",ISNUMBER(O1253),O1253&gt;0,O1253&gt;=TODAY()-90),1,0),0)</f>
        <v/>
      </c>
      <c r="R1253" s="17" t="str">
        <f t="shared" si="60"/>
        <v/>
      </c>
      <c r="S1253" s="17" t="str">
        <f>IF(INDEX(Listado!A:A,ROW())="","",INDEX(Listado!A:A,ROW()))</f>
        <v/>
      </c>
      <c r="T1253" s="17" t="str">
        <f ca="1">IF(INDEX(Listado!G:G,ROW())="","",INDEX(Listado!G:G,ROW()))</f>
        <v/>
      </c>
      <c r="U1253" s="17" t="str">
        <f>IF(INDEX(Listado!F:F,ROW())="","",INDEX(Listado!F:F,ROW()))</f>
        <v/>
      </c>
      <c r="V1253" s="17">
        <f>IF(COUNTA(INDEX(Listado!B:B,ROW()):INDEX(Listado!F:F,ROW()))&gt;0,1,0)</f>
        <v/>
      </c>
      <c r="W1253" s="17" t="str">
        <f>IF(INDEX(Listado!L:L,ROW())="","",INDEX(Listado!L:L,ROW()))</f>
        <v/>
      </c>
      <c r="X1253" s="17">
        <f>IF(N1253="","",IF(INDEX(Listado!$M:$M,N1253)="No","No","Sí"))</f>
        <v/>
      </c>
    </row>
    <row r="1254" spans="2:24" ht="14.25">
      <c r="N1254" s="17" t="str">
        <f>IF(V1254=0,"",IFERROR(LOOKUP(2,1/(INDEX(Listado!A:A,2):INDEX(Listado!A:A,ROW())&lt;&gt;""),ROW(INDEX(Listado!A:A,2):INDEX(Listado!A:A,ROW()))),""))</f>
        <v/>
      </c>
      <c r="O1254" s="17" t="str">
        <f>IFERROR(IF(N1254="","",IF(INDEX(Listado!M:M,N1254)="No",IF(INDEX(Listado!N:N,N1254)=0,"",INDEX(Listado!N:N,N1254)),IF(INDEX(Listado!I:I,N1254)=0,"",INDEX(Listado!I:I,N1254)))),"")</f>
        <v/>
      </c>
      <c r="P1254" s="17">
        <f t="shared" ca="1" si="58"/>
        <v/>
      </c>
      <c r="Q1254" s="17">
        <f>IFERROR(IF(AND(N1254&lt;&gt;"",ISNUMBER(O1254),O1254&gt;0,O1254&gt;=TODAY()-90),1,0),0)</f>
        <v/>
      </c>
      <c r="R1254" s="17" t="str">
        <f t="shared" si="60"/>
        <v/>
      </c>
      <c r="S1254" s="17" t="str">
        <f>IF(INDEX(Listado!A:A,ROW())="","",INDEX(Listado!A:A,ROW()))</f>
        <v/>
      </c>
      <c r="T1254" s="17" t="str">
        <f ca="1">IF(INDEX(Listado!G:G,ROW())="","",INDEX(Listado!G:G,ROW()))</f>
        <v/>
      </c>
      <c r="U1254" s="17" t="str">
        <f>IF(INDEX(Listado!F:F,ROW())="","",INDEX(Listado!F:F,ROW()))</f>
        <v/>
      </c>
      <c r="V1254" s="17">
        <f>IF(COUNTA(INDEX(Listado!B:B,ROW()):INDEX(Listado!F:F,ROW()))&gt;0,1,0)</f>
        <v/>
      </c>
      <c r="W1254" s="17" t="str">
        <f>IF(INDEX(Listado!L:L,ROW())="","",INDEX(Listado!L:L,ROW()))</f>
        <v/>
      </c>
      <c r="X1254" s="17">
        <f>IF(N1254="","",IF(INDEX(Listado!$M:$M,N1254)="No","No","Sí"))</f>
        <v/>
      </c>
    </row>
    <row r="1255" spans="2:24" ht="14.25">
      <c r="N1255" s="17" t="str">
        <f>IF(V1255=0,"",IFERROR(LOOKUP(2,1/(INDEX(Listado!A:A,2):INDEX(Listado!A:A,ROW())&lt;&gt;""),ROW(INDEX(Listado!A:A,2):INDEX(Listado!A:A,ROW()))),""))</f>
        <v/>
      </c>
      <c r="O1255" s="17" t="str">
        <f>IFERROR(IF(N1255="","",IF(INDEX(Listado!M:M,N1255)="No",IF(INDEX(Listado!N:N,N1255)=0,"",INDEX(Listado!N:N,N1255)),IF(INDEX(Listado!I:I,N1255)=0,"",INDEX(Listado!I:I,N1255)))),"")</f>
        <v/>
      </c>
      <c r="P1255" s="17">
        <f t="shared" ca="1" si="58"/>
        <v/>
      </c>
      <c r="Q1255" s="17">
        <f>IFERROR(IF(AND(N1255&lt;&gt;"",ISNUMBER(O1255),O1255&gt;0,O1255&gt;=TODAY()-90),1,0),0)</f>
        <v/>
      </c>
      <c r="R1255" s="17" t="str">
        <f t="shared" si="60"/>
        <v/>
      </c>
      <c r="S1255" s="17" t="str">
        <f>IF(INDEX(Listado!A:A,ROW())="","",INDEX(Listado!A:A,ROW()))</f>
        <v/>
      </c>
      <c r="T1255" s="17" t="str">
        <f ca="1">IF(INDEX(Listado!G:G,ROW())="","",INDEX(Listado!G:G,ROW()))</f>
        <v/>
      </c>
      <c r="U1255" s="17" t="str">
        <f>IF(INDEX(Listado!F:F,ROW())="","",INDEX(Listado!F:F,ROW()))</f>
        <v/>
      </c>
      <c r="V1255" s="17">
        <f>IF(COUNTA(INDEX(Listado!B:B,ROW()):INDEX(Listado!F:F,ROW()))&gt;0,1,0)</f>
        <v/>
      </c>
      <c r="W1255" s="17" t="str">
        <f>IF(INDEX(Listado!L:L,ROW())="","",INDEX(Listado!L:L,ROW()))</f>
        <v/>
      </c>
      <c r="X1255" s="17">
        <f>IF(N1255="","",IF(INDEX(Listado!$M:$M,N1255)="No","No","Sí"))</f>
        <v/>
      </c>
    </row>
    <row r="1256" spans="2:24" ht="14.25">
      <c r="N1256" s="17" t="str">
        <f>IF(V1256=0,"",IFERROR(LOOKUP(2,1/(INDEX(Listado!A:A,2):INDEX(Listado!A:A,ROW())&lt;&gt;""),ROW(INDEX(Listado!A:A,2):INDEX(Listado!A:A,ROW()))),""))</f>
        <v/>
      </c>
      <c r="O1256" s="17" t="str">
        <f>IFERROR(IF(N1256="","",IF(INDEX(Listado!M:M,N1256)="No",IF(INDEX(Listado!N:N,N1256)=0,"",INDEX(Listado!N:N,N1256)),IF(INDEX(Listado!I:I,N1256)=0,"",INDEX(Listado!I:I,N1256)))),"")</f>
        <v/>
      </c>
      <c r="P1256" s="17">
        <f t="shared" ca="1" si="58"/>
        <v/>
      </c>
      <c r="Q1256" s="17">
        <f>IFERROR(IF(AND(N1256&lt;&gt;"",ISNUMBER(O1256),O1256&gt;0,O1256&gt;=TODAY()-90),1,0),0)</f>
        <v/>
      </c>
      <c r="R1256" s="17" t="str">
        <f t="shared" si="60"/>
        <v/>
      </c>
      <c r="S1256" s="17" t="str">
        <f>IF(INDEX(Listado!A:A,ROW())="","",INDEX(Listado!A:A,ROW()))</f>
        <v/>
      </c>
      <c r="T1256" s="17" t="str">
        <f ca="1">IF(INDEX(Listado!G:G,ROW())="","",INDEX(Listado!G:G,ROW()))</f>
        <v/>
      </c>
      <c r="U1256" s="17" t="str">
        <f>IF(INDEX(Listado!F:F,ROW())="","",INDEX(Listado!F:F,ROW()))</f>
        <v/>
      </c>
      <c r="V1256" s="17">
        <f>IF(COUNTA(INDEX(Listado!B:B,ROW()):INDEX(Listado!F:F,ROW()))&gt;0,1,0)</f>
        <v/>
      </c>
      <c r="W1256" s="17" t="str">
        <f>IF(INDEX(Listado!L:L,ROW())="","",INDEX(Listado!L:L,ROW()))</f>
        <v/>
      </c>
      <c r="X1256" s="17">
        <f>IF(N1256="","",IF(INDEX(Listado!$M:$M,N1256)="No","No","Sí"))</f>
        <v/>
      </c>
    </row>
    <row r="1257" spans="2:24" ht="14.25">
      <c r="N1257" s="17" t="str">
        <f>IF(V1257=0,"",IFERROR(LOOKUP(2,1/(INDEX(Listado!A:A,2):INDEX(Listado!A:A,ROW())&lt;&gt;""),ROW(INDEX(Listado!A:A,2):INDEX(Listado!A:A,ROW()))),""))</f>
        <v/>
      </c>
      <c r="O1257" s="17" t="str">
        <f>IFERROR(IF(N1257="","",IF(INDEX(Listado!M:M,N1257)="No",IF(INDEX(Listado!N:N,N1257)=0,"",INDEX(Listado!N:N,N1257)),IF(INDEX(Listado!I:I,N1257)=0,"",INDEX(Listado!I:I,N1257)))),"")</f>
        <v/>
      </c>
      <c r="P1257" s="17">
        <f t="shared" ca="1" si="58"/>
        <v/>
      </c>
      <c r="Q1257" s="17">
        <f>IFERROR(IF(AND(N1257&lt;&gt;"",ISNUMBER(O1257),O1257&gt;0,O1257&gt;=TODAY()-90),1,0),0)</f>
        <v/>
      </c>
      <c r="R1257" s="17" t="str">
        <f t="shared" si="60"/>
        <v/>
      </c>
      <c r="S1257" s="17" t="str">
        <f>IF(INDEX(Listado!A:A,ROW())="","",INDEX(Listado!A:A,ROW()))</f>
        <v/>
      </c>
      <c r="T1257" s="17" t="str">
        <f ca="1">IF(INDEX(Listado!G:G,ROW())="","",INDEX(Listado!G:G,ROW()))</f>
        <v/>
      </c>
      <c r="U1257" s="17" t="str">
        <f>IF(INDEX(Listado!F:F,ROW())="","",INDEX(Listado!F:F,ROW()))</f>
        <v/>
      </c>
      <c r="V1257" s="17">
        <f>IF(COUNTA(INDEX(Listado!B:B,ROW()):INDEX(Listado!F:F,ROW()))&gt;0,1,0)</f>
        <v/>
      </c>
      <c r="W1257" s="17" t="str">
        <f>IF(INDEX(Listado!L:L,ROW())="","",INDEX(Listado!L:L,ROW()))</f>
        <v/>
      </c>
      <c r="X1257" s="17">
        <f>IF(N1257="","",IF(INDEX(Listado!$M:$M,N1257)="No","No","Sí"))</f>
        <v/>
      </c>
    </row>
    <row r="1258" spans="2:24" ht="14.25">
      <c r="N1258" s="17" t="str">
        <f>IF(V1258=0,"",IFERROR(LOOKUP(2,1/(INDEX(Listado!A:A,2):INDEX(Listado!A:A,ROW())&lt;&gt;""),ROW(INDEX(Listado!A:A,2):INDEX(Listado!A:A,ROW()))),""))</f>
        <v/>
      </c>
      <c r="O1258" s="17" t="str">
        <f>IFERROR(IF(N1258="","",IF(INDEX(Listado!M:M,N1258)="No",IF(INDEX(Listado!N:N,N1258)=0,"",INDEX(Listado!N:N,N1258)),IF(INDEX(Listado!I:I,N1258)=0,"",INDEX(Listado!I:I,N1258)))),"")</f>
        <v/>
      </c>
      <c r="P1258" s="17">
        <f t="shared" ca="1" si="58"/>
        <v/>
      </c>
      <c r="Q1258" s="17">
        <f>IFERROR(IF(AND(N1258&lt;&gt;"",ISNUMBER(O1258),O1258&gt;0,O1258&gt;=TODAY()-90),1,0),0)</f>
        <v/>
      </c>
      <c r="R1258" s="17" t="str">
        <f t="shared" si="60"/>
        <v/>
      </c>
      <c r="S1258" s="17" t="str">
        <f>IF(INDEX(Listado!A:A,ROW())="","",INDEX(Listado!A:A,ROW()))</f>
        <v/>
      </c>
      <c r="T1258" s="17" t="str">
        <f ca="1">IF(INDEX(Listado!G:G,ROW())="","",INDEX(Listado!G:G,ROW()))</f>
        <v/>
      </c>
      <c r="U1258" s="17" t="str">
        <f>IF(INDEX(Listado!F:F,ROW())="","",INDEX(Listado!F:F,ROW()))</f>
        <v/>
      </c>
      <c r="V1258" s="17">
        <f>IF(COUNTA(INDEX(Listado!B:B,ROW()):INDEX(Listado!F:F,ROW()))&gt;0,1,0)</f>
        <v/>
      </c>
      <c r="W1258" s="17" t="str">
        <f>IF(INDEX(Listado!L:L,ROW())="","",INDEX(Listado!L:L,ROW()))</f>
        <v/>
      </c>
      <c r="X1258" s="17">
        <f>IF(N1258="","",IF(INDEX(Listado!$M:$M,N1258)="No","No","Sí"))</f>
        <v/>
      </c>
    </row>
    <row r="1259" spans="2:24" ht="14.25">
      <c r="N1259" s="17" t="str">
        <f>IF(V1259=0,"",IFERROR(LOOKUP(2,1/(INDEX(Listado!A:A,2):INDEX(Listado!A:A,ROW())&lt;&gt;""),ROW(INDEX(Listado!A:A,2):INDEX(Listado!A:A,ROW()))),""))</f>
        <v/>
      </c>
      <c r="O1259" s="17" t="str">
        <f>IFERROR(IF(N1259="","",IF(INDEX(Listado!M:M,N1259)="No",IF(INDEX(Listado!N:N,N1259)=0,"",INDEX(Listado!N:N,N1259)),IF(INDEX(Listado!I:I,N1259)=0,"",INDEX(Listado!I:I,N1259)))),"")</f>
        <v/>
      </c>
      <c r="P1259" s="17">
        <f t="shared" ca="1" si="58"/>
        <v/>
      </c>
      <c r="Q1259" s="17">
        <f>IFERROR(IF(AND(N1259&lt;&gt;"",ISNUMBER(O1259),O1259&gt;0,O1259&gt;=TODAY()-90),1,0),0)</f>
        <v/>
      </c>
      <c r="R1259" s="17" t="str">
        <f t="shared" si="60"/>
        <v/>
      </c>
      <c r="S1259" s="17" t="str">
        <f>IF(INDEX(Listado!A:A,ROW())="","",INDEX(Listado!A:A,ROW()))</f>
        <v/>
      </c>
      <c r="T1259" s="17" t="str">
        <f ca="1">IF(INDEX(Listado!G:G,ROW())="","",INDEX(Listado!G:G,ROW()))</f>
        <v/>
      </c>
      <c r="U1259" s="17" t="str">
        <f>IF(INDEX(Listado!F:F,ROW())="","",INDEX(Listado!F:F,ROW()))</f>
        <v/>
      </c>
      <c r="V1259" s="17">
        <f>IF(COUNTA(INDEX(Listado!B:B,ROW()):INDEX(Listado!F:F,ROW()))&gt;0,1,0)</f>
        <v/>
      </c>
      <c r="W1259" s="17" t="str">
        <f>IF(INDEX(Listado!L:L,ROW())="","",INDEX(Listado!L:L,ROW()))</f>
        <v/>
      </c>
      <c r="X1259" s="17">
        <f>IF(N1259="","",IF(INDEX(Listado!$M:$M,N1259)="No","No","Sí"))</f>
        <v/>
      </c>
    </row>
    <row r="1260" spans="2:24" ht="14.25">
      <c r="N1260" s="17" t="str">
        <f>IF(V1260=0,"",IFERROR(LOOKUP(2,1/(INDEX(Listado!A:A,2):INDEX(Listado!A:A,ROW())&lt;&gt;""),ROW(INDEX(Listado!A:A,2):INDEX(Listado!A:A,ROW()))),""))</f>
        <v/>
      </c>
      <c r="O1260" s="17" t="str">
        <f>IFERROR(IF(N1260="","",IF(INDEX(Listado!M:M,N1260)="No",IF(INDEX(Listado!N:N,N1260)=0,"",INDEX(Listado!N:N,N1260)),IF(INDEX(Listado!I:I,N1260)=0,"",INDEX(Listado!I:I,N1260)))),"")</f>
        <v/>
      </c>
      <c r="P1260" s="17">
        <f t="shared" ca="1" si="58"/>
        <v/>
      </c>
      <c r="Q1260" s="17">
        <f>IFERROR(IF(AND(N1260&lt;&gt;"",ISNUMBER(O1260),O1260&gt;0,O1260&gt;=TODAY()-90),1,0),0)</f>
        <v/>
      </c>
      <c r="R1260" s="17" t="str">
        <f t="shared" si="60"/>
        <v/>
      </c>
      <c r="S1260" s="17" t="str">
        <f>IF(INDEX(Listado!A:A,ROW())="","",INDEX(Listado!A:A,ROW()))</f>
        <v/>
      </c>
      <c r="T1260" s="17" t="str">
        <f ca="1">IF(INDEX(Listado!G:G,ROW())="","",INDEX(Listado!G:G,ROW()))</f>
        <v/>
      </c>
      <c r="U1260" s="17" t="str">
        <f>IF(INDEX(Listado!F:F,ROW())="","",INDEX(Listado!F:F,ROW()))</f>
        <v/>
      </c>
      <c r="V1260" s="17">
        <f>IF(COUNTA(INDEX(Listado!B:B,ROW()):INDEX(Listado!F:F,ROW()))&gt;0,1,0)</f>
        <v/>
      </c>
      <c r="W1260" s="17" t="str">
        <f>IF(INDEX(Listado!L:L,ROW())="","",INDEX(Listado!L:L,ROW()))</f>
        <v/>
      </c>
      <c r="X1260" s="17">
        <f>IF(N1260="","",IF(INDEX(Listado!$M:$M,N1260)="No","No","Sí"))</f>
        <v/>
      </c>
    </row>
    <row r="1261" spans="2:24" ht="14.25">
      <c r="N1261" s="17" t="str">
        <f>IF(V1261=0,"",IFERROR(LOOKUP(2,1/(INDEX(Listado!A:A,2):INDEX(Listado!A:A,ROW())&lt;&gt;""),ROW(INDEX(Listado!A:A,2):INDEX(Listado!A:A,ROW()))),""))</f>
        <v/>
      </c>
      <c r="O1261" s="17" t="str">
        <f>IFERROR(IF(N1261="","",IF(INDEX(Listado!M:M,N1261)="No",IF(INDEX(Listado!N:N,N1261)=0,"",INDEX(Listado!N:N,N1261)),IF(INDEX(Listado!I:I,N1261)=0,"",INDEX(Listado!I:I,N1261)))),"")</f>
        <v/>
      </c>
      <c r="P1261" s="17">
        <f t="shared" ca="1" si="58"/>
        <v/>
      </c>
      <c r="Q1261" s="17">
        <f>IFERROR(IF(AND(N1261&lt;&gt;"",ISNUMBER(O1261),O1261&gt;0,O1261&gt;=TODAY()-90),1,0),0)</f>
        <v/>
      </c>
      <c r="R1261" s="17" t="str">
        <f t="shared" si="60"/>
        <v/>
      </c>
      <c r="S1261" s="17" t="str">
        <f>IF(INDEX(Listado!A:A,ROW())="","",INDEX(Listado!A:A,ROW()))</f>
        <v/>
      </c>
      <c r="T1261" s="17" t="str">
        <f ca="1">IF(INDEX(Listado!G:G,ROW())="","",INDEX(Listado!G:G,ROW()))</f>
        <v/>
      </c>
      <c r="U1261" s="17" t="str">
        <f>IF(INDEX(Listado!F:F,ROW())="","",INDEX(Listado!F:F,ROW()))</f>
        <v/>
      </c>
      <c r="V1261" s="17">
        <f>IF(COUNTA(INDEX(Listado!B:B,ROW()):INDEX(Listado!F:F,ROW()))&gt;0,1,0)</f>
        <v/>
      </c>
      <c r="W1261" s="17" t="str">
        <f>IF(INDEX(Listado!L:L,ROW())="","",INDEX(Listado!L:L,ROW()))</f>
        <v/>
      </c>
      <c r="X1261" s="17">
        <f>IF(N1261="","",IF(INDEX(Listado!$M:$M,N1261)="No","No","Sí"))</f>
        <v/>
      </c>
    </row>
    <row r="1262" spans="2:24" ht="14.25">
      <c r="N1262" s="17" t="str">
        <f>IF(V1262=0,"",IFERROR(LOOKUP(2,1/(INDEX(Listado!A:A,2):INDEX(Listado!A:A,ROW())&lt;&gt;""),ROW(INDEX(Listado!A:A,2):INDEX(Listado!A:A,ROW()))),""))</f>
        <v/>
      </c>
      <c r="O1262" s="17" t="str">
        <f>IFERROR(IF(N1262="","",IF(INDEX(Listado!M:M,N1262)="No",IF(INDEX(Listado!N:N,N1262)=0,"",INDEX(Listado!N:N,N1262)),IF(INDEX(Listado!I:I,N1262)=0,"",INDEX(Listado!I:I,N1262)))),"")</f>
        <v/>
      </c>
      <c r="P1262" s="17">
        <f t="shared" ca="1" si="58"/>
        <v/>
      </c>
      <c r="Q1262" s="17">
        <f>IFERROR(IF(AND(N1262&lt;&gt;"",ISNUMBER(O1262),O1262&gt;0,O1262&gt;=TODAY()-90),1,0),0)</f>
        <v/>
      </c>
      <c r="R1262" s="17" t="str">
        <f t="shared" si="60"/>
        <v/>
      </c>
      <c r="S1262" s="17" t="str">
        <f>IF(INDEX(Listado!A:A,ROW())="","",INDEX(Listado!A:A,ROW()))</f>
        <v/>
      </c>
      <c r="T1262" s="17" t="str">
        <f ca="1">IF(INDEX(Listado!G:G,ROW())="","",INDEX(Listado!G:G,ROW()))</f>
        <v/>
      </c>
      <c r="U1262" s="17" t="str">
        <f>IF(INDEX(Listado!F:F,ROW())="","",INDEX(Listado!F:F,ROW()))</f>
        <v/>
      </c>
      <c r="V1262" s="17">
        <f>IF(COUNTA(INDEX(Listado!B:B,ROW()):INDEX(Listado!F:F,ROW()))&gt;0,1,0)</f>
        <v/>
      </c>
      <c r="W1262" s="17" t="str">
        <f>IF(INDEX(Listado!L:L,ROW())="","",INDEX(Listado!L:L,ROW()))</f>
        <v/>
      </c>
      <c r="X1262" s="17">
        <f>IF(N1262="","",IF(INDEX(Listado!$M:$M,N1262)="No","No","Sí"))</f>
        <v/>
      </c>
    </row>
    <row r="1263" spans="2:24" ht="14.25">
      <c r="N1263" s="17" t="str">
        <f>IF(V1263=0,"",IFERROR(LOOKUP(2,1/(INDEX(Listado!A:A,2):INDEX(Listado!A:A,ROW())&lt;&gt;""),ROW(INDEX(Listado!A:A,2):INDEX(Listado!A:A,ROW()))),""))</f>
        <v/>
      </c>
      <c r="O1263" s="17" t="str">
        <f>IFERROR(IF(N1263="","",IF(INDEX(Listado!M:M,N1263)="No",IF(INDEX(Listado!N:N,N1263)=0,"",INDEX(Listado!N:N,N1263)),IF(INDEX(Listado!I:I,N1263)=0,"",INDEX(Listado!I:I,N1263)))),"")</f>
        <v/>
      </c>
      <c r="P1263" s="17">
        <f t="shared" ca="1" si="58"/>
        <v/>
      </c>
      <c r="Q1263" s="17">
        <f>IFERROR(IF(AND(N1263&lt;&gt;"",ISNUMBER(O1263),O1263&gt;0,O1263&gt;=TODAY()-90),1,0),0)</f>
        <v/>
      </c>
      <c r="R1263" s="17" t="str">
        <f t="shared" si="60"/>
        <v/>
      </c>
      <c r="S1263" s="17" t="str">
        <f>IF(INDEX(Listado!A:A,ROW())="","",INDEX(Listado!A:A,ROW()))</f>
        <v/>
      </c>
      <c r="T1263" s="17" t="str">
        <f ca="1">IF(INDEX(Listado!G:G,ROW())="","",INDEX(Listado!G:G,ROW()))</f>
        <v/>
      </c>
      <c r="U1263" s="17" t="str">
        <f>IF(INDEX(Listado!F:F,ROW())="","",INDEX(Listado!F:F,ROW()))</f>
        <v/>
      </c>
      <c r="V1263" s="17">
        <f>IF(COUNTA(INDEX(Listado!B:B,ROW()):INDEX(Listado!F:F,ROW()))&gt;0,1,0)</f>
        <v/>
      </c>
      <c r="W1263" s="17" t="str">
        <f>IF(INDEX(Listado!L:L,ROW())="","",INDEX(Listado!L:L,ROW()))</f>
        <v/>
      </c>
      <c r="X1263" s="17">
        <f>IF(N1263="","",IF(INDEX(Listado!$M:$M,N1263)="No","No","Sí"))</f>
        <v/>
      </c>
    </row>
    <row r="1264" spans="2:24" ht="14.25">
      <c r="N1264" s="17" t="str">
        <f>IF(V1264=0,"",IFERROR(LOOKUP(2,1/(INDEX(Listado!A:A,2):INDEX(Listado!A:A,ROW())&lt;&gt;""),ROW(INDEX(Listado!A:A,2):INDEX(Listado!A:A,ROW()))),""))</f>
        <v/>
      </c>
      <c r="O1264" s="17" t="str">
        <f>IFERROR(IF(N1264="","",IF(INDEX(Listado!M:M,N1264)="No",IF(INDEX(Listado!N:N,N1264)=0,"",INDEX(Listado!N:N,N1264)),IF(INDEX(Listado!I:I,N1264)=0,"",INDEX(Listado!I:I,N1264)))),"")</f>
        <v/>
      </c>
      <c r="P1264" s="17">
        <f t="shared" ca="1" si="58"/>
        <v/>
      </c>
      <c r="Q1264" s="17">
        <f>IFERROR(IF(AND(N1264&lt;&gt;"",ISNUMBER(O1264),O1264&gt;0,O1264&gt;=TODAY()-90),1,0),0)</f>
        <v/>
      </c>
      <c r="R1264" s="17" t="str">
        <f t="shared" si="60"/>
        <v/>
      </c>
      <c r="S1264" s="17" t="str">
        <f>IF(INDEX(Listado!A:A,ROW())="","",INDEX(Listado!A:A,ROW()))</f>
        <v/>
      </c>
      <c r="T1264" s="17" t="str">
        <f ca="1">IF(INDEX(Listado!G:G,ROW())="","",INDEX(Listado!G:G,ROW()))</f>
        <v/>
      </c>
      <c r="U1264" s="17" t="str">
        <f>IF(INDEX(Listado!F:F,ROW())="","",INDEX(Listado!F:F,ROW()))</f>
        <v/>
      </c>
      <c r="V1264" s="17">
        <f>IF(COUNTA(INDEX(Listado!B:B,ROW()):INDEX(Listado!F:F,ROW()))&gt;0,1,0)</f>
        <v/>
      </c>
      <c r="W1264" s="17" t="str">
        <f>IF(INDEX(Listado!L:L,ROW())="","",INDEX(Listado!L:L,ROW()))</f>
        <v/>
      </c>
      <c r="X1264" s="17">
        <f>IF(N1264="","",IF(INDEX(Listado!$M:$M,N1264)="No","No","Sí"))</f>
        <v/>
      </c>
    </row>
    <row r="1265" spans="2:24" ht="14.25">
      <c r="N1265" s="17" t="str">
        <f>IF(V1265=0,"",IFERROR(LOOKUP(2,1/(INDEX(Listado!A:A,2):INDEX(Listado!A:A,ROW())&lt;&gt;""),ROW(INDEX(Listado!A:A,2):INDEX(Listado!A:A,ROW()))),""))</f>
        <v/>
      </c>
      <c r="O1265" s="17" t="str">
        <f>IFERROR(IF(N1265="","",IF(INDEX(Listado!M:M,N1265)="No",IF(INDEX(Listado!N:N,N1265)=0,"",INDEX(Listado!N:N,N1265)),IF(INDEX(Listado!I:I,N1265)=0,"",INDEX(Listado!I:I,N1265)))),"")</f>
        <v/>
      </c>
      <c r="P1265" s="17">
        <f t="shared" ca="1" si="58"/>
        <v/>
      </c>
      <c r="Q1265" s="17">
        <f>IFERROR(IF(AND(N1265&lt;&gt;"",ISNUMBER(O1265),O1265&gt;0,O1265&gt;=TODAY()-90),1,0),0)</f>
        <v/>
      </c>
      <c r="R1265" s="17" t="str">
        <f t="shared" si="60"/>
        <v/>
      </c>
      <c r="S1265" s="17" t="str">
        <f>IF(INDEX(Listado!A:A,ROW())="","",INDEX(Listado!A:A,ROW()))</f>
        <v/>
      </c>
      <c r="T1265" s="17" t="str">
        <f ca="1">IF(INDEX(Listado!G:G,ROW())="","",INDEX(Listado!G:G,ROW()))</f>
        <v/>
      </c>
      <c r="U1265" s="17" t="str">
        <f>IF(INDEX(Listado!F:F,ROW())="","",INDEX(Listado!F:F,ROW()))</f>
        <v/>
      </c>
      <c r="V1265" s="17">
        <f>IF(COUNTA(INDEX(Listado!B:B,ROW()):INDEX(Listado!F:F,ROW()))&gt;0,1,0)</f>
        <v/>
      </c>
      <c r="W1265" s="17" t="str">
        <f>IF(INDEX(Listado!L:L,ROW())="","",INDEX(Listado!L:L,ROW()))</f>
        <v/>
      </c>
      <c r="X1265" s="17">
        <f>IF(N1265="","",IF(INDEX(Listado!$M:$M,N1265)="No","No","Sí"))</f>
        <v/>
      </c>
    </row>
    <row r="1266" spans="2:24" ht="14.25">
      <c r="N1266" s="17" t="str">
        <f>IF(V1266=0,"",IFERROR(LOOKUP(2,1/(INDEX(Listado!A:A,2):INDEX(Listado!A:A,ROW())&lt;&gt;""),ROW(INDEX(Listado!A:A,2):INDEX(Listado!A:A,ROW()))),""))</f>
        <v/>
      </c>
      <c r="O1266" s="17" t="str">
        <f>IFERROR(IF(N1266="","",IF(INDEX(Listado!M:M,N1266)="No",IF(INDEX(Listado!N:N,N1266)=0,"",INDEX(Listado!N:N,N1266)),IF(INDEX(Listado!I:I,N1266)=0,"",INDEX(Listado!I:I,N1266)))),"")</f>
        <v/>
      </c>
      <c r="P1266" s="17">
        <f t="shared" ca="1" si="58"/>
        <v/>
      </c>
      <c r="Q1266" s="17">
        <f>IFERROR(IF(AND(N1266&lt;&gt;"",ISNUMBER(O1266),O1266&gt;0,O1266&gt;=TODAY()-90),1,0),0)</f>
        <v/>
      </c>
      <c r="R1266" s="17" t="str">
        <f t="shared" si="60"/>
        <v/>
      </c>
      <c r="S1266" s="17" t="str">
        <f>IF(INDEX(Listado!A:A,ROW())="","",INDEX(Listado!A:A,ROW()))</f>
        <v/>
      </c>
      <c r="T1266" s="17" t="str">
        <f ca="1">IF(INDEX(Listado!G:G,ROW())="","",INDEX(Listado!G:G,ROW()))</f>
        <v/>
      </c>
      <c r="U1266" s="17" t="str">
        <f>IF(INDEX(Listado!F:F,ROW())="","",INDEX(Listado!F:F,ROW()))</f>
        <v/>
      </c>
      <c r="V1266" s="17">
        <f>IF(COUNTA(INDEX(Listado!B:B,ROW()):INDEX(Listado!F:F,ROW()))&gt;0,1,0)</f>
        <v/>
      </c>
      <c r="W1266" s="17" t="str">
        <f>IF(INDEX(Listado!L:L,ROW())="","",INDEX(Listado!L:L,ROW()))</f>
        <v/>
      </c>
      <c r="X1266" s="17">
        <f>IF(N1266="","",IF(INDEX(Listado!$M:$M,N1266)="No","No","Sí"))</f>
        <v/>
      </c>
    </row>
    <row r="1267" spans="2:24" ht="14.25">
      <c r="N1267" s="17" t="str">
        <f>IF(V1267=0,"",IFERROR(LOOKUP(2,1/(INDEX(Listado!A:A,2):INDEX(Listado!A:A,ROW())&lt;&gt;""),ROW(INDEX(Listado!A:A,2):INDEX(Listado!A:A,ROW()))),""))</f>
        <v/>
      </c>
      <c r="O1267" s="17" t="str">
        <f>IFERROR(IF(N1267="","",IF(INDEX(Listado!M:M,N1267)="No",IF(INDEX(Listado!N:N,N1267)=0,"",INDEX(Listado!N:N,N1267)),IF(INDEX(Listado!I:I,N1267)=0,"",INDEX(Listado!I:I,N1267)))),"")</f>
        <v/>
      </c>
      <c r="P1267" s="17">
        <f t="shared" ca="1" si="58"/>
        <v/>
      </c>
      <c r="Q1267" s="17">
        <f>IFERROR(IF(AND(N1267&lt;&gt;"",ISNUMBER(O1267),O1267&gt;0,O1267&gt;=TODAY()-90),1,0),0)</f>
        <v/>
      </c>
      <c r="R1267" s="17" t="str">
        <f t="shared" si="60"/>
        <v/>
      </c>
      <c r="S1267" s="17" t="str">
        <f>IF(INDEX(Listado!A:A,ROW())="","",INDEX(Listado!A:A,ROW()))</f>
        <v/>
      </c>
      <c r="T1267" s="17" t="str">
        <f ca="1">IF(INDEX(Listado!G:G,ROW())="","",INDEX(Listado!G:G,ROW()))</f>
        <v/>
      </c>
      <c r="U1267" s="17" t="str">
        <f>IF(INDEX(Listado!F:F,ROW())="","",INDEX(Listado!F:F,ROW()))</f>
        <v/>
      </c>
      <c r="V1267" s="17">
        <f>IF(COUNTA(INDEX(Listado!B:B,ROW()):INDEX(Listado!F:F,ROW()))&gt;0,1,0)</f>
        <v/>
      </c>
      <c r="W1267" s="17" t="str">
        <f>IF(INDEX(Listado!L:L,ROW())="","",INDEX(Listado!L:L,ROW()))</f>
        <v/>
      </c>
      <c r="X1267" s="17">
        <f>IF(N1267="","",IF(INDEX(Listado!$M:$M,N1267)="No","No","Sí"))</f>
        <v/>
      </c>
    </row>
    <row r="1268" spans="2:24" ht="14.25">
      <c r="N1268" s="17" t="str">
        <f>IF(V1268=0,"",IFERROR(LOOKUP(2,1/(INDEX(Listado!A:A,2):INDEX(Listado!A:A,ROW())&lt;&gt;""),ROW(INDEX(Listado!A:A,2):INDEX(Listado!A:A,ROW()))),""))</f>
        <v/>
      </c>
      <c r="O1268" s="17" t="str">
        <f>IFERROR(IF(N1268="","",IF(INDEX(Listado!M:M,N1268)="No",IF(INDEX(Listado!N:N,N1268)=0,"",INDEX(Listado!N:N,N1268)),IF(INDEX(Listado!I:I,N1268)=0,"",INDEX(Listado!I:I,N1268)))),"")</f>
        <v/>
      </c>
      <c r="P1268" s="17">
        <f t="shared" ca="1" si="58"/>
        <v/>
      </c>
      <c r="Q1268" s="17">
        <f>IFERROR(IF(AND(N1268&lt;&gt;"",ISNUMBER(O1268),O1268&gt;0,O1268&gt;=TODAY()-90),1,0),0)</f>
        <v/>
      </c>
      <c r="R1268" s="17" t="str">
        <f t="shared" si="60"/>
        <v/>
      </c>
      <c r="S1268" s="17" t="str">
        <f>IF(INDEX(Listado!A:A,ROW())="","",INDEX(Listado!A:A,ROW()))</f>
        <v/>
      </c>
      <c r="T1268" s="17" t="str">
        <f ca="1">IF(INDEX(Listado!G:G,ROW())="","",INDEX(Listado!G:G,ROW()))</f>
        <v/>
      </c>
      <c r="U1268" s="17" t="str">
        <f>IF(INDEX(Listado!F:F,ROW())="","",INDEX(Listado!F:F,ROW()))</f>
        <v/>
      </c>
      <c r="V1268" s="17">
        <f>IF(COUNTA(INDEX(Listado!B:B,ROW()):INDEX(Listado!F:F,ROW()))&gt;0,1,0)</f>
        <v/>
      </c>
      <c r="W1268" s="17" t="str">
        <f>IF(INDEX(Listado!L:L,ROW())="","",INDEX(Listado!L:L,ROW()))</f>
        <v/>
      </c>
      <c r="X1268" s="17">
        <f>IF(N1268="","",IF(INDEX(Listado!$M:$M,N1268)="No","No","Sí"))</f>
        <v/>
      </c>
    </row>
    <row r="1269" spans="2:24" ht="14.25">
      <c r="N1269" s="17" t="str">
        <f>IF(V1269=0,"",IFERROR(LOOKUP(2,1/(INDEX(Listado!A:A,2):INDEX(Listado!A:A,ROW())&lt;&gt;""),ROW(INDEX(Listado!A:A,2):INDEX(Listado!A:A,ROW()))),""))</f>
        <v/>
      </c>
      <c r="O1269" s="17" t="str">
        <f>IFERROR(IF(N1269="","",IF(INDEX(Listado!M:M,N1269)="No",IF(INDEX(Listado!N:N,N1269)=0,"",INDEX(Listado!N:N,N1269)),IF(INDEX(Listado!I:I,N1269)=0,"",INDEX(Listado!I:I,N1269)))),"")</f>
        <v/>
      </c>
      <c r="P1269" s="17">
        <f t="shared" ca="1" si="58"/>
        <v/>
      </c>
      <c r="Q1269" s="17">
        <f>IFERROR(IF(AND(N1269&lt;&gt;"",ISNUMBER(O1269),O1269&gt;0,O1269&gt;=TODAY()-90),1,0),0)</f>
        <v/>
      </c>
      <c r="R1269" s="17" t="str">
        <f t="shared" si="60"/>
        <v/>
      </c>
      <c r="S1269" s="17" t="str">
        <f>IF(INDEX(Listado!A:A,ROW())="","",INDEX(Listado!A:A,ROW()))</f>
        <v/>
      </c>
      <c r="T1269" s="17" t="str">
        <f ca="1">IF(INDEX(Listado!G:G,ROW())="","",INDEX(Listado!G:G,ROW()))</f>
        <v/>
      </c>
      <c r="U1269" s="17" t="str">
        <f>IF(INDEX(Listado!F:F,ROW())="","",INDEX(Listado!F:F,ROW()))</f>
        <v/>
      </c>
      <c r="V1269" s="17">
        <f>IF(COUNTA(INDEX(Listado!B:B,ROW()):INDEX(Listado!F:F,ROW()))&gt;0,1,0)</f>
        <v/>
      </c>
      <c r="W1269" s="17" t="str">
        <f>IF(INDEX(Listado!L:L,ROW())="","",INDEX(Listado!L:L,ROW()))</f>
        <v/>
      </c>
      <c r="X1269" s="17">
        <f>IF(N1269="","",IF(INDEX(Listado!$M:$M,N1269)="No","No","Sí"))</f>
        <v/>
      </c>
    </row>
    <row r="1270" spans="2:24" ht="14.25">
      <c r="N1270" s="17" t="str">
        <f>IF(V1270=0,"",IFERROR(LOOKUP(2,1/(INDEX(Listado!A:A,2):INDEX(Listado!A:A,ROW())&lt;&gt;""),ROW(INDEX(Listado!A:A,2):INDEX(Listado!A:A,ROW()))),""))</f>
        <v/>
      </c>
      <c r="O1270" s="17" t="str">
        <f>IFERROR(IF(N1270="","",IF(INDEX(Listado!M:M,N1270)="No",IF(INDEX(Listado!N:N,N1270)=0,"",INDEX(Listado!N:N,N1270)),IF(INDEX(Listado!I:I,N1270)=0,"",INDEX(Listado!I:I,N1270)))),"")</f>
        <v/>
      </c>
      <c r="P1270" s="17">
        <f t="shared" ca="1" si="58"/>
        <v/>
      </c>
      <c r="Q1270" s="17">
        <f>IFERROR(IF(AND(N1270&lt;&gt;"",ISNUMBER(O1270),O1270&gt;0,O1270&gt;=TODAY()-90),1,0),0)</f>
        <v/>
      </c>
      <c r="R1270" s="17" t="str">
        <f t="shared" si="60"/>
        <v/>
      </c>
      <c r="S1270" s="17" t="str">
        <f>IF(INDEX(Listado!A:A,ROW())="","",INDEX(Listado!A:A,ROW()))</f>
        <v/>
      </c>
      <c r="T1270" s="17" t="str">
        <f ca="1">IF(INDEX(Listado!G:G,ROW())="","",INDEX(Listado!G:G,ROW()))</f>
        <v/>
      </c>
      <c r="U1270" s="17" t="str">
        <f>IF(INDEX(Listado!F:F,ROW())="","",INDEX(Listado!F:F,ROW()))</f>
        <v/>
      </c>
      <c r="V1270" s="17">
        <f>IF(COUNTA(INDEX(Listado!B:B,ROW()):INDEX(Listado!F:F,ROW()))&gt;0,1,0)</f>
        <v/>
      </c>
      <c r="W1270" s="17" t="str">
        <f>IF(INDEX(Listado!L:L,ROW())="","",INDEX(Listado!L:L,ROW()))</f>
        <v/>
      </c>
      <c r="X1270" s="17">
        <f>IF(N1270="","",IF(INDEX(Listado!$M:$M,N1270)="No","No","Sí"))</f>
        <v/>
      </c>
    </row>
    <row r="1271" spans="2:24" ht="14.25">
      <c r="N1271" s="17" t="str">
        <f>IF(V1271=0,"",IFERROR(LOOKUP(2,1/(INDEX(Listado!A:A,2):INDEX(Listado!A:A,ROW())&lt;&gt;""),ROW(INDEX(Listado!A:A,2):INDEX(Listado!A:A,ROW()))),""))</f>
        <v/>
      </c>
      <c r="O1271" s="17" t="str">
        <f>IFERROR(IF(N1271="","",IF(INDEX(Listado!M:M,N1271)="No",IF(INDEX(Listado!N:N,N1271)=0,"",INDEX(Listado!N:N,N1271)),IF(INDEX(Listado!I:I,N1271)=0,"",INDEX(Listado!I:I,N1271)))),"")</f>
        <v/>
      </c>
      <c r="P1271" s="17">
        <f t="shared" ca="1" si="58"/>
        <v/>
      </c>
      <c r="Q1271" s="17">
        <f>IFERROR(IF(AND(N1271&lt;&gt;"",ISNUMBER(O1271),O1271&gt;0,O1271&gt;=TODAY()-90),1,0),0)</f>
        <v/>
      </c>
      <c r="R1271" s="17" t="str">
        <f t="shared" si="60"/>
        <v/>
      </c>
      <c r="S1271" s="17" t="str">
        <f>IF(INDEX(Listado!A:A,ROW())="","",INDEX(Listado!A:A,ROW()))</f>
        <v/>
      </c>
      <c r="T1271" s="17" t="str">
        <f ca="1">IF(INDEX(Listado!G:G,ROW())="","",INDEX(Listado!G:G,ROW()))</f>
        <v/>
      </c>
      <c r="U1271" s="17" t="str">
        <f>IF(INDEX(Listado!F:F,ROW())="","",INDEX(Listado!F:F,ROW()))</f>
        <v/>
      </c>
      <c r="V1271" s="17">
        <f>IF(COUNTA(INDEX(Listado!B:B,ROW()):INDEX(Listado!F:F,ROW()))&gt;0,1,0)</f>
        <v/>
      </c>
      <c r="W1271" s="17" t="str">
        <f>IF(INDEX(Listado!L:L,ROW())="","",INDEX(Listado!L:L,ROW()))</f>
        <v/>
      </c>
      <c r="X1271" s="17">
        <f>IF(N1271="","",IF(INDEX(Listado!$M:$M,N1271)="No","No","Sí"))</f>
        <v/>
      </c>
    </row>
    <row r="1272" spans="2:24" ht="14.25">
      <c r="N1272" s="17" t="str">
        <f>IF(V1272=0,"",IFERROR(LOOKUP(2,1/(INDEX(Listado!A:A,2):INDEX(Listado!A:A,ROW())&lt;&gt;""),ROW(INDEX(Listado!A:A,2):INDEX(Listado!A:A,ROW()))),""))</f>
        <v/>
      </c>
      <c r="O1272" s="17" t="str">
        <f>IFERROR(IF(N1272="","",IF(INDEX(Listado!M:M,N1272)="No",IF(INDEX(Listado!N:N,N1272)=0,"",INDEX(Listado!N:N,N1272)),IF(INDEX(Listado!I:I,N1272)=0,"",INDEX(Listado!I:I,N1272)))),"")</f>
        <v/>
      </c>
      <c r="P1272" s="17">
        <f t="shared" ca="1" si="58"/>
        <v/>
      </c>
      <c r="Q1272" s="17">
        <f>IFERROR(IF(AND(N1272&lt;&gt;"",ISNUMBER(O1272),O1272&gt;0,O1272&gt;=TODAY()-90),1,0),0)</f>
        <v/>
      </c>
      <c r="R1272" s="17" t="str">
        <f t="shared" si="60"/>
        <v/>
      </c>
      <c r="S1272" s="17" t="str">
        <f>IF(INDEX(Listado!A:A,ROW())="","",INDEX(Listado!A:A,ROW()))</f>
        <v/>
      </c>
      <c r="T1272" s="17" t="str">
        <f ca="1">IF(INDEX(Listado!G:G,ROW())="","",INDEX(Listado!G:G,ROW()))</f>
        <v/>
      </c>
      <c r="U1272" s="17" t="str">
        <f>IF(INDEX(Listado!F:F,ROW())="","",INDEX(Listado!F:F,ROW()))</f>
        <v/>
      </c>
      <c r="V1272" s="17">
        <f>IF(COUNTA(INDEX(Listado!B:B,ROW()):INDEX(Listado!F:F,ROW()))&gt;0,1,0)</f>
        <v/>
      </c>
      <c r="W1272" s="17" t="str">
        <f>IF(INDEX(Listado!L:L,ROW())="","",INDEX(Listado!L:L,ROW()))</f>
        <v/>
      </c>
      <c r="X1272" s="17">
        <f>IF(N1272="","",IF(INDEX(Listado!$M:$M,N1272)="No","No","Sí"))</f>
        <v/>
      </c>
    </row>
    <row r="1273" spans="2:24" ht="14.25">
      <c r="N1273" s="17" t="str">
        <f>IF(V1273=0,"",IFERROR(LOOKUP(2,1/(INDEX(Listado!A:A,2):INDEX(Listado!A:A,ROW())&lt;&gt;""),ROW(INDEX(Listado!A:A,2):INDEX(Listado!A:A,ROW()))),""))</f>
        <v/>
      </c>
      <c r="O1273" s="17" t="str">
        <f>IFERROR(IF(N1273="","",IF(INDEX(Listado!M:M,N1273)="No",IF(INDEX(Listado!N:N,N1273)=0,"",INDEX(Listado!N:N,N1273)),IF(INDEX(Listado!I:I,N1273)=0,"",INDEX(Listado!I:I,N1273)))),"")</f>
        <v/>
      </c>
      <c r="P1273" s="17">
        <f t="shared" ca="1" si="58"/>
        <v/>
      </c>
      <c r="Q1273" s="17">
        <f>IFERROR(IF(AND(N1273&lt;&gt;"",ISNUMBER(O1273),O1273&gt;0,O1273&gt;=TODAY()-90),1,0),0)</f>
        <v/>
      </c>
      <c r="R1273" s="17" t="str">
        <f t="shared" si="60"/>
        <v/>
      </c>
      <c r="S1273" s="17" t="str">
        <f>IF(INDEX(Listado!A:A,ROW())="","",INDEX(Listado!A:A,ROW()))</f>
        <v/>
      </c>
      <c r="T1273" s="17" t="str">
        <f ca="1">IF(INDEX(Listado!G:G,ROW())="","",INDEX(Listado!G:G,ROW()))</f>
        <v/>
      </c>
      <c r="U1273" s="17" t="str">
        <f>IF(INDEX(Listado!F:F,ROW())="","",INDEX(Listado!F:F,ROW()))</f>
        <v/>
      </c>
      <c r="V1273" s="17">
        <f>IF(COUNTA(INDEX(Listado!B:B,ROW()):INDEX(Listado!F:F,ROW()))&gt;0,1,0)</f>
        <v/>
      </c>
      <c r="W1273" s="17" t="str">
        <f>IF(INDEX(Listado!L:L,ROW())="","",INDEX(Listado!L:L,ROW()))</f>
        <v/>
      </c>
      <c r="X1273" s="17">
        <f>IF(N1273="","",IF(INDEX(Listado!$M:$M,N1273)="No","No","Sí"))</f>
        <v/>
      </c>
    </row>
    <row r="1274" spans="2:24" ht="14.25">
      <c r="N1274" s="17" t="str">
        <f>IF(V1274=0,"",IFERROR(LOOKUP(2,1/(INDEX(Listado!A:A,2):INDEX(Listado!A:A,ROW())&lt;&gt;""),ROW(INDEX(Listado!A:A,2):INDEX(Listado!A:A,ROW()))),""))</f>
        <v/>
      </c>
      <c r="O1274" s="17" t="str">
        <f>IFERROR(IF(N1274="","",IF(INDEX(Listado!M:M,N1274)="No",IF(INDEX(Listado!N:N,N1274)=0,"",INDEX(Listado!N:N,N1274)),IF(INDEX(Listado!I:I,N1274)=0,"",INDEX(Listado!I:I,N1274)))),"")</f>
        <v/>
      </c>
      <c r="P1274" s="17">
        <f t="shared" ca="1" si="58"/>
        <v/>
      </c>
      <c r="Q1274" s="17">
        <f>IFERROR(IF(AND(N1274&lt;&gt;"",ISNUMBER(O1274),O1274&gt;0,O1274&gt;=TODAY()-90),1,0),0)</f>
        <v/>
      </c>
      <c r="R1274" s="17" t="str">
        <f t="shared" si="60"/>
        <v/>
      </c>
      <c r="S1274" s="17" t="str">
        <f>IF(INDEX(Listado!A:A,ROW())="","",INDEX(Listado!A:A,ROW()))</f>
        <v/>
      </c>
      <c r="T1274" s="17" t="str">
        <f ca="1">IF(INDEX(Listado!G:G,ROW())="","",INDEX(Listado!G:G,ROW()))</f>
        <v/>
      </c>
      <c r="U1274" s="17" t="str">
        <f>IF(INDEX(Listado!F:F,ROW())="","",INDEX(Listado!F:F,ROW()))</f>
        <v/>
      </c>
      <c r="V1274" s="17">
        <f>IF(COUNTA(INDEX(Listado!B:B,ROW()):INDEX(Listado!F:F,ROW()))&gt;0,1,0)</f>
        <v/>
      </c>
      <c r="W1274" s="17" t="str">
        <f>IF(INDEX(Listado!L:L,ROW())="","",INDEX(Listado!L:L,ROW()))</f>
        <v/>
      </c>
      <c r="X1274" s="17">
        <f>IF(N1274="","",IF(INDEX(Listado!$M:$M,N1274)="No","No","Sí"))</f>
        <v/>
      </c>
    </row>
    <row r="1275" spans="2:24" ht="14.25">
      <c r="N1275" s="17" t="str">
        <f>IF(V1275=0,"",IFERROR(LOOKUP(2,1/(INDEX(Listado!A:A,2):INDEX(Listado!A:A,ROW())&lt;&gt;""),ROW(INDEX(Listado!A:A,2):INDEX(Listado!A:A,ROW()))),""))</f>
        <v/>
      </c>
      <c r="O1275" s="17" t="str">
        <f>IFERROR(IF(N1275="","",IF(INDEX(Listado!M:M,N1275)="No",IF(INDEX(Listado!N:N,N1275)=0,"",INDEX(Listado!N:N,N1275)),IF(INDEX(Listado!I:I,N1275)=0,"",INDEX(Listado!I:I,N1275)))),"")</f>
        <v/>
      </c>
      <c r="P1275" s="17">
        <f t="shared" ca="1" si="58"/>
        <v/>
      </c>
      <c r="Q1275" s="17">
        <f>IFERROR(IF(AND(N1275&lt;&gt;"",ISNUMBER(O1275),O1275&gt;0,O1275&gt;=TODAY()-90),1,0),0)</f>
        <v/>
      </c>
      <c r="R1275" s="17" t="str">
        <f t="shared" si="60"/>
        <v/>
      </c>
      <c r="S1275" s="17" t="str">
        <f>IF(INDEX(Listado!A:A,ROW())="","",INDEX(Listado!A:A,ROW()))</f>
        <v/>
      </c>
      <c r="T1275" s="17" t="str">
        <f ca="1">IF(INDEX(Listado!G:G,ROW())="","",INDEX(Listado!G:G,ROW()))</f>
        <v/>
      </c>
      <c r="U1275" s="17" t="str">
        <f>IF(INDEX(Listado!F:F,ROW())="","",INDEX(Listado!F:F,ROW()))</f>
        <v/>
      </c>
      <c r="V1275" s="17">
        <f>IF(COUNTA(INDEX(Listado!B:B,ROW()):INDEX(Listado!F:F,ROW()))&gt;0,1,0)</f>
        <v/>
      </c>
      <c r="W1275" s="17" t="str">
        <f>IF(INDEX(Listado!L:L,ROW())="","",INDEX(Listado!L:L,ROW()))</f>
        <v/>
      </c>
      <c r="X1275" s="17">
        <f>IF(N1275="","",IF(INDEX(Listado!$M:$M,N1275)="No","No","Sí"))</f>
        <v/>
      </c>
    </row>
    <row r="1276" spans="2:24" ht="14.25">
      <c r="N1276" s="17" t="str">
        <f>IF(V1276=0,"",IFERROR(LOOKUP(2,1/(INDEX(Listado!A:A,2):INDEX(Listado!A:A,ROW())&lt;&gt;""),ROW(INDEX(Listado!A:A,2):INDEX(Listado!A:A,ROW()))),""))</f>
        <v/>
      </c>
      <c r="O1276" s="17" t="str">
        <f>IFERROR(IF(N1276="","",IF(INDEX(Listado!M:M,N1276)="No",IF(INDEX(Listado!N:N,N1276)=0,"",INDEX(Listado!N:N,N1276)),IF(INDEX(Listado!I:I,N1276)=0,"",INDEX(Listado!I:I,N1276)))),"")</f>
        <v/>
      </c>
      <c r="P1276" s="17">
        <f t="shared" ca="1" si="58"/>
        <v/>
      </c>
      <c r="Q1276" s="17">
        <f>IFERROR(IF(AND(N1276&lt;&gt;"",ISNUMBER(O1276),O1276&gt;0,O1276&gt;=TODAY()-90),1,0),0)</f>
        <v/>
      </c>
      <c r="R1276" s="17" t="str">
        <f t="shared" si="60"/>
        <v/>
      </c>
      <c r="S1276" s="17" t="str">
        <f>IF(INDEX(Listado!A:A,ROW())="","",INDEX(Listado!A:A,ROW()))</f>
        <v/>
      </c>
      <c r="T1276" s="17" t="str">
        <f ca="1">IF(INDEX(Listado!G:G,ROW())="","",INDEX(Listado!G:G,ROW()))</f>
        <v/>
      </c>
      <c r="U1276" s="17" t="str">
        <f>IF(INDEX(Listado!F:F,ROW())="","",INDEX(Listado!F:F,ROW()))</f>
        <v/>
      </c>
      <c r="V1276" s="17">
        <f>IF(COUNTA(INDEX(Listado!B:B,ROW()):INDEX(Listado!F:F,ROW()))&gt;0,1,0)</f>
        <v/>
      </c>
      <c r="W1276" s="17" t="str">
        <f>IF(INDEX(Listado!L:L,ROW())="","",INDEX(Listado!L:L,ROW()))</f>
        <v/>
      </c>
      <c r="X1276" s="17">
        <f>IF(N1276="","",IF(INDEX(Listado!$M:$M,N1276)="No","No","Sí"))</f>
        <v/>
      </c>
    </row>
    <row r="1277" spans="2:24" ht="14.25">
      <c r="N1277" s="17" t="str">
        <f>IF(V1277=0,"",IFERROR(LOOKUP(2,1/(INDEX(Listado!A:A,2):INDEX(Listado!A:A,ROW())&lt;&gt;""),ROW(INDEX(Listado!A:A,2):INDEX(Listado!A:A,ROW()))),""))</f>
        <v/>
      </c>
      <c r="O1277" s="17" t="str">
        <f>IFERROR(IF(N1277="","",IF(INDEX(Listado!M:M,N1277)="No",IF(INDEX(Listado!N:N,N1277)=0,"",INDEX(Listado!N:N,N1277)),IF(INDEX(Listado!I:I,N1277)=0,"",INDEX(Listado!I:I,N1277)))),"")</f>
        <v/>
      </c>
      <c r="P1277" s="17">
        <f t="shared" ca="1" si="58"/>
        <v/>
      </c>
      <c r="Q1277" s="17">
        <f>IFERROR(IF(AND(N1277&lt;&gt;"",ISNUMBER(O1277),O1277&gt;0,O1277&gt;=TODAY()-90),1,0),0)</f>
        <v/>
      </c>
      <c r="R1277" s="17" t="str">
        <f t="shared" si="60"/>
        <v/>
      </c>
      <c r="S1277" s="17" t="str">
        <f>IF(INDEX(Listado!A:A,ROW())="","",INDEX(Listado!A:A,ROW()))</f>
        <v/>
      </c>
      <c r="T1277" s="17" t="str">
        <f ca="1">IF(INDEX(Listado!G:G,ROW())="","",INDEX(Listado!G:G,ROW()))</f>
        <v/>
      </c>
      <c r="U1277" s="17" t="str">
        <f>IF(INDEX(Listado!F:F,ROW())="","",INDEX(Listado!F:F,ROW()))</f>
        <v/>
      </c>
      <c r="V1277" s="17">
        <f>IF(COUNTA(INDEX(Listado!B:B,ROW()):INDEX(Listado!F:F,ROW()))&gt;0,1,0)</f>
        <v/>
      </c>
      <c r="W1277" s="17" t="str">
        <f>IF(INDEX(Listado!L:L,ROW())="","",INDEX(Listado!L:L,ROW()))</f>
        <v/>
      </c>
      <c r="X1277" s="17">
        <f>IF(N1277="","",IF(INDEX(Listado!$M:$M,N1277)="No","No","Sí"))</f>
        <v/>
      </c>
    </row>
    <row r="1278" spans="2:24" ht="14.25">
      <c r="N1278" s="17" t="str">
        <f>IF(V1278=0,"",IFERROR(LOOKUP(2,1/(INDEX(Listado!A:A,2):INDEX(Listado!A:A,ROW())&lt;&gt;""),ROW(INDEX(Listado!A:A,2):INDEX(Listado!A:A,ROW()))),""))</f>
        <v/>
      </c>
      <c r="O1278" s="17" t="str">
        <f>IFERROR(IF(N1278="","",IF(INDEX(Listado!M:M,N1278)="No",IF(INDEX(Listado!N:N,N1278)=0,"",INDEX(Listado!N:N,N1278)),IF(INDEX(Listado!I:I,N1278)=0,"",INDEX(Listado!I:I,N1278)))),"")</f>
        <v/>
      </c>
      <c r="P1278" s="17">
        <f t="shared" ca="1" si="58"/>
        <v/>
      </c>
      <c r="Q1278" s="17">
        <f>IFERROR(IF(AND(N1278&lt;&gt;"",ISNUMBER(O1278),O1278&gt;0,O1278&gt;=TODAY()-90),1,0),0)</f>
        <v/>
      </c>
      <c r="R1278" s="17" t="str">
        <f t="shared" si="60"/>
        <v/>
      </c>
      <c r="S1278" s="17" t="str">
        <f>IF(INDEX(Listado!A:A,ROW())="","",INDEX(Listado!A:A,ROW()))</f>
        <v/>
      </c>
      <c r="T1278" s="17" t="str">
        <f ca="1">IF(INDEX(Listado!G:G,ROW())="","",INDEX(Listado!G:G,ROW()))</f>
        <v/>
      </c>
      <c r="U1278" s="17" t="str">
        <f>IF(INDEX(Listado!F:F,ROW())="","",INDEX(Listado!F:F,ROW()))</f>
        <v/>
      </c>
      <c r="V1278" s="17">
        <f>IF(COUNTA(INDEX(Listado!B:B,ROW()):INDEX(Listado!F:F,ROW()))&gt;0,1,0)</f>
        <v/>
      </c>
      <c r="W1278" s="17" t="str">
        <f>IF(INDEX(Listado!L:L,ROW())="","",INDEX(Listado!L:L,ROW()))</f>
        <v/>
      </c>
      <c r="X1278" s="17">
        <f>IF(N1278="","",IF(INDEX(Listado!$M:$M,N1278)="No","No","Sí"))</f>
        <v/>
      </c>
    </row>
    <row r="1279" spans="2:24" ht="14.25">
      <c r="N1279" s="17" t="str">
        <f>IF(V1279=0,"",IFERROR(LOOKUP(2,1/(INDEX(Listado!A:A,2):INDEX(Listado!A:A,ROW())&lt;&gt;""),ROW(INDEX(Listado!A:A,2):INDEX(Listado!A:A,ROW()))),""))</f>
        <v/>
      </c>
      <c r="O1279" s="17" t="str">
        <f>IFERROR(IF(N1279="","",IF(INDEX(Listado!M:M,N1279)="No",IF(INDEX(Listado!N:N,N1279)=0,"",INDEX(Listado!N:N,N1279)),IF(INDEX(Listado!I:I,N1279)=0,"",INDEX(Listado!I:I,N1279)))),"")</f>
        <v/>
      </c>
      <c r="P1279" s="17">
        <f t="shared" ca="1" si="58"/>
        <v/>
      </c>
      <c r="Q1279" s="17">
        <f>IFERROR(IF(AND(N1279&lt;&gt;"",ISNUMBER(O1279),O1279&gt;0,O1279&gt;=TODAY()-90),1,0),0)</f>
        <v/>
      </c>
      <c r="R1279" s="17" t="str">
        <f t="shared" si="60"/>
        <v/>
      </c>
      <c r="S1279" s="17" t="str">
        <f>IF(INDEX(Listado!A:A,ROW())="","",INDEX(Listado!A:A,ROW()))</f>
        <v/>
      </c>
      <c r="T1279" s="17" t="str">
        <f ca="1">IF(INDEX(Listado!G:G,ROW())="","",INDEX(Listado!G:G,ROW()))</f>
        <v/>
      </c>
      <c r="U1279" s="17" t="str">
        <f>IF(INDEX(Listado!F:F,ROW())="","",INDEX(Listado!F:F,ROW()))</f>
        <v/>
      </c>
      <c r="V1279" s="17">
        <f>IF(COUNTA(INDEX(Listado!B:B,ROW()):INDEX(Listado!F:F,ROW()))&gt;0,1,0)</f>
        <v/>
      </c>
      <c r="W1279" s="17" t="str">
        <f>IF(INDEX(Listado!L:L,ROW())="","",INDEX(Listado!L:L,ROW()))</f>
        <v/>
      </c>
      <c r="X1279" s="17">
        <f>IF(N1279="","",IF(INDEX(Listado!$M:$M,N1279)="No","No","Sí"))</f>
        <v/>
      </c>
    </row>
    <row r="1280" spans="2:24" ht="14.25">
      <c r="N1280" s="17" t="str">
        <f>IF(V1280=0,"",IFERROR(LOOKUP(2,1/(INDEX(Listado!A:A,2):INDEX(Listado!A:A,ROW())&lt;&gt;""),ROW(INDEX(Listado!A:A,2):INDEX(Listado!A:A,ROW()))),""))</f>
        <v/>
      </c>
      <c r="O1280" s="17" t="str">
        <f>IFERROR(IF(N1280="","",IF(INDEX(Listado!M:M,N1280)="No",IF(INDEX(Listado!N:N,N1280)=0,"",INDEX(Listado!N:N,N1280)),IF(INDEX(Listado!I:I,N1280)=0,"",INDEX(Listado!I:I,N1280)))),"")</f>
        <v/>
      </c>
      <c r="P1280" s="17">
        <f t="shared" ca="1" si="58"/>
        <v/>
      </c>
      <c r="Q1280" s="17">
        <f>IFERROR(IF(AND(N1280&lt;&gt;"",ISNUMBER(O1280),O1280&gt;0,O1280&gt;=TODAY()-90),1,0),0)</f>
        <v/>
      </c>
      <c r="R1280" s="17" t="str">
        <f t="shared" si="60"/>
        <v/>
      </c>
      <c r="S1280" s="17" t="str">
        <f>IF(INDEX(Listado!A:A,ROW())="","",INDEX(Listado!A:A,ROW()))</f>
        <v/>
      </c>
      <c r="T1280" s="17" t="str">
        <f ca="1">IF(INDEX(Listado!G:G,ROW())="","",INDEX(Listado!G:G,ROW()))</f>
        <v/>
      </c>
      <c r="U1280" s="17" t="str">
        <f>IF(INDEX(Listado!F:F,ROW())="","",INDEX(Listado!F:F,ROW()))</f>
        <v/>
      </c>
      <c r="V1280" s="17">
        <f>IF(COUNTA(INDEX(Listado!B:B,ROW()):INDEX(Listado!F:F,ROW()))&gt;0,1,0)</f>
        <v/>
      </c>
      <c r="W1280" s="17" t="str">
        <f>IF(INDEX(Listado!L:L,ROW())="","",INDEX(Listado!L:L,ROW()))</f>
        <v/>
      </c>
      <c r="X1280" s="17">
        <f>IF(N1280="","",IF(INDEX(Listado!$M:$M,N1280)="No","No","Sí"))</f>
        <v/>
      </c>
    </row>
    <row r="1281" spans="2:24" ht="14.25">
      <c r="N1281" s="17" t="str">
        <f>IF(V1281=0,"",IFERROR(LOOKUP(2,1/(INDEX(Listado!A:A,2):INDEX(Listado!A:A,ROW())&lt;&gt;""),ROW(INDEX(Listado!A:A,2):INDEX(Listado!A:A,ROW()))),""))</f>
        <v/>
      </c>
      <c r="O1281" s="17" t="str">
        <f>IFERROR(IF(N1281="","",IF(INDEX(Listado!M:M,N1281)="No",IF(INDEX(Listado!N:N,N1281)=0,"",INDEX(Listado!N:N,N1281)),IF(INDEX(Listado!I:I,N1281)=0,"",INDEX(Listado!I:I,N1281)))),"")</f>
        <v/>
      </c>
      <c r="P1281" s="17">
        <f t="shared" ca="1" si="58"/>
        <v/>
      </c>
      <c r="Q1281" s="17">
        <f>IFERROR(IF(AND(N1281&lt;&gt;"",ISNUMBER(O1281),O1281&gt;0,O1281&gt;=TODAY()-90),1,0),0)</f>
        <v/>
      </c>
      <c r="R1281" s="17" t="str">
        <f t="shared" si="60"/>
        <v/>
      </c>
      <c r="S1281" s="17" t="str">
        <f>IF(INDEX(Listado!A:A,ROW())="","",INDEX(Listado!A:A,ROW()))</f>
        <v/>
      </c>
      <c r="T1281" s="17" t="str">
        <f ca="1">IF(INDEX(Listado!G:G,ROW())="","",INDEX(Listado!G:G,ROW()))</f>
        <v/>
      </c>
      <c r="U1281" s="17" t="str">
        <f>IF(INDEX(Listado!F:F,ROW())="","",INDEX(Listado!F:F,ROW()))</f>
        <v/>
      </c>
      <c r="V1281" s="17">
        <f>IF(COUNTA(INDEX(Listado!B:B,ROW()):INDEX(Listado!F:F,ROW()))&gt;0,1,0)</f>
        <v/>
      </c>
      <c r="W1281" s="17" t="str">
        <f>IF(INDEX(Listado!L:L,ROW())="","",INDEX(Listado!L:L,ROW()))</f>
        <v/>
      </c>
      <c r="X1281" s="17">
        <f>IF(N1281="","",IF(INDEX(Listado!$M:$M,N1281)="No","No","Sí"))</f>
        <v/>
      </c>
    </row>
    <row r="1282" spans="2:24" ht="14.25">
      <c r="N1282" s="17" t="str">
        <f>IF(V1282=0,"",IFERROR(LOOKUP(2,1/(INDEX(Listado!A:A,2):INDEX(Listado!A:A,ROW())&lt;&gt;""),ROW(INDEX(Listado!A:A,2):INDEX(Listado!A:A,ROW()))),""))</f>
        <v/>
      </c>
      <c r="O1282" s="17" t="str">
        <f>IFERROR(IF(N1282="","",IF(INDEX(Listado!M:M,N1282)="No",IF(INDEX(Listado!N:N,N1282)=0,"",INDEX(Listado!N:N,N1282)),IF(INDEX(Listado!I:I,N1282)=0,"",INDEX(Listado!I:I,N1282)))),"")</f>
        <v/>
      </c>
      <c r="P1282" s="17">
        <f t="shared" ref="P1282:P1345" ca="1" si="61">IF(W1282="",0,IFERROR(IF(AND(ISNUMBER(W1282),W1282=INT(W1282),ISNUMBER(O1282),O1282&gt;0,W1282&gt;=TODAY(),W1282&lt;=O1282+90),0,1),1))</f>
        <v/>
      </c>
      <c r="Q1282" s="17">
        <f>IFERROR(IF(AND(N1282&lt;&gt;"",ISNUMBER(O1282),O1282&gt;0,O1282&gt;=TODAY()-90),1,0),0)</f>
        <v/>
      </c>
      <c r="R1282" s="17" t="str">
        <f t="shared" ref="R1282:R1345" si="63">IF(S1282="","",COUNTIFS($N$2:$N$2999,ROW(),$Q$2:$Q$2999,1))</f>
        <v/>
      </c>
      <c r="S1282" s="17" t="str">
        <f>IF(INDEX(Listado!A:A,ROW())="","",INDEX(Listado!A:A,ROW()))</f>
        <v/>
      </c>
      <c r="T1282" s="17" t="str">
        <f ca="1">IF(INDEX(Listado!G:G,ROW())="","",INDEX(Listado!G:G,ROW()))</f>
        <v/>
      </c>
      <c r="U1282" s="17" t="str">
        <f>IF(INDEX(Listado!F:F,ROW())="","",INDEX(Listado!F:F,ROW()))</f>
        <v/>
      </c>
      <c r="V1282" s="17">
        <f>IF(COUNTA(INDEX(Listado!B:B,ROW()):INDEX(Listado!F:F,ROW()))&gt;0,1,0)</f>
        <v/>
      </c>
      <c r="W1282" s="17" t="str">
        <f>IF(INDEX(Listado!L:L,ROW())="","",INDEX(Listado!L:L,ROW()))</f>
        <v/>
      </c>
      <c r="X1282" s="17">
        <f>IF(N1282="","",IF(INDEX(Listado!$M:$M,N1282)="No","No","Sí"))</f>
        <v/>
      </c>
    </row>
    <row r="1283" spans="2:24" ht="14.25">
      <c r="N1283" s="17" t="str">
        <f>IF(V1283=0,"",IFERROR(LOOKUP(2,1/(INDEX(Listado!A:A,2):INDEX(Listado!A:A,ROW())&lt;&gt;""),ROW(INDEX(Listado!A:A,2):INDEX(Listado!A:A,ROW()))),""))</f>
        <v/>
      </c>
      <c r="O1283" s="17" t="str">
        <f>IFERROR(IF(N1283="","",IF(INDEX(Listado!M:M,N1283)="No",IF(INDEX(Listado!N:N,N1283)=0,"",INDEX(Listado!N:N,N1283)),IF(INDEX(Listado!I:I,N1283)=0,"",INDEX(Listado!I:I,N1283)))),"")</f>
        <v/>
      </c>
      <c r="P1283" s="17">
        <f t="shared" ca="1" si="61"/>
        <v/>
      </c>
      <c r="Q1283" s="17">
        <f>IFERROR(IF(AND(N1283&lt;&gt;"",ISNUMBER(O1283),O1283&gt;0,O1283&gt;=TODAY()-90),1,0),0)</f>
        <v/>
      </c>
      <c r="R1283" s="17" t="str">
        <f t="shared" si="63"/>
        <v/>
      </c>
      <c r="S1283" s="17" t="str">
        <f>IF(INDEX(Listado!A:A,ROW())="","",INDEX(Listado!A:A,ROW()))</f>
        <v/>
      </c>
      <c r="T1283" s="17" t="str">
        <f ca="1">IF(INDEX(Listado!G:G,ROW())="","",INDEX(Listado!G:G,ROW()))</f>
        <v/>
      </c>
      <c r="U1283" s="17" t="str">
        <f>IF(INDEX(Listado!F:F,ROW())="","",INDEX(Listado!F:F,ROW()))</f>
        <v/>
      </c>
      <c r="V1283" s="17">
        <f>IF(COUNTA(INDEX(Listado!B:B,ROW()):INDEX(Listado!F:F,ROW()))&gt;0,1,0)</f>
        <v/>
      </c>
      <c r="W1283" s="17" t="str">
        <f>IF(INDEX(Listado!L:L,ROW())="","",INDEX(Listado!L:L,ROW()))</f>
        <v/>
      </c>
      <c r="X1283" s="17">
        <f>IF(N1283="","",IF(INDEX(Listado!$M:$M,N1283)="No","No","Sí"))</f>
        <v/>
      </c>
    </row>
    <row r="1284" spans="2:24" ht="14.25">
      <c r="N1284" s="17" t="str">
        <f>IF(V1284=0,"",IFERROR(LOOKUP(2,1/(INDEX(Listado!A:A,2):INDEX(Listado!A:A,ROW())&lt;&gt;""),ROW(INDEX(Listado!A:A,2):INDEX(Listado!A:A,ROW()))),""))</f>
        <v/>
      </c>
      <c r="O1284" s="17" t="str">
        <f>IFERROR(IF(N1284="","",IF(INDEX(Listado!M:M,N1284)="No",IF(INDEX(Listado!N:N,N1284)=0,"",INDEX(Listado!N:N,N1284)),IF(INDEX(Listado!I:I,N1284)=0,"",INDEX(Listado!I:I,N1284)))),"")</f>
        <v/>
      </c>
      <c r="P1284" s="17">
        <f t="shared" ca="1" si="61"/>
        <v/>
      </c>
      <c r="Q1284" s="17">
        <f>IFERROR(IF(AND(N1284&lt;&gt;"",ISNUMBER(O1284),O1284&gt;0,O1284&gt;=TODAY()-90),1,0),0)</f>
        <v/>
      </c>
      <c r="R1284" s="17" t="str">
        <f t="shared" si="63"/>
        <v/>
      </c>
      <c r="S1284" s="17" t="str">
        <f>IF(INDEX(Listado!A:A,ROW())="","",INDEX(Listado!A:A,ROW()))</f>
        <v/>
      </c>
      <c r="T1284" s="17" t="str">
        <f ca="1">IF(INDEX(Listado!G:G,ROW())="","",INDEX(Listado!G:G,ROW()))</f>
        <v/>
      </c>
      <c r="U1284" s="17" t="str">
        <f>IF(INDEX(Listado!F:F,ROW())="","",INDEX(Listado!F:F,ROW()))</f>
        <v/>
      </c>
      <c r="V1284" s="17">
        <f>IF(COUNTA(INDEX(Listado!B:B,ROW()):INDEX(Listado!F:F,ROW()))&gt;0,1,0)</f>
        <v/>
      </c>
      <c r="W1284" s="17" t="str">
        <f>IF(INDEX(Listado!L:L,ROW())="","",INDEX(Listado!L:L,ROW()))</f>
        <v/>
      </c>
      <c r="X1284" s="17">
        <f>IF(N1284="","",IF(INDEX(Listado!$M:$M,N1284)="No","No","Sí"))</f>
        <v/>
      </c>
    </row>
    <row r="1285" spans="2:24" ht="14.25">
      <c r="N1285" s="17" t="str">
        <f>IF(V1285=0,"",IFERROR(LOOKUP(2,1/(INDEX(Listado!A:A,2):INDEX(Listado!A:A,ROW())&lt;&gt;""),ROW(INDEX(Listado!A:A,2):INDEX(Listado!A:A,ROW()))),""))</f>
        <v/>
      </c>
      <c r="O1285" s="17" t="str">
        <f>IFERROR(IF(N1285="","",IF(INDEX(Listado!M:M,N1285)="No",IF(INDEX(Listado!N:N,N1285)=0,"",INDEX(Listado!N:N,N1285)),IF(INDEX(Listado!I:I,N1285)=0,"",INDEX(Listado!I:I,N1285)))),"")</f>
        <v/>
      </c>
      <c r="P1285" s="17">
        <f t="shared" ca="1" si="61"/>
        <v/>
      </c>
      <c r="Q1285" s="17">
        <f>IFERROR(IF(AND(N1285&lt;&gt;"",ISNUMBER(O1285),O1285&gt;0,O1285&gt;=TODAY()-90),1,0),0)</f>
        <v/>
      </c>
      <c r="R1285" s="17" t="str">
        <f t="shared" si="63"/>
        <v/>
      </c>
      <c r="S1285" s="17" t="str">
        <f>IF(INDEX(Listado!A:A,ROW())="","",INDEX(Listado!A:A,ROW()))</f>
        <v/>
      </c>
      <c r="T1285" s="17" t="str">
        <f ca="1">IF(INDEX(Listado!G:G,ROW())="","",INDEX(Listado!G:G,ROW()))</f>
        <v/>
      </c>
      <c r="U1285" s="17" t="str">
        <f>IF(INDEX(Listado!F:F,ROW())="","",INDEX(Listado!F:F,ROW()))</f>
        <v/>
      </c>
      <c r="V1285" s="17">
        <f>IF(COUNTA(INDEX(Listado!B:B,ROW()):INDEX(Listado!F:F,ROW()))&gt;0,1,0)</f>
        <v/>
      </c>
      <c r="W1285" s="17" t="str">
        <f>IF(INDEX(Listado!L:L,ROW())="","",INDEX(Listado!L:L,ROW()))</f>
        <v/>
      </c>
      <c r="X1285" s="17">
        <f>IF(N1285="","",IF(INDEX(Listado!$M:$M,N1285)="No","No","Sí"))</f>
        <v/>
      </c>
    </row>
    <row r="1286" spans="2:24" ht="14.25">
      <c r="N1286" s="17" t="str">
        <f>IF(V1286=0,"",IFERROR(LOOKUP(2,1/(INDEX(Listado!A:A,2):INDEX(Listado!A:A,ROW())&lt;&gt;""),ROW(INDEX(Listado!A:A,2):INDEX(Listado!A:A,ROW()))),""))</f>
        <v/>
      </c>
      <c r="O1286" s="17" t="str">
        <f>IFERROR(IF(N1286="","",IF(INDEX(Listado!M:M,N1286)="No",IF(INDEX(Listado!N:N,N1286)=0,"",INDEX(Listado!N:N,N1286)),IF(INDEX(Listado!I:I,N1286)=0,"",INDEX(Listado!I:I,N1286)))),"")</f>
        <v/>
      </c>
      <c r="P1286" s="17">
        <f t="shared" ca="1" si="61"/>
        <v/>
      </c>
      <c r="Q1286" s="17">
        <f>IFERROR(IF(AND(N1286&lt;&gt;"",ISNUMBER(O1286),O1286&gt;0,O1286&gt;=TODAY()-90),1,0),0)</f>
        <v/>
      </c>
      <c r="R1286" s="17" t="str">
        <f t="shared" si="63"/>
        <v/>
      </c>
      <c r="S1286" s="17" t="str">
        <f>IF(INDEX(Listado!A:A,ROW())="","",INDEX(Listado!A:A,ROW()))</f>
        <v/>
      </c>
      <c r="T1286" s="17" t="str">
        <f ca="1">IF(INDEX(Listado!G:G,ROW())="","",INDEX(Listado!G:G,ROW()))</f>
        <v/>
      </c>
      <c r="U1286" s="17" t="str">
        <f>IF(INDEX(Listado!F:F,ROW())="","",INDEX(Listado!F:F,ROW()))</f>
        <v/>
      </c>
      <c r="V1286" s="17">
        <f>IF(COUNTA(INDEX(Listado!B:B,ROW()):INDEX(Listado!F:F,ROW()))&gt;0,1,0)</f>
        <v/>
      </c>
      <c r="W1286" s="17" t="str">
        <f>IF(INDEX(Listado!L:L,ROW())="","",INDEX(Listado!L:L,ROW()))</f>
        <v/>
      </c>
      <c r="X1286" s="17">
        <f>IF(N1286="","",IF(INDEX(Listado!$M:$M,N1286)="No","No","Sí"))</f>
        <v/>
      </c>
    </row>
    <row r="1287" spans="2:24" ht="14.25">
      <c r="N1287" s="17" t="str">
        <f>IF(V1287=0,"",IFERROR(LOOKUP(2,1/(INDEX(Listado!A:A,2):INDEX(Listado!A:A,ROW())&lt;&gt;""),ROW(INDEX(Listado!A:A,2):INDEX(Listado!A:A,ROW()))),""))</f>
        <v/>
      </c>
      <c r="O1287" s="17" t="str">
        <f>IFERROR(IF(N1287="","",IF(INDEX(Listado!M:M,N1287)="No",IF(INDEX(Listado!N:N,N1287)=0,"",INDEX(Listado!N:N,N1287)),IF(INDEX(Listado!I:I,N1287)=0,"",INDEX(Listado!I:I,N1287)))),"")</f>
        <v/>
      </c>
      <c r="P1287" s="17">
        <f t="shared" ca="1" si="61"/>
        <v/>
      </c>
      <c r="Q1287" s="17">
        <f>IFERROR(IF(AND(N1287&lt;&gt;"",ISNUMBER(O1287),O1287&gt;0,O1287&gt;=TODAY()-90),1,0),0)</f>
        <v/>
      </c>
      <c r="R1287" s="17" t="str">
        <f t="shared" si="63"/>
        <v/>
      </c>
      <c r="S1287" s="17" t="str">
        <f>IF(INDEX(Listado!A:A,ROW())="","",INDEX(Listado!A:A,ROW()))</f>
        <v/>
      </c>
      <c r="T1287" s="17" t="str">
        <f ca="1">IF(INDEX(Listado!G:G,ROW())="","",INDEX(Listado!G:G,ROW()))</f>
        <v/>
      </c>
      <c r="U1287" s="17" t="str">
        <f>IF(INDEX(Listado!F:F,ROW())="","",INDEX(Listado!F:F,ROW()))</f>
        <v/>
      </c>
      <c r="V1287" s="17">
        <f>IF(COUNTA(INDEX(Listado!B:B,ROW()):INDEX(Listado!F:F,ROW()))&gt;0,1,0)</f>
        <v/>
      </c>
      <c r="W1287" s="17" t="str">
        <f>IF(INDEX(Listado!L:L,ROW())="","",INDEX(Listado!L:L,ROW()))</f>
        <v/>
      </c>
      <c r="X1287" s="17">
        <f>IF(N1287="","",IF(INDEX(Listado!$M:$M,N1287)="No","No","Sí"))</f>
        <v/>
      </c>
    </row>
    <row r="1288" spans="2:24" ht="14.25">
      <c r="N1288" s="17" t="str">
        <f>IF(V1288=0,"",IFERROR(LOOKUP(2,1/(INDEX(Listado!A:A,2):INDEX(Listado!A:A,ROW())&lt;&gt;""),ROW(INDEX(Listado!A:A,2):INDEX(Listado!A:A,ROW()))),""))</f>
        <v/>
      </c>
      <c r="O1288" s="17" t="str">
        <f>IFERROR(IF(N1288="","",IF(INDEX(Listado!M:M,N1288)="No",IF(INDEX(Listado!N:N,N1288)=0,"",INDEX(Listado!N:N,N1288)),IF(INDEX(Listado!I:I,N1288)=0,"",INDEX(Listado!I:I,N1288)))),"")</f>
        <v/>
      </c>
      <c r="P1288" s="17">
        <f t="shared" ca="1" si="61"/>
        <v/>
      </c>
      <c r="Q1288" s="17">
        <f>IFERROR(IF(AND(N1288&lt;&gt;"",ISNUMBER(O1288),O1288&gt;0,O1288&gt;=TODAY()-90),1,0),0)</f>
        <v/>
      </c>
      <c r="R1288" s="17" t="str">
        <f t="shared" si="63"/>
        <v/>
      </c>
      <c r="S1288" s="17" t="str">
        <f>IF(INDEX(Listado!A:A,ROW())="","",INDEX(Listado!A:A,ROW()))</f>
        <v/>
      </c>
      <c r="T1288" s="17" t="str">
        <f ca="1">IF(INDEX(Listado!G:G,ROW())="","",INDEX(Listado!G:G,ROW()))</f>
        <v/>
      </c>
      <c r="U1288" s="17" t="str">
        <f>IF(INDEX(Listado!F:F,ROW())="","",INDEX(Listado!F:F,ROW()))</f>
        <v/>
      </c>
      <c r="V1288" s="17">
        <f>IF(COUNTA(INDEX(Listado!B:B,ROW()):INDEX(Listado!F:F,ROW()))&gt;0,1,0)</f>
        <v/>
      </c>
      <c r="W1288" s="17" t="str">
        <f>IF(INDEX(Listado!L:L,ROW())="","",INDEX(Listado!L:L,ROW()))</f>
        <v/>
      </c>
      <c r="X1288" s="17">
        <f>IF(N1288="","",IF(INDEX(Listado!$M:$M,N1288)="No","No","Sí"))</f>
        <v/>
      </c>
    </row>
    <row r="1289" spans="2:24" ht="14.25">
      <c r="N1289" s="17" t="str">
        <f>IF(V1289=0,"",IFERROR(LOOKUP(2,1/(INDEX(Listado!A:A,2):INDEX(Listado!A:A,ROW())&lt;&gt;""),ROW(INDEX(Listado!A:A,2):INDEX(Listado!A:A,ROW()))),""))</f>
        <v/>
      </c>
      <c r="O1289" s="17" t="str">
        <f>IFERROR(IF(N1289="","",IF(INDEX(Listado!M:M,N1289)="No",IF(INDEX(Listado!N:N,N1289)=0,"",INDEX(Listado!N:N,N1289)),IF(INDEX(Listado!I:I,N1289)=0,"",INDEX(Listado!I:I,N1289)))),"")</f>
        <v/>
      </c>
      <c r="P1289" s="17">
        <f t="shared" ca="1" si="61"/>
        <v/>
      </c>
      <c r="Q1289" s="17">
        <f>IFERROR(IF(AND(N1289&lt;&gt;"",ISNUMBER(O1289),O1289&gt;0,O1289&gt;=TODAY()-90),1,0),0)</f>
        <v/>
      </c>
      <c r="R1289" s="17" t="str">
        <f t="shared" si="63"/>
        <v/>
      </c>
      <c r="S1289" s="17" t="str">
        <f>IF(INDEX(Listado!A:A,ROW())="","",INDEX(Listado!A:A,ROW()))</f>
        <v/>
      </c>
      <c r="T1289" s="17" t="str">
        <f ca="1">IF(INDEX(Listado!G:G,ROW())="","",INDEX(Listado!G:G,ROW()))</f>
        <v/>
      </c>
      <c r="U1289" s="17" t="str">
        <f>IF(INDEX(Listado!F:F,ROW())="","",INDEX(Listado!F:F,ROW()))</f>
        <v/>
      </c>
      <c r="V1289" s="17">
        <f>IF(COUNTA(INDEX(Listado!B:B,ROW()):INDEX(Listado!F:F,ROW()))&gt;0,1,0)</f>
        <v/>
      </c>
      <c r="W1289" s="17" t="str">
        <f>IF(INDEX(Listado!L:L,ROW())="","",INDEX(Listado!L:L,ROW()))</f>
        <v/>
      </c>
      <c r="X1289" s="17">
        <f>IF(N1289="","",IF(INDEX(Listado!$M:$M,N1289)="No","No","Sí"))</f>
        <v/>
      </c>
    </row>
    <row r="1290" spans="2:24" ht="14.25">
      <c r="N1290" s="17" t="str">
        <f>IF(V1290=0,"",IFERROR(LOOKUP(2,1/(INDEX(Listado!A:A,2):INDEX(Listado!A:A,ROW())&lt;&gt;""),ROW(INDEX(Listado!A:A,2):INDEX(Listado!A:A,ROW()))),""))</f>
        <v/>
      </c>
      <c r="O1290" s="17" t="str">
        <f>IFERROR(IF(N1290="","",IF(INDEX(Listado!M:M,N1290)="No",IF(INDEX(Listado!N:N,N1290)=0,"",INDEX(Listado!N:N,N1290)),IF(INDEX(Listado!I:I,N1290)=0,"",INDEX(Listado!I:I,N1290)))),"")</f>
        <v/>
      </c>
      <c r="P1290" s="17">
        <f t="shared" ca="1" si="61"/>
        <v/>
      </c>
      <c r="Q1290" s="17">
        <f>IFERROR(IF(AND(N1290&lt;&gt;"",ISNUMBER(O1290),O1290&gt;0,O1290&gt;=TODAY()-90),1,0),0)</f>
        <v/>
      </c>
      <c r="R1290" s="17" t="str">
        <f t="shared" si="63"/>
        <v/>
      </c>
      <c r="S1290" s="17" t="str">
        <f>IF(INDEX(Listado!A:A,ROW())="","",INDEX(Listado!A:A,ROW()))</f>
        <v/>
      </c>
      <c r="T1290" s="17" t="str">
        <f ca="1">IF(INDEX(Listado!G:G,ROW())="","",INDEX(Listado!G:G,ROW()))</f>
        <v/>
      </c>
      <c r="U1290" s="17" t="str">
        <f>IF(INDEX(Listado!F:F,ROW())="","",INDEX(Listado!F:F,ROW()))</f>
        <v/>
      </c>
      <c r="V1290" s="17">
        <f>IF(COUNTA(INDEX(Listado!B:B,ROW()):INDEX(Listado!F:F,ROW()))&gt;0,1,0)</f>
        <v/>
      </c>
      <c r="W1290" s="17" t="str">
        <f>IF(INDEX(Listado!L:L,ROW())="","",INDEX(Listado!L:L,ROW()))</f>
        <v/>
      </c>
      <c r="X1290" s="17">
        <f>IF(N1290="","",IF(INDEX(Listado!$M:$M,N1290)="No","No","Sí"))</f>
        <v/>
      </c>
    </row>
    <row r="1291" spans="2:24" ht="14.25">
      <c r="N1291" s="17" t="str">
        <f>IF(V1291=0,"",IFERROR(LOOKUP(2,1/(INDEX(Listado!A:A,2):INDEX(Listado!A:A,ROW())&lt;&gt;""),ROW(INDEX(Listado!A:A,2):INDEX(Listado!A:A,ROW()))),""))</f>
        <v/>
      </c>
      <c r="O1291" s="17" t="str">
        <f>IFERROR(IF(N1291="","",IF(INDEX(Listado!M:M,N1291)="No",IF(INDEX(Listado!N:N,N1291)=0,"",INDEX(Listado!N:N,N1291)),IF(INDEX(Listado!I:I,N1291)=0,"",INDEX(Listado!I:I,N1291)))),"")</f>
        <v/>
      </c>
      <c r="P1291" s="17">
        <f t="shared" ca="1" si="61"/>
        <v/>
      </c>
      <c r="Q1291" s="17">
        <f>IFERROR(IF(AND(N1291&lt;&gt;"",ISNUMBER(O1291),O1291&gt;0,O1291&gt;=TODAY()-90),1,0),0)</f>
        <v/>
      </c>
      <c r="R1291" s="17" t="str">
        <f t="shared" si="63"/>
        <v/>
      </c>
      <c r="S1291" s="17" t="str">
        <f>IF(INDEX(Listado!A:A,ROW())="","",INDEX(Listado!A:A,ROW()))</f>
        <v/>
      </c>
      <c r="T1291" s="17" t="str">
        <f ca="1">IF(INDEX(Listado!G:G,ROW())="","",INDEX(Listado!G:G,ROW()))</f>
        <v/>
      </c>
      <c r="U1291" s="17" t="str">
        <f>IF(INDEX(Listado!F:F,ROW())="","",INDEX(Listado!F:F,ROW()))</f>
        <v/>
      </c>
      <c r="V1291" s="17">
        <f>IF(COUNTA(INDEX(Listado!B:B,ROW()):INDEX(Listado!F:F,ROW()))&gt;0,1,0)</f>
        <v/>
      </c>
      <c r="W1291" s="17" t="str">
        <f>IF(INDEX(Listado!L:L,ROW())="","",INDEX(Listado!L:L,ROW()))</f>
        <v/>
      </c>
      <c r="X1291" s="17">
        <f>IF(N1291="","",IF(INDEX(Listado!$M:$M,N1291)="No","No","Sí"))</f>
        <v/>
      </c>
    </row>
    <row r="1292" spans="2:24" ht="14.25">
      <c r="N1292" s="17" t="str">
        <f>IF(V1292=0,"",IFERROR(LOOKUP(2,1/(INDEX(Listado!A:A,2):INDEX(Listado!A:A,ROW())&lt;&gt;""),ROW(INDEX(Listado!A:A,2):INDEX(Listado!A:A,ROW()))),""))</f>
        <v/>
      </c>
      <c r="O1292" s="17" t="str">
        <f>IFERROR(IF(N1292="","",IF(INDEX(Listado!M:M,N1292)="No",IF(INDEX(Listado!N:N,N1292)=0,"",INDEX(Listado!N:N,N1292)),IF(INDEX(Listado!I:I,N1292)=0,"",INDEX(Listado!I:I,N1292)))),"")</f>
        <v/>
      </c>
      <c r="P1292" s="17">
        <f t="shared" ca="1" si="61"/>
        <v/>
      </c>
      <c r="Q1292" s="17">
        <f>IFERROR(IF(AND(N1292&lt;&gt;"",ISNUMBER(O1292),O1292&gt;0,O1292&gt;=TODAY()-90),1,0),0)</f>
        <v/>
      </c>
      <c r="R1292" s="17" t="str">
        <f t="shared" si="63"/>
        <v/>
      </c>
      <c r="S1292" s="17" t="str">
        <f>IF(INDEX(Listado!A:A,ROW())="","",INDEX(Listado!A:A,ROW()))</f>
        <v/>
      </c>
      <c r="T1292" s="17" t="str">
        <f ca="1">IF(INDEX(Listado!G:G,ROW())="","",INDEX(Listado!G:G,ROW()))</f>
        <v/>
      </c>
      <c r="U1292" s="17" t="str">
        <f>IF(INDEX(Listado!F:F,ROW())="","",INDEX(Listado!F:F,ROW()))</f>
        <v/>
      </c>
      <c r="V1292" s="17">
        <f>IF(COUNTA(INDEX(Listado!B:B,ROW()):INDEX(Listado!F:F,ROW()))&gt;0,1,0)</f>
        <v/>
      </c>
      <c r="W1292" s="17" t="str">
        <f>IF(INDEX(Listado!L:L,ROW())="","",INDEX(Listado!L:L,ROW()))</f>
        <v/>
      </c>
      <c r="X1292" s="17">
        <f>IF(N1292="","",IF(INDEX(Listado!$M:$M,N1292)="No","No","Sí"))</f>
        <v/>
      </c>
    </row>
    <row r="1293" spans="2:24" ht="14.25">
      <c r="N1293" s="17" t="str">
        <f>IF(V1293=0,"",IFERROR(LOOKUP(2,1/(INDEX(Listado!A:A,2):INDEX(Listado!A:A,ROW())&lt;&gt;""),ROW(INDEX(Listado!A:A,2):INDEX(Listado!A:A,ROW()))),""))</f>
        <v/>
      </c>
      <c r="O1293" s="17" t="str">
        <f>IFERROR(IF(N1293="","",IF(INDEX(Listado!M:M,N1293)="No",IF(INDEX(Listado!N:N,N1293)=0,"",INDEX(Listado!N:N,N1293)),IF(INDEX(Listado!I:I,N1293)=0,"",INDEX(Listado!I:I,N1293)))),"")</f>
        <v/>
      </c>
      <c r="P1293" s="17">
        <f t="shared" ca="1" si="61"/>
        <v/>
      </c>
      <c r="Q1293" s="17">
        <f>IFERROR(IF(AND(N1293&lt;&gt;"",ISNUMBER(O1293),O1293&gt;0,O1293&gt;=TODAY()-90),1,0),0)</f>
        <v/>
      </c>
      <c r="R1293" s="17" t="str">
        <f t="shared" si="63"/>
        <v/>
      </c>
      <c r="S1293" s="17" t="str">
        <f>IF(INDEX(Listado!A:A,ROW())="","",INDEX(Listado!A:A,ROW()))</f>
        <v/>
      </c>
      <c r="T1293" s="17" t="str">
        <f ca="1">IF(INDEX(Listado!G:G,ROW())="","",INDEX(Listado!G:G,ROW()))</f>
        <v/>
      </c>
      <c r="U1293" s="17" t="str">
        <f>IF(INDEX(Listado!F:F,ROW())="","",INDEX(Listado!F:F,ROW()))</f>
        <v/>
      </c>
      <c r="V1293" s="17">
        <f>IF(COUNTA(INDEX(Listado!B:B,ROW()):INDEX(Listado!F:F,ROW()))&gt;0,1,0)</f>
        <v/>
      </c>
      <c r="W1293" s="17" t="str">
        <f>IF(INDEX(Listado!L:L,ROW())="","",INDEX(Listado!L:L,ROW()))</f>
        <v/>
      </c>
      <c r="X1293" s="17">
        <f>IF(N1293="","",IF(INDEX(Listado!$M:$M,N1293)="No","No","Sí"))</f>
        <v/>
      </c>
    </row>
    <row r="1294" spans="2:24" ht="14.25">
      <c r="N1294" s="17" t="str">
        <f>IF(V1294=0,"",IFERROR(LOOKUP(2,1/(INDEX(Listado!A:A,2):INDEX(Listado!A:A,ROW())&lt;&gt;""),ROW(INDEX(Listado!A:A,2):INDEX(Listado!A:A,ROW()))),""))</f>
        <v/>
      </c>
      <c r="O1294" s="17" t="str">
        <f>IFERROR(IF(N1294="","",IF(INDEX(Listado!M:M,N1294)="No",IF(INDEX(Listado!N:N,N1294)=0,"",INDEX(Listado!N:N,N1294)),IF(INDEX(Listado!I:I,N1294)=0,"",INDEX(Listado!I:I,N1294)))),"")</f>
        <v/>
      </c>
      <c r="P1294" s="17">
        <f t="shared" ca="1" si="61"/>
        <v/>
      </c>
      <c r="Q1294" s="17">
        <f>IFERROR(IF(AND(N1294&lt;&gt;"",ISNUMBER(O1294),O1294&gt;0,O1294&gt;=TODAY()-90),1,0),0)</f>
        <v/>
      </c>
      <c r="R1294" s="17" t="str">
        <f t="shared" si="63"/>
        <v/>
      </c>
      <c r="S1294" s="17" t="str">
        <f>IF(INDEX(Listado!A:A,ROW())="","",INDEX(Listado!A:A,ROW()))</f>
        <v/>
      </c>
      <c r="T1294" s="17" t="str">
        <f ca="1">IF(INDEX(Listado!G:G,ROW())="","",INDEX(Listado!G:G,ROW()))</f>
        <v/>
      </c>
      <c r="U1294" s="17" t="str">
        <f>IF(INDEX(Listado!F:F,ROW())="","",INDEX(Listado!F:F,ROW()))</f>
        <v/>
      </c>
      <c r="V1294" s="17">
        <f>IF(COUNTA(INDEX(Listado!B:B,ROW()):INDEX(Listado!F:F,ROW()))&gt;0,1,0)</f>
        <v/>
      </c>
      <c r="W1294" s="17" t="str">
        <f>IF(INDEX(Listado!L:L,ROW())="","",INDEX(Listado!L:L,ROW()))</f>
        <v/>
      </c>
      <c r="X1294" s="17">
        <f>IF(N1294="","",IF(INDEX(Listado!$M:$M,N1294)="No","No","Sí"))</f>
        <v/>
      </c>
    </row>
    <row r="1295" spans="2:24" ht="14.25">
      <c r="N1295" s="17" t="str">
        <f>IF(V1295=0,"",IFERROR(LOOKUP(2,1/(INDEX(Listado!A:A,2):INDEX(Listado!A:A,ROW())&lt;&gt;""),ROW(INDEX(Listado!A:A,2):INDEX(Listado!A:A,ROW()))),""))</f>
        <v/>
      </c>
      <c r="O1295" s="17" t="str">
        <f>IFERROR(IF(N1295="","",IF(INDEX(Listado!M:M,N1295)="No",IF(INDEX(Listado!N:N,N1295)=0,"",INDEX(Listado!N:N,N1295)),IF(INDEX(Listado!I:I,N1295)=0,"",INDEX(Listado!I:I,N1295)))),"")</f>
        <v/>
      </c>
      <c r="P1295" s="17">
        <f t="shared" ca="1" si="61"/>
        <v/>
      </c>
      <c r="Q1295" s="17">
        <f>IFERROR(IF(AND(N1295&lt;&gt;"",ISNUMBER(O1295),O1295&gt;0,O1295&gt;=TODAY()-90),1,0),0)</f>
        <v/>
      </c>
      <c r="R1295" s="17" t="str">
        <f t="shared" si="63"/>
        <v/>
      </c>
      <c r="S1295" s="17" t="str">
        <f>IF(INDEX(Listado!A:A,ROW())="","",INDEX(Listado!A:A,ROW()))</f>
        <v/>
      </c>
      <c r="T1295" s="17" t="str">
        <f ca="1">IF(INDEX(Listado!G:G,ROW())="","",INDEX(Listado!G:G,ROW()))</f>
        <v/>
      </c>
      <c r="U1295" s="17" t="str">
        <f>IF(INDEX(Listado!F:F,ROW())="","",INDEX(Listado!F:F,ROW()))</f>
        <v/>
      </c>
      <c r="V1295" s="17">
        <f>IF(COUNTA(INDEX(Listado!B:B,ROW()):INDEX(Listado!F:F,ROW()))&gt;0,1,0)</f>
        <v/>
      </c>
      <c r="W1295" s="17" t="str">
        <f>IF(INDEX(Listado!L:L,ROW())="","",INDEX(Listado!L:L,ROW()))</f>
        <v/>
      </c>
      <c r="X1295" s="17">
        <f>IF(N1295="","",IF(INDEX(Listado!$M:$M,N1295)="No","No","Sí"))</f>
        <v/>
      </c>
    </row>
    <row r="1296" spans="2:24" ht="14.25">
      <c r="N1296" s="17" t="str">
        <f>IF(V1296=0,"",IFERROR(LOOKUP(2,1/(INDEX(Listado!A:A,2):INDEX(Listado!A:A,ROW())&lt;&gt;""),ROW(INDEX(Listado!A:A,2):INDEX(Listado!A:A,ROW()))),""))</f>
        <v/>
      </c>
      <c r="O1296" s="17" t="str">
        <f>IFERROR(IF(N1296="","",IF(INDEX(Listado!M:M,N1296)="No",IF(INDEX(Listado!N:N,N1296)=0,"",INDEX(Listado!N:N,N1296)),IF(INDEX(Listado!I:I,N1296)=0,"",INDEX(Listado!I:I,N1296)))),"")</f>
        <v/>
      </c>
      <c r="P1296" s="17">
        <f t="shared" ca="1" si="61"/>
        <v/>
      </c>
      <c r="Q1296" s="17">
        <f>IFERROR(IF(AND(N1296&lt;&gt;"",ISNUMBER(O1296),O1296&gt;0,O1296&gt;=TODAY()-90),1,0),0)</f>
        <v/>
      </c>
      <c r="R1296" s="17" t="str">
        <f t="shared" si="63"/>
        <v/>
      </c>
      <c r="S1296" s="17" t="str">
        <f>IF(INDEX(Listado!A:A,ROW())="","",INDEX(Listado!A:A,ROW()))</f>
        <v/>
      </c>
      <c r="T1296" s="17" t="str">
        <f ca="1">IF(INDEX(Listado!G:G,ROW())="","",INDEX(Listado!G:G,ROW()))</f>
        <v/>
      </c>
      <c r="U1296" s="17" t="str">
        <f>IF(INDEX(Listado!F:F,ROW())="","",INDEX(Listado!F:F,ROW()))</f>
        <v/>
      </c>
      <c r="V1296" s="17">
        <f>IF(COUNTA(INDEX(Listado!B:B,ROW()):INDEX(Listado!F:F,ROW()))&gt;0,1,0)</f>
        <v/>
      </c>
      <c r="W1296" s="17" t="str">
        <f>IF(INDEX(Listado!L:L,ROW())="","",INDEX(Listado!L:L,ROW()))</f>
        <v/>
      </c>
      <c r="X1296" s="17">
        <f>IF(N1296="","",IF(INDEX(Listado!$M:$M,N1296)="No","No","Sí"))</f>
        <v/>
      </c>
    </row>
    <row r="1297" spans="2:24" ht="14.25">
      <c r="N1297" s="17" t="str">
        <f>IF(V1297=0,"",IFERROR(LOOKUP(2,1/(INDEX(Listado!A:A,2):INDEX(Listado!A:A,ROW())&lt;&gt;""),ROW(INDEX(Listado!A:A,2):INDEX(Listado!A:A,ROW()))),""))</f>
        <v/>
      </c>
      <c r="O1297" s="17" t="str">
        <f>IFERROR(IF(N1297="","",IF(INDEX(Listado!M:M,N1297)="No",IF(INDEX(Listado!N:N,N1297)=0,"",INDEX(Listado!N:N,N1297)),IF(INDEX(Listado!I:I,N1297)=0,"",INDEX(Listado!I:I,N1297)))),"")</f>
        <v/>
      </c>
      <c r="P1297" s="17">
        <f t="shared" ca="1" si="61"/>
        <v/>
      </c>
      <c r="Q1297" s="17">
        <f>IFERROR(IF(AND(N1297&lt;&gt;"",ISNUMBER(O1297),O1297&gt;0,O1297&gt;=TODAY()-90),1,0),0)</f>
        <v/>
      </c>
      <c r="R1297" s="17" t="str">
        <f t="shared" si="63"/>
        <v/>
      </c>
      <c r="S1297" s="17" t="str">
        <f>IF(INDEX(Listado!A:A,ROW())="","",INDEX(Listado!A:A,ROW()))</f>
        <v/>
      </c>
      <c r="T1297" s="17" t="str">
        <f ca="1">IF(INDEX(Listado!G:G,ROW())="","",INDEX(Listado!G:G,ROW()))</f>
        <v/>
      </c>
      <c r="U1297" s="17" t="str">
        <f>IF(INDEX(Listado!F:F,ROW())="","",INDEX(Listado!F:F,ROW()))</f>
        <v/>
      </c>
      <c r="V1297" s="17">
        <f>IF(COUNTA(INDEX(Listado!B:B,ROW()):INDEX(Listado!F:F,ROW()))&gt;0,1,0)</f>
        <v/>
      </c>
      <c r="W1297" s="17" t="str">
        <f>IF(INDEX(Listado!L:L,ROW())="","",INDEX(Listado!L:L,ROW()))</f>
        <v/>
      </c>
      <c r="X1297" s="17">
        <f>IF(N1297="","",IF(INDEX(Listado!$M:$M,N1297)="No","No","Sí"))</f>
        <v/>
      </c>
    </row>
    <row r="1298" spans="2:24" ht="14.25">
      <c r="N1298" s="17" t="str">
        <f>IF(V1298=0,"",IFERROR(LOOKUP(2,1/(INDEX(Listado!A:A,2):INDEX(Listado!A:A,ROW())&lt;&gt;""),ROW(INDEX(Listado!A:A,2):INDEX(Listado!A:A,ROW()))),""))</f>
        <v/>
      </c>
      <c r="O1298" s="17" t="str">
        <f>IFERROR(IF(N1298="","",IF(INDEX(Listado!M:M,N1298)="No",IF(INDEX(Listado!N:N,N1298)=0,"",INDEX(Listado!N:N,N1298)),IF(INDEX(Listado!I:I,N1298)=0,"",INDEX(Listado!I:I,N1298)))),"")</f>
        <v/>
      </c>
      <c r="P1298" s="17">
        <f t="shared" ca="1" si="61"/>
        <v/>
      </c>
      <c r="Q1298" s="17">
        <f>IFERROR(IF(AND(N1298&lt;&gt;"",ISNUMBER(O1298),O1298&gt;0,O1298&gt;=TODAY()-90),1,0),0)</f>
        <v/>
      </c>
      <c r="R1298" s="17" t="str">
        <f t="shared" si="63"/>
        <v/>
      </c>
      <c r="S1298" s="17" t="str">
        <f>IF(INDEX(Listado!A:A,ROW())="","",INDEX(Listado!A:A,ROW()))</f>
        <v/>
      </c>
      <c r="T1298" s="17" t="str">
        <f ca="1">IF(INDEX(Listado!G:G,ROW())="","",INDEX(Listado!G:G,ROW()))</f>
        <v/>
      </c>
      <c r="U1298" s="17" t="str">
        <f>IF(INDEX(Listado!F:F,ROW())="","",INDEX(Listado!F:F,ROW()))</f>
        <v/>
      </c>
      <c r="V1298" s="17">
        <f>IF(COUNTA(INDEX(Listado!B:B,ROW()):INDEX(Listado!F:F,ROW()))&gt;0,1,0)</f>
        <v/>
      </c>
      <c r="W1298" s="17" t="str">
        <f>IF(INDEX(Listado!L:L,ROW())="","",INDEX(Listado!L:L,ROW()))</f>
        <v/>
      </c>
      <c r="X1298" s="17">
        <f>IF(N1298="","",IF(INDEX(Listado!$M:$M,N1298)="No","No","Sí"))</f>
        <v/>
      </c>
    </row>
    <row r="1299" spans="2:24" ht="14.25">
      <c r="N1299" s="17" t="str">
        <f>IF(V1299=0,"",IFERROR(LOOKUP(2,1/(INDEX(Listado!A:A,2):INDEX(Listado!A:A,ROW())&lt;&gt;""),ROW(INDEX(Listado!A:A,2):INDEX(Listado!A:A,ROW()))),""))</f>
        <v/>
      </c>
      <c r="O1299" s="17" t="str">
        <f>IFERROR(IF(N1299="","",IF(INDEX(Listado!M:M,N1299)="No",IF(INDEX(Listado!N:N,N1299)=0,"",INDEX(Listado!N:N,N1299)),IF(INDEX(Listado!I:I,N1299)=0,"",INDEX(Listado!I:I,N1299)))),"")</f>
        <v/>
      </c>
      <c r="P1299" s="17">
        <f t="shared" ca="1" si="61"/>
        <v/>
      </c>
      <c r="Q1299" s="17">
        <f>IFERROR(IF(AND(N1299&lt;&gt;"",ISNUMBER(O1299),O1299&gt;0,O1299&gt;=TODAY()-90),1,0),0)</f>
        <v/>
      </c>
      <c r="R1299" s="17" t="str">
        <f t="shared" si="63"/>
        <v/>
      </c>
      <c r="S1299" s="17" t="str">
        <f>IF(INDEX(Listado!A:A,ROW())="","",INDEX(Listado!A:A,ROW()))</f>
        <v/>
      </c>
      <c r="T1299" s="17" t="str">
        <f ca="1">IF(INDEX(Listado!G:G,ROW())="","",INDEX(Listado!G:G,ROW()))</f>
        <v/>
      </c>
      <c r="U1299" s="17" t="str">
        <f>IF(INDEX(Listado!F:F,ROW())="","",INDEX(Listado!F:F,ROW()))</f>
        <v/>
      </c>
      <c r="V1299" s="17">
        <f>IF(COUNTA(INDEX(Listado!B:B,ROW()):INDEX(Listado!F:F,ROW()))&gt;0,1,0)</f>
        <v/>
      </c>
      <c r="W1299" s="17" t="str">
        <f>IF(INDEX(Listado!L:L,ROW())="","",INDEX(Listado!L:L,ROW()))</f>
        <v/>
      </c>
      <c r="X1299" s="17">
        <f>IF(N1299="","",IF(INDEX(Listado!$M:$M,N1299)="No","No","Sí"))</f>
        <v/>
      </c>
    </row>
    <row r="1300" spans="2:24" ht="14.25">
      <c r="N1300" s="17" t="str">
        <f>IF(V1300=0,"",IFERROR(LOOKUP(2,1/(INDEX(Listado!A:A,2):INDEX(Listado!A:A,ROW())&lt;&gt;""),ROW(INDEX(Listado!A:A,2):INDEX(Listado!A:A,ROW()))),""))</f>
        <v/>
      </c>
      <c r="O1300" s="17" t="str">
        <f>IFERROR(IF(N1300="","",IF(INDEX(Listado!M:M,N1300)="No",IF(INDEX(Listado!N:N,N1300)=0,"",INDEX(Listado!N:N,N1300)),IF(INDEX(Listado!I:I,N1300)=0,"",INDEX(Listado!I:I,N1300)))),"")</f>
        <v/>
      </c>
      <c r="P1300" s="17">
        <f t="shared" ca="1" si="61"/>
        <v/>
      </c>
      <c r="Q1300" s="17">
        <f>IFERROR(IF(AND(N1300&lt;&gt;"",ISNUMBER(O1300),O1300&gt;0,O1300&gt;=TODAY()-90),1,0),0)</f>
        <v/>
      </c>
      <c r="R1300" s="17" t="str">
        <f t="shared" si="63"/>
        <v/>
      </c>
      <c r="S1300" s="17" t="str">
        <f>IF(INDEX(Listado!A:A,ROW())="","",INDEX(Listado!A:A,ROW()))</f>
        <v/>
      </c>
      <c r="T1300" s="17" t="str">
        <f ca="1">IF(INDEX(Listado!G:G,ROW())="","",INDEX(Listado!G:G,ROW()))</f>
        <v/>
      </c>
      <c r="U1300" s="17" t="str">
        <f>IF(INDEX(Listado!F:F,ROW())="","",INDEX(Listado!F:F,ROW()))</f>
        <v/>
      </c>
      <c r="V1300" s="17">
        <f>IF(COUNTA(INDEX(Listado!B:B,ROW()):INDEX(Listado!F:F,ROW()))&gt;0,1,0)</f>
        <v/>
      </c>
      <c r="W1300" s="17" t="str">
        <f>IF(INDEX(Listado!L:L,ROW())="","",INDEX(Listado!L:L,ROW()))</f>
        <v/>
      </c>
      <c r="X1300" s="17">
        <f>IF(N1300="","",IF(INDEX(Listado!$M:$M,N1300)="No","No","Sí"))</f>
        <v/>
      </c>
    </row>
    <row r="1301" spans="2:24" ht="14.25">
      <c r="N1301" s="17" t="str">
        <f>IF(V1301=0,"",IFERROR(LOOKUP(2,1/(INDEX(Listado!A:A,2):INDEX(Listado!A:A,ROW())&lt;&gt;""),ROW(INDEX(Listado!A:A,2):INDEX(Listado!A:A,ROW()))),""))</f>
        <v/>
      </c>
      <c r="O1301" s="17" t="str">
        <f>IFERROR(IF(N1301="","",IF(INDEX(Listado!M:M,N1301)="No",IF(INDEX(Listado!N:N,N1301)=0,"",INDEX(Listado!N:N,N1301)),IF(INDEX(Listado!I:I,N1301)=0,"",INDEX(Listado!I:I,N1301)))),"")</f>
        <v/>
      </c>
      <c r="P1301" s="17">
        <f t="shared" ca="1" si="61"/>
        <v/>
      </c>
      <c r="Q1301" s="17">
        <f>IFERROR(IF(AND(N1301&lt;&gt;"",ISNUMBER(O1301),O1301&gt;0,O1301&gt;=TODAY()-90),1,0),0)</f>
        <v/>
      </c>
      <c r="R1301" s="17" t="str">
        <f t="shared" si="63"/>
        <v/>
      </c>
      <c r="S1301" s="17" t="str">
        <f>IF(INDEX(Listado!A:A,ROW())="","",INDEX(Listado!A:A,ROW()))</f>
        <v/>
      </c>
      <c r="T1301" s="17" t="str">
        <f ca="1">IF(INDEX(Listado!G:G,ROW())="","",INDEX(Listado!G:G,ROW()))</f>
        <v/>
      </c>
      <c r="U1301" s="17" t="str">
        <f>IF(INDEX(Listado!F:F,ROW())="","",INDEX(Listado!F:F,ROW()))</f>
        <v/>
      </c>
      <c r="V1301" s="17">
        <f>IF(COUNTA(INDEX(Listado!B:B,ROW()):INDEX(Listado!F:F,ROW()))&gt;0,1,0)</f>
        <v/>
      </c>
      <c r="W1301" s="17" t="str">
        <f>IF(INDEX(Listado!L:L,ROW())="","",INDEX(Listado!L:L,ROW()))</f>
        <v/>
      </c>
      <c r="X1301" s="17">
        <f>IF(N1301="","",IF(INDEX(Listado!$M:$M,N1301)="No","No","Sí"))</f>
        <v/>
      </c>
    </row>
    <row r="1302" spans="2:24" ht="14.25">
      <c r="N1302" s="17" t="str">
        <f>IF(V1302=0,"",IFERROR(LOOKUP(2,1/(INDEX(Listado!A:A,2):INDEX(Listado!A:A,ROW())&lt;&gt;""),ROW(INDEX(Listado!A:A,2):INDEX(Listado!A:A,ROW()))),""))</f>
        <v/>
      </c>
      <c r="O1302" s="17" t="str">
        <f>IFERROR(IF(N1302="","",IF(INDEX(Listado!M:M,N1302)="No",IF(INDEX(Listado!N:N,N1302)=0,"",INDEX(Listado!N:N,N1302)),IF(INDEX(Listado!I:I,N1302)=0,"",INDEX(Listado!I:I,N1302)))),"")</f>
        <v/>
      </c>
      <c r="P1302" s="17">
        <f t="shared" ca="1" si="61"/>
        <v/>
      </c>
      <c r="Q1302" s="17">
        <f>IFERROR(IF(AND(N1302&lt;&gt;"",ISNUMBER(O1302),O1302&gt;0,O1302&gt;=TODAY()-90),1,0),0)</f>
        <v/>
      </c>
      <c r="R1302" s="17" t="str">
        <f t="shared" si="63"/>
        <v/>
      </c>
      <c r="S1302" s="17" t="str">
        <f>IF(INDEX(Listado!A:A,ROW())="","",INDEX(Listado!A:A,ROW()))</f>
        <v/>
      </c>
      <c r="T1302" s="17" t="str">
        <f ca="1">IF(INDEX(Listado!G:G,ROW())="","",INDEX(Listado!G:G,ROW()))</f>
        <v/>
      </c>
      <c r="U1302" s="17" t="str">
        <f>IF(INDEX(Listado!F:F,ROW())="","",INDEX(Listado!F:F,ROW()))</f>
        <v/>
      </c>
      <c r="V1302" s="17">
        <f>IF(COUNTA(INDEX(Listado!B:B,ROW()):INDEX(Listado!F:F,ROW()))&gt;0,1,0)</f>
        <v/>
      </c>
      <c r="W1302" s="17" t="str">
        <f>IF(INDEX(Listado!L:L,ROW())="","",INDEX(Listado!L:L,ROW()))</f>
        <v/>
      </c>
      <c r="X1302" s="17">
        <f>IF(N1302="","",IF(INDEX(Listado!$M:$M,N1302)="No","No","Sí"))</f>
        <v/>
      </c>
    </row>
    <row r="1303" spans="2:24" ht="14.25">
      <c r="N1303" s="17" t="str">
        <f>IF(V1303=0,"",IFERROR(LOOKUP(2,1/(INDEX(Listado!A:A,2):INDEX(Listado!A:A,ROW())&lt;&gt;""),ROW(INDEX(Listado!A:A,2):INDEX(Listado!A:A,ROW()))),""))</f>
        <v/>
      </c>
      <c r="O1303" s="17" t="str">
        <f>IFERROR(IF(N1303="","",IF(INDEX(Listado!M:M,N1303)="No",IF(INDEX(Listado!N:N,N1303)=0,"",INDEX(Listado!N:N,N1303)),IF(INDEX(Listado!I:I,N1303)=0,"",INDEX(Listado!I:I,N1303)))),"")</f>
        <v/>
      </c>
      <c r="P1303" s="17">
        <f t="shared" ca="1" si="61"/>
        <v/>
      </c>
      <c r="Q1303" s="17">
        <f>IFERROR(IF(AND(N1303&lt;&gt;"",ISNUMBER(O1303),O1303&gt;0,O1303&gt;=TODAY()-90),1,0),0)</f>
        <v/>
      </c>
      <c r="R1303" s="17" t="str">
        <f t="shared" si="63"/>
        <v/>
      </c>
      <c r="S1303" s="17" t="str">
        <f>IF(INDEX(Listado!A:A,ROW())="","",INDEX(Listado!A:A,ROW()))</f>
        <v/>
      </c>
      <c r="T1303" s="17" t="str">
        <f ca="1">IF(INDEX(Listado!G:G,ROW())="","",INDEX(Listado!G:G,ROW()))</f>
        <v/>
      </c>
      <c r="U1303" s="17" t="str">
        <f>IF(INDEX(Listado!F:F,ROW())="","",INDEX(Listado!F:F,ROW()))</f>
        <v/>
      </c>
      <c r="V1303" s="17">
        <f>IF(COUNTA(INDEX(Listado!B:B,ROW()):INDEX(Listado!F:F,ROW()))&gt;0,1,0)</f>
        <v/>
      </c>
      <c r="W1303" s="17" t="str">
        <f>IF(INDEX(Listado!L:L,ROW())="","",INDEX(Listado!L:L,ROW()))</f>
        <v/>
      </c>
      <c r="X1303" s="17">
        <f>IF(N1303="","",IF(INDEX(Listado!$M:$M,N1303)="No","No","Sí"))</f>
        <v/>
      </c>
    </row>
    <row r="1304" spans="2:24" ht="14.25">
      <c r="N1304" s="17" t="str">
        <f>IF(V1304=0,"",IFERROR(LOOKUP(2,1/(INDEX(Listado!A:A,2):INDEX(Listado!A:A,ROW())&lt;&gt;""),ROW(INDEX(Listado!A:A,2):INDEX(Listado!A:A,ROW()))),""))</f>
        <v/>
      </c>
      <c r="O1304" s="17" t="str">
        <f>IFERROR(IF(N1304="","",IF(INDEX(Listado!M:M,N1304)="No",IF(INDEX(Listado!N:N,N1304)=0,"",INDEX(Listado!N:N,N1304)),IF(INDEX(Listado!I:I,N1304)=0,"",INDEX(Listado!I:I,N1304)))),"")</f>
        <v/>
      </c>
      <c r="P1304" s="17">
        <f t="shared" ca="1" si="61"/>
        <v/>
      </c>
      <c r="Q1304" s="17">
        <f>IFERROR(IF(AND(N1304&lt;&gt;"",ISNUMBER(O1304),O1304&gt;0,O1304&gt;=TODAY()-90),1,0),0)</f>
        <v/>
      </c>
      <c r="R1304" s="17" t="str">
        <f t="shared" si="63"/>
        <v/>
      </c>
      <c r="S1304" s="17" t="str">
        <f>IF(INDEX(Listado!A:A,ROW())="","",INDEX(Listado!A:A,ROW()))</f>
        <v/>
      </c>
      <c r="T1304" s="17" t="str">
        <f ca="1">IF(INDEX(Listado!G:G,ROW())="","",INDEX(Listado!G:G,ROW()))</f>
        <v/>
      </c>
      <c r="U1304" s="17" t="str">
        <f>IF(INDEX(Listado!F:F,ROW())="","",INDEX(Listado!F:F,ROW()))</f>
        <v/>
      </c>
      <c r="V1304" s="17">
        <f>IF(COUNTA(INDEX(Listado!B:B,ROW()):INDEX(Listado!F:F,ROW()))&gt;0,1,0)</f>
        <v/>
      </c>
      <c r="W1304" s="17" t="str">
        <f>IF(INDEX(Listado!L:L,ROW())="","",INDEX(Listado!L:L,ROW()))</f>
        <v/>
      </c>
      <c r="X1304" s="17">
        <f>IF(N1304="","",IF(INDEX(Listado!$M:$M,N1304)="No","No","Sí"))</f>
        <v/>
      </c>
    </row>
    <row r="1305" spans="2:24" ht="14.25">
      <c r="N1305" s="17" t="str">
        <f>IF(V1305=0,"",IFERROR(LOOKUP(2,1/(INDEX(Listado!A:A,2):INDEX(Listado!A:A,ROW())&lt;&gt;""),ROW(INDEX(Listado!A:A,2):INDEX(Listado!A:A,ROW()))),""))</f>
        <v/>
      </c>
      <c r="O1305" s="17" t="str">
        <f>IFERROR(IF(N1305="","",IF(INDEX(Listado!M:M,N1305)="No",IF(INDEX(Listado!N:N,N1305)=0,"",INDEX(Listado!N:N,N1305)),IF(INDEX(Listado!I:I,N1305)=0,"",INDEX(Listado!I:I,N1305)))),"")</f>
        <v/>
      </c>
      <c r="P1305" s="17">
        <f t="shared" ca="1" si="61"/>
        <v/>
      </c>
      <c r="Q1305" s="17">
        <f>IFERROR(IF(AND(N1305&lt;&gt;"",ISNUMBER(O1305),O1305&gt;0,O1305&gt;=TODAY()-90),1,0),0)</f>
        <v/>
      </c>
      <c r="R1305" s="17" t="str">
        <f t="shared" si="63"/>
        <v/>
      </c>
      <c r="S1305" s="17" t="str">
        <f>IF(INDEX(Listado!A:A,ROW())="","",INDEX(Listado!A:A,ROW()))</f>
        <v/>
      </c>
      <c r="T1305" s="17" t="str">
        <f ca="1">IF(INDEX(Listado!G:G,ROW())="","",INDEX(Listado!G:G,ROW()))</f>
        <v/>
      </c>
      <c r="U1305" s="17" t="str">
        <f>IF(INDEX(Listado!F:F,ROW())="","",INDEX(Listado!F:F,ROW()))</f>
        <v/>
      </c>
      <c r="V1305" s="17">
        <f>IF(COUNTA(INDEX(Listado!B:B,ROW()):INDEX(Listado!F:F,ROW()))&gt;0,1,0)</f>
        <v/>
      </c>
      <c r="W1305" s="17" t="str">
        <f>IF(INDEX(Listado!L:L,ROW())="","",INDEX(Listado!L:L,ROW()))</f>
        <v/>
      </c>
      <c r="X1305" s="17">
        <f>IF(N1305="","",IF(INDEX(Listado!$M:$M,N1305)="No","No","Sí"))</f>
        <v/>
      </c>
    </row>
    <row r="1306" spans="2:24" ht="14.25">
      <c r="N1306" s="17" t="str">
        <f>IF(V1306=0,"",IFERROR(LOOKUP(2,1/(INDEX(Listado!A:A,2):INDEX(Listado!A:A,ROW())&lt;&gt;""),ROW(INDEX(Listado!A:A,2):INDEX(Listado!A:A,ROW()))),""))</f>
        <v/>
      </c>
      <c r="O1306" s="17" t="str">
        <f>IFERROR(IF(N1306="","",IF(INDEX(Listado!M:M,N1306)="No",IF(INDEX(Listado!N:N,N1306)=0,"",INDEX(Listado!N:N,N1306)),IF(INDEX(Listado!I:I,N1306)=0,"",INDEX(Listado!I:I,N1306)))),"")</f>
        <v/>
      </c>
      <c r="P1306" s="17">
        <f t="shared" ca="1" si="61"/>
        <v/>
      </c>
      <c r="Q1306" s="17">
        <f>IFERROR(IF(AND(N1306&lt;&gt;"",ISNUMBER(O1306),O1306&gt;0,O1306&gt;=TODAY()-90),1,0),0)</f>
        <v/>
      </c>
      <c r="R1306" s="17" t="str">
        <f t="shared" si="63"/>
        <v/>
      </c>
      <c r="S1306" s="17" t="str">
        <f>IF(INDEX(Listado!A:A,ROW())="","",INDEX(Listado!A:A,ROW()))</f>
        <v/>
      </c>
      <c r="T1306" s="17" t="str">
        <f ca="1">IF(INDEX(Listado!G:G,ROW())="","",INDEX(Listado!G:G,ROW()))</f>
        <v/>
      </c>
      <c r="U1306" s="17" t="str">
        <f>IF(INDEX(Listado!F:F,ROW())="","",INDEX(Listado!F:F,ROW()))</f>
        <v/>
      </c>
      <c r="V1306" s="17">
        <f>IF(COUNTA(INDEX(Listado!B:B,ROW()):INDEX(Listado!F:F,ROW()))&gt;0,1,0)</f>
        <v/>
      </c>
      <c r="W1306" s="17" t="str">
        <f>IF(INDEX(Listado!L:L,ROW())="","",INDEX(Listado!L:L,ROW()))</f>
        <v/>
      </c>
      <c r="X1306" s="17">
        <f>IF(N1306="","",IF(INDEX(Listado!$M:$M,N1306)="No","No","Sí"))</f>
        <v/>
      </c>
    </row>
    <row r="1307" spans="2:24" ht="14.25">
      <c r="N1307" s="17" t="str">
        <f>IF(V1307=0,"",IFERROR(LOOKUP(2,1/(INDEX(Listado!A:A,2):INDEX(Listado!A:A,ROW())&lt;&gt;""),ROW(INDEX(Listado!A:A,2):INDEX(Listado!A:A,ROW()))),""))</f>
        <v/>
      </c>
      <c r="O1307" s="17" t="str">
        <f>IFERROR(IF(N1307="","",IF(INDEX(Listado!M:M,N1307)="No",IF(INDEX(Listado!N:N,N1307)=0,"",INDEX(Listado!N:N,N1307)),IF(INDEX(Listado!I:I,N1307)=0,"",INDEX(Listado!I:I,N1307)))),"")</f>
        <v/>
      </c>
      <c r="P1307" s="17">
        <f t="shared" ca="1" si="61"/>
        <v/>
      </c>
      <c r="Q1307" s="17">
        <f>IFERROR(IF(AND(N1307&lt;&gt;"",ISNUMBER(O1307),O1307&gt;0,O1307&gt;=TODAY()-90),1,0),0)</f>
        <v/>
      </c>
      <c r="R1307" s="17" t="str">
        <f t="shared" si="63"/>
        <v/>
      </c>
      <c r="S1307" s="17" t="str">
        <f>IF(INDEX(Listado!A:A,ROW())="","",INDEX(Listado!A:A,ROW()))</f>
        <v/>
      </c>
      <c r="T1307" s="17" t="str">
        <f ca="1">IF(INDEX(Listado!G:G,ROW())="","",INDEX(Listado!G:G,ROW()))</f>
        <v/>
      </c>
      <c r="U1307" s="17" t="str">
        <f>IF(INDEX(Listado!F:F,ROW())="","",INDEX(Listado!F:F,ROW()))</f>
        <v/>
      </c>
      <c r="V1307" s="17">
        <f>IF(COUNTA(INDEX(Listado!B:B,ROW()):INDEX(Listado!F:F,ROW()))&gt;0,1,0)</f>
        <v/>
      </c>
      <c r="W1307" s="17" t="str">
        <f>IF(INDEX(Listado!L:L,ROW())="","",INDEX(Listado!L:L,ROW()))</f>
        <v/>
      </c>
      <c r="X1307" s="17">
        <f>IF(N1307="","",IF(INDEX(Listado!$M:$M,N1307)="No","No","Sí"))</f>
        <v/>
      </c>
    </row>
    <row r="1308" spans="2:24" ht="14.25">
      <c r="N1308" s="17" t="str">
        <f>IF(V1308=0,"",IFERROR(LOOKUP(2,1/(INDEX(Listado!A:A,2):INDEX(Listado!A:A,ROW())&lt;&gt;""),ROW(INDEX(Listado!A:A,2):INDEX(Listado!A:A,ROW()))),""))</f>
        <v/>
      </c>
      <c r="O1308" s="17" t="str">
        <f>IFERROR(IF(N1308="","",IF(INDEX(Listado!M:M,N1308)="No",IF(INDEX(Listado!N:N,N1308)=0,"",INDEX(Listado!N:N,N1308)),IF(INDEX(Listado!I:I,N1308)=0,"",INDEX(Listado!I:I,N1308)))),"")</f>
        <v/>
      </c>
      <c r="P1308" s="17">
        <f t="shared" ca="1" si="61"/>
        <v/>
      </c>
      <c r="Q1308" s="17">
        <f>IFERROR(IF(AND(N1308&lt;&gt;"",ISNUMBER(O1308),O1308&gt;0,O1308&gt;=TODAY()-90),1,0),0)</f>
        <v/>
      </c>
      <c r="R1308" s="17" t="str">
        <f t="shared" si="63"/>
        <v/>
      </c>
      <c r="S1308" s="17" t="str">
        <f>IF(INDEX(Listado!A:A,ROW())="","",INDEX(Listado!A:A,ROW()))</f>
        <v/>
      </c>
      <c r="T1308" s="17" t="str">
        <f ca="1">IF(INDEX(Listado!G:G,ROW())="","",INDEX(Listado!G:G,ROW()))</f>
        <v/>
      </c>
      <c r="U1308" s="17" t="str">
        <f>IF(INDEX(Listado!F:F,ROW())="","",INDEX(Listado!F:F,ROW()))</f>
        <v/>
      </c>
      <c r="V1308" s="17">
        <f>IF(COUNTA(INDEX(Listado!B:B,ROW()):INDEX(Listado!F:F,ROW()))&gt;0,1,0)</f>
        <v/>
      </c>
      <c r="W1308" s="17" t="str">
        <f>IF(INDEX(Listado!L:L,ROW())="","",INDEX(Listado!L:L,ROW()))</f>
        <v/>
      </c>
      <c r="X1308" s="17">
        <f>IF(N1308="","",IF(INDEX(Listado!$M:$M,N1308)="No","No","Sí"))</f>
        <v/>
      </c>
    </row>
    <row r="1309" spans="2:24" ht="14.25">
      <c r="N1309" s="17" t="str">
        <f>IF(V1309=0,"",IFERROR(LOOKUP(2,1/(INDEX(Listado!A:A,2):INDEX(Listado!A:A,ROW())&lt;&gt;""),ROW(INDEX(Listado!A:A,2):INDEX(Listado!A:A,ROW()))),""))</f>
        <v/>
      </c>
      <c r="O1309" s="17" t="str">
        <f>IFERROR(IF(N1309="","",IF(INDEX(Listado!M:M,N1309)="No",IF(INDEX(Listado!N:N,N1309)=0,"",INDEX(Listado!N:N,N1309)),IF(INDEX(Listado!I:I,N1309)=0,"",INDEX(Listado!I:I,N1309)))),"")</f>
        <v/>
      </c>
      <c r="P1309" s="17">
        <f t="shared" ca="1" si="61"/>
        <v/>
      </c>
      <c r="Q1309" s="17">
        <f>IFERROR(IF(AND(N1309&lt;&gt;"",ISNUMBER(O1309),O1309&gt;0,O1309&gt;=TODAY()-90),1,0),0)</f>
        <v/>
      </c>
      <c r="R1309" s="17" t="str">
        <f t="shared" si="63"/>
        <v/>
      </c>
      <c r="S1309" s="17" t="str">
        <f>IF(INDEX(Listado!A:A,ROW())="","",INDEX(Listado!A:A,ROW()))</f>
        <v/>
      </c>
      <c r="T1309" s="17" t="str">
        <f ca="1">IF(INDEX(Listado!G:G,ROW())="","",INDEX(Listado!G:G,ROW()))</f>
        <v/>
      </c>
      <c r="U1309" s="17" t="str">
        <f>IF(INDEX(Listado!F:F,ROW())="","",INDEX(Listado!F:F,ROW()))</f>
        <v/>
      </c>
      <c r="V1309" s="17">
        <f>IF(COUNTA(INDEX(Listado!B:B,ROW()):INDEX(Listado!F:F,ROW()))&gt;0,1,0)</f>
        <v/>
      </c>
      <c r="W1309" s="17" t="str">
        <f>IF(INDEX(Listado!L:L,ROW())="","",INDEX(Listado!L:L,ROW()))</f>
        <v/>
      </c>
      <c r="X1309" s="17">
        <f>IF(N1309="","",IF(INDEX(Listado!$M:$M,N1309)="No","No","Sí"))</f>
        <v/>
      </c>
    </row>
    <row r="1310" spans="2:24" ht="14.25">
      <c r="N1310" s="17" t="str">
        <f>IF(V1310=0,"",IFERROR(LOOKUP(2,1/(INDEX(Listado!A:A,2):INDEX(Listado!A:A,ROW())&lt;&gt;""),ROW(INDEX(Listado!A:A,2):INDEX(Listado!A:A,ROW()))),""))</f>
        <v/>
      </c>
      <c r="O1310" s="17" t="str">
        <f>IFERROR(IF(N1310="","",IF(INDEX(Listado!M:M,N1310)="No",IF(INDEX(Listado!N:N,N1310)=0,"",INDEX(Listado!N:N,N1310)),IF(INDEX(Listado!I:I,N1310)=0,"",INDEX(Listado!I:I,N1310)))),"")</f>
        <v/>
      </c>
      <c r="P1310" s="17">
        <f t="shared" ca="1" si="61"/>
        <v/>
      </c>
      <c r="Q1310" s="17">
        <f>IFERROR(IF(AND(N1310&lt;&gt;"",ISNUMBER(O1310),O1310&gt;0,O1310&gt;=TODAY()-90),1,0),0)</f>
        <v/>
      </c>
      <c r="R1310" s="17" t="str">
        <f t="shared" si="63"/>
        <v/>
      </c>
      <c r="S1310" s="17" t="str">
        <f>IF(INDEX(Listado!A:A,ROW())="","",INDEX(Listado!A:A,ROW()))</f>
        <v/>
      </c>
      <c r="T1310" s="17" t="str">
        <f ca="1">IF(INDEX(Listado!G:G,ROW())="","",INDEX(Listado!G:G,ROW()))</f>
        <v/>
      </c>
      <c r="U1310" s="17" t="str">
        <f>IF(INDEX(Listado!F:F,ROW())="","",INDEX(Listado!F:F,ROW()))</f>
        <v/>
      </c>
      <c r="V1310" s="17">
        <f>IF(COUNTA(INDEX(Listado!B:B,ROW()):INDEX(Listado!F:F,ROW()))&gt;0,1,0)</f>
        <v/>
      </c>
      <c r="W1310" s="17" t="str">
        <f>IF(INDEX(Listado!L:L,ROW())="","",INDEX(Listado!L:L,ROW()))</f>
        <v/>
      </c>
      <c r="X1310" s="17">
        <f>IF(N1310="","",IF(INDEX(Listado!$M:$M,N1310)="No","No","Sí"))</f>
        <v/>
      </c>
    </row>
    <row r="1311" spans="2:24" ht="14.25">
      <c r="N1311" s="17" t="str">
        <f>IF(V1311=0,"",IFERROR(LOOKUP(2,1/(INDEX(Listado!A:A,2):INDEX(Listado!A:A,ROW())&lt;&gt;""),ROW(INDEX(Listado!A:A,2):INDEX(Listado!A:A,ROW()))),""))</f>
        <v/>
      </c>
      <c r="O1311" s="17" t="str">
        <f>IFERROR(IF(N1311="","",IF(INDEX(Listado!M:M,N1311)="No",IF(INDEX(Listado!N:N,N1311)=0,"",INDEX(Listado!N:N,N1311)),IF(INDEX(Listado!I:I,N1311)=0,"",INDEX(Listado!I:I,N1311)))),"")</f>
        <v/>
      </c>
      <c r="P1311" s="17">
        <f t="shared" ca="1" si="61"/>
        <v/>
      </c>
      <c r="Q1311" s="17">
        <f>IFERROR(IF(AND(N1311&lt;&gt;"",ISNUMBER(O1311),O1311&gt;0,O1311&gt;=TODAY()-90),1,0),0)</f>
        <v/>
      </c>
      <c r="R1311" s="17" t="str">
        <f t="shared" si="63"/>
        <v/>
      </c>
      <c r="S1311" s="17" t="str">
        <f>IF(INDEX(Listado!A:A,ROW())="","",INDEX(Listado!A:A,ROW()))</f>
        <v/>
      </c>
      <c r="T1311" s="17" t="str">
        <f ca="1">IF(INDEX(Listado!G:G,ROW())="","",INDEX(Listado!G:G,ROW()))</f>
        <v/>
      </c>
      <c r="U1311" s="17" t="str">
        <f>IF(INDEX(Listado!F:F,ROW())="","",INDEX(Listado!F:F,ROW()))</f>
        <v/>
      </c>
      <c r="V1311" s="17">
        <f>IF(COUNTA(INDEX(Listado!B:B,ROW()):INDEX(Listado!F:F,ROW()))&gt;0,1,0)</f>
        <v/>
      </c>
      <c r="W1311" s="17" t="str">
        <f>IF(INDEX(Listado!L:L,ROW())="","",INDEX(Listado!L:L,ROW()))</f>
        <v/>
      </c>
      <c r="X1311" s="17">
        <f>IF(N1311="","",IF(INDEX(Listado!$M:$M,N1311)="No","No","Sí"))</f>
        <v/>
      </c>
    </row>
    <row r="1312" spans="2:24" ht="14.25">
      <c r="N1312" s="17" t="str">
        <f>IF(V1312=0,"",IFERROR(LOOKUP(2,1/(INDEX(Listado!A:A,2):INDEX(Listado!A:A,ROW())&lt;&gt;""),ROW(INDEX(Listado!A:A,2):INDEX(Listado!A:A,ROW()))),""))</f>
        <v/>
      </c>
      <c r="O1312" s="17" t="str">
        <f>IFERROR(IF(N1312="","",IF(INDEX(Listado!M:M,N1312)="No",IF(INDEX(Listado!N:N,N1312)=0,"",INDEX(Listado!N:N,N1312)),IF(INDEX(Listado!I:I,N1312)=0,"",INDEX(Listado!I:I,N1312)))),"")</f>
        <v/>
      </c>
      <c r="P1312" s="17">
        <f t="shared" ca="1" si="61"/>
        <v/>
      </c>
      <c r="Q1312" s="17">
        <f>IFERROR(IF(AND(N1312&lt;&gt;"",ISNUMBER(O1312),O1312&gt;0,O1312&gt;=TODAY()-90),1,0),0)</f>
        <v/>
      </c>
      <c r="R1312" s="17" t="str">
        <f t="shared" si="63"/>
        <v/>
      </c>
      <c r="S1312" s="17" t="str">
        <f>IF(INDEX(Listado!A:A,ROW())="","",INDEX(Listado!A:A,ROW()))</f>
        <v/>
      </c>
      <c r="T1312" s="17" t="str">
        <f ca="1">IF(INDEX(Listado!G:G,ROW())="","",INDEX(Listado!G:G,ROW()))</f>
        <v/>
      </c>
      <c r="U1312" s="17" t="str">
        <f>IF(INDEX(Listado!F:F,ROW())="","",INDEX(Listado!F:F,ROW()))</f>
        <v/>
      </c>
      <c r="V1312" s="17">
        <f>IF(COUNTA(INDEX(Listado!B:B,ROW()):INDEX(Listado!F:F,ROW()))&gt;0,1,0)</f>
        <v/>
      </c>
      <c r="W1312" s="17" t="str">
        <f>IF(INDEX(Listado!L:L,ROW())="","",INDEX(Listado!L:L,ROW()))</f>
        <v/>
      </c>
      <c r="X1312" s="17">
        <f>IF(N1312="","",IF(INDEX(Listado!$M:$M,N1312)="No","No","Sí"))</f>
        <v/>
      </c>
    </row>
    <row r="1313" spans="2:24" ht="14.25">
      <c r="N1313" s="17" t="str">
        <f>IF(V1313=0,"",IFERROR(LOOKUP(2,1/(INDEX(Listado!A:A,2):INDEX(Listado!A:A,ROW())&lt;&gt;""),ROW(INDEX(Listado!A:A,2):INDEX(Listado!A:A,ROW()))),""))</f>
        <v/>
      </c>
      <c r="O1313" s="17" t="str">
        <f>IFERROR(IF(N1313="","",IF(INDEX(Listado!M:M,N1313)="No",IF(INDEX(Listado!N:N,N1313)=0,"",INDEX(Listado!N:N,N1313)),IF(INDEX(Listado!I:I,N1313)=0,"",INDEX(Listado!I:I,N1313)))),"")</f>
        <v/>
      </c>
      <c r="P1313" s="17">
        <f t="shared" ca="1" si="61"/>
        <v/>
      </c>
      <c r="Q1313" s="17">
        <f>IFERROR(IF(AND(N1313&lt;&gt;"",ISNUMBER(O1313),O1313&gt;0,O1313&gt;=TODAY()-90),1,0),0)</f>
        <v/>
      </c>
      <c r="R1313" s="17" t="str">
        <f t="shared" si="63"/>
        <v/>
      </c>
      <c r="S1313" s="17" t="str">
        <f>IF(INDEX(Listado!A:A,ROW())="","",INDEX(Listado!A:A,ROW()))</f>
        <v/>
      </c>
      <c r="T1313" s="17" t="str">
        <f ca="1">IF(INDEX(Listado!G:G,ROW())="","",INDEX(Listado!G:G,ROW()))</f>
        <v/>
      </c>
      <c r="U1313" s="17" t="str">
        <f>IF(INDEX(Listado!F:F,ROW())="","",INDEX(Listado!F:F,ROW()))</f>
        <v/>
      </c>
      <c r="V1313" s="17">
        <f>IF(COUNTA(INDEX(Listado!B:B,ROW()):INDEX(Listado!F:F,ROW()))&gt;0,1,0)</f>
        <v/>
      </c>
      <c r="W1313" s="17" t="str">
        <f>IF(INDEX(Listado!L:L,ROW())="","",INDEX(Listado!L:L,ROW()))</f>
        <v/>
      </c>
      <c r="X1313" s="17">
        <f>IF(N1313="","",IF(INDEX(Listado!$M:$M,N1313)="No","No","Sí"))</f>
        <v/>
      </c>
    </row>
    <row r="1314" spans="2:24" ht="14.25">
      <c r="N1314" s="17" t="str">
        <f>IF(V1314=0,"",IFERROR(LOOKUP(2,1/(INDEX(Listado!A:A,2):INDEX(Listado!A:A,ROW())&lt;&gt;""),ROW(INDEX(Listado!A:A,2):INDEX(Listado!A:A,ROW()))),""))</f>
        <v/>
      </c>
      <c r="O1314" s="17" t="str">
        <f>IFERROR(IF(N1314="","",IF(INDEX(Listado!M:M,N1314)="No",IF(INDEX(Listado!N:N,N1314)=0,"",INDEX(Listado!N:N,N1314)),IF(INDEX(Listado!I:I,N1314)=0,"",INDEX(Listado!I:I,N1314)))),"")</f>
        <v/>
      </c>
      <c r="P1314" s="17">
        <f t="shared" ca="1" si="61"/>
        <v/>
      </c>
      <c r="Q1314" s="17">
        <f>IFERROR(IF(AND(N1314&lt;&gt;"",ISNUMBER(O1314),O1314&gt;0,O1314&gt;=TODAY()-90),1,0),0)</f>
        <v/>
      </c>
      <c r="R1314" s="17" t="str">
        <f t="shared" si="63"/>
        <v/>
      </c>
      <c r="S1314" s="17" t="str">
        <f>IF(INDEX(Listado!A:A,ROW())="","",INDEX(Listado!A:A,ROW()))</f>
        <v/>
      </c>
      <c r="T1314" s="17" t="str">
        <f ca="1">IF(INDEX(Listado!G:G,ROW())="","",INDEX(Listado!G:G,ROW()))</f>
        <v/>
      </c>
      <c r="U1314" s="17" t="str">
        <f>IF(INDEX(Listado!F:F,ROW())="","",INDEX(Listado!F:F,ROW()))</f>
        <v/>
      </c>
      <c r="V1314" s="17">
        <f>IF(COUNTA(INDEX(Listado!B:B,ROW()):INDEX(Listado!F:F,ROW()))&gt;0,1,0)</f>
        <v/>
      </c>
      <c r="W1314" s="17" t="str">
        <f>IF(INDEX(Listado!L:L,ROW())="","",INDEX(Listado!L:L,ROW()))</f>
        <v/>
      </c>
      <c r="X1314" s="17">
        <f>IF(N1314="","",IF(INDEX(Listado!$M:$M,N1314)="No","No","Sí"))</f>
        <v/>
      </c>
    </row>
    <row r="1315" spans="2:24" ht="14.25">
      <c r="N1315" s="17" t="str">
        <f>IF(V1315=0,"",IFERROR(LOOKUP(2,1/(INDEX(Listado!A:A,2):INDEX(Listado!A:A,ROW())&lt;&gt;""),ROW(INDEX(Listado!A:A,2):INDEX(Listado!A:A,ROW()))),""))</f>
        <v/>
      </c>
      <c r="O1315" s="17" t="str">
        <f>IFERROR(IF(N1315="","",IF(INDEX(Listado!M:M,N1315)="No",IF(INDEX(Listado!N:N,N1315)=0,"",INDEX(Listado!N:N,N1315)),IF(INDEX(Listado!I:I,N1315)=0,"",INDEX(Listado!I:I,N1315)))),"")</f>
        <v/>
      </c>
      <c r="P1315" s="17">
        <f t="shared" ca="1" si="61"/>
        <v/>
      </c>
      <c r="Q1315" s="17">
        <f>IFERROR(IF(AND(N1315&lt;&gt;"",ISNUMBER(O1315),O1315&gt;0,O1315&gt;=TODAY()-90),1,0),0)</f>
        <v/>
      </c>
      <c r="R1315" s="17" t="str">
        <f t="shared" si="63"/>
        <v/>
      </c>
      <c r="S1315" s="17" t="str">
        <f>IF(INDEX(Listado!A:A,ROW())="","",INDEX(Listado!A:A,ROW()))</f>
        <v/>
      </c>
      <c r="T1315" s="17" t="str">
        <f ca="1">IF(INDEX(Listado!G:G,ROW())="","",INDEX(Listado!G:G,ROW()))</f>
        <v/>
      </c>
      <c r="U1315" s="17" t="str">
        <f>IF(INDEX(Listado!F:F,ROW())="","",INDEX(Listado!F:F,ROW()))</f>
        <v/>
      </c>
      <c r="V1315" s="17">
        <f>IF(COUNTA(INDEX(Listado!B:B,ROW()):INDEX(Listado!F:F,ROW()))&gt;0,1,0)</f>
        <v/>
      </c>
      <c r="W1315" s="17" t="str">
        <f>IF(INDEX(Listado!L:L,ROW())="","",INDEX(Listado!L:L,ROW()))</f>
        <v/>
      </c>
      <c r="X1315" s="17">
        <f>IF(N1315="","",IF(INDEX(Listado!$M:$M,N1315)="No","No","Sí"))</f>
        <v/>
      </c>
    </row>
    <row r="1316" spans="2:24" ht="14.25">
      <c r="N1316" s="17" t="str">
        <f>IF(V1316=0,"",IFERROR(LOOKUP(2,1/(INDEX(Listado!A:A,2):INDEX(Listado!A:A,ROW())&lt;&gt;""),ROW(INDEX(Listado!A:A,2):INDEX(Listado!A:A,ROW()))),""))</f>
        <v/>
      </c>
      <c r="O1316" s="17" t="str">
        <f>IFERROR(IF(N1316="","",IF(INDEX(Listado!M:M,N1316)="No",IF(INDEX(Listado!N:N,N1316)=0,"",INDEX(Listado!N:N,N1316)),IF(INDEX(Listado!I:I,N1316)=0,"",INDEX(Listado!I:I,N1316)))),"")</f>
        <v/>
      </c>
      <c r="P1316" s="17">
        <f t="shared" ca="1" si="61"/>
        <v/>
      </c>
      <c r="Q1316" s="17">
        <f>IFERROR(IF(AND(N1316&lt;&gt;"",ISNUMBER(O1316),O1316&gt;0,O1316&gt;=TODAY()-90),1,0),0)</f>
        <v/>
      </c>
      <c r="R1316" s="17" t="str">
        <f t="shared" si="63"/>
        <v/>
      </c>
      <c r="S1316" s="17" t="str">
        <f>IF(INDEX(Listado!A:A,ROW())="","",INDEX(Listado!A:A,ROW()))</f>
        <v/>
      </c>
      <c r="T1316" s="17" t="str">
        <f ca="1">IF(INDEX(Listado!G:G,ROW())="","",INDEX(Listado!G:G,ROW()))</f>
        <v/>
      </c>
      <c r="U1316" s="17" t="str">
        <f>IF(INDEX(Listado!F:F,ROW())="","",INDEX(Listado!F:F,ROW()))</f>
        <v/>
      </c>
      <c r="V1316" s="17">
        <f>IF(COUNTA(INDEX(Listado!B:B,ROW()):INDEX(Listado!F:F,ROW()))&gt;0,1,0)</f>
        <v/>
      </c>
      <c r="W1316" s="17" t="str">
        <f>IF(INDEX(Listado!L:L,ROW())="","",INDEX(Listado!L:L,ROW()))</f>
        <v/>
      </c>
      <c r="X1316" s="17">
        <f>IF(N1316="","",IF(INDEX(Listado!$M:$M,N1316)="No","No","Sí"))</f>
        <v/>
      </c>
    </row>
    <row r="1317" spans="2:24" ht="14.25">
      <c r="N1317" s="17" t="str">
        <f>IF(V1317=0,"",IFERROR(LOOKUP(2,1/(INDEX(Listado!A:A,2):INDEX(Listado!A:A,ROW())&lt;&gt;""),ROW(INDEX(Listado!A:A,2):INDEX(Listado!A:A,ROW()))),""))</f>
        <v/>
      </c>
      <c r="O1317" s="17" t="str">
        <f>IFERROR(IF(N1317="","",IF(INDEX(Listado!M:M,N1317)="No",IF(INDEX(Listado!N:N,N1317)=0,"",INDEX(Listado!N:N,N1317)),IF(INDEX(Listado!I:I,N1317)=0,"",INDEX(Listado!I:I,N1317)))),"")</f>
        <v/>
      </c>
      <c r="P1317" s="17">
        <f t="shared" ca="1" si="61"/>
        <v/>
      </c>
      <c r="Q1317" s="17">
        <f>IFERROR(IF(AND(N1317&lt;&gt;"",ISNUMBER(O1317),O1317&gt;0,O1317&gt;=TODAY()-90),1,0),0)</f>
        <v/>
      </c>
      <c r="R1317" s="17" t="str">
        <f t="shared" si="63"/>
        <v/>
      </c>
      <c r="S1317" s="17" t="str">
        <f>IF(INDEX(Listado!A:A,ROW())="","",INDEX(Listado!A:A,ROW()))</f>
        <v/>
      </c>
      <c r="T1317" s="17" t="str">
        <f ca="1">IF(INDEX(Listado!G:G,ROW())="","",INDEX(Listado!G:G,ROW()))</f>
        <v/>
      </c>
      <c r="U1317" s="17" t="str">
        <f>IF(INDEX(Listado!F:F,ROW())="","",INDEX(Listado!F:F,ROW()))</f>
        <v/>
      </c>
      <c r="V1317" s="17">
        <f>IF(COUNTA(INDEX(Listado!B:B,ROW()):INDEX(Listado!F:F,ROW()))&gt;0,1,0)</f>
        <v/>
      </c>
      <c r="W1317" s="17" t="str">
        <f>IF(INDEX(Listado!L:L,ROW())="","",INDEX(Listado!L:L,ROW()))</f>
        <v/>
      </c>
      <c r="X1317" s="17">
        <f>IF(N1317="","",IF(INDEX(Listado!$M:$M,N1317)="No","No","Sí"))</f>
        <v/>
      </c>
    </row>
    <row r="1318" spans="2:24" ht="14.25">
      <c r="N1318" s="17" t="str">
        <f>IF(V1318=0,"",IFERROR(LOOKUP(2,1/(INDEX(Listado!A:A,2):INDEX(Listado!A:A,ROW())&lt;&gt;""),ROW(INDEX(Listado!A:A,2):INDEX(Listado!A:A,ROW()))),""))</f>
        <v/>
      </c>
      <c r="O1318" s="17" t="str">
        <f>IFERROR(IF(N1318="","",IF(INDEX(Listado!M:M,N1318)="No",IF(INDEX(Listado!N:N,N1318)=0,"",INDEX(Listado!N:N,N1318)),IF(INDEX(Listado!I:I,N1318)=0,"",INDEX(Listado!I:I,N1318)))),"")</f>
        <v/>
      </c>
      <c r="P1318" s="17">
        <f t="shared" ca="1" si="61"/>
        <v/>
      </c>
      <c r="Q1318" s="17">
        <f>IFERROR(IF(AND(N1318&lt;&gt;"",ISNUMBER(O1318),O1318&gt;0,O1318&gt;=TODAY()-90),1,0),0)</f>
        <v/>
      </c>
      <c r="R1318" s="17" t="str">
        <f t="shared" si="63"/>
        <v/>
      </c>
      <c r="S1318" s="17" t="str">
        <f>IF(INDEX(Listado!A:A,ROW())="","",INDEX(Listado!A:A,ROW()))</f>
        <v/>
      </c>
      <c r="T1318" s="17" t="str">
        <f ca="1">IF(INDEX(Listado!G:G,ROW())="","",INDEX(Listado!G:G,ROW()))</f>
        <v/>
      </c>
      <c r="U1318" s="17" t="str">
        <f>IF(INDEX(Listado!F:F,ROW())="","",INDEX(Listado!F:F,ROW()))</f>
        <v/>
      </c>
      <c r="V1318" s="17">
        <f>IF(COUNTA(INDEX(Listado!B:B,ROW()):INDEX(Listado!F:F,ROW()))&gt;0,1,0)</f>
        <v/>
      </c>
      <c r="W1318" s="17" t="str">
        <f>IF(INDEX(Listado!L:L,ROW())="","",INDEX(Listado!L:L,ROW()))</f>
        <v/>
      </c>
      <c r="X1318" s="17">
        <f>IF(N1318="","",IF(INDEX(Listado!$M:$M,N1318)="No","No","Sí"))</f>
        <v/>
      </c>
    </row>
    <row r="1319" spans="2:24" ht="14.25">
      <c r="N1319" s="17" t="str">
        <f>IF(V1319=0,"",IFERROR(LOOKUP(2,1/(INDEX(Listado!A:A,2):INDEX(Listado!A:A,ROW())&lt;&gt;""),ROW(INDEX(Listado!A:A,2):INDEX(Listado!A:A,ROW()))),""))</f>
        <v/>
      </c>
      <c r="O1319" s="17" t="str">
        <f>IFERROR(IF(N1319="","",IF(INDEX(Listado!M:M,N1319)="No",IF(INDEX(Listado!N:N,N1319)=0,"",INDEX(Listado!N:N,N1319)),IF(INDEX(Listado!I:I,N1319)=0,"",INDEX(Listado!I:I,N1319)))),"")</f>
        <v/>
      </c>
      <c r="P1319" s="17">
        <f t="shared" ca="1" si="61"/>
        <v/>
      </c>
      <c r="Q1319" s="17">
        <f>IFERROR(IF(AND(N1319&lt;&gt;"",ISNUMBER(O1319),O1319&gt;0,O1319&gt;=TODAY()-90),1,0),0)</f>
        <v/>
      </c>
      <c r="R1319" s="17" t="str">
        <f t="shared" si="63"/>
        <v/>
      </c>
      <c r="S1319" s="17" t="str">
        <f>IF(INDEX(Listado!A:A,ROW())="","",INDEX(Listado!A:A,ROW()))</f>
        <v/>
      </c>
      <c r="T1319" s="17" t="str">
        <f ca="1">IF(INDEX(Listado!G:G,ROW())="","",INDEX(Listado!G:G,ROW()))</f>
        <v/>
      </c>
      <c r="U1319" s="17" t="str">
        <f>IF(INDEX(Listado!F:F,ROW())="","",INDEX(Listado!F:F,ROW()))</f>
        <v/>
      </c>
      <c r="V1319" s="17">
        <f>IF(COUNTA(INDEX(Listado!B:B,ROW()):INDEX(Listado!F:F,ROW()))&gt;0,1,0)</f>
        <v/>
      </c>
      <c r="W1319" s="17" t="str">
        <f>IF(INDEX(Listado!L:L,ROW())="","",INDEX(Listado!L:L,ROW()))</f>
        <v/>
      </c>
      <c r="X1319" s="17">
        <f>IF(N1319="","",IF(INDEX(Listado!$M:$M,N1319)="No","No","Sí"))</f>
        <v/>
      </c>
    </row>
    <row r="1320" spans="2:24" ht="14.25">
      <c r="N1320" s="17" t="str">
        <f>IF(V1320=0,"",IFERROR(LOOKUP(2,1/(INDEX(Listado!A:A,2):INDEX(Listado!A:A,ROW())&lt;&gt;""),ROW(INDEX(Listado!A:A,2):INDEX(Listado!A:A,ROW()))),""))</f>
        <v/>
      </c>
      <c r="O1320" s="17" t="str">
        <f>IFERROR(IF(N1320="","",IF(INDEX(Listado!M:M,N1320)="No",IF(INDEX(Listado!N:N,N1320)=0,"",INDEX(Listado!N:N,N1320)),IF(INDEX(Listado!I:I,N1320)=0,"",INDEX(Listado!I:I,N1320)))),"")</f>
        <v/>
      </c>
      <c r="P1320" s="17">
        <f t="shared" ca="1" si="61"/>
        <v/>
      </c>
      <c r="Q1320" s="17">
        <f>IFERROR(IF(AND(N1320&lt;&gt;"",ISNUMBER(O1320),O1320&gt;0,O1320&gt;=TODAY()-90),1,0),0)</f>
        <v/>
      </c>
      <c r="R1320" s="17" t="str">
        <f t="shared" si="63"/>
        <v/>
      </c>
      <c r="S1320" s="17" t="str">
        <f>IF(INDEX(Listado!A:A,ROW())="","",INDEX(Listado!A:A,ROW()))</f>
        <v/>
      </c>
      <c r="T1320" s="17" t="str">
        <f ca="1">IF(INDEX(Listado!G:G,ROW())="","",INDEX(Listado!G:G,ROW()))</f>
        <v/>
      </c>
      <c r="U1320" s="17" t="str">
        <f>IF(INDEX(Listado!F:F,ROW())="","",INDEX(Listado!F:F,ROW()))</f>
        <v/>
      </c>
      <c r="V1320" s="17">
        <f>IF(COUNTA(INDEX(Listado!B:B,ROW()):INDEX(Listado!F:F,ROW()))&gt;0,1,0)</f>
        <v/>
      </c>
      <c r="W1320" s="17" t="str">
        <f>IF(INDEX(Listado!L:L,ROW())="","",INDEX(Listado!L:L,ROW()))</f>
        <v/>
      </c>
      <c r="X1320" s="17">
        <f>IF(N1320="","",IF(INDEX(Listado!$M:$M,N1320)="No","No","Sí"))</f>
        <v/>
      </c>
    </row>
    <row r="1321" spans="2:24" ht="14.25">
      <c r="N1321" s="17" t="str">
        <f>IF(V1321=0,"",IFERROR(LOOKUP(2,1/(INDEX(Listado!A:A,2):INDEX(Listado!A:A,ROW())&lt;&gt;""),ROW(INDEX(Listado!A:A,2):INDEX(Listado!A:A,ROW()))),""))</f>
        <v/>
      </c>
      <c r="O1321" s="17" t="str">
        <f>IFERROR(IF(N1321="","",IF(INDEX(Listado!M:M,N1321)="No",IF(INDEX(Listado!N:N,N1321)=0,"",INDEX(Listado!N:N,N1321)),IF(INDEX(Listado!I:I,N1321)=0,"",INDEX(Listado!I:I,N1321)))),"")</f>
        <v/>
      </c>
      <c r="P1321" s="17">
        <f t="shared" ca="1" si="61"/>
        <v/>
      </c>
      <c r="Q1321" s="17">
        <f>IFERROR(IF(AND(N1321&lt;&gt;"",ISNUMBER(O1321),O1321&gt;0,O1321&gt;=TODAY()-90),1,0),0)</f>
        <v/>
      </c>
      <c r="R1321" s="17" t="str">
        <f t="shared" si="63"/>
        <v/>
      </c>
      <c r="S1321" s="17" t="str">
        <f>IF(INDEX(Listado!A:A,ROW())="","",INDEX(Listado!A:A,ROW()))</f>
        <v/>
      </c>
      <c r="T1321" s="17" t="str">
        <f ca="1">IF(INDEX(Listado!G:G,ROW())="","",INDEX(Listado!G:G,ROW()))</f>
        <v/>
      </c>
      <c r="U1321" s="17" t="str">
        <f>IF(INDEX(Listado!F:F,ROW())="","",INDEX(Listado!F:F,ROW()))</f>
        <v/>
      </c>
      <c r="V1321" s="17">
        <f>IF(COUNTA(INDEX(Listado!B:B,ROW()):INDEX(Listado!F:F,ROW()))&gt;0,1,0)</f>
        <v/>
      </c>
      <c r="W1321" s="17" t="str">
        <f>IF(INDEX(Listado!L:L,ROW())="","",INDEX(Listado!L:L,ROW()))</f>
        <v/>
      </c>
      <c r="X1321" s="17">
        <f>IF(N1321="","",IF(INDEX(Listado!$M:$M,N1321)="No","No","Sí"))</f>
        <v/>
      </c>
    </row>
    <row r="1322" spans="2:24" ht="14.25">
      <c r="N1322" s="17" t="str">
        <f>IF(V1322=0,"",IFERROR(LOOKUP(2,1/(INDEX(Listado!A:A,2):INDEX(Listado!A:A,ROW())&lt;&gt;""),ROW(INDEX(Listado!A:A,2):INDEX(Listado!A:A,ROW()))),""))</f>
        <v/>
      </c>
      <c r="O1322" s="17" t="str">
        <f>IFERROR(IF(N1322="","",IF(INDEX(Listado!M:M,N1322)="No",IF(INDEX(Listado!N:N,N1322)=0,"",INDEX(Listado!N:N,N1322)),IF(INDEX(Listado!I:I,N1322)=0,"",INDEX(Listado!I:I,N1322)))),"")</f>
        <v/>
      </c>
      <c r="P1322" s="17">
        <f t="shared" ca="1" si="61"/>
        <v/>
      </c>
      <c r="Q1322" s="17">
        <f>IFERROR(IF(AND(N1322&lt;&gt;"",ISNUMBER(O1322),O1322&gt;0,O1322&gt;=TODAY()-90),1,0),0)</f>
        <v/>
      </c>
      <c r="R1322" s="17" t="str">
        <f t="shared" si="63"/>
        <v/>
      </c>
      <c r="S1322" s="17" t="str">
        <f>IF(INDEX(Listado!A:A,ROW())="","",INDEX(Listado!A:A,ROW()))</f>
        <v/>
      </c>
      <c r="T1322" s="17" t="str">
        <f ca="1">IF(INDEX(Listado!G:G,ROW())="","",INDEX(Listado!G:G,ROW()))</f>
        <v/>
      </c>
      <c r="U1322" s="17" t="str">
        <f>IF(INDEX(Listado!F:F,ROW())="","",INDEX(Listado!F:F,ROW()))</f>
        <v/>
      </c>
      <c r="V1322" s="17">
        <f>IF(COUNTA(INDEX(Listado!B:B,ROW()):INDEX(Listado!F:F,ROW()))&gt;0,1,0)</f>
        <v/>
      </c>
      <c r="W1322" s="17" t="str">
        <f>IF(INDEX(Listado!L:L,ROW())="","",INDEX(Listado!L:L,ROW()))</f>
        <v/>
      </c>
      <c r="X1322" s="17">
        <f>IF(N1322="","",IF(INDEX(Listado!$M:$M,N1322)="No","No","Sí"))</f>
        <v/>
      </c>
    </row>
    <row r="1323" spans="2:24" ht="14.25">
      <c r="N1323" s="17" t="str">
        <f>IF(V1323=0,"",IFERROR(LOOKUP(2,1/(INDEX(Listado!A:A,2):INDEX(Listado!A:A,ROW())&lt;&gt;""),ROW(INDEX(Listado!A:A,2):INDEX(Listado!A:A,ROW()))),""))</f>
        <v/>
      </c>
      <c r="O1323" s="17" t="str">
        <f>IFERROR(IF(N1323="","",IF(INDEX(Listado!M:M,N1323)="No",IF(INDEX(Listado!N:N,N1323)=0,"",INDEX(Listado!N:N,N1323)),IF(INDEX(Listado!I:I,N1323)=0,"",INDEX(Listado!I:I,N1323)))),"")</f>
        <v/>
      </c>
      <c r="P1323" s="17">
        <f t="shared" ca="1" si="61"/>
        <v/>
      </c>
      <c r="Q1323" s="17">
        <f>IFERROR(IF(AND(N1323&lt;&gt;"",ISNUMBER(O1323),O1323&gt;0,O1323&gt;=TODAY()-90),1,0),0)</f>
        <v/>
      </c>
      <c r="R1323" s="17" t="str">
        <f t="shared" si="63"/>
        <v/>
      </c>
      <c r="S1323" s="17" t="str">
        <f>IF(INDEX(Listado!A:A,ROW())="","",INDEX(Listado!A:A,ROW()))</f>
        <v/>
      </c>
      <c r="T1323" s="17" t="str">
        <f ca="1">IF(INDEX(Listado!G:G,ROW())="","",INDEX(Listado!G:G,ROW()))</f>
        <v/>
      </c>
      <c r="U1323" s="17" t="str">
        <f>IF(INDEX(Listado!F:F,ROW())="","",INDEX(Listado!F:F,ROW()))</f>
        <v/>
      </c>
      <c r="V1323" s="17">
        <f>IF(COUNTA(INDEX(Listado!B:B,ROW()):INDEX(Listado!F:F,ROW()))&gt;0,1,0)</f>
        <v/>
      </c>
      <c r="W1323" s="17" t="str">
        <f>IF(INDEX(Listado!L:L,ROW())="","",INDEX(Listado!L:L,ROW()))</f>
        <v/>
      </c>
      <c r="X1323" s="17">
        <f>IF(N1323="","",IF(INDEX(Listado!$M:$M,N1323)="No","No","Sí"))</f>
        <v/>
      </c>
    </row>
    <row r="1324" spans="2:24" ht="14.25">
      <c r="N1324" s="17" t="str">
        <f>IF(V1324=0,"",IFERROR(LOOKUP(2,1/(INDEX(Listado!A:A,2):INDEX(Listado!A:A,ROW())&lt;&gt;""),ROW(INDEX(Listado!A:A,2):INDEX(Listado!A:A,ROW()))),""))</f>
        <v/>
      </c>
      <c r="O1324" s="17" t="str">
        <f>IFERROR(IF(N1324="","",IF(INDEX(Listado!M:M,N1324)="No",IF(INDEX(Listado!N:N,N1324)=0,"",INDEX(Listado!N:N,N1324)),IF(INDEX(Listado!I:I,N1324)=0,"",INDEX(Listado!I:I,N1324)))),"")</f>
        <v/>
      </c>
      <c r="P1324" s="17">
        <f t="shared" ca="1" si="61"/>
        <v/>
      </c>
      <c r="Q1324" s="17">
        <f>IFERROR(IF(AND(N1324&lt;&gt;"",ISNUMBER(O1324),O1324&gt;0,O1324&gt;=TODAY()-90),1,0),0)</f>
        <v/>
      </c>
      <c r="R1324" s="17" t="str">
        <f t="shared" si="63"/>
        <v/>
      </c>
      <c r="S1324" s="17" t="str">
        <f>IF(INDEX(Listado!A:A,ROW())="","",INDEX(Listado!A:A,ROW()))</f>
        <v/>
      </c>
      <c r="T1324" s="17" t="str">
        <f ca="1">IF(INDEX(Listado!G:G,ROW())="","",INDEX(Listado!G:G,ROW()))</f>
        <v/>
      </c>
      <c r="U1324" s="17" t="str">
        <f>IF(INDEX(Listado!F:F,ROW())="","",INDEX(Listado!F:F,ROW()))</f>
        <v/>
      </c>
      <c r="V1324" s="17">
        <f>IF(COUNTA(INDEX(Listado!B:B,ROW()):INDEX(Listado!F:F,ROW()))&gt;0,1,0)</f>
        <v/>
      </c>
      <c r="W1324" s="17" t="str">
        <f>IF(INDEX(Listado!L:L,ROW())="","",INDEX(Listado!L:L,ROW()))</f>
        <v/>
      </c>
      <c r="X1324" s="17">
        <f>IF(N1324="","",IF(INDEX(Listado!$M:$M,N1324)="No","No","Sí"))</f>
        <v/>
      </c>
    </row>
    <row r="1325" spans="2:24" ht="14.25">
      <c r="N1325" s="17" t="str">
        <f>IF(V1325=0,"",IFERROR(LOOKUP(2,1/(INDEX(Listado!A:A,2):INDEX(Listado!A:A,ROW())&lt;&gt;""),ROW(INDEX(Listado!A:A,2):INDEX(Listado!A:A,ROW()))),""))</f>
        <v/>
      </c>
      <c r="O1325" s="17" t="str">
        <f>IFERROR(IF(N1325="","",IF(INDEX(Listado!M:M,N1325)="No",IF(INDEX(Listado!N:N,N1325)=0,"",INDEX(Listado!N:N,N1325)),IF(INDEX(Listado!I:I,N1325)=0,"",INDEX(Listado!I:I,N1325)))),"")</f>
        <v/>
      </c>
      <c r="P1325" s="17">
        <f t="shared" ca="1" si="61"/>
        <v/>
      </c>
      <c r="Q1325" s="17">
        <f>IFERROR(IF(AND(N1325&lt;&gt;"",ISNUMBER(O1325),O1325&gt;0,O1325&gt;=TODAY()-90),1,0),0)</f>
        <v/>
      </c>
      <c r="R1325" s="17" t="str">
        <f t="shared" si="63"/>
        <v/>
      </c>
      <c r="S1325" s="17" t="str">
        <f>IF(INDEX(Listado!A:A,ROW())="","",INDEX(Listado!A:A,ROW()))</f>
        <v/>
      </c>
      <c r="T1325" s="17" t="str">
        <f ca="1">IF(INDEX(Listado!G:G,ROW())="","",INDEX(Listado!G:G,ROW()))</f>
        <v/>
      </c>
      <c r="U1325" s="17" t="str">
        <f>IF(INDEX(Listado!F:F,ROW())="","",INDEX(Listado!F:F,ROW()))</f>
        <v/>
      </c>
      <c r="V1325" s="17">
        <f>IF(COUNTA(INDEX(Listado!B:B,ROW()):INDEX(Listado!F:F,ROW()))&gt;0,1,0)</f>
        <v/>
      </c>
      <c r="W1325" s="17" t="str">
        <f>IF(INDEX(Listado!L:L,ROW())="","",INDEX(Listado!L:L,ROW()))</f>
        <v/>
      </c>
      <c r="X1325" s="17">
        <f>IF(N1325="","",IF(INDEX(Listado!$M:$M,N1325)="No","No","Sí"))</f>
        <v/>
      </c>
    </row>
    <row r="1326" spans="2:24" ht="14.25">
      <c r="N1326" s="17" t="str">
        <f>IF(V1326=0,"",IFERROR(LOOKUP(2,1/(INDEX(Listado!A:A,2):INDEX(Listado!A:A,ROW())&lt;&gt;""),ROW(INDEX(Listado!A:A,2):INDEX(Listado!A:A,ROW()))),""))</f>
        <v/>
      </c>
      <c r="O1326" s="17" t="str">
        <f>IFERROR(IF(N1326="","",IF(INDEX(Listado!M:M,N1326)="No",IF(INDEX(Listado!N:N,N1326)=0,"",INDEX(Listado!N:N,N1326)),IF(INDEX(Listado!I:I,N1326)=0,"",INDEX(Listado!I:I,N1326)))),"")</f>
        <v/>
      </c>
      <c r="P1326" s="17">
        <f t="shared" ca="1" si="61"/>
        <v/>
      </c>
      <c r="Q1326" s="17">
        <f>IFERROR(IF(AND(N1326&lt;&gt;"",ISNUMBER(O1326),O1326&gt;0,O1326&gt;=TODAY()-90),1,0),0)</f>
        <v/>
      </c>
      <c r="R1326" s="17" t="str">
        <f t="shared" si="63"/>
        <v/>
      </c>
      <c r="S1326" s="17" t="str">
        <f>IF(INDEX(Listado!A:A,ROW())="","",INDEX(Listado!A:A,ROW()))</f>
        <v/>
      </c>
      <c r="T1326" s="17" t="str">
        <f ca="1">IF(INDEX(Listado!G:G,ROW())="","",INDEX(Listado!G:G,ROW()))</f>
        <v/>
      </c>
      <c r="U1326" s="17" t="str">
        <f>IF(INDEX(Listado!F:F,ROW())="","",INDEX(Listado!F:F,ROW()))</f>
        <v/>
      </c>
      <c r="V1326" s="17">
        <f>IF(COUNTA(INDEX(Listado!B:B,ROW()):INDEX(Listado!F:F,ROW()))&gt;0,1,0)</f>
        <v/>
      </c>
      <c r="W1326" s="17" t="str">
        <f>IF(INDEX(Listado!L:L,ROW())="","",INDEX(Listado!L:L,ROW()))</f>
        <v/>
      </c>
      <c r="X1326" s="17">
        <f>IF(N1326="","",IF(INDEX(Listado!$M:$M,N1326)="No","No","Sí"))</f>
        <v/>
      </c>
    </row>
    <row r="1327" spans="2:24" ht="14.25">
      <c r="N1327" s="17" t="str">
        <f>IF(V1327=0,"",IFERROR(LOOKUP(2,1/(INDEX(Listado!A:A,2):INDEX(Listado!A:A,ROW())&lt;&gt;""),ROW(INDEX(Listado!A:A,2):INDEX(Listado!A:A,ROW()))),""))</f>
        <v/>
      </c>
      <c r="O1327" s="17" t="str">
        <f>IFERROR(IF(N1327="","",IF(INDEX(Listado!M:M,N1327)="No",IF(INDEX(Listado!N:N,N1327)=0,"",INDEX(Listado!N:N,N1327)),IF(INDEX(Listado!I:I,N1327)=0,"",INDEX(Listado!I:I,N1327)))),"")</f>
        <v/>
      </c>
      <c r="P1327" s="17">
        <f t="shared" ca="1" si="61"/>
        <v/>
      </c>
      <c r="Q1327" s="17">
        <f>IFERROR(IF(AND(N1327&lt;&gt;"",ISNUMBER(O1327),O1327&gt;0,O1327&gt;=TODAY()-90),1,0),0)</f>
        <v/>
      </c>
      <c r="R1327" s="17" t="str">
        <f t="shared" si="63"/>
        <v/>
      </c>
      <c r="S1327" s="17" t="str">
        <f>IF(INDEX(Listado!A:A,ROW())="","",INDEX(Listado!A:A,ROW()))</f>
        <v/>
      </c>
      <c r="T1327" s="17" t="str">
        <f ca="1">IF(INDEX(Listado!G:G,ROW())="","",INDEX(Listado!G:G,ROW()))</f>
        <v/>
      </c>
      <c r="U1327" s="17" t="str">
        <f>IF(INDEX(Listado!F:F,ROW())="","",INDEX(Listado!F:F,ROW()))</f>
        <v/>
      </c>
      <c r="V1327" s="17">
        <f>IF(COUNTA(INDEX(Listado!B:B,ROW()):INDEX(Listado!F:F,ROW()))&gt;0,1,0)</f>
        <v/>
      </c>
      <c r="W1327" s="17" t="str">
        <f>IF(INDEX(Listado!L:L,ROW())="","",INDEX(Listado!L:L,ROW()))</f>
        <v/>
      </c>
      <c r="X1327" s="17">
        <f>IF(N1327="","",IF(INDEX(Listado!$M:$M,N1327)="No","No","Sí"))</f>
        <v/>
      </c>
    </row>
    <row r="1328" spans="2:24" ht="14.25">
      <c r="N1328" s="17" t="str">
        <f>IF(V1328=0,"",IFERROR(LOOKUP(2,1/(INDEX(Listado!A:A,2):INDEX(Listado!A:A,ROW())&lt;&gt;""),ROW(INDEX(Listado!A:A,2):INDEX(Listado!A:A,ROW()))),""))</f>
        <v/>
      </c>
      <c r="O1328" s="17" t="str">
        <f>IFERROR(IF(N1328="","",IF(INDEX(Listado!M:M,N1328)="No",IF(INDEX(Listado!N:N,N1328)=0,"",INDEX(Listado!N:N,N1328)),IF(INDEX(Listado!I:I,N1328)=0,"",INDEX(Listado!I:I,N1328)))),"")</f>
        <v/>
      </c>
      <c r="P1328" s="17">
        <f t="shared" ca="1" si="61"/>
        <v/>
      </c>
      <c r="Q1328" s="17">
        <f>IFERROR(IF(AND(N1328&lt;&gt;"",ISNUMBER(O1328),O1328&gt;0,O1328&gt;=TODAY()-90),1,0),0)</f>
        <v/>
      </c>
      <c r="R1328" s="17" t="str">
        <f t="shared" si="63"/>
        <v/>
      </c>
      <c r="S1328" s="17" t="str">
        <f>IF(INDEX(Listado!A:A,ROW())="","",INDEX(Listado!A:A,ROW()))</f>
        <v/>
      </c>
      <c r="T1328" s="17" t="str">
        <f ca="1">IF(INDEX(Listado!G:G,ROW())="","",INDEX(Listado!G:G,ROW()))</f>
        <v/>
      </c>
      <c r="U1328" s="17" t="str">
        <f>IF(INDEX(Listado!F:F,ROW())="","",INDEX(Listado!F:F,ROW()))</f>
        <v/>
      </c>
      <c r="V1328" s="17">
        <f>IF(COUNTA(INDEX(Listado!B:B,ROW()):INDEX(Listado!F:F,ROW()))&gt;0,1,0)</f>
        <v/>
      </c>
      <c r="W1328" s="17" t="str">
        <f>IF(INDEX(Listado!L:L,ROW())="","",INDEX(Listado!L:L,ROW()))</f>
        <v/>
      </c>
      <c r="X1328" s="17">
        <f>IF(N1328="","",IF(INDEX(Listado!$M:$M,N1328)="No","No","Sí"))</f>
        <v/>
      </c>
    </row>
    <row r="1329" spans="2:24" ht="14.25">
      <c r="N1329" s="17" t="str">
        <f>IF(V1329=0,"",IFERROR(LOOKUP(2,1/(INDEX(Listado!A:A,2):INDEX(Listado!A:A,ROW())&lt;&gt;""),ROW(INDEX(Listado!A:A,2):INDEX(Listado!A:A,ROW()))),""))</f>
        <v/>
      </c>
      <c r="O1329" s="17" t="str">
        <f>IFERROR(IF(N1329="","",IF(INDEX(Listado!M:M,N1329)="No",IF(INDEX(Listado!N:N,N1329)=0,"",INDEX(Listado!N:N,N1329)),IF(INDEX(Listado!I:I,N1329)=0,"",INDEX(Listado!I:I,N1329)))),"")</f>
        <v/>
      </c>
      <c r="P1329" s="17">
        <f t="shared" ca="1" si="61"/>
        <v/>
      </c>
      <c r="Q1329" s="17">
        <f>IFERROR(IF(AND(N1329&lt;&gt;"",ISNUMBER(O1329),O1329&gt;0,O1329&gt;=TODAY()-90),1,0),0)</f>
        <v/>
      </c>
      <c r="R1329" s="17" t="str">
        <f t="shared" si="63"/>
        <v/>
      </c>
      <c r="S1329" s="17" t="str">
        <f>IF(INDEX(Listado!A:A,ROW())="","",INDEX(Listado!A:A,ROW()))</f>
        <v/>
      </c>
      <c r="T1329" s="17" t="str">
        <f ca="1">IF(INDEX(Listado!G:G,ROW())="","",INDEX(Listado!G:G,ROW()))</f>
        <v/>
      </c>
      <c r="U1329" s="17" t="str">
        <f>IF(INDEX(Listado!F:F,ROW())="","",INDEX(Listado!F:F,ROW()))</f>
        <v/>
      </c>
      <c r="V1329" s="17">
        <f>IF(COUNTA(INDEX(Listado!B:B,ROW()):INDEX(Listado!F:F,ROW()))&gt;0,1,0)</f>
        <v/>
      </c>
      <c r="W1329" s="17" t="str">
        <f>IF(INDEX(Listado!L:L,ROW())="","",INDEX(Listado!L:L,ROW()))</f>
        <v/>
      </c>
      <c r="X1329" s="17">
        <f>IF(N1329="","",IF(INDEX(Listado!$M:$M,N1329)="No","No","Sí"))</f>
        <v/>
      </c>
    </row>
    <row r="1330" spans="2:24" ht="14.25">
      <c r="N1330" s="17" t="str">
        <f>IF(V1330=0,"",IFERROR(LOOKUP(2,1/(INDEX(Listado!A:A,2):INDEX(Listado!A:A,ROW())&lt;&gt;""),ROW(INDEX(Listado!A:A,2):INDEX(Listado!A:A,ROW()))),""))</f>
        <v/>
      </c>
      <c r="O1330" s="17" t="str">
        <f>IFERROR(IF(N1330="","",IF(INDEX(Listado!M:M,N1330)="No",IF(INDEX(Listado!N:N,N1330)=0,"",INDEX(Listado!N:N,N1330)),IF(INDEX(Listado!I:I,N1330)=0,"",INDEX(Listado!I:I,N1330)))),"")</f>
        <v/>
      </c>
      <c r="P1330" s="17">
        <f t="shared" ca="1" si="61"/>
        <v/>
      </c>
      <c r="Q1330" s="17">
        <f>IFERROR(IF(AND(N1330&lt;&gt;"",ISNUMBER(O1330),O1330&gt;0,O1330&gt;=TODAY()-90),1,0),0)</f>
        <v/>
      </c>
      <c r="R1330" s="17" t="str">
        <f t="shared" si="63"/>
        <v/>
      </c>
      <c r="S1330" s="17" t="str">
        <f>IF(INDEX(Listado!A:A,ROW())="","",INDEX(Listado!A:A,ROW()))</f>
        <v/>
      </c>
      <c r="T1330" s="17" t="str">
        <f ca="1">IF(INDEX(Listado!G:G,ROW())="","",INDEX(Listado!G:G,ROW()))</f>
        <v/>
      </c>
      <c r="U1330" s="17" t="str">
        <f>IF(INDEX(Listado!F:F,ROW())="","",INDEX(Listado!F:F,ROW()))</f>
        <v/>
      </c>
      <c r="V1330" s="17">
        <f>IF(COUNTA(INDEX(Listado!B:B,ROW()):INDEX(Listado!F:F,ROW()))&gt;0,1,0)</f>
        <v/>
      </c>
      <c r="W1330" s="17" t="str">
        <f>IF(INDEX(Listado!L:L,ROW())="","",INDEX(Listado!L:L,ROW()))</f>
        <v/>
      </c>
      <c r="X1330" s="17">
        <f>IF(N1330="","",IF(INDEX(Listado!$M:$M,N1330)="No","No","Sí"))</f>
        <v/>
      </c>
    </row>
    <row r="1331" spans="2:24" ht="14.25">
      <c r="N1331" s="17" t="str">
        <f>IF(V1331=0,"",IFERROR(LOOKUP(2,1/(INDEX(Listado!A:A,2):INDEX(Listado!A:A,ROW())&lt;&gt;""),ROW(INDEX(Listado!A:A,2):INDEX(Listado!A:A,ROW()))),""))</f>
        <v/>
      </c>
      <c r="O1331" s="17" t="str">
        <f>IFERROR(IF(N1331="","",IF(INDEX(Listado!M:M,N1331)="No",IF(INDEX(Listado!N:N,N1331)=0,"",INDEX(Listado!N:N,N1331)),IF(INDEX(Listado!I:I,N1331)=0,"",INDEX(Listado!I:I,N1331)))),"")</f>
        <v/>
      </c>
      <c r="P1331" s="17">
        <f t="shared" ca="1" si="61"/>
        <v/>
      </c>
      <c r="Q1331" s="17">
        <f>IFERROR(IF(AND(N1331&lt;&gt;"",ISNUMBER(O1331),O1331&gt;0,O1331&gt;=TODAY()-90),1,0),0)</f>
        <v/>
      </c>
      <c r="R1331" s="17" t="str">
        <f t="shared" si="63"/>
        <v/>
      </c>
      <c r="S1331" s="17" t="str">
        <f>IF(INDEX(Listado!A:A,ROW())="","",INDEX(Listado!A:A,ROW()))</f>
        <v/>
      </c>
      <c r="T1331" s="17" t="str">
        <f ca="1">IF(INDEX(Listado!G:G,ROW())="","",INDEX(Listado!G:G,ROW()))</f>
        <v/>
      </c>
      <c r="U1331" s="17" t="str">
        <f>IF(INDEX(Listado!F:F,ROW())="","",INDEX(Listado!F:F,ROW()))</f>
        <v/>
      </c>
      <c r="V1331" s="17">
        <f>IF(COUNTA(INDEX(Listado!B:B,ROW()):INDEX(Listado!F:F,ROW()))&gt;0,1,0)</f>
        <v/>
      </c>
      <c r="W1331" s="17" t="str">
        <f>IF(INDEX(Listado!L:L,ROW())="","",INDEX(Listado!L:L,ROW()))</f>
        <v/>
      </c>
      <c r="X1331" s="17">
        <f>IF(N1331="","",IF(INDEX(Listado!$M:$M,N1331)="No","No","Sí"))</f>
        <v/>
      </c>
    </row>
    <row r="1332" spans="2:24" ht="14.25">
      <c r="N1332" s="17" t="str">
        <f>IF(V1332=0,"",IFERROR(LOOKUP(2,1/(INDEX(Listado!A:A,2):INDEX(Listado!A:A,ROW())&lt;&gt;""),ROW(INDEX(Listado!A:A,2):INDEX(Listado!A:A,ROW()))),""))</f>
        <v/>
      </c>
      <c r="O1332" s="17" t="str">
        <f>IFERROR(IF(N1332="","",IF(INDEX(Listado!M:M,N1332)="No",IF(INDEX(Listado!N:N,N1332)=0,"",INDEX(Listado!N:N,N1332)),IF(INDEX(Listado!I:I,N1332)=0,"",INDEX(Listado!I:I,N1332)))),"")</f>
        <v/>
      </c>
      <c r="P1332" s="17">
        <f t="shared" ca="1" si="61"/>
        <v/>
      </c>
      <c r="Q1332" s="17">
        <f>IFERROR(IF(AND(N1332&lt;&gt;"",ISNUMBER(O1332),O1332&gt;0,O1332&gt;=TODAY()-90),1,0),0)</f>
        <v/>
      </c>
      <c r="R1332" s="17" t="str">
        <f t="shared" si="63"/>
        <v/>
      </c>
      <c r="S1332" s="17" t="str">
        <f>IF(INDEX(Listado!A:A,ROW())="","",INDEX(Listado!A:A,ROW()))</f>
        <v/>
      </c>
      <c r="T1332" s="17" t="str">
        <f ca="1">IF(INDEX(Listado!G:G,ROW())="","",INDEX(Listado!G:G,ROW()))</f>
        <v/>
      </c>
      <c r="U1332" s="17" t="str">
        <f>IF(INDEX(Listado!F:F,ROW())="","",INDEX(Listado!F:F,ROW()))</f>
        <v/>
      </c>
      <c r="V1332" s="17">
        <f>IF(COUNTA(INDEX(Listado!B:B,ROW()):INDEX(Listado!F:F,ROW()))&gt;0,1,0)</f>
        <v/>
      </c>
      <c r="W1332" s="17" t="str">
        <f>IF(INDEX(Listado!L:L,ROW())="","",INDEX(Listado!L:L,ROW()))</f>
        <v/>
      </c>
      <c r="X1332" s="17">
        <f>IF(N1332="","",IF(INDEX(Listado!$M:$M,N1332)="No","No","Sí"))</f>
        <v/>
      </c>
    </row>
    <row r="1333" spans="2:24" ht="14.25">
      <c r="N1333" s="17" t="str">
        <f>IF(V1333=0,"",IFERROR(LOOKUP(2,1/(INDEX(Listado!A:A,2):INDEX(Listado!A:A,ROW())&lt;&gt;""),ROW(INDEX(Listado!A:A,2):INDEX(Listado!A:A,ROW()))),""))</f>
        <v/>
      </c>
      <c r="O1333" s="17" t="str">
        <f>IFERROR(IF(N1333="","",IF(INDEX(Listado!M:M,N1333)="No",IF(INDEX(Listado!N:N,N1333)=0,"",INDEX(Listado!N:N,N1333)),IF(INDEX(Listado!I:I,N1333)=0,"",INDEX(Listado!I:I,N1333)))),"")</f>
        <v/>
      </c>
      <c r="P1333" s="17">
        <f t="shared" ca="1" si="61"/>
        <v/>
      </c>
      <c r="Q1333" s="17">
        <f>IFERROR(IF(AND(N1333&lt;&gt;"",ISNUMBER(O1333),O1333&gt;0,O1333&gt;=TODAY()-90),1,0),0)</f>
        <v/>
      </c>
      <c r="R1333" s="17" t="str">
        <f t="shared" si="63"/>
        <v/>
      </c>
      <c r="S1333" s="17" t="str">
        <f>IF(INDEX(Listado!A:A,ROW())="","",INDEX(Listado!A:A,ROW()))</f>
        <v/>
      </c>
      <c r="T1333" s="17" t="str">
        <f ca="1">IF(INDEX(Listado!G:G,ROW())="","",INDEX(Listado!G:G,ROW()))</f>
        <v/>
      </c>
      <c r="U1333" s="17" t="str">
        <f>IF(INDEX(Listado!F:F,ROW())="","",INDEX(Listado!F:F,ROW()))</f>
        <v/>
      </c>
      <c r="V1333" s="17">
        <f>IF(COUNTA(INDEX(Listado!B:B,ROW()):INDEX(Listado!F:F,ROW()))&gt;0,1,0)</f>
        <v/>
      </c>
      <c r="W1333" s="17" t="str">
        <f>IF(INDEX(Listado!L:L,ROW())="","",INDEX(Listado!L:L,ROW()))</f>
        <v/>
      </c>
      <c r="X1333" s="17">
        <f>IF(N1333="","",IF(INDEX(Listado!$M:$M,N1333)="No","No","Sí"))</f>
        <v/>
      </c>
    </row>
    <row r="1334" spans="2:24" ht="14.25">
      <c r="N1334" s="17" t="str">
        <f>IF(V1334=0,"",IFERROR(LOOKUP(2,1/(INDEX(Listado!A:A,2):INDEX(Listado!A:A,ROW())&lt;&gt;""),ROW(INDEX(Listado!A:A,2):INDEX(Listado!A:A,ROW()))),""))</f>
        <v/>
      </c>
      <c r="O1334" s="17" t="str">
        <f>IFERROR(IF(N1334="","",IF(INDEX(Listado!M:M,N1334)="No",IF(INDEX(Listado!N:N,N1334)=0,"",INDEX(Listado!N:N,N1334)),IF(INDEX(Listado!I:I,N1334)=0,"",INDEX(Listado!I:I,N1334)))),"")</f>
        <v/>
      </c>
      <c r="P1334" s="17">
        <f t="shared" ca="1" si="61"/>
        <v/>
      </c>
      <c r="Q1334" s="17">
        <f>IFERROR(IF(AND(N1334&lt;&gt;"",ISNUMBER(O1334),O1334&gt;0,O1334&gt;=TODAY()-90),1,0),0)</f>
        <v/>
      </c>
      <c r="R1334" s="17" t="str">
        <f t="shared" si="63"/>
        <v/>
      </c>
      <c r="S1334" s="17" t="str">
        <f>IF(INDEX(Listado!A:A,ROW())="","",INDEX(Listado!A:A,ROW()))</f>
        <v/>
      </c>
      <c r="T1334" s="17" t="str">
        <f ca="1">IF(INDEX(Listado!G:G,ROW())="","",INDEX(Listado!G:G,ROW()))</f>
        <v/>
      </c>
      <c r="U1334" s="17" t="str">
        <f>IF(INDEX(Listado!F:F,ROW())="","",INDEX(Listado!F:F,ROW()))</f>
        <v/>
      </c>
      <c r="V1334" s="17">
        <f>IF(COUNTA(INDEX(Listado!B:B,ROW()):INDEX(Listado!F:F,ROW()))&gt;0,1,0)</f>
        <v/>
      </c>
      <c r="W1334" s="17" t="str">
        <f>IF(INDEX(Listado!L:L,ROW())="","",INDEX(Listado!L:L,ROW()))</f>
        <v/>
      </c>
      <c r="X1334" s="17">
        <f>IF(N1334="","",IF(INDEX(Listado!$M:$M,N1334)="No","No","Sí"))</f>
        <v/>
      </c>
    </row>
    <row r="1335" spans="2:24" ht="14.25">
      <c r="N1335" s="17" t="str">
        <f>IF(V1335=0,"",IFERROR(LOOKUP(2,1/(INDEX(Listado!A:A,2):INDEX(Listado!A:A,ROW())&lt;&gt;""),ROW(INDEX(Listado!A:A,2):INDEX(Listado!A:A,ROW()))),""))</f>
        <v/>
      </c>
      <c r="O1335" s="17" t="str">
        <f>IFERROR(IF(N1335="","",IF(INDEX(Listado!M:M,N1335)="No",IF(INDEX(Listado!N:N,N1335)=0,"",INDEX(Listado!N:N,N1335)),IF(INDEX(Listado!I:I,N1335)=0,"",INDEX(Listado!I:I,N1335)))),"")</f>
        <v/>
      </c>
      <c r="P1335" s="17">
        <f t="shared" ca="1" si="61"/>
        <v/>
      </c>
      <c r="Q1335" s="17">
        <f>IFERROR(IF(AND(N1335&lt;&gt;"",ISNUMBER(O1335),O1335&gt;0,O1335&gt;=TODAY()-90),1,0),0)</f>
        <v/>
      </c>
      <c r="R1335" s="17" t="str">
        <f t="shared" si="63"/>
        <v/>
      </c>
      <c r="S1335" s="17" t="str">
        <f>IF(INDEX(Listado!A:A,ROW())="","",INDEX(Listado!A:A,ROW()))</f>
        <v/>
      </c>
      <c r="T1335" s="17" t="str">
        <f ca="1">IF(INDEX(Listado!G:G,ROW())="","",INDEX(Listado!G:G,ROW()))</f>
        <v/>
      </c>
      <c r="U1335" s="17" t="str">
        <f>IF(INDEX(Listado!F:F,ROW())="","",INDEX(Listado!F:F,ROW()))</f>
        <v/>
      </c>
      <c r="V1335" s="17">
        <f>IF(COUNTA(INDEX(Listado!B:B,ROW()):INDEX(Listado!F:F,ROW()))&gt;0,1,0)</f>
        <v/>
      </c>
      <c r="W1335" s="17" t="str">
        <f>IF(INDEX(Listado!L:L,ROW())="","",INDEX(Listado!L:L,ROW()))</f>
        <v/>
      </c>
      <c r="X1335" s="17">
        <f>IF(N1335="","",IF(INDEX(Listado!$M:$M,N1335)="No","No","Sí"))</f>
        <v/>
      </c>
    </row>
    <row r="1336" spans="2:24" ht="14.25">
      <c r="N1336" s="17" t="str">
        <f>IF(V1336=0,"",IFERROR(LOOKUP(2,1/(INDEX(Listado!A:A,2):INDEX(Listado!A:A,ROW())&lt;&gt;""),ROW(INDEX(Listado!A:A,2):INDEX(Listado!A:A,ROW()))),""))</f>
        <v/>
      </c>
      <c r="O1336" s="17" t="str">
        <f>IFERROR(IF(N1336="","",IF(INDEX(Listado!M:M,N1336)="No",IF(INDEX(Listado!N:N,N1336)=0,"",INDEX(Listado!N:N,N1336)),IF(INDEX(Listado!I:I,N1336)=0,"",INDEX(Listado!I:I,N1336)))),"")</f>
        <v/>
      </c>
      <c r="P1336" s="17">
        <f t="shared" ca="1" si="61"/>
        <v/>
      </c>
      <c r="Q1336" s="17">
        <f>IFERROR(IF(AND(N1336&lt;&gt;"",ISNUMBER(O1336),O1336&gt;0,O1336&gt;=TODAY()-90),1,0),0)</f>
        <v/>
      </c>
      <c r="R1336" s="17" t="str">
        <f t="shared" si="63"/>
        <v/>
      </c>
      <c r="S1336" s="17" t="str">
        <f>IF(INDEX(Listado!A:A,ROW())="","",INDEX(Listado!A:A,ROW()))</f>
        <v/>
      </c>
      <c r="T1336" s="17" t="str">
        <f ca="1">IF(INDEX(Listado!G:G,ROW())="","",INDEX(Listado!G:G,ROW()))</f>
        <v/>
      </c>
      <c r="U1336" s="17" t="str">
        <f>IF(INDEX(Listado!F:F,ROW())="","",INDEX(Listado!F:F,ROW()))</f>
        <v/>
      </c>
      <c r="V1336" s="17">
        <f>IF(COUNTA(INDEX(Listado!B:B,ROW()):INDEX(Listado!F:F,ROW()))&gt;0,1,0)</f>
        <v/>
      </c>
      <c r="W1336" s="17" t="str">
        <f>IF(INDEX(Listado!L:L,ROW())="","",INDEX(Listado!L:L,ROW()))</f>
        <v/>
      </c>
      <c r="X1336" s="17">
        <f>IF(N1336="","",IF(INDEX(Listado!$M:$M,N1336)="No","No","Sí"))</f>
        <v/>
      </c>
    </row>
    <row r="1337" spans="2:24" ht="14.25">
      <c r="N1337" s="17" t="str">
        <f>IF(V1337=0,"",IFERROR(LOOKUP(2,1/(INDEX(Listado!A:A,2):INDEX(Listado!A:A,ROW())&lt;&gt;""),ROW(INDEX(Listado!A:A,2):INDEX(Listado!A:A,ROW()))),""))</f>
        <v/>
      </c>
      <c r="O1337" s="17" t="str">
        <f>IFERROR(IF(N1337="","",IF(INDEX(Listado!M:M,N1337)="No",IF(INDEX(Listado!N:N,N1337)=0,"",INDEX(Listado!N:N,N1337)),IF(INDEX(Listado!I:I,N1337)=0,"",INDEX(Listado!I:I,N1337)))),"")</f>
        <v/>
      </c>
      <c r="P1337" s="17">
        <f t="shared" ca="1" si="61"/>
        <v/>
      </c>
      <c r="Q1337" s="17">
        <f>IFERROR(IF(AND(N1337&lt;&gt;"",ISNUMBER(O1337),O1337&gt;0,O1337&gt;=TODAY()-90),1,0),0)</f>
        <v/>
      </c>
      <c r="R1337" s="17" t="str">
        <f t="shared" si="63"/>
        <v/>
      </c>
      <c r="S1337" s="17" t="str">
        <f>IF(INDEX(Listado!A:A,ROW())="","",INDEX(Listado!A:A,ROW()))</f>
        <v/>
      </c>
      <c r="T1337" s="17" t="str">
        <f ca="1">IF(INDEX(Listado!G:G,ROW())="","",INDEX(Listado!G:G,ROW()))</f>
        <v/>
      </c>
      <c r="U1337" s="17" t="str">
        <f>IF(INDEX(Listado!F:F,ROW())="","",INDEX(Listado!F:F,ROW()))</f>
        <v/>
      </c>
      <c r="V1337" s="17">
        <f>IF(COUNTA(INDEX(Listado!B:B,ROW()):INDEX(Listado!F:F,ROW()))&gt;0,1,0)</f>
        <v/>
      </c>
      <c r="W1337" s="17" t="str">
        <f>IF(INDEX(Listado!L:L,ROW())="","",INDEX(Listado!L:L,ROW()))</f>
        <v/>
      </c>
      <c r="X1337" s="17">
        <f>IF(N1337="","",IF(INDEX(Listado!$M:$M,N1337)="No","No","Sí"))</f>
        <v/>
      </c>
    </row>
    <row r="1338" spans="2:24" ht="14.25">
      <c r="N1338" s="17" t="str">
        <f>IF(V1338=0,"",IFERROR(LOOKUP(2,1/(INDEX(Listado!A:A,2):INDEX(Listado!A:A,ROW())&lt;&gt;""),ROW(INDEX(Listado!A:A,2):INDEX(Listado!A:A,ROW()))),""))</f>
        <v/>
      </c>
      <c r="O1338" s="17" t="str">
        <f>IFERROR(IF(N1338="","",IF(INDEX(Listado!M:M,N1338)="No",IF(INDEX(Listado!N:N,N1338)=0,"",INDEX(Listado!N:N,N1338)),IF(INDEX(Listado!I:I,N1338)=0,"",INDEX(Listado!I:I,N1338)))),"")</f>
        <v/>
      </c>
      <c r="P1338" s="17">
        <f t="shared" ca="1" si="61"/>
        <v/>
      </c>
      <c r="Q1338" s="17">
        <f>IFERROR(IF(AND(N1338&lt;&gt;"",ISNUMBER(O1338),O1338&gt;0,O1338&gt;=TODAY()-90),1,0),0)</f>
        <v/>
      </c>
      <c r="R1338" s="17" t="str">
        <f t="shared" si="63"/>
        <v/>
      </c>
      <c r="S1338" s="17" t="str">
        <f>IF(INDEX(Listado!A:A,ROW())="","",INDEX(Listado!A:A,ROW()))</f>
        <v/>
      </c>
      <c r="T1338" s="17" t="str">
        <f ca="1">IF(INDEX(Listado!G:G,ROW())="","",INDEX(Listado!G:G,ROW()))</f>
        <v/>
      </c>
      <c r="U1338" s="17" t="str">
        <f>IF(INDEX(Listado!F:F,ROW())="","",INDEX(Listado!F:F,ROW()))</f>
        <v/>
      </c>
      <c r="V1338" s="17">
        <f>IF(COUNTA(INDEX(Listado!B:B,ROW()):INDEX(Listado!F:F,ROW()))&gt;0,1,0)</f>
        <v/>
      </c>
      <c r="W1338" s="17" t="str">
        <f>IF(INDEX(Listado!L:L,ROW())="","",INDEX(Listado!L:L,ROW()))</f>
        <v/>
      </c>
      <c r="X1338" s="17">
        <f>IF(N1338="","",IF(INDEX(Listado!$M:$M,N1338)="No","No","Sí"))</f>
        <v/>
      </c>
    </row>
    <row r="1339" spans="2:24" ht="14.25">
      <c r="N1339" s="17" t="str">
        <f>IF(V1339=0,"",IFERROR(LOOKUP(2,1/(INDEX(Listado!A:A,2):INDEX(Listado!A:A,ROW())&lt;&gt;""),ROW(INDEX(Listado!A:A,2):INDEX(Listado!A:A,ROW()))),""))</f>
        <v/>
      </c>
      <c r="O1339" s="17" t="str">
        <f>IFERROR(IF(N1339="","",IF(INDEX(Listado!M:M,N1339)="No",IF(INDEX(Listado!N:N,N1339)=0,"",INDEX(Listado!N:N,N1339)),IF(INDEX(Listado!I:I,N1339)=0,"",INDEX(Listado!I:I,N1339)))),"")</f>
        <v/>
      </c>
      <c r="P1339" s="17">
        <f t="shared" ca="1" si="61"/>
        <v/>
      </c>
      <c r="Q1339" s="17">
        <f>IFERROR(IF(AND(N1339&lt;&gt;"",ISNUMBER(O1339),O1339&gt;0,O1339&gt;=TODAY()-90),1,0),0)</f>
        <v/>
      </c>
      <c r="R1339" s="17" t="str">
        <f t="shared" si="63"/>
        <v/>
      </c>
      <c r="S1339" s="17" t="str">
        <f>IF(INDEX(Listado!A:A,ROW())="","",INDEX(Listado!A:A,ROW()))</f>
        <v/>
      </c>
      <c r="T1339" s="17" t="str">
        <f ca="1">IF(INDEX(Listado!G:G,ROW())="","",INDEX(Listado!G:G,ROW()))</f>
        <v/>
      </c>
      <c r="U1339" s="17" t="str">
        <f>IF(INDEX(Listado!F:F,ROW())="","",INDEX(Listado!F:F,ROW()))</f>
        <v/>
      </c>
      <c r="V1339" s="17">
        <f>IF(COUNTA(INDEX(Listado!B:B,ROW()):INDEX(Listado!F:F,ROW()))&gt;0,1,0)</f>
        <v/>
      </c>
      <c r="W1339" s="17" t="str">
        <f>IF(INDEX(Listado!L:L,ROW())="","",INDEX(Listado!L:L,ROW()))</f>
        <v/>
      </c>
      <c r="X1339" s="17">
        <f>IF(N1339="","",IF(INDEX(Listado!$M:$M,N1339)="No","No","Sí"))</f>
        <v/>
      </c>
    </row>
    <row r="1340" spans="2:24" ht="14.25">
      <c r="N1340" s="17" t="str">
        <f>IF(V1340=0,"",IFERROR(LOOKUP(2,1/(INDEX(Listado!A:A,2):INDEX(Listado!A:A,ROW())&lt;&gt;""),ROW(INDEX(Listado!A:A,2):INDEX(Listado!A:A,ROW()))),""))</f>
        <v/>
      </c>
      <c r="O1340" s="17" t="str">
        <f>IFERROR(IF(N1340="","",IF(INDEX(Listado!M:M,N1340)="No",IF(INDEX(Listado!N:N,N1340)=0,"",INDEX(Listado!N:N,N1340)),IF(INDEX(Listado!I:I,N1340)=0,"",INDEX(Listado!I:I,N1340)))),"")</f>
        <v/>
      </c>
      <c r="P1340" s="17">
        <f t="shared" ca="1" si="61"/>
        <v/>
      </c>
      <c r="Q1340" s="17">
        <f>IFERROR(IF(AND(N1340&lt;&gt;"",ISNUMBER(O1340),O1340&gt;0,O1340&gt;=TODAY()-90),1,0),0)</f>
        <v/>
      </c>
      <c r="R1340" s="17" t="str">
        <f t="shared" si="63"/>
        <v/>
      </c>
      <c r="S1340" s="17" t="str">
        <f>IF(INDEX(Listado!A:A,ROW())="","",INDEX(Listado!A:A,ROW()))</f>
        <v/>
      </c>
      <c r="T1340" s="17" t="str">
        <f ca="1">IF(INDEX(Listado!G:G,ROW())="","",INDEX(Listado!G:G,ROW()))</f>
        <v/>
      </c>
      <c r="U1340" s="17" t="str">
        <f>IF(INDEX(Listado!F:F,ROW())="","",INDEX(Listado!F:F,ROW()))</f>
        <v/>
      </c>
      <c r="V1340" s="17">
        <f>IF(COUNTA(INDEX(Listado!B:B,ROW()):INDEX(Listado!F:F,ROW()))&gt;0,1,0)</f>
        <v/>
      </c>
      <c r="W1340" s="17" t="str">
        <f>IF(INDEX(Listado!L:L,ROW())="","",INDEX(Listado!L:L,ROW()))</f>
        <v/>
      </c>
      <c r="X1340" s="17">
        <f>IF(N1340="","",IF(INDEX(Listado!$M:$M,N1340)="No","No","Sí"))</f>
        <v/>
      </c>
    </row>
    <row r="1341" spans="2:24" ht="14.25">
      <c r="N1341" s="17" t="str">
        <f>IF(V1341=0,"",IFERROR(LOOKUP(2,1/(INDEX(Listado!A:A,2):INDEX(Listado!A:A,ROW())&lt;&gt;""),ROW(INDEX(Listado!A:A,2):INDEX(Listado!A:A,ROW()))),""))</f>
        <v/>
      </c>
      <c r="O1341" s="17" t="str">
        <f>IFERROR(IF(N1341="","",IF(INDEX(Listado!M:M,N1341)="No",IF(INDEX(Listado!N:N,N1341)=0,"",INDEX(Listado!N:N,N1341)),IF(INDEX(Listado!I:I,N1341)=0,"",INDEX(Listado!I:I,N1341)))),"")</f>
        <v/>
      </c>
      <c r="P1341" s="17">
        <f t="shared" ca="1" si="61"/>
        <v/>
      </c>
      <c r="Q1341" s="17">
        <f>IFERROR(IF(AND(N1341&lt;&gt;"",ISNUMBER(O1341),O1341&gt;0,O1341&gt;=TODAY()-90),1,0),0)</f>
        <v/>
      </c>
      <c r="R1341" s="17" t="str">
        <f t="shared" si="63"/>
        <v/>
      </c>
      <c r="S1341" s="17" t="str">
        <f>IF(INDEX(Listado!A:A,ROW())="","",INDEX(Listado!A:A,ROW()))</f>
        <v/>
      </c>
      <c r="T1341" s="17" t="str">
        <f ca="1">IF(INDEX(Listado!G:G,ROW())="","",INDEX(Listado!G:G,ROW()))</f>
        <v/>
      </c>
      <c r="U1341" s="17" t="str">
        <f>IF(INDEX(Listado!F:F,ROW())="","",INDEX(Listado!F:F,ROW()))</f>
        <v/>
      </c>
      <c r="V1341" s="17">
        <f>IF(COUNTA(INDEX(Listado!B:B,ROW()):INDEX(Listado!F:F,ROW()))&gt;0,1,0)</f>
        <v/>
      </c>
      <c r="W1341" s="17" t="str">
        <f>IF(INDEX(Listado!L:L,ROW())="","",INDEX(Listado!L:L,ROW()))</f>
        <v/>
      </c>
      <c r="X1341" s="17">
        <f>IF(N1341="","",IF(INDEX(Listado!$M:$M,N1341)="No","No","Sí"))</f>
        <v/>
      </c>
    </row>
    <row r="1342" spans="2:24" ht="14.25">
      <c r="N1342" s="17" t="str">
        <f>IF(V1342=0,"",IFERROR(LOOKUP(2,1/(INDEX(Listado!A:A,2):INDEX(Listado!A:A,ROW())&lt;&gt;""),ROW(INDEX(Listado!A:A,2):INDEX(Listado!A:A,ROW()))),""))</f>
        <v/>
      </c>
      <c r="O1342" s="17" t="str">
        <f>IFERROR(IF(N1342="","",IF(INDEX(Listado!M:M,N1342)="No",IF(INDEX(Listado!N:N,N1342)=0,"",INDEX(Listado!N:N,N1342)),IF(INDEX(Listado!I:I,N1342)=0,"",INDEX(Listado!I:I,N1342)))),"")</f>
        <v/>
      </c>
      <c r="P1342" s="17">
        <f t="shared" ca="1" si="61"/>
        <v/>
      </c>
      <c r="Q1342" s="17">
        <f>IFERROR(IF(AND(N1342&lt;&gt;"",ISNUMBER(O1342),O1342&gt;0,O1342&gt;=TODAY()-90),1,0),0)</f>
        <v/>
      </c>
      <c r="R1342" s="17" t="str">
        <f t="shared" si="63"/>
        <v/>
      </c>
      <c r="S1342" s="17" t="str">
        <f>IF(INDEX(Listado!A:A,ROW())="","",INDEX(Listado!A:A,ROW()))</f>
        <v/>
      </c>
      <c r="T1342" s="17" t="str">
        <f ca="1">IF(INDEX(Listado!G:G,ROW())="","",INDEX(Listado!G:G,ROW()))</f>
        <v/>
      </c>
      <c r="U1342" s="17" t="str">
        <f>IF(INDEX(Listado!F:F,ROW())="","",INDEX(Listado!F:F,ROW()))</f>
        <v/>
      </c>
      <c r="V1342" s="17">
        <f>IF(COUNTA(INDEX(Listado!B:B,ROW()):INDEX(Listado!F:F,ROW()))&gt;0,1,0)</f>
        <v/>
      </c>
      <c r="W1342" s="17" t="str">
        <f>IF(INDEX(Listado!L:L,ROW())="","",INDEX(Listado!L:L,ROW()))</f>
        <v/>
      </c>
      <c r="X1342" s="17">
        <f>IF(N1342="","",IF(INDEX(Listado!$M:$M,N1342)="No","No","Sí"))</f>
        <v/>
      </c>
    </row>
    <row r="1343" spans="2:24" ht="14.25">
      <c r="N1343" s="17" t="str">
        <f>IF(V1343=0,"",IFERROR(LOOKUP(2,1/(INDEX(Listado!A:A,2):INDEX(Listado!A:A,ROW())&lt;&gt;""),ROW(INDEX(Listado!A:A,2):INDEX(Listado!A:A,ROW()))),""))</f>
        <v/>
      </c>
      <c r="O1343" s="17" t="str">
        <f>IFERROR(IF(N1343="","",IF(INDEX(Listado!M:M,N1343)="No",IF(INDEX(Listado!N:N,N1343)=0,"",INDEX(Listado!N:N,N1343)),IF(INDEX(Listado!I:I,N1343)=0,"",INDEX(Listado!I:I,N1343)))),"")</f>
        <v/>
      </c>
      <c r="P1343" s="17">
        <f t="shared" ca="1" si="61"/>
        <v/>
      </c>
      <c r="Q1343" s="17">
        <f>IFERROR(IF(AND(N1343&lt;&gt;"",ISNUMBER(O1343),O1343&gt;0,O1343&gt;=TODAY()-90),1,0),0)</f>
        <v/>
      </c>
      <c r="R1343" s="17" t="str">
        <f t="shared" si="63"/>
        <v/>
      </c>
      <c r="S1343" s="17" t="str">
        <f>IF(INDEX(Listado!A:A,ROW())="","",INDEX(Listado!A:A,ROW()))</f>
        <v/>
      </c>
      <c r="T1343" s="17" t="str">
        <f ca="1">IF(INDEX(Listado!G:G,ROW())="","",INDEX(Listado!G:G,ROW()))</f>
        <v/>
      </c>
      <c r="U1343" s="17" t="str">
        <f>IF(INDEX(Listado!F:F,ROW())="","",INDEX(Listado!F:F,ROW()))</f>
        <v/>
      </c>
      <c r="V1343" s="17">
        <f>IF(COUNTA(INDEX(Listado!B:B,ROW()):INDEX(Listado!F:F,ROW()))&gt;0,1,0)</f>
        <v/>
      </c>
      <c r="W1343" s="17" t="str">
        <f>IF(INDEX(Listado!L:L,ROW())="","",INDEX(Listado!L:L,ROW()))</f>
        <v/>
      </c>
      <c r="X1343" s="17">
        <f>IF(N1343="","",IF(INDEX(Listado!$M:$M,N1343)="No","No","Sí"))</f>
        <v/>
      </c>
    </row>
    <row r="1344" spans="2:24" ht="14.25">
      <c r="N1344" s="17" t="str">
        <f>IF(V1344=0,"",IFERROR(LOOKUP(2,1/(INDEX(Listado!A:A,2):INDEX(Listado!A:A,ROW())&lt;&gt;""),ROW(INDEX(Listado!A:A,2):INDEX(Listado!A:A,ROW()))),""))</f>
        <v/>
      </c>
      <c r="O1344" s="17" t="str">
        <f>IFERROR(IF(N1344="","",IF(INDEX(Listado!M:M,N1344)="No",IF(INDEX(Listado!N:N,N1344)=0,"",INDEX(Listado!N:N,N1344)),IF(INDEX(Listado!I:I,N1344)=0,"",INDEX(Listado!I:I,N1344)))),"")</f>
        <v/>
      </c>
      <c r="P1344" s="17">
        <f t="shared" ca="1" si="61"/>
        <v/>
      </c>
      <c r="Q1344" s="17">
        <f>IFERROR(IF(AND(N1344&lt;&gt;"",ISNUMBER(O1344),O1344&gt;0,O1344&gt;=TODAY()-90),1,0),0)</f>
        <v/>
      </c>
      <c r="R1344" s="17" t="str">
        <f t="shared" si="63"/>
        <v/>
      </c>
      <c r="S1344" s="17" t="str">
        <f>IF(INDEX(Listado!A:A,ROW())="","",INDEX(Listado!A:A,ROW()))</f>
        <v/>
      </c>
      <c r="T1344" s="17" t="str">
        <f ca="1">IF(INDEX(Listado!G:G,ROW())="","",INDEX(Listado!G:G,ROW()))</f>
        <v/>
      </c>
      <c r="U1344" s="17" t="str">
        <f>IF(INDEX(Listado!F:F,ROW())="","",INDEX(Listado!F:F,ROW()))</f>
        <v/>
      </c>
      <c r="V1344" s="17">
        <f>IF(COUNTA(INDEX(Listado!B:B,ROW()):INDEX(Listado!F:F,ROW()))&gt;0,1,0)</f>
        <v/>
      </c>
      <c r="W1344" s="17" t="str">
        <f>IF(INDEX(Listado!L:L,ROW())="","",INDEX(Listado!L:L,ROW()))</f>
        <v/>
      </c>
      <c r="X1344" s="17">
        <f>IF(N1344="","",IF(INDEX(Listado!$M:$M,N1344)="No","No","Sí"))</f>
        <v/>
      </c>
    </row>
    <row r="1345" spans="2:24" ht="14.25">
      <c r="N1345" s="17" t="str">
        <f>IF(V1345=0,"",IFERROR(LOOKUP(2,1/(INDEX(Listado!A:A,2):INDEX(Listado!A:A,ROW())&lt;&gt;""),ROW(INDEX(Listado!A:A,2):INDEX(Listado!A:A,ROW()))),""))</f>
        <v/>
      </c>
      <c r="O1345" s="17" t="str">
        <f>IFERROR(IF(N1345="","",IF(INDEX(Listado!M:M,N1345)="No",IF(INDEX(Listado!N:N,N1345)=0,"",INDEX(Listado!N:N,N1345)),IF(INDEX(Listado!I:I,N1345)=0,"",INDEX(Listado!I:I,N1345)))),"")</f>
        <v/>
      </c>
      <c r="P1345" s="17">
        <f t="shared" ca="1" si="61"/>
        <v/>
      </c>
      <c r="Q1345" s="17">
        <f>IFERROR(IF(AND(N1345&lt;&gt;"",ISNUMBER(O1345),O1345&gt;0,O1345&gt;=TODAY()-90),1,0),0)</f>
        <v/>
      </c>
      <c r="R1345" s="17" t="str">
        <f t="shared" si="63"/>
        <v/>
      </c>
      <c r="S1345" s="17" t="str">
        <f>IF(INDEX(Listado!A:A,ROW())="","",INDEX(Listado!A:A,ROW()))</f>
        <v/>
      </c>
      <c r="T1345" s="17" t="str">
        <f ca="1">IF(INDEX(Listado!G:G,ROW())="","",INDEX(Listado!G:G,ROW()))</f>
        <v/>
      </c>
      <c r="U1345" s="17" t="str">
        <f>IF(INDEX(Listado!F:F,ROW())="","",INDEX(Listado!F:F,ROW()))</f>
        <v/>
      </c>
      <c r="V1345" s="17">
        <f>IF(COUNTA(INDEX(Listado!B:B,ROW()):INDEX(Listado!F:F,ROW()))&gt;0,1,0)</f>
        <v/>
      </c>
      <c r="W1345" s="17" t="str">
        <f>IF(INDEX(Listado!L:L,ROW())="","",INDEX(Listado!L:L,ROW()))</f>
        <v/>
      </c>
      <c r="X1345" s="17">
        <f>IF(N1345="","",IF(INDEX(Listado!$M:$M,N1345)="No","No","Sí"))</f>
        <v/>
      </c>
    </row>
    <row r="1346" spans="2:24" ht="14.25">
      <c r="N1346" s="17" t="str">
        <f>IF(V1346=0,"",IFERROR(LOOKUP(2,1/(INDEX(Listado!A:A,2):INDEX(Listado!A:A,ROW())&lt;&gt;""),ROW(INDEX(Listado!A:A,2):INDEX(Listado!A:A,ROW()))),""))</f>
        <v/>
      </c>
      <c r="O1346" s="17" t="str">
        <f>IFERROR(IF(N1346="","",IF(INDEX(Listado!M:M,N1346)="No",IF(INDEX(Listado!N:N,N1346)=0,"",INDEX(Listado!N:N,N1346)),IF(INDEX(Listado!I:I,N1346)=0,"",INDEX(Listado!I:I,N1346)))),"")</f>
        <v/>
      </c>
      <c r="P1346" s="17">
        <f t="shared" ref="P1346:P1409" ca="1" si="64">IF(W1346="",0,IFERROR(IF(AND(ISNUMBER(W1346),W1346=INT(W1346),ISNUMBER(O1346),O1346&gt;0,W1346&gt;=TODAY(),W1346&lt;=O1346+90),0,1),1))</f>
        <v/>
      </c>
      <c r="Q1346" s="17">
        <f>IFERROR(IF(AND(N1346&lt;&gt;"",ISNUMBER(O1346),O1346&gt;0,O1346&gt;=TODAY()-90),1,0),0)</f>
        <v/>
      </c>
      <c r="R1346" s="17" t="str">
        <f t="shared" ref="R1346:R1409" si="66">IF(S1346="","",COUNTIFS($N$2:$N$2999,ROW(),$Q$2:$Q$2999,1))</f>
        <v/>
      </c>
      <c r="S1346" s="17" t="str">
        <f>IF(INDEX(Listado!A:A,ROW())="","",INDEX(Listado!A:A,ROW()))</f>
        <v/>
      </c>
      <c r="T1346" s="17" t="str">
        <f ca="1">IF(INDEX(Listado!G:G,ROW())="","",INDEX(Listado!G:G,ROW()))</f>
        <v/>
      </c>
      <c r="U1346" s="17" t="str">
        <f>IF(INDEX(Listado!F:F,ROW())="","",INDEX(Listado!F:F,ROW()))</f>
        <v/>
      </c>
      <c r="V1346" s="17">
        <f>IF(COUNTA(INDEX(Listado!B:B,ROW()):INDEX(Listado!F:F,ROW()))&gt;0,1,0)</f>
        <v/>
      </c>
      <c r="W1346" s="17" t="str">
        <f>IF(INDEX(Listado!L:L,ROW())="","",INDEX(Listado!L:L,ROW()))</f>
        <v/>
      </c>
      <c r="X1346" s="17">
        <f>IF(N1346="","",IF(INDEX(Listado!$M:$M,N1346)="No","No","Sí"))</f>
        <v/>
      </c>
    </row>
    <row r="1347" spans="2:24" ht="14.25">
      <c r="N1347" s="17" t="str">
        <f>IF(V1347=0,"",IFERROR(LOOKUP(2,1/(INDEX(Listado!A:A,2):INDEX(Listado!A:A,ROW())&lt;&gt;""),ROW(INDEX(Listado!A:A,2):INDEX(Listado!A:A,ROW()))),""))</f>
        <v/>
      </c>
      <c r="O1347" s="17" t="str">
        <f>IFERROR(IF(N1347="","",IF(INDEX(Listado!M:M,N1347)="No",IF(INDEX(Listado!N:N,N1347)=0,"",INDEX(Listado!N:N,N1347)),IF(INDEX(Listado!I:I,N1347)=0,"",INDEX(Listado!I:I,N1347)))),"")</f>
        <v/>
      </c>
      <c r="P1347" s="17">
        <f t="shared" ca="1" si="64"/>
        <v/>
      </c>
      <c r="Q1347" s="17">
        <f>IFERROR(IF(AND(N1347&lt;&gt;"",ISNUMBER(O1347),O1347&gt;0,O1347&gt;=TODAY()-90),1,0),0)</f>
        <v/>
      </c>
      <c r="R1347" s="17" t="str">
        <f t="shared" si="66"/>
        <v/>
      </c>
      <c r="S1347" s="17" t="str">
        <f>IF(INDEX(Listado!A:A,ROW())="","",INDEX(Listado!A:A,ROW()))</f>
        <v/>
      </c>
      <c r="T1347" s="17" t="str">
        <f ca="1">IF(INDEX(Listado!G:G,ROW())="","",INDEX(Listado!G:G,ROW()))</f>
        <v/>
      </c>
      <c r="U1347" s="17" t="str">
        <f>IF(INDEX(Listado!F:F,ROW())="","",INDEX(Listado!F:F,ROW()))</f>
        <v/>
      </c>
      <c r="V1347" s="17">
        <f>IF(COUNTA(INDEX(Listado!B:B,ROW()):INDEX(Listado!F:F,ROW()))&gt;0,1,0)</f>
        <v/>
      </c>
      <c r="W1347" s="17" t="str">
        <f>IF(INDEX(Listado!L:L,ROW())="","",INDEX(Listado!L:L,ROW()))</f>
        <v/>
      </c>
      <c r="X1347" s="17">
        <f>IF(N1347="","",IF(INDEX(Listado!$M:$M,N1347)="No","No","Sí"))</f>
        <v/>
      </c>
    </row>
    <row r="1348" spans="2:24" ht="14.25">
      <c r="N1348" s="17" t="str">
        <f>IF(V1348=0,"",IFERROR(LOOKUP(2,1/(INDEX(Listado!A:A,2):INDEX(Listado!A:A,ROW())&lt;&gt;""),ROW(INDEX(Listado!A:A,2):INDEX(Listado!A:A,ROW()))),""))</f>
        <v/>
      </c>
      <c r="O1348" s="17" t="str">
        <f>IFERROR(IF(N1348="","",IF(INDEX(Listado!M:M,N1348)="No",IF(INDEX(Listado!N:N,N1348)=0,"",INDEX(Listado!N:N,N1348)),IF(INDEX(Listado!I:I,N1348)=0,"",INDEX(Listado!I:I,N1348)))),"")</f>
        <v/>
      </c>
      <c r="P1348" s="17">
        <f t="shared" ca="1" si="64"/>
        <v/>
      </c>
      <c r="Q1348" s="17">
        <f>IFERROR(IF(AND(N1348&lt;&gt;"",ISNUMBER(O1348),O1348&gt;0,O1348&gt;=TODAY()-90),1,0),0)</f>
        <v/>
      </c>
      <c r="R1348" s="17" t="str">
        <f t="shared" si="66"/>
        <v/>
      </c>
      <c r="S1348" s="17" t="str">
        <f>IF(INDEX(Listado!A:A,ROW())="","",INDEX(Listado!A:A,ROW()))</f>
        <v/>
      </c>
      <c r="T1348" s="17" t="str">
        <f ca="1">IF(INDEX(Listado!G:G,ROW())="","",INDEX(Listado!G:G,ROW()))</f>
        <v/>
      </c>
      <c r="U1348" s="17" t="str">
        <f>IF(INDEX(Listado!F:F,ROW())="","",INDEX(Listado!F:F,ROW()))</f>
        <v/>
      </c>
      <c r="V1348" s="17">
        <f>IF(COUNTA(INDEX(Listado!B:B,ROW()):INDEX(Listado!F:F,ROW()))&gt;0,1,0)</f>
        <v/>
      </c>
      <c r="W1348" s="17" t="str">
        <f>IF(INDEX(Listado!L:L,ROW())="","",INDEX(Listado!L:L,ROW()))</f>
        <v/>
      </c>
      <c r="X1348" s="17">
        <f>IF(N1348="","",IF(INDEX(Listado!$M:$M,N1348)="No","No","Sí"))</f>
        <v/>
      </c>
    </row>
    <row r="1349" spans="2:24" ht="14.25">
      <c r="N1349" s="17" t="str">
        <f>IF(V1349=0,"",IFERROR(LOOKUP(2,1/(INDEX(Listado!A:A,2):INDEX(Listado!A:A,ROW())&lt;&gt;""),ROW(INDEX(Listado!A:A,2):INDEX(Listado!A:A,ROW()))),""))</f>
        <v/>
      </c>
      <c r="O1349" s="17" t="str">
        <f>IFERROR(IF(N1349="","",IF(INDEX(Listado!M:M,N1349)="No",IF(INDEX(Listado!N:N,N1349)=0,"",INDEX(Listado!N:N,N1349)),IF(INDEX(Listado!I:I,N1349)=0,"",INDEX(Listado!I:I,N1349)))),"")</f>
        <v/>
      </c>
      <c r="P1349" s="17">
        <f t="shared" ca="1" si="64"/>
        <v/>
      </c>
      <c r="Q1349" s="17">
        <f>IFERROR(IF(AND(N1349&lt;&gt;"",ISNUMBER(O1349),O1349&gt;0,O1349&gt;=TODAY()-90),1,0),0)</f>
        <v/>
      </c>
      <c r="R1349" s="17" t="str">
        <f t="shared" si="66"/>
        <v/>
      </c>
      <c r="S1349" s="17" t="str">
        <f>IF(INDEX(Listado!A:A,ROW())="","",INDEX(Listado!A:A,ROW()))</f>
        <v/>
      </c>
      <c r="T1349" s="17" t="str">
        <f ca="1">IF(INDEX(Listado!G:G,ROW())="","",INDEX(Listado!G:G,ROW()))</f>
        <v/>
      </c>
      <c r="U1349" s="17" t="str">
        <f>IF(INDEX(Listado!F:F,ROW())="","",INDEX(Listado!F:F,ROW()))</f>
        <v/>
      </c>
      <c r="V1349" s="17">
        <f>IF(COUNTA(INDEX(Listado!B:B,ROW()):INDEX(Listado!F:F,ROW()))&gt;0,1,0)</f>
        <v/>
      </c>
      <c r="W1349" s="17" t="str">
        <f>IF(INDEX(Listado!L:L,ROW())="","",INDEX(Listado!L:L,ROW()))</f>
        <v/>
      </c>
      <c r="X1349" s="17">
        <f>IF(N1349="","",IF(INDEX(Listado!$M:$M,N1349)="No","No","Sí"))</f>
        <v/>
      </c>
    </row>
    <row r="1350" spans="2:24" ht="14.25">
      <c r="N1350" s="17" t="str">
        <f>IF(V1350=0,"",IFERROR(LOOKUP(2,1/(INDEX(Listado!A:A,2):INDEX(Listado!A:A,ROW())&lt;&gt;""),ROW(INDEX(Listado!A:A,2):INDEX(Listado!A:A,ROW()))),""))</f>
        <v/>
      </c>
      <c r="O1350" s="17" t="str">
        <f>IFERROR(IF(N1350="","",IF(INDEX(Listado!M:M,N1350)="No",IF(INDEX(Listado!N:N,N1350)=0,"",INDEX(Listado!N:N,N1350)),IF(INDEX(Listado!I:I,N1350)=0,"",INDEX(Listado!I:I,N1350)))),"")</f>
        <v/>
      </c>
      <c r="P1350" s="17">
        <f t="shared" ca="1" si="64"/>
        <v/>
      </c>
      <c r="Q1350" s="17">
        <f>IFERROR(IF(AND(N1350&lt;&gt;"",ISNUMBER(O1350),O1350&gt;0,O1350&gt;=TODAY()-90),1,0),0)</f>
        <v/>
      </c>
      <c r="R1350" s="17" t="str">
        <f t="shared" si="66"/>
        <v/>
      </c>
      <c r="S1350" s="17" t="str">
        <f>IF(INDEX(Listado!A:A,ROW())="","",INDEX(Listado!A:A,ROW()))</f>
        <v/>
      </c>
      <c r="T1350" s="17" t="str">
        <f ca="1">IF(INDEX(Listado!G:G,ROW())="","",INDEX(Listado!G:G,ROW()))</f>
        <v/>
      </c>
      <c r="U1350" s="17" t="str">
        <f>IF(INDEX(Listado!F:F,ROW())="","",INDEX(Listado!F:F,ROW()))</f>
        <v/>
      </c>
      <c r="V1350" s="17">
        <f>IF(COUNTA(INDEX(Listado!B:B,ROW()):INDEX(Listado!F:F,ROW()))&gt;0,1,0)</f>
        <v/>
      </c>
      <c r="W1350" s="17" t="str">
        <f>IF(INDEX(Listado!L:L,ROW())="","",INDEX(Listado!L:L,ROW()))</f>
        <v/>
      </c>
      <c r="X1350" s="17">
        <f>IF(N1350="","",IF(INDEX(Listado!$M:$M,N1350)="No","No","Sí"))</f>
        <v/>
      </c>
    </row>
    <row r="1351" spans="2:24" ht="14.25">
      <c r="N1351" s="17" t="str">
        <f>IF(V1351=0,"",IFERROR(LOOKUP(2,1/(INDEX(Listado!A:A,2):INDEX(Listado!A:A,ROW())&lt;&gt;""),ROW(INDEX(Listado!A:A,2):INDEX(Listado!A:A,ROW()))),""))</f>
        <v/>
      </c>
      <c r="O1351" s="17" t="str">
        <f>IFERROR(IF(N1351="","",IF(INDEX(Listado!M:M,N1351)="No",IF(INDEX(Listado!N:N,N1351)=0,"",INDEX(Listado!N:N,N1351)),IF(INDEX(Listado!I:I,N1351)=0,"",INDEX(Listado!I:I,N1351)))),"")</f>
        <v/>
      </c>
      <c r="P1351" s="17">
        <f t="shared" ca="1" si="64"/>
        <v/>
      </c>
      <c r="Q1351" s="17">
        <f>IFERROR(IF(AND(N1351&lt;&gt;"",ISNUMBER(O1351),O1351&gt;0,O1351&gt;=TODAY()-90),1,0),0)</f>
        <v/>
      </c>
      <c r="R1351" s="17" t="str">
        <f t="shared" si="66"/>
        <v/>
      </c>
      <c r="S1351" s="17" t="str">
        <f>IF(INDEX(Listado!A:A,ROW())="","",INDEX(Listado!A:A,ROW()))</f>
        <v/>
      </c>
      <c r="T1351" s="17" t="str">
        <f ca="1">IF(INDEX(Listado!G:G,ROW())="","",INDEX(Listado!G:G,ROW()))</f>
        <v/>
      </c>
      <c r="U1351" s="17" t="str">
        <f>IF(INDEX(Listado!F:F,ROW())="","",INDEX(Listado!F:F,ROW()))</f>
        <v/>
      </c>
      <c r="V1351" s="17">
        <f>IF(COUNTA(INDEX(Listado!B:B,ROW()):INDEX(Listado!F:F,ROW()))&gt;0,1,0)</f>
        <v/>
      </c>
      <c r="W1351" s="17" t="str">
        <f>IF(INDEX(Listado!L:L,ROW())="","",INDEX(Listado!L:L,ROW()))</f>
        <v/>
      </c>
      <c r="X1351" s="17">
        <f>IF(N1351="","",IF(INDEX(Listado!$M:$M,N1351)="No","No","Sí"))</f>
        <v/>
      </c>
    </row>
    <row r="1352" spans="2:24" ht="14.25">
      <c r="N1352" s="17" t="str">
        <f>IF(V1352=0,"",IFERROR(LOOKUP(2,1/(INDEX(Listado!A:A,2):INDEX(Listado!A:A,ROW())&lt;&gt;""),ROW(INDEX(Listado!A:A,2):INDEX(Listado!A:A,ROW()))),""))</f>
        <v/>
      </c>
      <c r="O1352" s="17" t="str">
        <f>IFERROR(IF(N1352="","",IF(INDEX(Listado!M:M,N1352)="No",IF(INDEX(Listado!N:N,N1352)=0,"",INDEX(Listado!N:N,N1352)),IF(INDEX(Listado!I:I,N1352)=0,"",INDEX(Listado!I:I,N1352)))),"")</f>
        <v/>
      </c>
      <c r="P1352" s="17">
        <f t="shared" ca="1" si="64"/>
        <v/>
      </c>
      <c r="Q1352" s="17">
        <f>IFERROR(IF(AND(N1352&lt;&gt;"",ISNUMBER(O1352),O1352&gt;0,O1352&gt;=TODAY()-90),1,0),0)</f>
        <v/>
      </c>
      <c r="R1352" s="17" t="str">
        <f t="shared" si="66"/>
        <v/>
      </c>
      <c r="S1352" s="17" t="str">
        <f>IF(INDEX(Listado!A:A,ROW())="","",INDEX(Listado!A:A,ROW()))</f>
        <v/>
      </c>
      <c r="T1352" s="17" t="str">
        <f ca="1">IF(INDEX(Listado!G:G,ROW())="","",INDEX(Listado!G:G,ROW()))</f>
        <v/>
      </c>
      <c r="U1352" s="17" t="str">
        <f>IF(INDEX(Listado!F:F,ROW())="","",INDEX(Listado!F:F,ROW()))</f>
        <v/>
      </c>
      <c r="V1352" s="17">
        <f>IF(COUNTA(INDEX(Listado!B:B,ROW()):INDEX(Listado!F:F,ROW()))&gt;0,1,0)</f>
        <v/>
      </c>
      <c r="W1352" s="17" t="str">
        <f>IF(INDEX(Listado!L:L,ROW())="","",INDEX(Listado!L:L,ROW()))</f>
        <v/>
      </c>
      <c r="X1352" s="17">
        <f>IF(N1352="","",IF(INDEX(Listado!$M:$M,N1352)="No","No","Sí"))</f>
        <v/>
      </c>
    </row>
    <row r="1353" spans="2:24" ht="14.25">
      <c r="N1353" s="17" t="str">
        <f>IF(V1353=0,"",IFERROR(LOOKUP(2,1/(INDEX(Listado!A:A,2):INDEX(Listado!A:A,ROW())&lt;&gt;""),ROW(INDEX(Listado!A:A,2):INDEX(Listado!A:A,ROW()))),""))</f>
        <v/>
      </c>
      <c r="O1353" s="17" t="str">
        <f>IFERROR(IF(N1353="","",IF(INDEX(Listado!M:M,N1353)="No",IF(INDEX(Listado!N:N,N1353)=0,"",INDEX(Listado!N:N,N1353)),IF(INDEX(Listado!I:I,N1353)=0,"",INDEX(Listado!I:I,N1353)))),"")</f>
        <v/>
      </c>
      <c r="P1353" s="17">
        <f t="shared" ca="1" si="64"/>
        <v/>
      </c>
      <c r="Q1353" s="17">
        <f>IFERROR(IF(AND(N1353&lt;&gt;"",ISNUMBER(O1353),O1353&gt;0,O1353&gt;=TODAY()-90),1,0),0)</f>
        <v/>
      </c>
      <c r="R1353" s="17" t="str">
        <f t="shared" si="66"/>
        <v/>
      </c>
      <c r="S1353" s="17" t="str">
        <f>IF(INDEX(Listado!A:A,ROW())="","",INDEX(Listado!A:A,ROW()))</f>
        <v/>
      </c>
      <c r="T1353" s="17" t="str">
        <f ca="1">IF(INDEX(Listado!G:G,ROW())="","",INDEX(Listado!G:G,ROW()))</f>
        <v/>
      </c>
      <c r="U1353" s="17" t="str">
        <f>IF(INDEX(Listado!F:F,ROW())="","",INDEX(Listado!F:F,ROW()))</f>
        <v/>
      </c>
      <c r="V1353" s="17">
        <f>IF(COUNTA(INDEX(Listado!B:B,ROW()):INDEX(Listado!F:F,ROW()))&gt;0,1,0)</f>
        <v/>
      </c>
      <c r="W1353" s="17" t="str">
        <f>IF(INDEX(Listado!L:L,ROW())="","",INDEX(Listado!L:L,ROW()))</f>
        <v/>
      </c>
      <c r="X1353" s="17">
        <f>IF(N1353="","",IF(INDEX(Listado!$M:$M,N1353)="No","No","Sí"))</f>
        <v/>
      </c>
    </row>
    <row r="1354" spans="2:24" ht="14.25">
      <c r="N1354" s="17" t="str">
        <f>IF(V1354=0,"",IFERROR(LOOKUP(2,1/(INDEX(Listado!A:A,2):INDEX(Listado!A:A,ROW())&lt;&gt;""),ROW(INDEX(Listado!A:A,2):INDEX(Listado!A:A,ROW()))),""))</f>
        <v/>
      </c>
      <c r="O1354" s="17" t="str">
        <f>IFERROR(IF(N1354="","",IF(INDEX(Listado!M:M,N1354)="No",IF(INDEX(Listado!N:N,N1354)=0,"",INDEX(Listado!N:N,N1354)),IF(INDEX(Listado!I:I,N1354)=0,"",INDEX(Listado!I:I,N1354)))),"")</f>
        <v/>
      </c>
      <c r="P1354" s="17">
        <f t="shared" ca="1" si="64"/>
        <v/>
      </c>
      <c r="Q1354" s="17">
        <f>IFERROR(IF(AND(N1354&lt;&gt;"",ISNUMBER(O1354),O1354&gt;0,O1354&gt;=TODAY()-90),1,0),0)</f>
        <v/>
      </c>
      <c r="R1354" s="17" t="str">
        <f t="shared" si="66"/>
        <v/>
      </c>
      <c r="S1354" s="17" t="str">
        <f>IF(INDEX(Listado!A:A,ROW())="","",INDEX(Listado!A:A,ROW()))</f>
        <v/>
      </c>
      <c r="T1354" s="17" t="str">
        <f ca="1">IF(INDEX(Listado!G:G,ROW())="","",INDEX(Listado!G:G,ROW()))</f>
        <v/>
      </c>
      <c r="U1354" s="17" t="str">
        <f>IF(INDEX(Listado!F:F,ROW())="","",INDEX(Listado!F:F,ROW()))</f>
        <v/>
      </c>
      <c r="V1354" s="17">
        <f>IF(COUNTA(INDEX(Listado!B:B,ROW()):INDEX(Listado!F:F,ROW()))&gt;0,1,0)</f>
        <v/>
      </c>
      <c r="W1354" s="17" t="str">
        <f>IF(INDEX(Listado!L:L,ROW())="","",INDEX(Listado!L:L,ROW()))</f>
        <v/>
      </c>
      <c r="X1354" s="17">
        <f>IF(N1354="","",IF(INDEX(Listado!$M:$M,N1354)="No","No","Sí"))</f>
        <v/>
      </c>
    </row>
    <row r="1355" spans="2:24" ht="14.25">
      <c r="N1355" s="17" t="str">
        <f>IF(V1355=0,"",IFERROR(LOOKUP(2,1/(INDEX(Listado!A:A,2):INDEX(Listado!A:A,ROW())&lt;&gt;""),ROW(INDEX(Listado!A:A,2):INDEX(Listado!A:A,ROW()))),""))</f>
        <v/>
      </c>
      <c r="O1355" s="17" t="str">
        <f>IFERROR(IF(N1355="","",IF(INDEX(Listado!M:M,N1355)="No",IF(INDEX(Listado!N:N,N1355)=0,"",INDEX(Listado!N:N,N1355)),IF(INDEX(Listado!I:I,N1355)=0,"",INDEX(Listado!I:I,N1355)))),"")</f>
        <v/>
      </c>
      <c r="P1355" s="17">
        <f t="shared" ca="1" si="64"/>
        <v/>
      </c>
      <c r="Q1355" s="17">
        <f>IFERROR(IF(AND(N1355&lt;&gt;"",ISNUMBER(O1355),O1355&gt;0,O1355&gt;=TODAY()-90),1,0),0)</f>
        <v/>
      </c>
      <c r="R1355" s="17" t="str">
        <f t="shared" si="66"/>
        <v/>
      </c>
      <c r="S1355" s="17" t="str">
        <f>IF(INDEX(Listado!A:A,ROW())="","",INDEX(Listado!A:A,ROW()))</f>
        <v/>
      </c>
      <c r="T1355" s="17" t="str">
        <f ca="1">IF(INDEX(Listado!G:G,ROW())="","",INDEX(Listado!G:G,ROW()))</f>
        <v/>
      </c>
      <c r="U1355" s="17" t="str">
        <f>IF(INDEX(Listado!F:F,ROW())="","",INDEX(Listado!F:F,ROW()))</f>
        <v/>
      </c>
      <c r="V1355" s="17">
        <f>IF(COUNTA(INDEX(Listado!B:B,ROW()):INDEX(Listado!F:F,ROW()))&gt;0,1,0)</f>
        <v/>
      </c>
      <c r="W1355" s="17" t="str">
        <f>IF(INDEX(Listado!L:L,ROW())="","",INDEX(Listado!L:L,ROW()))</f>
        <v/>
      </c>
      <c r="X1355" s="17">
        <f>IF(N1355="","",IF(INDEX(Listado!$M:$M,N1355)="No","No","Sí"))</f>
        <v/>
      </c>
    </row>
    <row r="1356" spans="2:24" ht="14.25">
      <c r="N1356" s="17" t="str">
        <f>IF(V1356=0,"",IFERROR(LOOKUP(2,1/(INDEX(Listado!A:A,2):INDEX(Listado!A:A,ROW())&lt;&gt;""),ROW(INDEX(Listado!A:A,2):INDEX(Listado!A:A,ROW()))),""))</f>
        <v/>
      </c>
      <c r="O1356" s="17" t="str">
        <f>IFERROR(IF(N1356="","",IF(INDEX(Listado!M:M,N1356)="No",IF(INDEX(Listado!N:N,N1356)=0,"",INDEX(Listado!N:N,N1356)),IF(INDEX(Listado!I:I,N1356)=0,"",INDEX(Listado!I:I,N1356)))),"")</f>
        <v/>
      </c>
      <c r="P1356" s="17">
        <f t="shared" ca="1" si="64"/>
        <v/>
      </c>
      <c r="Q1356" s="17">
        <f>IFERROR(IF(AND(N1356&lt;&gt;"",ISNUMBER(O1356),O1356&gt;0,O1356&gt;=TODAY()-90),1,0),0)</f>
        <v/>
      </c>
      <c r="R1356" s="17" t="str">
        <f t="shared" si="66"/>
        <v/>
      </c>
      <c r="S1356" s="17" t="str">
        <f>IF(INDEX(Listado!A:A,ROW())="","",INDEX(Listado!A:A,ROW()))</f>
        <v/>
      </c>
      <c r="T1356" s="17" t="str">
        <f ca="1">IF(INDEX(Listado!G:G,ROW())="","",INDEX(Listado!G:G,ROW()))</f>
        <v/>
      </c>
      <c r="U1356" s="17" t="str">
        <f>IF(INDEX(Listado!F:F,ROW())="","",INDEX(Listado!F:F,ROW()))</f>
        <v/>
      </c>
      <c r="V1356" s="17">
        <f>IF(COUNTA(INDEX(Listado!B:B,ROW()):INDEX(Listado!F:F,ROW()))&gt;0,1,0)</f>
        <v/>
      </c>
      <c r="W1356" s="17" t="str">
        <f>IF(INDEX(Listado!L:L,ROW())="","",INDEX(Listado!L:L,ROW()))</f>
        <v/>
      </c>
      <c r="X1356" s="17">
        <f>IF(N1356="","",IF(INDEX(Listado!$M:$M,N1356)="No","No","Sí"))</f>
        <v/>
      </c>
    </row>
    <row r="1357" spans="2:24" ht="14.25">
      <c r="N1357" s="17" t="str">
        <f>IF(V1357=0,"",IFERROR(LOOKUP(2,1/(INDEX(Listado!A:A,2):INDEX(Listado!A:A,ROW())&lt;&gt;""),ROW(INDEX(Listado!A:A,2):INDEX(Listado!A:A,ROW()))),""))</f>
        <v/>
      </c>
      <c r="O1357" s="17" t="str">
        <f>IFERROR(IF(N1357="","",IF(INDEX(Listado!M:M,N1357)="No",IF(INDEX(Listado!N:N,N1357)=0,"",INDEX(Listado!N:N,N1357)),IF(INDEX(Listado!I:I,N1357)=0,"",INDEX(Listado!I:I,N1357)))),"")</f>
        <v/>
      </c>
      <c r="P1357" s="17">
        <f t="shared" ca="1" si="64"/>
        <v/>
      </c>
      <c r="Q1357" s="17">
        <f>IFERROR(IF(AND(N1357&lt;&gt;"",ISNUMBER(O1357),O1357&gt;0,O1357&gt;=TODAY()-90),1,0),0)</f>
        <v/>
      </c>
      <c r="R1357" s="17" t="str">
        <f t="shared" si="66"/>
        <v/>
      </c>
      <c r="S1357" s="17" t="str">
        <f>IF(INDEX(Listado!A:A,ROW())="","",INDEX(Listado!A:A,ROW()))</f>
        <v/>
      </c>
      <c r="T1357" s="17" t="str">
        <f ca="1">IF(INDEX(Listado!G:G,ROW())="","",INDEX(Listado!G:G,ROW()))</f>
        <v/>
      </c>
      <c r="U1357" s="17" t="str">
        <f>IF(INDEX(Listado!F:F,ROW())="","",INDEX(Listado!F:F,ROW()))</f>
        <v/>
      </c>
      <c r="V1357" s="17">
        <f>IF(COUNTA(INDEX(Listado!B:B,ROW()):INDEX(Listado!F:F,ROW()))&gt;0,1,0)</f>
        <v/>
      </c>
      <c r="W1357" s="17" t="str">
        <f>IF(INDEX(Listado!L:L,ROW())="","",INDEX(Listado!L:L,ROW()))</f>
        <v/>
      </c>
      <c r="X1357" s="17">
        <f>IF(N1357="","",IF(INDEX(Listado!$M:$M,N1357)="No","No","Sí"))</f>
        <v/>
      </c>
    </row>
    <row r="1358" spans="2:24" ht="14.25">
      <c r="N1358" s="17" t="str">
        <f>IF(V1358=0,"",IFERROR(LOOKUP(2,1/(INDEX(Listado!A:A,2):INDEX(Listado!A:A,ROW())&lt;&gt;""),ROW(INDEX(Listado!A:A,2):INDEX(Listado!A:A,ROW()))),""))</f>
        <v/>
      </c>
      <c r="O1358" s="17" t="str">
        <f>IFERROR(IF(N1358="","",IF(INDEX(Listado!M:M,N1358)="No",IF(INDEX(Listado!N:N,N1358)=0,"",INDEX(Listado!N:N,N1358)),IF(INDEX(Listado!I:I,N1358)=0,"",INDEX(Listado!I:I,N1358)))),"")</f>
        <v/>
      </c>
      <c r="P1358" s="17">
        <f t="shared" ca="1" si="64"/>
        <v/>
      </c>
      <c r="Q1358" s="17">
        <f>IFERROR(IF(AND(N1358&lt;&gt;"",ISNUMBER(O1358),O1358&gt;0,O1358&gt;=TODAY()-90),1,0),0)</f>
        <v/>
      </c>
      <c r="R1358" s="17" t="str">
        <f t="shared" si="66"/>
        <v/>
      </c>
      <c r="S1358" s="17" t="str">
        <f>IF(INDEX(Listado!A:A,ROW())="","",INDEX(Listado!A:A,ROW()))</f>
        <v/>
      </c>
      <c r="T1358" s="17" t="str">
        <f ca="1">IF(INDEX(Listado!G:G,ROW())="","",INDEX(Listado!G:G,ROW()))</f>
        <v/>
      </c>
      <c r="U1358" s="17" t="str">
        <f>IF(INDEX(Listado!F:F,ROW())="","",INDEX(Listado!F:F,ROW()))</f>
        <v/>
      </c>
      <c r="V1358" s="17">
        <f>IF(COUNTA(INDEX(Listado!B:B,ROW()):INDEX(Listado!F:F,ROW()))&gt;0,1,0)</f>
        <v/>
      </c>
      <c r="W1358" s="17" t="str">
        <f>IF(INDEX(Listado!L:L,ROW())="","",INDEX(Listado!L:L,ROW()))</f>
        <v/>
      </c>
      <c r="X1358" s="17">
        <f>IF(N1358="","",IF(INDEX(Listado!$M:$M,N1358)="No","No","Sí"))</f>
        <v/>
      </c>
    </row>
    <row r="1359" spans="2:24" ht="14.25">
      <c r="N1359" s="17" t="str">
        <f>IF(V1359=0,"",IFERROR(LOOKUP(2,1/(INDEX(Listado!A:A,2):INDEX(Listado!A:A,ROW())&lt;&gt;""),ROW(INDEX(Listado!A:A,2):INDEX(Listado!A:A,ROW()))),""))</f>
        <v/>
      </c>
      <c r="O1359" s="17" t="str">
        <f>IFERROR(IF(N1359="","",IF(INDEX(Listado!M:M,N1359)="No",IF(INDEX(Listado!N:N,N1359)=0,"",INDEX(Listado!N:N,N1359)),IF(INDEX(Listado!I:I,N1359)=0,"",INDEX(Listado!I:I,N1359)))),"")</f>
        <v/>
      </c>
      <c r="P1359" s="17">
        <f t="shared" ca="1" si="64"/>
        <v/>
      </c>
      <c r="Q1359" s="17">
        <f>IFERROR(IF(AND(N1359&lt;&gt;"",ISNUMBER(O1359),O1359&gt;0,O1359&gt;=TODAY()-90),1,0),0)</f>
        <v/>
      </c>
      <c r="R1359" s="17" t="str">
        <f t="shared" si="66"/>
        <v/>
      </c>
      <c r="S1359" s="17" t="str">
        <f>IF(INDEX(Listado!A:A,ROW())="","",INDEX(Listado!A:A,ROW()))</f>
        <v/>
      </c>
      <c r="T1359" s="17" t="str">
        <f ca="1">IF(INDEX(Listado!G:G,ROW())="","",INDEX(Listado!G:G,ROW()))</f>
        <v/>
      </c>
      <c r="U1359" s="17" t="str">
        <f>IF(INDEX(Listado!F:F,ROW())="","",INDEX(Listado!F:F,ROW()))</f>
        <v/>
      </c>
      <c r="V1359" s="17">
        <f>IF(COUNTA(INDEX(Listado!B:B,ROW()):INDEX(Listado!F:F,ROW()))&gt;0,1,0)</f>
        <v/>
      </c>
      <c r="W1359" s="17" t="str">
        <f>IF(INDEX(Listado!L:L,ROW())="","",INDEX(Listado!L:L,ROW()))</f>
        <v/>
      </c>
      <c r="X1359" s="17">
        <f>IF(N1359="","",IF(INDEX(Listado!$M:$M,N1359)="No","No","Sí"))</f>
        <v/>
      </c>
    </row>
    <row r="1360" spans="2:24" ht="14.25">
      <c r="N1360" s="17" t="str">
        <f>IF(V1360=0,"",IFERROR(LOOKUP(2,1/(INDEX(Listado!A:A,2):INDEX(Listado!A:A,ROW())&lt;&gt;""),ROW(INDEX(Listado!A:A,2):INDEX(Listado!A:A,ROW()))),""))</f>
        <v/>
      </c>
      <c r="O1360" s="17" t="str">
        <f>IFERROR(IF(N1360="","",IF(INDEX(Listado!M:M,N1360)="No",IF(INDEX(Listado!N:N,N1360)=0,"",INDEX(Listado!N:N,N1360)),IF(INDEX(Listado!I:I,N1360)=0,"",INDEX(Listado!I:I,N1360)))),"")</f>
        <v/>
      </c>
      <c r="P1360" s="17">
        <f t="shared" ca="1" si="64"/>
        <v/>
      </c>
      <c r="Q1360" s="17">
        <f>IFERROR(IF(AND(N1360&lt;&gt;"",ISNUMBER(O1360),O1360&gt;0,O1360&gt;=TODAY()-90),1,0),0)</f>
        <v/>
      </c>
      <c r="R1360" s="17" t="str">
        <f t="shared" si="66"/>
        <v/>
      </c>
      <c r="S1360" s="17" t="str">
        <f>IF(INDEX(Listado!A:A,ROW())="","",INDEX(Listado!A:A,ROW()))</f>
        <v/>
      </c>
      <c r="T1360" s="17" t="str">
        <f ca="1">IF(INDEX(Listado!G:G,ROW())="","",INDEX(Listado!G:G,ROW()))</f>
        <v/>
      </c>
      <c r="U1360" s="17" t="str">
        <f>IF(INDEX(Listado!F:F,ROW())="","",INDEX(Listado!F:F,ROW()))</f>
        <v/>
      </c>
      <c r="V1360" s="17">
        <f>IF(COUNTA(INDEX(Listado!B:B,ROW()):INDEX(Listado!F:F,ROW()))&gt;0,1,0)</f>
        <v/>
      </c>
      <c r="W1360" s="17" t="str">
        <f>IF(INDEX(Listado!L:L,ROW())="","",INDEX(Listado!L:L,ROW()))</f>
        <v/>
      </c>
      <c r="X1360" s="17">
        <f>IF(N1360="","",IF(INDEX(Listado!$M:$M,N1360)="No","No","Sí"))</f>
        <v/>
      </c>
    </row>
    <row r="1361" spans="2:24" ht="14.25">
      <c r="N1361" s="17" t="str">
        <f>IF(V1361=0,"",IFERROR(LOOKUP(2,1/(INDEX(Listado!A:A,2):INDEX(Listado!A:A,ROW())&lt;&gt;""),ROW(INDEX(Listado!A:A,2):INDEX(Listado!A:A,ROW()))),""))</f>
        <v/>
      </c>
      <c r="O1361" s="17" t="str">
        <f>IFERROR(IF(N1361="","",IF(INDEX(Listado!M:M,N1361)="No",IF(INDEX(Listado!N:N,N1361)=0,"",INDEX(Listado!N:N,N1361)),IF(INDEX(Listado!I:I,N1361)=0,"",INDEX(Listado!I:I,N1361)))),"")</f>
        <v/>
      </c>
      <c r="P1361" s="17">
        <f t="shared" ca="1" si="64"/>
        <v/>
      </c>
      <c r="Q1361" s="17">
        <f>IFERROR(IF(AND(N1361&lt;&gt;"",ISNUMBER(O1361),O1361&gt;0,O1361&gt;=TODAY()-90),1,0),0)</f>
        <v/>
      </c>
      <c r="R1361" s="17" t="str">
        <f t="shared" si="66"/>
        <v/>
      </c>
      <c r="S1361" s="17" t="str">
        <f>IF(INDEX(Listado!A:A,ROW())="","",INDEX(Listado!A:A,ROW()))</f>
        <v/>
      </c>
      <c r="T1361" s="17" t="str">
        <f ca="1">IF(INDEX(Listado!G:G,ROW())="","",INDEX(Listado!G:G,ROW()))</f>
        <v/>
      </c>
      <c r="U1361" s="17" t="str">
        <f>IF(INDEX(Listado!F:F,ROW())="","",INDEX(Listado!F:F,ROW()))</f>
        <v/>
      </c>
      <c r="V1361" s="17">
        <f>IF(COUNTA(INDEX(Listado!B:B,ROW()):INDEX(Listado!F:F,ROW()))&gt;0,1,0)</f>
        <v/>
      </c>
      <c r="W1361" s="17" t="str">
        <f>IF(INDEX(Listado!L:L,ROW())="","",INDEX(Listado!L:L,ROW()))</f>
        <v/>
      </c>
      <c r="X1361" s="17">
        <f>IF(N1361="","",IF(INDEX(Listado!$M:$M,N1361)="No","No","Sí"))</f>
        <v/>
      </c>
    </row>
    <row r="1362" spans="2:24" ht="14.25">
      <c r="N1362" s="17" t="str">
        <f>IF(V1362=0,"",IFERROR(LOOKUP(2,1/(INDEX(Listado!A:A,2):INDEX(Listado!A:A,ROW())&lt;&gt;""),ROW(INDEX(Listado!A:A,2):INDEX(Listado!A:A,ROW()))),""))</f>
        <v/>
      </c>
      <c r="O1362" s="17" t="str">
        <f>IFERROR(IF(N1362="","",IF(INDEX(Listado!M:M,N1362)="No",IF(INDEX(Listado!N:N,N1362)=0,"",INDEX(Listado!N:N,N1362)),IF(INDEX(Listado!I:I,N1362)=0,"",INDEX(Listado!I:I,N1362)))),"")</f>
        <v/>
      </c>
      <c r="P1362" s="17">
        <f t="shared" ca="1" si="64"/>
        <v/>
      </c>
      <c r="Q1362" s="17">
        <f>IFERROR(IF(AND(N1362&lt;&gt;"",ISNUMBER(O1362),O1362&gt;0,O1362&gt;=TODAY()-90),1,0),0)</f>
        <v/>
      </c>
      <c r="R1362" s="17" t="str">
        <f t="shared" si="66"/>
        <v/>
      </c>
      <c r="S1362" s="17" t="str">
        <f>IF(INDEX(Listado!A:A,ROW())="","",INDEX(Listado!A:A,ROW()))</f>
        <v/>
      </c>
      <c r="T1362" s="17" t="str">
        <f ca="1">IF(INDEX(Listado!G:G,ROW())="","",INDEX(Listado!G:G,ROW()))</f>
        <v/>
      </c>
      <c r="U1362" s="17" t="str">
        <f>IF(INDEX(Listado!F:F,ROW())="","",INDEX(Listado!F:F,ROW()))</f>
        <v/>
      </c>
      <c r="V1362" s="17">
        <f>IF(COUNTA(INDEX(Listado!B:B,ROW()):INDEX(Listado!F:F,ROW()))&gt;0,1,0)</f>
        <v/>
      </c>
      <c r="W1362" s="17" t="str">
        <f>IF(INDEX(Listado!L:L,ROW())="","",INDEX(Listado!L:L,ROW()))</f>
        <v/>
      </c>
      <c r="X1362" s="17">
        <f>IF(N1362="","",IF(INDEX(Listado!$M:$M,N1362)="No","No","Sí"))</f>
        <v/>
      </c>
    </row>
    <row r="1363" spans="2:24" ht="14.25">
      <c r="N1363" s="17" t="str">
        <f>IF(V1363=0,"",IFERROR(LOOKUP(2,1/(INDEX(Listado!A:A,2):INDEX(Listado!A:A,ROW())&lt;&gt;""),ROW(INDEX(Listado!A:A,2):INDEX(Listado!A:A,ROW()))),""))</f>
        <v/>
      </c>
      <c r="O1363" s="17" t="str">
        <f>IFERROR(IF(N1363="","",IF(INDEX(Listado!M:M,N1363)="No",IF(INDEX(Listado!N:N,N1363)=0,"",INDEX(Listado!N:N,N1363)),IF(INDEX(Listado!I:I,N1363)=0,"",INDEX(Listado!I:I,N1363)))),"")</f>
        <v/>
      </c>
      <c r="P1363" s="17">
        <f t="shared" ca="1" si="64"/>
        <v/>
      </c>
      <c r="Q1363" s="17">
        <f>IFERROR(IF(AND(N1363&lt;&gt;"",ISNUMBER(O1363),O1363&gt;0,O1363&gt;=TODAY()-90),1,0),0)</f>
        <v/>
      </c>
      <c r="R1363" s="17" t="str">
        <f t="shared" si="66"/>
        <v/>
      </c>
      <c r="S1363" s="17" t="str">
        <f>IF(INDEX(Listado!A:A,ROW())="","",INDEX(Listado!A:A,ROW()))</f>
        <v/>
      </c>
      <c r="T1363" s="17" t="str">
        <f ca="1">IF(INDEX(Listado!G:G,ROW())="","",INDEX(Listado!G:G,ROW()))</f>
        <v/>
      </c>
      <c r="U1363" s="17" t="str">
        <f>IF(INDEX(Listado!F:F,ROW())="","",INDEX(Listado!F:F,ROW()))</f>
        <v/>
      </c>
      <c r="V1363" s="17">
        <f>IF(COUNTA(INDEX(Listado!B:B,ROW()):INDEX(Listado!F:F,ROW()))&gt;0,1,0)</f>
        <v/>
      </c>
      <c r="W1363" s="17" t="str">
        <f>IF(INDEX(Listado!L:L,ROW())="","",INDEX(Listado!L:L,ROW()))</f>
        <v/>
      </c>
      <c r="X1363" s="17">
        <f>IF(N1363="","",IF(INDEX(Listado!$M:$M,N1363)="No","No","Sí"))</f>
        <v/>
      </c>
    </row>
    <row r="1364" spans="2:24" ht="14.25">
      <c r="N1364" s="17" t="str">
        <f>IF(V1364=0,"",IFERROR(LOOKUP(2,1/(INDEX(Listado!A:A,2):INDEX(Listado!A:A,ROW())&lt;&gt;""),ROW(INDEX(Listado!A:A,2):INDEX(Listado!A:A,ROW()))),""))</f>
        <v/>
      </c>
      <c r="O1364" s="17" t="str">
        <f>IFERROR(IF(N1364="","",IF(INDEX(Listado!M:M,N1364)="No",IF(INDEX(Listado!N:N,N1364)=0,"",INDEX(Listado!N:N,N1364)),IF(INDEX(Listado!I:I,N1364)=0,"",INDEX(Listado!I:I,N1364)))),"")</f>
        <v/>
      </c>
      <c r="P1364" s="17">
        <f t="shared" ca="1" si="64"/>
        <v/>
      </c>
      <c r="Q1364" s="17">
        <f>IFERROR(IF(AND(N1364&lt;&gt;"",ISNUMBER(O1364),O1364&gt;0,O1364&gt;=TODAY()-90),1,0),0)</f>
        <v/>
      </c>
      <c r="R1364" s="17" t="str">
        <f t="shared" si="66"/>
        <v/>
      </c>
      <c r="S1364" s="17" t="str">
        <f>IF(INDEX(Listado!A:A,ROW())="","",INDEX(Listado!A:A,ROW()))</f>
        <v/>
      </c>
      <c r="T1364" s="17" t="str">
        <f ca="1">IF(INDEX(Listado!G:G,ROW())="","",INDEX(Listado!G:G,ROW()))</f>
        <v/>
      </c>
      <c r="U1364" s="17" t="str">
        <f>IF(INDEX(Listado!F:F,ROW())="","",INDEX(Listado!F:F,ROW()))</f>
        <v/>
      </c>
      <c r="V1364" s="17">
        <f>IF(COUNTA(INDEX(Listado!B:B,ROW()):INDEX(Listado!F:F,ROW()))&gt;0,1,0)</f>
        <v/>
      </c>
      <c r="W1364" s="17" t="str">
        <f>IF(INDEX(Listado!L:L,ROW())="","",INDEX(Listado!L:L,ROW()))</f>
        <v/>
      </c>
      <c r="X1364" s="17">
        <f>IF(N1364="","",IF(INDEX(Listado!$M:$M,N1364)="No","No","Sí"))</f>
        <v/>
      </c>
    </row>
    <row r="1365" spans="2:24" ht="14.25">
      <c r="N1365" s="17" t="str">
        <f>IF(V1365=0,"",IFERROR(LOOKUP(2,1/(INDEX(Listado!A:A,2):INDEX(Listado!A:A,ROW())&lt;&gt;""),ROW(INDEX(Listado!A:A,2):INDEX(Listado!A:A,ROW()))),""))</f>
        <v/>
      </c>
      <c r="O1365" s="17" t="str">
        <f>IFERROR(IF(N1365="","",IF(INDEX(Listado!M:M,N1365)="No",IF(INDEX(Listado!N:N,N1365)=0,"",INDEX(Listado!N:N,N1365)),IF(INDEX(Listado!I:I,N1365)=0,"",INDEX(Listado!I:I,N1365)))),"")</f>
        <v/>
      </c>
      <c r="P1365" s="17">
        <f t="shared" ca="1" si="64"/>
        <v/>
      </c>
      <c r="Q1365" s="17">
        <f>IFERROR(IF(AND(N1365&lt;&gt;"",ISNUMBER(O1365),O1365&gt;0,O1365&gt;=TODAY()-90),1,0),0)</f>
        <v/>
      </c>
      <c r="R1365" s="17" t="str">
        <f t="shared" si="66"/>
        <v/>
      </c>
      <c r="S1365" s="17" t="str">
        <f>IF(INDEX(Listado!A:A,ROW())="","",INDEX(Listado!A:A,ROW()))</f>
        <v/>
      </c>
      <c r="T1365" s="17" t="str">
        <f ca="1">IF(INDEX(Listado!G:G,ROW())="","",INDEX(Listado!G:G,ROW()))</f>
        <v/>
      </c>
      <c r="U1365" s="17" t="str">
        <f>IF(INDEX(Listado!F:F,ROW())="","",INDEX(Listado!F:F,ROW()))</f>
        <v/>
      </c>
      <c r="V1365" s="17">
        <f>IF(COUNTA(INDEX(Listado!B:B,ROW()):INDEX(Listado!F:F,ROW()))&gt;0,1,0)</f>
        <v/>
      </c>
      <c r="W1365" s="17" t="str">
        <f>IF(INDEX(Listado!L:L,ROW())="","",INDEX(Listado!L:L,ROW()))</f>
        <v/>
      </c>
      <c r="X1365" s="17">
        <f>IF(N1365="","",IF(INDEX(Listado!$M:$M,N1365)="No","No","Sí"))</f>
        <v/>
      </c>
    </row>
    <row r="1366" spans="2:24" ht="14.25">
      <c r="N1366" s="17" t="str">
        <f>IF(V1366=0,"",IFERROR(LOOKUP(2,1/(INDEX(Listado!A:A,2):INDEX(Listado!A:A,ROW())&lt;&gt;""),ROW(INDEX(Listado!A:A,2):INDEX(Listado!A:A,ROW()))),""))</f>
        <v/>
      </c>
      <c r="O1366" s="17" t="str">
        <f>IFERROR(IF(N1366="","",IF(INDEX(Listado!M:M,N1366)="No",IF(INDEX(Listado!N:N,N1366)=0,"",INDEX(Listado!N:N,N1366)),IF(INDEX(Listado!I:I,N1366)=0,"",INDEX(Listado!I:I,N1366)))),"")</f>
        <v/>
      </c>
      <c r="P1366" s="17">
        <f t="shared" ca="1" si="64"/>
        <v/>
      </c>
      <c r="Q1366" s="17">
        <f>IFERROR(IF(AND(N1366&lt;&gt;"",ISNUMBER(O1366),O1366&gt;0,O1366&gt;=TODAY()-90),1,0),0)</f>
        <v/>
      </c>
      <c r="R1366" s="17" t="str">
        <f t="shared" si="66"/>
        <v/>
      </c>
      <c r="S1366" s="17" t="str">
        <f>IF(INDEX(Listado!A:A,ROW())="","",INDEX(Listado!A:A,ROW()))</f>
        <v/>
      </c>
      <c r="T1366" s="17" t="str">
        <f ca="1">IF(INDEX(Listado!G:G,ROW())="","",INDEX(Listado!G:G,ROW()))</f>
        <v/>
      </c>
      <c r="U1366" s="17" t="str">
        <f>IF(INDEX(Listado!F:F,ROW())="","",INDEX(Listado!F:F,ROW()))</f>
        <v/>
      </c>
      <c r="V1366" s="17">
        <f>IF(COUNTA(INDEX(Listado!B:B,ROW()):INDEX(Listado!F:F,ROW()))&gt;0,1,0)</f>
        <v/>
      </c>
      <c r="W1366" s="17" t="str">
        <f>IF(INDEX(Listado!L:L,ROW())="","",INDEX(Listado!L:L,ROW()))</f>
        <v/>
      </c>
      <c r="X1366" s="17">
        <f>IF(N1366="","",IF(INDEX(Listado!$M:$M,N1366)="No","No","Sí"))</f>
        <v/>
      </c>
    </row>
    <row r="1367" spans="2:24" ht="14.25">
      <c r="N1367" s="17" t="str">
        <f>IF(V1367=0,"",IFERROR(LOOKUP(2,1/(INDEX(Listado!A:A,2):INDEX(Listado!A:A,ROW())&lt;&gt;""),ROW(INDEX(Listado!A:A,2):INDEX(Listado!A:A,ROW()))),""))</f>
        <v/>
      </c>
      <c r="O1367" s="17" t="str">
        <f>IFERROR(IF(N1367="","",IF(INDEX(Listado!M:M,N1367)="No",IF(INDEX(Listado!N:N,N1367)=0,"",INDEX(Listado!N:N,N1367)),IF(INDEX(Listado!I:I,N1367)=0,"",INDEX(Listado!I:I,N1367)))),"")</f>
        <v/>
      </c>
      <c r="P1367" s="17">
        <f t="shared" ca="1" si="64"/>
        <v/>
      </c>
      <c r="Q1367" s="17">
        <f>IFERROR(IF(AND(N1367&lt;&gt;"",ISNUMBER(O1367),O1367&gt;0,O1367&gt;=TODAY()-90),1,0),0)</f>
        <v/>
      </c>
      <c r="R1367" s="17" t="str">
        <f t="shared" si="66"/>
        <v/>
      </c>
      <c r="S1367" s="17" t="str">
        <f>IF(INDEX(Listado!A:A,ROW())="","",INDEX(Listado!A:A,ROW()))</f>
        <v/>
      </c>
      <c r="T1367" s="17" t="str">
        <f ca="1">IF(INDEX(Listado!G:G,ROW())="","",INDEX(Listado!G:G,ROW()))</f>
        <v/>
      </c>
      <c r="U1367" s="17" t="str">
        <f>IF(INDEX(Listado!F:F,ROW())="","",INDEX(Listado!F:F,ROW()))</f>
        <v/>
      </c>
      <c r="V1367" s="17">
        <f>IF(COUNTA(INDEX(Listado!B:B,ROW()):INDEX(Listado!F:F,ROW()))&gt;0,1,0)</f>
        <v/>
      </c>
      <c r="W1367" s="17" t="str">
        <f>IF(INDEX(Listado!L:L,ROW())="","",INDEX(Listado!L:L,ROW()))</f>
        <v/>
      </c>
      <c r="X1367" s="17">
        <f>IF(N1367="","",IF(INDEX(Listado!$M:$M,N1367)="No","No","Sí"))</f>
        <v/>
      </c>
    </row>
    <row r="1368" spans="2:24" ht="14.25">
      <c r="N1368" s="17" t="str">
        <f>IF(V1368=0,"",IFERROR(LOOKUP(2,1/(INDEX(Listado!A:A,2):INDEX(Listado!A:A,ROW())&lt;&gt;""),ROW(INDEX(Listado!A:A,2):INDEX(Listado!A:A,ROW()))),""))</f>
        <v/>
      </c>
      <c r="O1368" s="17" t="str">
        <f>IFERROR(IF(N1368="","",IF(INDEX(Listado!M:M,N1368)="No",IF(INDEX(Listado!N:N,N1368)=0,"",INDEX(Listado!N:N,N1368)),IF(INDEX(Listado!I:I,N1368)=0,"",INDEX(Listado!I:I,N1368)))),"")</f>
        <v/>
      </c>
      <c r="P1368" s="17">
        <f t="shared" ca="1" si="64"/>
        <v/>
      </c>
      <c r="Q1368" s="17">
        <f>IFERROR(IF(AND(N1368&lt;&gt;"",ISNUMBER(O1368),O1368&gt;0,O1368&gt;=TODAY()-90),1,0),0)</f>
        <v/>
      </c>
      <c r="R1368" s="17" t="str">
        <f t="shared" si="66"/>
        <v/>
      </c>
      <c r="S1368" s="17" t="str">
        <f>IF(INDEX(Listado!A:A,ROW())="","",INDEX(Listado!A:A,ROW()))</f>
        <v/>
      </c>
      <c r="T1368" s="17" t="str">
        <f ca="1">IF(INDEX(Listado!G:G,ROW())="","",INDEX(Listado!G:G,ROW()))</f>
        <v/>
      </c>
      <c r="U1368" s="17" t="str">
        <f>IF(INDEX(Listado!F:F,ROW())="","",INDEX(Listado!F:F,ROW()))</f>
        <v/>
      </c>
      <c r="V1368" s="17">
        <f>IF(COUNTA(INDEX(Listado!B:B,ROW()):INDEX(Listado!F:F,ROW()))&gt;0,1,0)</f>
        <v/>
      </c>
      <c r="W1368" s="17" t="str">
        <f>IF(INDEX(Listado!L:L,ROW())="","",INDEX(Listado!L:L,ROW()))</f>
        <v/>
      </c>
      <c r="X1368" s="17">
        <f>IF(N1368="","",IF(INDEX(Listado!$M:$M,N1368)="No","No","Sí"))</f>
        <v/>
      </c>
    </row>
    <row r="1369" spans="2:24" ht="14.25">
      <c r="N1369" s="17" t="str">
        <f>IF(V1369=0,"",IFERROR(LOOKUP(2,1/(INDEX(Listado!A:A,2):INDEX(Listado!A:A,ROW())&lt;&gt;""),ROW(INDEX(Listado!A:A,2):INDEX(Listado!A:A,ROW()))),""))</f>
        <v/>
      </c>
      <c r="O1369" s="17" t="str">
        <f>IFERROR(IF(N1369="","",IF(INDEX(Listado!M:M,N1369)="No",IF(INDEX(Listado!N:N,N1369)=0,"",INDEX(Listado!N:N,N1369)),IF(INDEX(Listado!I:I,N1369)=0,"",INDEX(Listado!I:I,N1369)))),"")</f>
        <v/>
      </c>
      <c r="P1369" s="17">
        <f t="shared" ca="1" si="64"/>
        <v/>
      </c>
      <c r="Q1369" s="17">
        <f>IFERROR(IF(AND(N1369&lt;&gt;"",ISNUMBER(O1369),O1369&gt;0,O1369&gt;=TODAY()-90),1,0),0)</f>
        <v/>
      </c>
      <c r="R1369" s="17" t="str">
        <f t="shared" si="66"/>
        <v/>
      </c>
      <c r="S1369" s="17" t="str">
        <f>IF(INDEX(Listado!A:A,ROW())="","",INDEX(Listado!A:A,ROW()))</f>
        <v/>
      </c>
      <c r="T1369" s="17" t="str">
        <f ca="1">IF(INDEX(Listado!G:G,ROW())="","",INDEX(Listado!G:G,ROW()))</f>
        <v/>
      </c>
      <c r="U1369" s="17" t="str">
        <f>IF(INDEX(Listado!F:F,ROW())="","",INDEX(Listado!F:F,ROW()))</f>
        <v/>
      </c>
      <c r="V1369" s="17">
        <f>IF(COUNTA(INDEX(Listado!B:B,ROW()):INDEX(Listado!F:F,ROW()))&gt;0,1,0)</f>
        <v/>
      </c>
      <c r="W1369" s="17" t="str">
        <f>IF(INDEX(Listado!L:L,ROW())="","",INDEX(Listado!L:L,ROW()))</f>
        <v/>
      </c>
      <c r="X1369" s="17">
        <f>IF(N1369="","",IF(INDEX(Listado!$M:$M,N1369)="No","No","Sí"))</f>
        <v/>
      </c>
    </row>
    <row r="1370" spans="2:24" ht="14.25">
      <c r="N1370" s="17" t="str">
        <f>IF(V1370=0,"",IFERROR(LOOKUP(2,1/(INDEX(Listado!A:A,2):INDEX(Listado!A:A,ROW())&lt;&gt;""),ROW(INDEX(Listado!A:A,2):INDEX(Listado!A:A,ROW()))),""))</f>
        <v/>
      </c>
      <c r="O1370" s="17" t="str">
        <f>IFERROR(IF(N1370="","",IF(INDEX(Listado!M:M,N1370)="No",IF(INDEX(Listado!N:N,N1370)=0,"",INDEX(Listado!N:N,N1370)),IF(INDEX(Listado!I:I,N1370)=0,"",INDEX(Listado!I:I,N1370)))),"")</f>
        <v/>
      </c>
      <c r="P1370" s="17">
        <f t="shared" ca="1" si="64"/>
        <v/>
      </c>
      <c r="Q1370" s="17">
        <f>IFERROR(IF(AND(N1370&lt;&gt;"",ISNUMBER(O1370),O1370&gt;0,O1370&gt;=TODAY()-90),1,0),0)</f>
        <v/>
      </c>
      <c r="R1370" s="17" t="str">
        <f t="shared" si="66"/>
        <v/>
      </c>
      <c r="S1370" s="17" t="str">
        <f>IF(INDEX(Listado!A:A,ROW())="","",INDEX(Listado!A:A,ROW()))</f>
        <v/>
      </c>
      <c r="T1370" s="17" t="str">
        <f ca="1">IF(INDEX(Listado!G:G,ROW())="","",INDEX(Listado!G:G,ROW()))</f>
        <v/>
      </c>
      <c r="U1370" s="17" t="str">
        <f>IF(INDEX(Listado!F:F,ROW())="","",INDEX(Listado!F:F,ROW()))</f>
        <v/>
      </c>
      <c r="V1370" s="17">
        <f>IF(COUNTA(INDEX(Listado!B:B,ROW()):INDEX(Listado!F:F,ROW()))&gt;0,1,0)</f>
        <v/>
      </c>
      <c r="W1370" s="17" t="str">
        <f>IF(INDEX(Listado!L:L,ROW())="","",INDEX(Listado!L:L,ROW()))</f>
        <v/>
      </c>
      <c r="X1370" s="17">
        <f>IF(N1370="","",IF(INDEX(Listado!$M:$M,N1370)="No","No","Sí"))</f>
        <v/>
      </c>
    </row>
    <row r="1371" spans="2:24" ht="14.25">
      <c r="N1371" s="17" t="str">
        <f>IF(V1371=0,"",IFERROR(LOOKUP(2,1/(INDEX(Listado!A:A,2):INDEX(Listado!A:A,ROW())&lt;&gt;""),ROW(INDEX(Listado!A:A,2):INDEX(Listado!A:A,ROW()))),""))</f>
        <v/>
      </c>
      <c r="O1371" s="17" t="str">
        <f>IFERROR(IF(N1371="","",IF(INDEX(Listado!M:M,N1371)="No",IF(INDEX(Listado!N:N,N1371)=0,"",INDEX(Listado!N:N,N1371)),IF(INDEX(Listado!I:I,N1371)=0,"",INDEX(Listado!I:I,N1371)))),"")</f>
        <v/>
      </c>
      <c r="P1371" s="17">
        <f t="shared" ca="1" si="64"/>
        <v/>
      </c>
      <c r="Q1371" s="17">
        <f>IFERROR(IF(AND(N1371&lt;&gt;"",ISNUMBER(O1371),O1371&gt;0,O1371&gt;=TODAY()-90),1,0),0)</f>
        <v/>
      </c>
      <c r="R1371" s="17" t="str">
        <f t="shared" si="66"/>
        <v/>
      </c>
      <c r="S1371" s="17" t="str">
        <f>IF(INDEX(Listado!A:A,ROW())="","",INDEX(Listado!A:A,ROW()))</f>
        <v/>
      </c>
      <c r="T1371" s="17" t="str">
        <f ca="1">IF(INDEX(Listado!G:G,ROW())="","",INDEX(Listado!G:G,ROW()))</f>
        <v/>
      </c>
      <c r="U1371" s="17" t="str">
        <f>IF(INDEX(Listado!F:F,ROW())="","",INDEX(Listado!F:F,ROW()))</f>
        <v/>
      </c>
      <c r="V1371" s="17">
        <f>IF(COUNTA(INDEX(Listado!B:B,ROW()):INDEX(Listado!F:F,ROW()))&gt;0,1,0)</f>
        <v/>
      </c>
      <c r="W1371" s="17" t="str">
        <f>IF(INDEX(Listado!L:L,ROW())="","",INDEX(Listado!L:L,ROW()))</f>
        <v/>
      </c>
      <c r="X1371" s="17">
        <f>IF(N1371="","",IF(INDEX(Listado!$M:$M,N1371)="No","No","Sí"))</f>
        <v/>
      </c>
    </row>
    <row r="1372" spans="2:24" ht="14.25">
      <c r="N1372" s="17" t="str">
        <f>IF(V1372=0,"",IFERROR(LOOKUP(2,1/(INDEX(Listado!A:A,2):INDEX(Listado!A:A,ROW())&lt;&gt;""),ROW(INDEX(Listado!A:A,2):INDEX(Listado!A:A,ROW()))),""))</f>
        <v/>
      </c>
      <c r="O1372" s="17" t="str">
        <f>IFERROR(IF(N1372="","",IF(INDEX(Listado!M:M,N1372)="No",IF(INDEX(Listado!N:N,N1372)=0,"",INDEX(Listado!N:N,N1372)),IF(INDEX(Listado!I:I,N1372)=0,"",INDEX(Listado!I:I,N1372)))),"")</f>
        <v/>
      </c>
      <c r="P1372" s="17">
        <f t="shared" ca="1" si="64"/>
        <v/>
      </c>
      <c r="Q1372" s="17">
        <f>IFERROR(IF(AND(N1372&lt;&gt;"",ISNUMBER(O1372),O1372&gt;0,O1372&gt;=TODAY()-90),1,0),0)</f>
        <v/>
      </c>
      <c r="R1372" s="17" t="str">
        <f t="shared" si="66"/>
        <v/>
      </c>
      <c r="S1372" s="17" t="str">
        <f>IF(INDEX(Listado!A:A,ROW())="","",INDEX(Listado!A:A,ROW()))</f>
        <v/>
      </c>
      <c r="T1372" s="17" t="str">
        <f ca="1">IF(INDEX(Listado!G:G,ROW())="","",INDEX(Listado!G:G,ROW()))</f>
        <v/>
      </c>
      <c r="U1372" s="17" t="str">
        <f>IF(INDEX(Listado!F:F,ROW())="","",INDEX(Listado!F:F,ROW()))</f>
        <v/>
      </c>
      <c r="V1372" s="17">
        <f>IF(COUNTA(INDEX(Listado!B:B,ROW()):INDEX(Listado!F:F,ROW()))&gt;0,1,0)</f>
        <v/>
      </c>
      <c r="W1372" s="17" t="str">
        <f>IF(INDEX(Listado!L:L,ROW())="","",INDEX(Listado!L:L,ROW()))</f>
        <v/>
      </c>
      <c r="X1372" s="17">
        <f>IF(N1372="","",IF(INDEX(Listado!$M:$M,N1372)="No","No","Sí"))</f>
        <v/>
      </c>
    </row>
    <row r="1373" spans="2:24" ht="14.25">
      <c r="N1373" s="17" t="str">
        <f>IF(V1373=0,"",IFERROR(LOOKUP(2,1/(INDEX(Listado!A:A,2):INDEX(Listado!A:A,ROW())&lt;&gt;""),ROW(INDEX(Listado!A:A,2):INDEX(Listado!A:A,ROW()))),""))</f>
        <v/>
      </c>
      <c r="O1373" s="17" t="str">
        <f>IFERROR(IF(N1373="","",IF(INDEX(Listado!M:M,N1373)="No",IF(INDEX(Listado!N:N,N1373)=0,"",INDEX(Listado!N:N,N1373)),IF(INDEX(Listado!I:I,N1373)=0,"",INDEX(Listado!I:I,N1373)))),"")</f>
        <v/>
      </c>
      <c r="P1373" s="17">
        <f t="shared" ca="1" si="64"/>
        <v/>
      </c>
      <c r="Q1373" s="17">
        <f>IFERROR(IF(AND(N1373&lt;&gt;"",ISNUMBER(O1373),O1373&gt;0,O1373&gt;=TODAY()-90),1,0),0)</f>
        <v/>
      </c>
      <c r="R1373" s="17" t="str">
        <f t="shared" si="66"/>
        <v/>
      </c>
      <c r="S1373" s="17" t="str">
        <f>IF(INDEX(Listado!A:A,ROW())="","",INDEX(Listado!A:A,ROW()))</f>
        <v/>
      </c>
      <c r="T1373" s="17" t="str">
        <f ca="1">IF(INDEX(Listado!G:G,ROW())="","",INDEX(Listado!G:G,ROW()))</f>
        <v/>
      </c>
      <c r="U1373" s="17" t="str">
        <f>IF(INDEX(Listado!F:F,ROW())="","",INDEX(Listado!F:F,ROW()))</f>
        <v/>
      </c>
      <c r="V1373" s="17">
        <f>IF(COUNTA(INDEX(Listado!B:B,ROW()):INDEX(Listado!F:F,ROW()))&gt;0,1,0)</f>
        <v/>
      </c>
      <c r="W1373" s="17" t="str">
        <f>IF(INDEX(Listado!L:L,ROW())="","",INDEX(Listado!L:L,ROW()))</f>
        <v/>
      </c>
      <c r="X1373" s="17">
        <f>IF(N1373="","",IF(INDEX(Listado!$M:$M,N1373)="No","No","Sí"))</f>
        <v/>
      </c>
    </row>
    <row r="1374" spans="2:24" ht="14.25">
      <c r="N1374" s="17" t="str">
        <f>IF(V1374=0,"",IFERROR(LOOKUP(2,1/(INDEX(Listado!A:A,2):INDEX(Listado!A:A,ROW())&lt;&gt;""),ROW(INDEX(Listado!A:A,2):INDEX(Listado!A:A,ROW()))),""))</f>
        <v/>
      </c>
      <c r="O1374" s="17" t="str">
        <f>IFERROR(IF(N1374="","",IF(INDEX(Listado!M:M,N1374)="No",IF(INDEX(Listado!N:N,N1374)=0,"",INDEX(Listado!N:N,N1374)),IF(INDEX(Listado!I:I,N1374)=0,"",INDEX(Listado!I:I,N1374)))),"")</f>
        <v/>
      </c>
      <c r="P1374" s="17">
        <f t="shared" ca="1" si="64"/>
        <v/>
      </c>
      <c r="Q1374" s="17">
        <f>IFERROR(IF(AND(N1374&lt;&gt;"",ISNUMBER(O1374),O1374&gt;0,O1374&gt;=TODAY()-90),1,0),0)</f>
        <v/>
      </c>
      <c r="R1374" s="17" t="str">
        <f t="shared" si="66"/>
        <v/>
      </c>
      <c r="S1374" s="17" t="str">
        <f>IF(INDEX(Listado!A:A,ROW())="","",INDEX(Listado!A:A,ROW()))</f>
        <v/>
      </c>
      <c r="T1374" s="17" t="str">
        <f ca="1">IF(INDEX(Listado!G:G,ROW())="","",INDEX(Listado!G:G,ROW()))</f>
        <v/>
      </c>
      <c r="U1374" s="17" t="str">
        <f>IF(INDEX(Listado!F:F,ROW())="","",INDEX(Listado!F:F,ROW()))</f>
        <v/>
      </c>
      <c r="V1374" s="17">
        <f>IF(COUNTA(INDEX(Listado!B:B,ROW()):INDEX(Listado!F:F,ROW()))&gt;0,1,0)</f>
        <v/>
      </c>
      <c r="W1374" s="17" t="str">
        <f>IF(INDEX(Listado!L:L,ROW())="","",INDEX(Listado!L:L,ROW()))</f>
        <v/>
      </c>
      <c r="X1374" s="17">
        <f>IF(N1374="","",IF(INDEX(Listado!$M:$M,N1374)="No","No","Sí"))</f>
        <v/>
      </c>
    </row>
    <row r="1375" spans="2:24" ht="14.25">
      <c r="N1375" s="17" t="str">
        <f>IF(V1375=0,"",IFERROR(LOOKUP(2,1/(INDEX(Listado!A:A,2):INDEX(Listado!A:A,ROW())&lt;&gt;""),ROW(INDEX(Listado!A:A,2):INDEX(Listado!A:A,ROW()))),""))</f>
        <v/>
      </c>
      <c r="O1375" s="17" t="str">
        <f>IFERROR(IF(N1375="","",IF(INDEX(Listado!M:M,N1375)="No",IF(INDEX(Listado!N:N,N1375)=0,"",INDEX(Listado!N:N,N1375)),IF(INDEX(Listado!I:I,N1375)=0,"",INDEX(Listado!I:I,N1375)))),"")</f>
        <v/>
      </c>
      <c r="P1375" s="17">
        <f t="shared" ca="1" si="64"/>
        <v/>
      </c>
      <c r="Q1375" s="17">
        <f>IFERROR(IF(AND(N1375&lt;&gt;"",ISNUMBER(O1375),O1375&gt;0,O1375&gt;=TODAY()-90),1,0),0)</f>
        <v/>
      </c>
      <c r="R1375" s="17" t="str">
        <f t="shared" si="66"/>
        <v/>
      </c>
      <c r="S1375" s="17" t="str">
        <f>IF(INDEX(Listado!A:A,ROW())="","",INDEX(Listado!A:A,ROW()))</f>
        <v/>
      </c>
      <c r="T1375" s="17" t="str">
        <f ca="1">IF(INDEX(Listado!G:G,ROW())="","",INDEX(Listado!G:G,ROW()))</f>
        <v/>
      </c>
      <c r="U1375" s="17" t="str">
        <f>IF(INDEX(Listado!F:F,ROW())="","",INDEX(Listado!F:F,ROW()))</f>
        <v/>
      </c>
      <c r="V1375" s="17">
        <f>IF(COUNTA(INDEX(Listado!B:B,ROW()):INDEX(Listado!F:F,ROW()))&gt;0,1,0)</f>
        <v/>
      </c>
      <c r="W1375" s="17" t="str">
        <f>IF(INDEX(Listado!L:L,ROW())="","",INDEX(Listado!L:L,ROW()))</f>
        <v/>
      </c>
      <c r="X1375" s="17">
        <f>IF(N1375="","",IF(INDEX(Listado!$M:$M,N1375)="No","No","Sí"))</f>
        <v/>
      </c>
    </row>
    <row r="1376" spans="2:24" ht="14.25">
      <c r="N1376" s="17" t="str">
        <f>IF(V1376=0,"",IFERROR(LOOKUP(2,1/(INDEX(Listado!A:A,2):INDEX(Listado!A:A,ROW())&lt;&gt;""),ROW(INDEX(Listado!A:A,2):INDEX(Listado!A:A,ROW()))),""))</f>
        <v/>
      </c>
      <c r="O1376" s="17" t="str">
        <f>IFERROR(IF(N1376="","",IF(INDEX(Listado!M:M,N1376)="No",IF(INDEX(Listado!N:N,N1376)=0,"",INDEX(Listado!N:N,N1376)),IF(INDEX(Listado!I:I,N1376)=0,"",INDEX(Listado!I:I,N1376)))),"")</f>
        <v/>
      </c>
      <c r="P1376" s="17">
        <f t="shared" ca="1" si="64"/>
        <v/>
      </c>
      <c r="Q1376" s="17">
        <f>IFERROR(IF(AND(N1376&lt;&gt;"",ISNUMBER(O1376),O1376&gt;0,O1376&gt;=TODAY()-90),1,0),0)</f>
        <v/>
      </c>
      <c r="R1376" s="17" t="str">
        <f t="shared" si="66"/>
        <v/>
      </c>
      <c r="S1376" s="17" t="str">
        <f>IF(INDEX(Listado!A:A,ROW())="","",INDEX(Listado!A:A,ROW()))</f>
        <v/>
      </c>
      <c r="T1376" s="17" t="str">
        <f ca="1">IF(INDEX(Listado!G:G,ROW())="","",INDEX(Listado!G:G,ROW()))</f>
        <v/>
      </c>
      <c r="U1376" s="17" t="str">
        <f>IF(INDEX(Listado!F:F,ROW())="","",INDEX(Listado!F:F,ROW()))</f>
        <v/>
      </c>
      <c r="V1376" s="17">
        <f>IF(COUNTA(INDEX(Listado!B:B,ROW()):INDEX(Listado!F:F,ROW()))&gt;0,1,0)</f>
        <v/>
      </c>
      <c r="W1376" s="17" t="str">
        <f>IF(INDEX(Listado!L:L,ROW())="","",INDEX(Listado!L:L,ROW()))</f>
        <v/>
      </c>
      <c r="X1376" s="17">
        <f>IF(N1376="","",IF(INDEX(Listado!$M:$M,N1376)="No","No","Sí"))</f>
        <v/>
      </c>
    </row>
    <row r="1377" spans="2:24" ht="14.25">
      <c r="N1377" s="17" t="str">
        <f>IF(V1377=0,"",IFERROR(LOOKUP(2,1/(INDEX(Listado!A:A,2):INDEX(Listado!A:A,ROW())&lt;&gt;""),ROW(INDEX(Listado!A:A,2):INDEX(Listado!A:A,ROW()))),""))</f>
        <v/>
      </c>
      <c r="O1377" s="17" t="str">
        <f>IFERROR(IF(N1377="","",IF(INDEX(Listado!M:M,N1377)="No",IF(INDEX(Listado!N:N,N1377)=0,"",INDEX(Listado!N:N,N1377)),IF(INDEX(Listado!I:I,N1377)=0,"",INDEX(Listado!I:I,N1377)))),"")</f>
        <v/>
      </c>
      <c r="P1377" s="17">
        <f t="shared" ca="1" si="64"/>
        <v/>
      </c>
      <c r="Q1377" s="17">
        <f>IFERROR(IF(AND(N1377&lt;&gt;"",ISNUMBER(O1377),O1377&gt;0,O1377&gt;=TODAY()-90),1,0),0)</f>
        <v/>
      </c>
      <c r="R1377" s="17" t="str">
        <f t="shared" si="66"/>
        <v/>
      </c>
      <c r="S1377" s="17" t="str">
        <f>IF(INDEX(Listado!A:A,ROW())="","",INDEX(Listado!A:A,ROW()))</f>
        <v/>
      </c>
      <c r="T1377" s="17" t="str">
        <f ca="1">IF(INDEX(Listado!G:G,ROW())="","",INDEX(Listado!G:G,ROW()))</f>
        <v/>
      </c>
      <c r="U1377" s="17" t="str">
        <f>IF(INDEX(Listado!F:F,ROW())="","",INDEX(Listado!F:F,ROW()))</f>
        <v/>
      </c>
      <c r="V1377" s="17">
        <f>IF(COUNTA(INDEX(Listado!B:B,ROW()):INDEX(Listado!F:F,ROW()))&gt;0,1,0)</f>
        <v/>
      </c>
      <c r="W1377" s="17" t="str">
        <f>IF(INDEX(Listado!L:L,ROW())="","",INDEX(Listado!L:L,ROW()))</f>
        <v/>
      </c>
      <c r="X1377" s="17">
        <f>IF(N1377="","",IF(INDEX(Listado!$M:$M,N1377)="No","No","Sí"))</f>
        <v/>
      </c>
    </row>
    <row r="1378" spans="2:24" ht="14.25">
      <c r="N1378" s="17" t="str">
        <f>IF(V1378=0,"",IFERROR(LOOKUP(2,1/(INDEX(Listado!A:A,2):INDEX(Listado!A:A,ROW())&lt;&gt;""),ROW(INDEX(Listado!A:A,2):INDEX(Listado!A:A,ROW()))),""))</f>
        <v/>
      </c>
      <c r="O1378" s="17" t="str">
        <f>IFERROR(IF(N1378="","",IF(INDEX(Listado!M:M,N1378)="No",IF(INDEX(Listado!N:N,N1378)=0,"",INDEX(Listado!N:N,N1378)),IF(INDEX(Listado!I:I,N1378)=0,"",INDEX(Listado!I:I,N1378)))),"")</f>
        <v/>
      </c>
      <c r="P1378" s="17">
        <f t="shared" ca="1" si="64"/>
        <v/>
      </c>
      <c r="Q1378" s="17">
        <f>IFERROR(IF(AND(N1378&lt;&gt;"",ISNUMBER(O1378),O1378&gt;0,O1378&gt;=TODAY()-90),1,0),0)</f>
        <v/>
      </c>
      <c r="R1378" s="17" t="str">
        <f t="shared" si="66"/>
        <v/>
      </c>
      <c r="S1378" s="17" t="str">
        <f>IF(INDEX(Listado!A:A,ROW())="","",INDEX(Listado!A:A,ROW()))</f>
        <v/>
      </c>
      <c r="T1378" s="17" t="str">
        <f ca="1">IF(INDEX(Listado!G:G,ROW())="","",INDEX(Listado!G:G,ROW()))</f>
        <v/>
      </c>
      <c r="U1378" s="17" t="str">
        <f>IF(INDEX(Listado!F:F,ROW())="","",INDEX(Listado!F:F,ROW()))</f>
        <v/>
      </c>
      <c r="V1378" s="17">
        <f>IF(COUNTA(INDEX(Listado!B:B,ROW()):INDEX(Listado!F:F,ROW()))&gt;0,1,0)</f>
        <v/>
      </c>
      <c r="W1378" s="17" t="str">
        <f>IF(INDEX(Listado!L:L,ROW())="","",INDEX(Listado!L:L,ROW()))</f>
        <v/>
      </c>
      <c r="X1378" s="17">
        <f>IF(N1378="","",IF(INDEX(Listado!$M:$M,N1378)="No","No","Sí"))</f>
        <v/>
      </c>
    </row>
    <row r="1379" spans="2:24" ht="14.25">
      <c r="N1379" s="17" t="str">
        <f>IF(V1379=0,"",IFERROR(LOOKUP(2,1/(INDEX(Listado!A:A,2):INDEX(Listado!A:A,ROW())&lt;&gt;""),ROW(INDEX(Listado!A:A,2):INDEX(Listado!A:A,ROW()))),""))</f>
        <v/>
      </c>
      <c r="O1379" s="17" t="str">
        <f>IFERROR(IF(N1379="","",IF(INDEX(Listado!M:M,N1379)="No",IF(INDEX(Listado!N:N,N1379)=0,"",INDEX(Listado!N:N,N1379)),IF(INDEX(Listado!I:I,N1379)=0,"",INDEX(Listado!I:I,N1379)))),"")</f>
        <v/>
      </c>
      <c r="P1379" s="17">
        <f t="shared" ca="1" si="64"/>
        <v/>
      </c>
      <c r="Q1379" s="17">
        <f>IFERROR(IF(AND(N1379&lt;&gt;"",ISNUMBER(O1379),O1379&gt;0,O1379&gt;=TODAY()-90),1,0),0)</f>
        <v/>
      </c>
      <c r="R1379" s="17" t="str">
        <f t="shared" si="66"/>
        <v/>
      </c>
      <c r="S1379" s="17" t="str">
        <f>IF(INDEX(Listado!A:A,ROW())="","",INDEX(Listado!A:A,ROW()))</f>
        <v/>
      </c>
      <c r="T1379" s="17" t="str">
        <f ca="1">IF(INDEX(Listado!G:G,ROW())="","",INDEX(Listado!G:G,ROW()))</f>
        <v/>
      </c>
      <c r="U1379" s="17" t="str">
        <f>IF(INDEX(Listado!F:F,ROW())="","",INDEX(Listado!F:F,ROW()))</f>
        <v/>
      </c>
      <c r="V1379" s="17">
        <f>IF(COUNTA(INDEX(Listado!B:B,ROW()):INDEX(Listado!F:F,ROW()))&gt;0,1,0)</f>
        <v/>
      </c>
      <c r="W1379" s="17" t="str">
        <f>IF(INDEX(Listado!L:L,ROW())="","",INDEX(Listado!L:L,ROW()))</f>
        <v/>
      </c>
      <c r="X1379" s="17">
        <f>IF(N1379="","",IF(INDEX(Listado!$M:$M,N1379)="No","No","Sí"))</f>
        <v/>
      </c>
    </row>
    <row r="1380" spans="2:24" ht="14.25">
      <c r="N1380" s="17" t="str">
        <f>IF(V1380=0,"",IFERROR(LOOKUP(2,1/(INDEX(Listado!A:A,2):INDEX(Listado!A:A,ROW())&lt;&gt;""),ROW(INDEX(Listado!A:A,2):INDEX(Listado!A:A,ROW()))),""))</f>
        <v/>
      </c>
      <c r="O1380" s="17" t="str">
        <f>IFERROR(IF(N1380="","",IF(INDEX(Listado!M:M,N1380)="No",IF(INDEX(Listado!N:N,N1380)=0,"",INDEX(Listado!N:N,N1380)),IF(INDEX(Listado!I:I,N1380)=0,"",INDEX(Listado!I:I,N1380)))),"")</f>
        <v/>
      </c>
      <c r="P1380" s="17">
        <f t="shared" ca="1" si="64"/>
        <v/>
      </c>
      <c r="Q1380" s="17">
        <f>IFERROR(IF(AND(N1380&lt;&gt;"",ISNUMBER(O1380),O1380&gt;0,O1380&gt;=TODAY()-90),1,0),0)</f>
        <v/>
      </c>
      <c r="R1380" s="17" t="str">
        <f t="shared" si="66"/>
        <v/>
      </c>
      <c r="S1380" s="17" t="str">
        <f>IF(INDEX(Listado!A:A,ROW())="","",INDEX(Listado!A:A,ROW()))</f>
        <v/>
      </c>
      <c r="T1380" s="17" t="str">
        <f ca="1">IF(INDEX(Listado!G:G,ROW())="","",INDEX(Listado!G:G,ROW()))</f>
        <v/>
      </c>
      <c r="U1380" s="17" t="str">
        <f>IF(INDEX(Listado!F:F,ROW())="","",INDEX(Listado!F:F,ROW()))</f>
        <v/>
      </c>
      <c r="V1380" s="17">
        <f>IF(COUNTA(INDEX(Listado!B:B,ROW()):INDEX(Listado!F:F,ROW()))&gt;0,1,0)</f>
        <v/>
      </c>
      <c r="W1380" s="17" t="str">
        <f>IF(INDEX(Listado!L:L,ROW())="","",INDEX(Listado!L:L,ROW()))</f>
        <v/>
      </c>
      <c r="X1380" s="17">
        <f>IF(N1380="","",IF(INDEX(Listado!$M:$M,N1380)="No","No","Sí"))</f>
        <v/>
      </c>
    </row>
    <row r="1381" spans="2:24" ht="14.25">
      <c r="N1381" s="17" t="str">
        <f>IF(V1381=0,"",IFERROR(LOOKUP(2,1/(INDEX(Listado!A:A,2):INDEX(Listado!A:A,ROW())&lt;&gt;""),ROW(INDEX(Listado!A:A,2):INDEX(Listado!A:A,ROW()))),""))</f>
        <v/>
      </c>
      <c r="O1381" s="17" t="str">
        <f>IFERROR(IF(N1381="","",IF(INDEX(Listado!M:M,N1381)="No",IF(INDEX(Listado!N:N,N1381)=0,"",INDEX(Listado!N:N,N1381)),IF(INDEX(Listado!I:I,N1381)=0,"",INDEX(Listado!I:I,N1381)))),"")</f>
        <v/>
      </c>
      <c r="P1381" s="17">
        <f t="shared" ca="1" si="64"/>
        <v/>
      </c>
      <c r="Q1381" s="17">
        <f>IFERROR(IF(AND(N1381&lt;&gt;"",ISNUMBER(O1381),O1381&gt;0,O1381&gt;=TODAY()-90),1,0),0)</f>
        <v/>
      </c>
      <c r="R1381" s="17" t="str">
        <f t="shared" si="66"/>
        <v/>
      </c>
      <c r="S1381" s="17" t="str">
        <f>IF(INDEX(Listado!A:A,ROW())="","",INDEX(Listado!A:A,ROW()))</f>
        <v/>
      </c>
      <c r="T1381" s="17" t="str">
        <f ca="1">IF(INDEX(Listado!G:G,ROW())="","",INDEX(Listado!G:G,ROW()))</f>
        <v/>
      </c>
      <c r="U1381" s="17" t="str">
        <f>IF(INDEX(Listado!F:F,ROW())="","",INDEX(Listado!F:F,ROW()))</f>
        <v/>
      </c>
      <c r="V1381" s="17">
        <f>IF(COUNTA(INDEX(Listado!B:B,ROW()):INDEX(Listado!F:F,ROW()))&gt;0,1,0)</f>
        <v/>
      </c>
      <c r="W1381" s="17" t="str">
        <f>IF(INDEX(Listado!L:L,ROW())="","",INDEX(Listado!L:L,ROW()))</f>
        <v/>
      </c>
      <c r="X1381" s="17">
        <f>IF(N1381="","",IF(INDEX(Listado!$M:$M,N1381)="No","No","Sí"))</f>
        <v/>
      </c>
    </row>
    <row r="1382" spans="2:24" ht="14.25">
      <c r="N1382" s="17" t="str">
        <f>IF(V1382=0,"",IFERROR(LOOKUP(2,1/(INDEX(Listado!A:A,2):INDEX(Listado!A:A,ROW())&lt;&gt;""),ROW(INDEX(Listado!A:A,2):INDEX(Listado!A:A,ROW()))),""))</f>
        <v/>
      </c>
      <c r="O1382" s="17" t="str">
        <f>IFERROR(IF(N1382="","",IF(INDEX(Listado!M:M,N1382)="No",IF(INDEX(Listado!N:N,N1382)=0,"",INDEX(Listado!N:N,N1382)),IF(INDEX(Listado!I:I,N1382)=0,"",INDEX(Listado!I:I,N1382)))),"")</f>
        <v/>
      </c>
      <c r="P1382" s="17">
        <f t="shared" ca="1" si="64"/>
        <v/>
      </c>
      <c r="Q1382" s="17">
        <f>IFERROR(IF(AND(N1382&lt;&gt;"",ISNUMBER(O1382),O1382&gt;0,O1382&gt;=TODAY()-90),1,0),0)</f>
        <v/>
      </c>
      <c r="R1382" s="17" t="str">
        <f t="shared" si="66"/>
        <v/>
      </c>
      <c r="S1382" s="17" t="str">
        <f>IF(INDEX(Listado!A:A,ROW())="","",INDEX(Listado!A:A,ROW()))</f>
        <v/>
      </c>
      <c r="T1382" s="17" t="str">
        <f ca="1">IF(INDEX(Listado!G:G,ROW())="","",INDEX(Listado!G:G,ROW()))</f>
        <v/>
      </c>
      <c r="U1382" s="17" t="str">
        <f>IF(INDEX(Listado!F:F,ROW())="","",INDEX(Listado!F:F,ROW()))</f>
        <v/>
      </c>
      <c r="V1382" s="17">
        <f>IF(COUNTA(INDEX(Listado!B:B,ROW()):INDEX(Listado!F:F,ROW()))&gt;0,1,0)</f>
        <v/>
      </c>
      <c r="W1382" s="17" t="str">
        <f>IF(INDEX(Listado!L:L,ROW())="","",INDEX(Listado!L:L,ROW()))</f>
        <v/>
      </c>
      <c r="X1382" s="17">
        <f>IF(N1382="","",IF(INDEX(Listado!$M:$M,N1382)="No","No","Sí"))</f>
        <v/>
      </c>
    </row>
    <row r="1383" spans="2:24" ht="14.25">
      <c r="N1383" s="17" t="str">
        <f>IF(V1383=0,"",IFERROR(LOOKUP(2,1/(INDEX(Listado!A:A,2):INDEX(Listado!A:A,ROW())&lt;&gt;""),ROW(INDEX(Listado!A:A,2):INDEX(Listado!A:A,ROW()))),""))</f>
        <v/>
      </c>
      <c r="O1383" s="17" t="str">
        <f>IFERROR(IF(N1383="","",IF(INDEX(Listado!M:M,N1383)="No",IF(INDEX(Listado!N:N,N1383)=0,"",INDEX(Listado!N:N,N1383)),IF(INDEX(Listado!I:I,N1383)=0,"",INDEX(Listado!I:I,N1383)))),"")</f>
        <v/>
      </c>
      <c r="P1383" s="17">
        <f t="shared" ca="1" si="64"/>
        <v/>
      </c>
      <c r="Q1383" s="17">
        <f>IFERROR(IF(AND(N1383&lt;&gt;"",ISNUMBER(O1383),O1383&gt;0,O1383&gt;=TODAY()-90),1,0),0)</f>
        <v/>
      </c>
      <c r="R1383" s="17" t="str">
        <f t="shared" si="66"/>
        <v/>
      </c>
      <c r="S1383" s="17" t="str">
        <f>IF(INDEX(Listado!A:A,ROW())="","",INDEX(Listado!A:A,ROW()))</f>
        <v/>
      </c>
      <c r="T1383" s="17" t="str">
        <f ca="1">IF(INDEX(Listado!G:G,ROW())="","",INDEX(Listado!G:G,ROW()))</f>
        <v/>
      </c>
      <c r="U1383" s="17" t="str">
        <f>IF(INDEX(Listado!F:F,ROW())="","",INDEX(Listado!F:F,ROW()))</f>
        <v/>
      </c>
      <c r="V1383" s="17">
        <f>IF(COUNTA(INDEX(Listado!B:B,ROW()):INDEX(Listado!F:F,ROW()))&gt;0,1,0)</f>
        <v/>
      </c>
      <c r="W1383" s="17" t="str">
        <f>IF(INDEX(Listado!L:L,ROW())="","",INDEX(Listado!L:L,ROW()))</f>
        <v/>
      </c>
      <c r="X1383" s="17">
        <f>IF(N1383="","",IF(INDEX(Listado!$M:$M,N1383)="No","No","Sí"))</f>
        <v/>
      </c>
    </row>
    <row r="1384" spans="2:24" ht="14.25">
      <c r="N1384" s="17" t="str">
        <f>IF(V1384=0,"",IFERROR(LOOKUP(2,1/(INDEX(Listado!A:A,2):INDEX(Listado!A:A,ROW())&lt;&gt;""),ROW(INDEX(Listado!A:A,2):INDEX(Listado!A:A,ROW()))),""))</f>
        <v/>
      </c>
      <c r="O1384" s="17" t="str">
        <f>IFERROR(IF(N1384="","",IF(INDEX(Listado!M:M,N1384)="No",IF(INDEX(Listado!N:N,N1384)=0,"",INDEX(Listado!N:N,N1384)),IF(INDEX(Listado!I:I,N1384)=0,"",INDEX(Listado!I:I,N1384)))),"")</f>
        <v/>
      </c>
      <c r="P1384" s="17">
        <f t="shared" ca="1" si="64"/>
        <v/>
      </c>
      <c r="Q1384" s="17">
        <f>IFERROR(IF(AND(N1384&lt;&gt;"",ISNUMBER(O1384),O1384&gt;0,O1384&gt;=TODAY()-90),1,0),0)</f>
        <v/>
      </c>
      <c r="R1384" s="17" t="str">
        <f t="shared" si="66"/>
        <v/>
      </c>
      <c r="S1384" s="17" t="str">
        <f>IF(INDEX(Listado!A:A,ROW())="","",INDEX(Listado!A:A,ROW()))</f>
        <v/>
      </c>
      <c r="T1384" s="17" t="str">
        <f ca="1">IF(INDEX(Listado!G:G,ROW())="","",INDEX(Listado!G:G,ROW()))</f>
        <v/>
      </c>
      <c r="U1384" s="17" t="str">
        <f>IF(INDEX(Listado!F:F,ROW())="","",INDEX(Listado!F:F,ROW()))</f>
        <v/>
      </c>
      <c r="V1384" s="17">
        <f>IF(COUNTA(INDEX(Listado!B:B,ROW()):INDEX(Listado!F:F,ROW()))&gt;0,1,0)</f>
        <v/>
      </c>
      <c r="W1384" s="17" t="str">
        <f>IF(INDEX(Listado!L:L,ROW())="","",INDEX(Listado!L:L,ROW()))</f>
        <v/>
      </c>
      <c r="X1384" s="17">
        <f>IF(N1384="","",IF(INDEX(Listado!$M:$M,N1384)="No","No","Sí"))</f>
        <v/>
      </c>
    </row>
    <row r="1385" spans="2:24" ht="14.25">
      <c r="N1385" s="17" t="str">
        <f>IF(V1385=0,"",IFERROR(LOOKUP(2,1/(INDEX(Listado!A:A,2):INDEX(Listado!A:A,ROW())&lt;&gt;""),ROW(INDEX(Listado!A:A,2):INDEX(Listado!A:A,ROW()))),""))</f>
        <v/>
      </c>
      <c r="O1385" s="17" t="str">
        <f>IFERROR(IF(N1385="","",IF(INDEX(Listado!M:M,N1385)="No",IF(INDEX(Listado!N:N,N1385)=0,"",INDEX(Listado!N:N,N1385)),IF(INDEX(Listado!I:I,N1385)=0,"",INDEX(Listado!I:I,N1385)))),"")</f>
        <v/>
      </c>
      <c r="P1385" s="17">
        <f t="shared" ca="1" si="64"/>
        <v/>
      </c>
      <c r="Q1385" s="17">
        <f>IFERROR(IF(AND(N1385&lt;&gt;"",ISNUMBER(O1385),O1385&gt;0,O1385&gt;=TODAY()-90),1,0),0)</f>
        <v/>
      </c>
      <c r="R1385" s="17" t="str">
        <f t="shared" si="66"/>
        <v/>
      </c>
      <c r="S1385" s="17" t="str">
        <f>IF(INDEX(Listado!A:A,ROW())="","",INDEX(Listado!A:A,ROW()))</f>
        <v/>
      </c>
      <c r="T1385" s="17" t="str">
        <f ca="1">IF(INDEX(Listado!G:G,ROW())="","",INDEX(Listado!G:G,ROW()))</f>
        <v/>
      </c>
      <c r="U1385" s="17" t="str">
        <f>IF(INDEX(Listado!F:F,ROW())="","",INDEX(Listado!F:F,ROW()))</f>
        <v/>
      </c>
      <c r="V1385" s="17">
        <f>IF(COUNTA(INDEX(Listado!B:B,ROW()):INDEX(Listado!F:F,ROW()))&gt;0,1,0)</f>
        <v/>
      </c>
      <c r="W1385" s="17" t="str">
        <f>IF(INDEX(Listado!L:L,ROW())="","",INDEX(Listado!L:L,ROW()))</f>
        <v/>
      </c>
      <c r="X1385" s="17">
        <f>IF(N1385="","",IF(INDEX(Listado!$M:$M,N1385)="No","No","Sí"))</f>
        <v/>
      </c>
    </row>
    <row r="1386" spans="2:24" ht="14.25">
      <c r="N1386" s="17" t="str">
        <f>IF(V1386=0,"",IFERROR(LOOKUP(2,1/(INDEX(Listado!A:A,2):INDEX(Listado!A:A,ROW())&lt;&gt;""),ROW(INDEX(Listado!A:A,2):INDEX(Listado!A:A,ROW()))),""))</f>
        <v/>
      </c>
      <c r="O1386" s="17" t="str">
        <f>IFERROR(IF(N1386="","",IF(INDEX(Listado!M:M,N1386)="No",IF(INDEX(Listado!N:N,N1386)=0,"",INDEX(Listado!N:N,N1386)),IF(INDEX(Listado!I:I,N1386)=0,"",INDEX(Listado!I:I,N1386)))),"")</f>
        <v/>
      </c>
      <c r="P1386" s="17">
        <f t="shared" ca="1" si="64"/>
        <v/>
      </c>
      <c r="Q1386" s="17">
        <f>IFERROR(IF(AND(N1386&lt;&gt;"",ISNUMBER(O1386),O1386&gt;0,O1386&gt;=TODAY()-90),1,0),0)</f>
        <v/>
      </c>
      <c r="R1386" s="17" t="str">
        <f t="shared" si="66"/>
        <v/>
      </c>
      <c r="S1386" s="17" t="str">
        <f>IF(INDEX(Listado!A:A,ROW())="","",INDEX(Listado!A:A,ROW()))</f>
        <v/>
      </c>
      <c r="T1386" s="17" t="str">
        <f ca="1">IF(INDEX(Listado!G:G,ROW())="","",INDEX(Listado!G:G,ROW()))</f>
        <v/>
      </c>
      <c r="U1386" s="17" t="str">
        <f>IF(INDEX(Listado!F:F,ROW())="","",INDEX(Listado!F:F,ROW()))</f>
        <v/>
      </c>
      <c r="V1386" s="17">
        <f>IF(COUNTA(INDEX(Listado!B:B,ROW()):INDEX(Listado!F:F,ROW()))&gt;0,1,0)</f>
        <v/>
      </c>
      <c r="W1386" s="17" t="str">
        <f>IF(INDEX(Listado!L:L,ROW())="","",INDEX(Listado!L:L,ROW()))</f>
        <v/>
      </c>
      <c r="X1386" s="17">
        <f>IF(N1386="","",IF(INDEX(Listado!$M:$M,N1386)="No","No","Sí"))</f>
        <v/>
      </c>
    </row>
    <row r="1387" spans="2:24" ht="14.25">
      <c r="N1387" s="17" t="str">
        <f>IF(V1387=0,"",IFERROR(LOOKUP(2,1/(INDEX(Listado!A:A,2):INDEX(Listado!A:A,ROW())&lt;&gt;""),ROW(INDEX(Listado!A:A,2):INDEX(Listado!A:A,ROW()))),""))</f>
        <v/>
      </c>
      <c r="O1387" s="17" t="str">
        <f>IFERROR(IF(N1387="","",IF(INDEX(Listado!M:M,N1387)="No",IF(INDEX(Listado!N:N,N1387)=0,"",INDEX(Listado!N:N,N1387)),IF(INDEX(Listado!I:I,N1387)=0,"",INDEX(Listado!I:I,N1387)))),"")</f>
        <v/>
      </c>
      <c r="P1387" s="17">
        <f t="shared" ca="1" si="64"/>
        <v/>
      </c>
      <c r="Q1387" s="17">
        <f>IFERROR(IF(AND(N1387&lt;&gt;"",ISNUMBER(O1387),O1387&gt;0,O1387&gt;=TODAY()-90),1,0),0)</f>
        <v/>
      </c>
      <c r="R1387" s="17" t="str">
        <f t="shared" si="66"/>
        <v/>
      </c>
      <c r="S1387" s="17" t="str">
        <f>IF(INDEX(Listado!A:A,ROW())="","",INDEX(Listado!A:A,ROW()))</f>
        <v/>
      </c>
      <c r="T1387" s="17" t="str">
        <f ca="1">IF(INDEX(Listado!G:G,ROW())="","",INDEX(Listado!G:G,ROW()))</f>
        <v/>
      </c>
      <c r="U1387" s="17" t="str">
        <f>IF(INDEX(Listado!F:F,ROW())="","",INDEX(Listado!F:F,ROW()))</f>
        <v/>
      </c>
      <c r="V1387" s="17">
        <f>IF(COUNTA(INDEX(Listado!B:B,ROW()):INDEX(Listado!F:F,ROW()))&gt;0,1,0)</f>
        <v/>
      </c>
      <c r="W1387" s="17" t="str">
        <f>IF(INDEX(Listado!L:L,ROW())="","",INDEX(Listado!L:L,ROW()))</f>
        <v/>
      </c>
      <c r="X1387" s="17">
        <f>IF(N1387="","",IF(INDEX(Listado!$M:$M,N1387)="No","No","Sí"))</f>
        <v/>
      </c>
    </row>
    <row r="1388" spans="2:24" ht="14.25">
      <c r="N1388" s="17" t="str">
        <f>IF(V1388=0,"",IFERROR(LOOKUP(2,1/(INDEX(Listado!A:A,2):INDEX(Listado!A:A,ROW())&lt;&gt;""),ROW(INDEX(Listado!A:A,2):INDEX(Listado!A:A,ROW()))),""))</f>
        <v/>
      </c>
      <c r="O1388" s="17" t="str">
        <f>IFERROR(IF(N1388="","",IF(INDEX(Listado!M:M,N1388)="No",IF(INDEX(Listado!N:N,N1388)=0,"",INDEX(Listado!N:N,N1388)),IF(INDEX(Listado!I:I,N1388)=0,"",INDEX(Listado!I:I,N1388)))),"")</f>
        <v/>
      </c>
      <c r="P1388" s="17">
        <f t="shared" ca="1" si="64"/>
        <v/>
      </c>
      <c r="Q1388" s="17">
        <f>IFERROR(IF(AND(N1388&lt;&gt;"",ISNUMBER(O1388),O1388&gt;0,O1388&gt;=TODAY()-90),1,0),0)</f>
        <v/>
      </c>
      <c r="R1388" s="17" t="str">
        <f t="shared" si="66"/>
        <v/>
      </c>
      <c r="S1388" s="17" t="str">
        <f>IF(INDEX(Listado!A:A,ROW())="","",INDEX(Listado!A:A,ROW()))</f>
        <v/>
      </c>
      <c r="T1388" s="17" t="str">
        <f ca="1">IF(INDEX(Listado!G:G,ROW())="","",INDEX(Listado!G:G,ROW()))</f>
        <v/>
      </c>
      <c r="U1388" s="17" t="str">
        <f>IF(INDEX(Listado!F:F,ROW())="","",INDEX(Listado!F:F,ROW()))</f>
        <v/>
      </c>
      <c r="V1388" s="17">
        <f>IF(COUNTA(INDEX(Listado!B:B,ROW()):INDEX(Listado!F:F,ROW()))&gt;0,1,0)</f>
        <v/>
      </c>
      <c r="W1388" s="17" t="str">
        <f>IF(INDEX(Listado!L:L,ROW())="","",INDEX(Listado!L:L,ROW()))</f>
        <v/>
      </c>
      <c r="X1388" s="17">
        <f>IF(N1388="","",IF(INDEX(Listado!$M:$M,N1388)="No","No","Sí"))</f>
        <v/>
      </c>
    </row>
    <row r="1389" spans="2:24" ht="14.25">
      <c r="N1389" s="17" t="str">
        <f>IF(V1389=0,"",IFERROR(LOOKUP(2,1/(INDEX(Listado!A:A,2):INDEX(Listado!A:A,ROW())&lt;&gt;""),ROW(INDEX(Listado!A:A,2):INDEX(Listado!A:A,ROW()))),""))</f>
        <v/>
      </c>
      <c r="O1389" s="17" t="str">
        <f>IFERROR(IF(N1389="","",IF(INDEX(Listado!M:M,N1389)="No",IF(INDEX(Listado!N:N,N1389)=0,"",INDEX(Listado!N:N,N1389)),IF(INDEX(Listado!I:I,N1389)=0,"",INDEX(Listado!I:I,N1389)))),"")</f>
        <v/>
      </c>
      <c r="P1389" s="17">
        <f t="shared" ca="1" si="64"/>
        <v/>
      </c>
      <c r="Q1389" s="17">
        <f>IFERROR(IF(AND(N1389&lt;&gt;"",ISNUMBER(O1389),O1389&gt;0,O1389&gt;=TODAY()-90),1,0),0)</f>
        <v/>
      </c>
      <c r="R1389" s="17" t="str">
        <f t="shared" si="66"/>
        <v/>
      </c>
      <c r="S1389" s="17" t="str">
        <f>IF(INDEX(Listado!A:A,ROW())="","",INDEX(Listado!A:A,ROW()))</f>
        <v/>
      </c>
      <c r="T1389" s="17" t="str">
        <f ca="1">IF(INDEX(Listado!G:G,ROW())="","",INDEX(Listado!G:G,ROW()))</f>
        <v/>
      </c>
      <c r="U1389" s="17" t="str">
        <f>IF(INDEX(Listado!F:F,ROW())="","",INDEX(Listado!F:F,ROW()))</f>
        <v/>
      </c>
      <c r="V1389" s="17">
        <f>IF(COUNTA(INDEX(Listado!B:B,ROW()):INDEX(Listado!F:F,ROW()))&gt;0,1,0)</f>
        <v/>
      </c>
      <c r="W1389" s="17" t="str">
        <f>IF(INDEX(Listado!L:L,ROW())="","",INDEX(Listado!L:L,ROW()))</f>
        <v/>
      </c>
      <c r="X1389" s="17">
        <f>IF(N1389="","",IF(INDEX(Listado!$M:$M,N1389)="No","No","Sí"))</f>
        <v/>
      </c>
    </row>
    <row r="1390" spans="2:24" ht="14.25">
      <c r="N1390" s="17" t="str">
        <f>IF(V1390=0,"",IFERROR(LOOKUP(2,1/(INDEX(Listado!A:A,2):INDEX(Listado!A:A,ROW())&lt;&gt;""),ROW(INDEX(Listado!A:A,2):INDEX(Listado!A:A,ROW()))),""))</f>
        <v/>
      </c>
      <c r="O1390" s="17" t="str">
        <f>IFERROR(IF(N1390="","",IF(INDEX(Listado!M:M,N1390)="No",IF(INDEX(Listado!N:N,N1390)=0,"",INDEX(Listado!N:N,N1390)),IF(INDEX(Listado!I:I,N1390)=0,"",INDEX(Listado!I:I,N1390)))),"")</f>
        <v/>
      </c>
      <c r="P1390" s="17">
        <f t="shared" ca="1" si="64"/>
        <v/>
      </c>
      <c r="Q1390" s="17">
        <f>IFERROR(IF(AND(N1390&lt;&gt;"",ISNUMBER(O1390),O1390&gt;0,O1390&gt;=TODAY()-90),1,0),0)</f>
        <v/>
      </c>
      <c r="R1390" s="17" t="str">
        <f t="shared" si="66"/>
        <v/>
      </c>
      <c r="S1390" s="17" t="str">
        <f>IF(INDEX(Listado!A:A,ROW())="","",INDEX(Listado!A:A,ROW()))</f>
        <v/>
      </c>
      <c r="T1390" s="17" t="str">
        <f ca="1">IF(INDEX(Listado!G:G,ROW())="","",INDEX(Listado!G:G,ROW()))</f>
        <v/>
      </c>
      <c r="U1390" s="17" t="str">
        <f>IF(INDEX(Listado!F:F,ROW())="","",INDEX(Listado!F:F,ROW()))</f>
        <v/>
      </c>
      <c r="V1390" s="17">
        <f>IF(COUNTA(INDEX(Listado!B:B,ROW()):INDEX(Listado!F:F,ROW()))&gt;0,1,0)</f>
        <v/>
      </c>
      <c r="W1390" s="17" t="str">
        <f>IF(INDEX(Listado!L:L,ROW())="","",INDEX(Listado!L:L,ROW()))</f>
        <v/>
      </c>
      <c r="X1390" s="17">
        <f>IF(N1390="","",IF(INDEX(Listado!$M:$M,N1390)="No","No","Sí"))</f>
        <v/>
      </c>
    </row>
    <row r="1391" spans="2:24" ht="14.25">
      <c r="N1391" s="17" t="str">
        <f>IF(V1391=0,"",IFERROR(LOOKUP(2,1/(INDEX(Listado!A:A,2):INDEX(Listado!A:A,ROW())&lt;&gt;""),ROW(INDEX(Listado!A:A,2):INDEX(Listado!A:A,ROW()))),""))</f>
        <v/>
      </c>
      <c r="O1391" s="17" t="str">
        <f>IFERROR(IF(N1391="","",IF(INDEX(Listado!M:M,N1391)="No",IF(INDEX(Listado!N:N,N1391)=0,"",INDEX(Listado!N:N,N1391)),IF(INDEX(Listado!I:I,N1391)=0,"",INDEX(Listado!I:I,N1391)))),"")</f>
        <v/>
      </c>
      <c r="P1391" s="17">
        <f t="shared" ca="1" si="64"/>
        <v/>
      </c>
      <c r="Q1391" s="17">
        <f>IFERROR(IF(AND(N1391&lt;&gt;"",ISNUMBER(O1391),O1391&gt;0,O1391&gt;=TODAY()-90),1,0),0)</f>
        <v/>
      </c>
      <c r="R1391" s="17" t="str">
        <f t="shared" si="66"/>
        <v/>
      </c>
      <c r="S1391" s="17" t="str">
        <f>IF(INDEX(Listado!A:A,ROW())="","",INDEX(Listado!A:A,ROW()))</f>
        <v/>
      </c>
      <c r="T1391" s="17" t="str">
        <f ca="1">IF(INDEX(Listado!G:G,ROW())="","",INDEX(Listado!G:G,ROW()))</f>
        <v/>
      </c>
      <c r="U1391" s="17" t="str">
        <f>IF(INDEX(Listado!F:F,ROW())="","",INDEX(Listado!F:F,ROW()))</f>
        <v/>
      </c>
      <c r="V1391" s="17">
        <f>IF(COUNTA(INDEX(Listado!B:B,ROW()):INDEX(Listado!F:F,ROW()))&gt;0,1,0)</f>
        <v/>
      </c>
      <c r="W1391" s="17" t="str">
        <f>IF(INDEX(Listado!L:L,ROW())="","",INDEX(Listado!L:L,ROW()))</f>
        <v/>
      </c>
      <c r="X1391" s="17">
        <f>IF(N1391="","",IF(INDEX(Listado!$M:$M,N1391)="No","No","Sí"))</f>
        <v/>
      </c>
    </row>
    <row r="1392" spans="2:24" ht="14.25">
      <c r="N1392" s="17" t="str">
        <f>IF(V1392=0,"",IFERROR(LOOKUP(2,1/(INDEX(Listado!A:A,2):INDEX(Listado!A:A,ROW())&lt;&gt;""),ROW(INDEX(Listado!A:A,2):INDEX(Listado!A:A,ROW()))),""))</f>
        <v/>
      </c>
      <c r="O1392" s="17" t="str">
        <f>IFERROR(IF(N1392="","",IF(INDEX(Listado!M:M,N1392)="No",IF(INDEX(Listado!N:N,N1392)=0,"",INDEX(Listado!N:N,N1392)),IF(INDEX(Listado!I:I,N1392)=0,"",INDEX(Listado!I:I,N1392)))),"")</f>
        <v/>
      </c>
      <c r="P1392" s="17">
        <f t="shared" ca="1" si="64"/>
        <v/>
      </c>
      <c r="Q1392" s="17">
        <f>IFERROR(IF(AND(N1392&lt;&gt;"",ISNUMBER(O1392),O1392&gt;0,O1392&gt;=TODAY()-90),1,0),0)</f>
        <v/>
      </c>
      <c r="R1392" s="17" t="str">
        <f t="shared" si="66"/>
        <v/>
      </c>
      <c r="S1392" s="17" t="str">
        <f>IF(INDEX(Listado!A:A,ROW())="","",INDEX(Listado!A:A,ROW()))</f>
        <v/>
      </c>
      <c r="T1392" s="17" t="str">
        <f ca="1">IF(INDEX(Listado!G:G,ROW())="","",INDEX(Listado!G:G,ROW()))</f>
        <v/>
      </c>
      <c r="U1392" s="17" t="str">
        <f>IF(INDEX(Listado!F:F,ROW())="","",INDEX(Listado!F:F,ROW()))</f>
        <v/>
      </c>
      <c r="V1392" s="17">
        <f>IF(COUNTA(INDEX(Listado!B:B,ROW()):INDEX(Listado!F:F,ROW()))&gt;0,1,0)</f>
        <v/>
      </c>
      <c r="W1392" s="17" t="str">
        <f>IF(INDEX(Listado!L:L,ROW())="","",INDEX(Listado!L:L,ROW()))</f>
        <v/>
      </c>
      <c r="X1392" s="17">
        <f>IF(N1392="","",IF(INDEX(Listado!$M:$M,N1392)="No","No","Sí"))</f>
        <v/>
      </c>
    </row>
    <row r="1393" spans="2:24" ht="14.25">
      <c r="N1393" s="17" t="str">
        <f>IF(V1393=0,"",IFERROR(LOOKUP(2,1/(INDEX(Listado!A:A,2):INDEX(Listado!A:A,ROW())&lt;&gt;""),ROW(INDEX(Listado!A:A,2):INDEX(Listado!A:A,ROW()))),""))</f>
        <v/>
      </c>
      <c r="O1393" s="17" t="str">
        <f>IFERROR(IF(N1393="","",IF(INDEX(Listado!M:M,N1393)="No",IF(INDEX(Listado!N:N,N1393)=0,"",INDEX(Listado!N:N,N1393)),IF(INDEX(Listado!I:I,N1393)=0,"",INDEX(Listado!I:I,N1393)))),"")</f>
        <v/>
      </c>
      <c r="P1393" s="17">
        <f t="shared" ca="1" si="64"/>
        <v/>
      </c>
      <c r="Q1393" s="17">
        <f>IFERROR(IF(AND(N1393&lt;&gt;"",ISNUMBER(O1393),O1393&gt;0,O1393&gt;=TODAY()-90),1,0),0)</f>
        <v/>
      </c>
      <c r="R1393" s="17" t="str">
        <f t="shared" si="66"/>
        <v/>
      </c>
      <c r="S1393" s="17" t="str">
        <f>IF(INDEX(Listado!A:A,ROW())="","",INDEX(Listado!A:A,ROW()))</f>
        <v/>
      </c>
      <c r="T1393" s="17" t="str">
        <f ca="1">IF(INDEX(Listado!G:G,ROW())="","",INDEX(Listado!G:G,ROW()))</f>
        <v/>
      </c>
      <c r="U1393" s="17" t="str">
        <f>IF(INDEX(Listado!F:F,ROW())="","",INDEX(Listado!F:F,ROW()))</f>
        <v/>
      </c>
      <c r="V1393" s="17">
        <f>IF(COUNTA(INDEX(Listado!B:B,ROW()):INDEX(Listado!F:F,ROW()))&gt;0,1,0)</f>
        <v/>
      </c>
      <c r="W1393" s="17" t="str">
        <f>IF(INDEX(Listado!L:L,ROW())="","",INDEX(Listado!L:L,ROW()))</f>
        <v/>
      </c>
      <c r="X1393" s="17">
        <f>IF(N1393="","",IF(INDEX(Listado!$M:$M,N1393)="No","No","Sí"))</f>
        <v/>
      </c>
    </row>
    <row r="1394" spans="2:24" ht="14.25">
      <c r="N1394" s="17" t="str">
        <f>IF(V1394=0,"",IFERROR(LOOKUP(2,1/(INDEX(Listado!A:A,2):INDEX(Listado!A:A,ROW())&lt;&gt;""),ROW(INDEX(Listado!A:A,2):INDEX(Listado!A:A,ROW()))),""))</f>
        <v/>
      </c>
      <c r="O1394" s="17" t="str">
        <f>IFERROR(IF(N1394="","",IF(INDEX(Listado!M:M,N1394)="No",IF(INDEX(Listado!N:N,N1394)=0,"",INDEX(Listado!N:N,N1394)),IF(INDEX(Listado!I:I,N1394)=0,"",INDEX(Listado!I:I,N1394)))),"")</f>
        <v/>
      </c>
      <c r="P1394" s="17">
        <f t="shared" ca="1" si="64"/>
        <v/>
      </c>
      <c r="Q1394" s="17">
        <f>IFERROR(IF(AND(N1394&lt;&gt;"",ISNUMBER(O1394),O1394&gt;0,O1394&gt;=TODAY()-90),1,0),0)</f>
        <v/>
      </c>
      <c r="R1394" s="17" t="str">
        <f t="shared" si="66"/>
        <v/>
      </c>
      <c r="S1394" s="17" t="str">
        <f>IF(INDEX(Listado!A:A,ROW())="","",INDEX(Listado!A:A,ROW()))</f>
        <v/>
      </c>
      <c r="T1394" s="17" t="str">
        <f ca="1">IF(INDEX(Listado!G:G,ROW())="","",INDEX(Listado!G:G,ROW()))</f>
        <v/>
      </c>
      <c r="U1394" s="17" t="str">
        <f>IF(INDEX(Listado!F:F,ROW())="","",INDEX(Listado!F:F,ROW()))</f>
        <v/>
      </c>
      <c r="V1394" s="17">
        <f>IF(COUNTA(INDEX(Listado!B:B,ROW()):INDEX(Listado!F:F,ROW()))&gt;0,1,0)</f>
        <v/>
      </c>
      <c r="W1394" s="17" t="str">
        <f>IF(INDEX(Listado!L:L,ROW())="","",INDEX(Listado!L:L,ROW()))</f>
        <v/>
      </c>
      <c r="X1394" s="17">
        <f>IF(N1394="","",IF(INDEX(Listado!$M:$M,N1394)="No","No","Sí"))</f>
        <v/>
      </c>
    </row>
    <row r="1395" spans="2:24" ht="14.25">
      <c r="N1395" s="17" t="str">
        <f>IF(V1395=0,"",IFERROR(LOOKUP(2,1/(INDEX(Listado!A:A,2):INDEX(Listado!A:A,ROW())&lt;&gt;""),ROW(INDEX(Listado!A:A,2):INDEX(Listado!A:A,ROW()))),""))</f>
        <v/>
      </c>
      <c r="O1395" s="17" t="str">
        <f>IFERROR(IF(N1395="","",IF(INDEX(Listado!M:M,N1395)="No",IF(INDEX(Listado!N:N,N1395)=0,"",INDEX(Listado!N:N,N1395)),IF(INDEX(Listado!I:I,N1395)=0,"",INDEX(Listado!I:I,N1395)))),"")</f>
        <v/>
      </c>
      <c r="P1395" s="17">
        <f t="shared" ca="1" si="64"/>
        <v/>
      </c>
      <c r="Q1395" s="17">
        <f>IFERROR(IF(AND(N1395&lt;&gt;"",ISNUMBER(O1395),O1395&gt;0,O1395&gt;=TODAY()-90),1,0),0)</f>
        <v/>
      </c>
      <c r="R1395" s="17" t="str">
        <f t="shared" si="66"/>
        <v/>
      </c>
      <c r="S1395" s="17" t="str">
        <f>IF(INDEX(Listado!A:A,ROW())="","",INDEX(Listado!A:A,ROW()))</f>
        <v/>
      </c>
      <c r="T1395" s="17" t="str">
        <f ca="1">IF(INDEX(Listado!G:G,ROW())="","",INDEX(Listado!G:G,ROW()))</f>
        <v/>
      </c>
      <c r="U1395" s="17" t="str">
        <f>IF(INDEX(Listado!F:F,ROW())="","",INDEX(Listado!F:F,ROW()))</f>
        <v/>
      </c>
      <c r="V1395" s="17">
        <f>IF(COUNTA(INDEX(Listado!B:B,ROW()):INDEX(Listado!F:F,ROW()))&gt;0,1,0)</f>
        <v/>
      </c>
      <c r="W1395" s="17" t="str">
        <f>IF(INDEX(Listado!L:L,ROW())="","",INDEX(Listado!L:L,ROW()))</f>
        <v/>
      </c>
      <c r="X1395" s="17">
        <f>IF(N1395="","",IF(INDEX(Listado!$M:$M,N1395)="No","No","Sí"))</f>
        <v/>
      </c>
    </row>
    <row r="1396" spans="2:24" ht="14.25">
      <c r="N1396" s="17" t="str">
        <f>IF(V1396=0,"",IFERROR(LOOKUP(2,1/(INDEX(Listado!A:A,2):INDEX(Listado!A:A,ROW())&lt;&gt;""),ROW(INDEX(Listado!A:A,2):INDEX(Listado!A:A,ROW()))),""))</f>
        <v/>
      </c>
      <c r="O1396" s="17" t="str">
        <f>IFERROR(IF(N1396="","",IF(INDEX(Listado!M:M,N1396)="No",IF(INDEX(Listado!N:N,N1396)=0,"",INDEX(Listado!N:N,N1396)),IF(INDEX(Listado!I:I,N1396)=0,"",INDEX(Listado!I:I,N1396)))),"")</f>
        <v/>
      </c>
      <c r="P1396" s="17">
        <f t="shared" ca="1" si="64"/>
        <v/>
      </c>
      <c r="Q1396" s="17">
        <f>IFERROR(IF(AND(N1396&lt;&gt;"",ISNUMBER(O1396),O1396&gt;0,O1396&gt;=TODAY()-90),1,0),0)</f>
        <v/>
      </c>
      <c r="R1396" s="17" t="str">
        <f t="shared" si="66"/>
        <v/>
      </c>
      <c r="S1396" s="17" t="str">
        <f>IF(INDEX(Listado!A:A,ROW())="","",INDEX(Listado!A:A,ROW()))</f>
        <v/>
      </c>
      <c r="T1396" s="17" t="str">
        <f ca="1">IF(INDEX(Listado!G:G,ROW())="","",INDEX(Listado!G:G,ROW()))</f>
        <v/>
      </c>
      <c r="U1396" s="17" t="str">
        <f>IF(INDEX(Listado!F:F,ROW())="","",INDEX(Listado!F:F,ROW()))</f>
        <v/>
      </c>
      <c r="V1396" s="17">
        <f>IF(COUNTA(INDEX(Listado!B:B,ROW()):INDEX(Listado!F:F,ROW()))&gt;0,1,0)</f>
        <v/>
      </c>
      <c r="W1396" s="17" t="str">
        <f>IF(INDEX(Listado!L:L,ROW())="","",INDEX(Listado!L:L,ROW()))</f>
        <v/>
      </c>
      <c r="X1396" s="17">
        <f>IF(N1396="","",IF(INDEX(Listado!$M:$M,N1396)="No","No","Sí"))</f>
        <v/>
      </c>
    </row>
    <row r="1397" spans="2:24" ht="14.25">
      <c r="N1397" s="17" t="str">
        <f>IF(V1397=0,"",IFERROR(LOOKUP(2,1/(INDEX(Listado!A:A,2):INDEX(Listado!A:A,ROW())&lt;&gt;""),ROW(INDEX(Listado!A:A,2):INDEX(Listado!A:A,ROW()))),""))</f>
        <v/>
      </c>
      <c r="O1397" s="17" t="str">
        <f>IFERROR(IF(N1397="","",IF(INDEX(Listado!M:M,N1397)="No",IF(INDEX(Listado!N:N,N1397)=0,"",INDEX(Listado!N:N,N1397)),IF(INDEX(Listado!I:I,N1397)=0,"",INDEX(Listado!I:I,N1397)))),"")</f>
        <v/>
      </c>
      <c r="P1397" s="17">
        <f t="shared" ca="1" si="64"/>
        <v/>
      </c>
      <c r="Q1397" s="17">
        <f>IFERROR(IF(AND(N1397&lt;&gt;"",ISNUMBER(O1397),O1397&gt;0,O1397&gt;=TODAY()-90),1,0),0)</f>
        <v/>
      </c>
      <c r="R1397" s="17" t="str">
        <f t="shared" si="66"/>
        <v/>
      </c>
      <c r="S1397" s="17" t="str">
        <f>IF(INDEX(Listado!A:A,ROW())="","",INDEX(Listado!A:A,ROW()))</f>
        <v/>
      </c>
      <c r="T1397" s="17" t="str">
        <f ca="1">IF(INDEX(Listado!G:G,ROW())="","",INDEX(Listado!G:G,ROW()))</f>
        <v/>
      </c>
      <c r="U1397" s="17" t="str">
        <f>IF(INDEX(Listado!F:F,ROW())="","",INDEX(Listado!F:F,ROW()))</f>
        <v/>
      </c>
      <c r="V1397" s="17">
        <f>IF(COUNTA(INDEX(Listado!B:B,ROW()):INDEX(Listado!F:F,ROW()))&gt;0,1,0)</f>
        <v/>
      </c>
      <c r="W1397" s="17" t="str">
        <f>IF(INDEX(Listado!L:L,ROW())="","",INDEX(Listado!L:L,ROW()))</f>
        <v/>
      </c>
      <c r="X1397" s="17">
        <f>IF(N1397="","",IF(INDEX(Listado!$M:$M,N1397)="No","No","Sí"))</f>
        <v/>
      </c>
    </row>
    <row r="1398" spans="2:24" ht="14.25">
      <c r="N1398" s="17" t="str">
        <f>IF(V1398=0,"",IFERROR(LOOKUP(2,1/(INDEX(Listado!A:A,2):INDEX(Listado!A:A,ROW())&lt;&gt;""),ROW(INDEX(Listado!A:A,2):INDEX(Listado!A:A,ROW()))),""))</f>
        <v/>
      </c>
      <c r="O1398" s="17" t="str">
        <f>IFERROR(IF(N1398="","",IF(INDEX(Listado!M:M,N1398)="No",IF(INDEX(Listado!N:N,N1398)=0,"",INDEX(Listado!N:N,N1398)),IF(INDEX(Listado!I:I,N1398)=0,"",INDEX(Listado!I:I,N1398)))),"")</f>
        <v/>
      </c>
      <c r="P1398" s="17">
        <f t="shared" ca="1" si="64"/>
        <v/>
      </c>
      <c r="Q1398" s="17">
        <f>IFERROR(IF(AND(N1398&lt;&gt;"",ISNUMBER(O1398),O1398&gt;0,O1398&gt;=TODAY()-90),1,0),0)</f>
        <v/>
      </c>
      <c r="R1398" s="17" t="str">
        <f t="shared" si="66"/>
        <v/>
      </c>
      <c r="S1398" s="17" t="str">
        <f>IF(INDEX(Listado!A:A,ROW())="","",INDEX(Listado!A:A,ROW()))</f>
        <v/>
      </c>
      <c r="T1398" s="17" t="str">
        <f ca="1">IF(INDEX(Listado!G:G,ROW())="","",INDEX(Listado!G:G,ROW()))</f>
        <v/>
      </c>
      <c r="U1398" s="17" t="str">
        <f>IF(INDEX(Listado!F:F,ROW())="","",INDEX(Listado!F:F,ROW()))</f>
        <v/>
      </c>
      <c r="V1398" s="17">
        <f>IF(COUNTA(INDEX(Listado!B:B,ROW()):INDEX(Listado!F:F,ROW()))&gt;0,1,0)</f>
        <v/>
      </c>
      <c r="W1398" s="17" t="str">
        <f>IF(INDEX(Listado!L:L,ROW())="","",INDEX(Listado!L:L,ROW()))</f>
        <v/>
      </c>
      <c r="X1398" s="17">
        <f>IF(N1398="","",IF(INDEX(Listado!$M:$M,N1398)="No","No","Sí"))</f>
        <v/>
      </c>
    </row>
    <row r="1399" spans="2:24" ht="14.25">
      <c r="N1399" s="17" t="str">
        <f>IF(V1399=0,"",IFERROR(LOOKUP(2,1/(INDEX(Listado!A:A,2):INDEX(Listado!A:A,ROW())&lt;&gt;""),ROW(INDEX(Listado!A:A,2):INDEX(Listado!A:A,ROW()))),""))</f>
        <v/>
      </c>
      <c r="O1399" s="17" t="str">
        <f>IFERROR(IF(N1399="","",IF(INDEX(Listado!M:M,N1399)="No",IF(INDEX(Listado!N:N,N1399)=0,"",INDEX(Listado!N:N,N1399)),IF(INDEX(Listado!I:I,N1399)=0,"",INDEX(Listado!I:I,N1399)))),"")</f>
        <v/>
      </c>
      <c r="P1399" s="17">
        <f t="shared" ca="1" si="64"/>
        <v/>
      </c>
      <c r="Q1399" s="17">
        <f>IFERROR(IF(AND(N1399&lt;&gt;"",ISNUMBER(O1399),O1399&gt;0,O1399&gt;=TODAY()-90),1,0),0)</f>
        <v/>
      </c>
      <c r="R1399" s="17" t="str">
        <f t="shared" si="66"/>
        <v/>
      </c>
      <c r="S1399" s="17" t="str">
        <f>IF(INDEX(Listado!A:A,ROW())="","",INDEX(Listado!A:A,ROW()))</f>
        <v/>
      </c>
      <c r="T1399" s="17" t="str">
        <f ca="1">IF(INDEX(Listado!G:G,ROW())="","",INDEX(Listado!G:G,ROW()))</f>
        <v/>
      </c>
      <c r="U1399" s="17" t="str">
        <f>IF(INDEX(Listado!F:F,ROW())="","",INDEX(Listado!F:F,ROW()))</f>
        <v/>
      </c>
      <c r="V1399" s="17">
        <f>IF(COUNTA(INDEX(Listado!B:B,ROW()):INDEX(Listado!F:F,ROW()))&gt;0,1,0)</f>
        <v/>
      </c>
      <c r="W1399" s="17" t="str">
        <f>IF(INDEX(Listado!L:L,ROW())="","",INDEX(Listado!L:L,ROW()))</f>
        <v/>
      </c>
      <c r="X1399" s="17">
        <f>IF(N1399="","",IF(INDEX(Listado!$M:$M,N1399)="No","No","Sí"))</f>
        <v/>
      </c>
    </row>
    <row r="1400" spans="2:24" ht="14.25">
      <c r="N1400" s="17" t="str">
        <f>IF(V1400=0,"",IFERROR(LOOKUP(2,1/(INDEX(Listado!A:A,2):INDEX(Listado!A:A,ROW())&lt;&gt;""),ROW(INDEX(Listado!A:A,2):INDEX(Listado!A:A,ROW()))),""))</f>
        <v/>
      </c>
      <c r="O1400" s="17" t="str">
        <f>IFERROR(IF(N1400="","",IF(INDEX(Listado!M:M,N1400)="No",IF(INDEX(Listado!N:N,N1400)=0,"",INDEX(Listado!N:N,N1400)),IF(INDEX(Listado!I:I,N1400)=0,"",INDEX(Listado!I:I,N1400)))),"")</f>
        <v/>
      </c>
      <c r="P1400" s="17">
        <f t="shared" ca="1" si="64"/>
        <v/>
      </c>
      <c r="Q1400" s="17">
        <f>IFERROR(IF(AND(N1400&lt;&gt;"",ISNUMBER(O1400),O1400&gt;0,O1400&gt;=TODAY()-90),1,0),0)</f>
        <v/>
      </c>
      <c r="R1400" s="17" t="str">
        <f t="shared" si="66"/>
        <v/>
      </c>
      <c r="S1400" s="17" t="str">
        <f>IF(INDEX(Listado!A:A,ROW())="","",INDEX(Listado!A:A,ROW()))</f>
        <v/>
      </c>
      <c r="T1400" s="17" t="str">
        <f ca="1">IF(INDEX(Listado!G:G,ROW())="","",INDEX(Listado!G:G,ROW()))</f>
        <v/>
      </c>
      <c r="U1400" s="17" t="str">
        <f>IF(INDEX(Listado!F:F,ROW())="","",INDEX(Listado!F:F,ROW()))</f>
        <v/>
      </c>
      <c r="V1400" s="17">
        <f>IF(COUNTA(INDEX(Listado!B:B,ROW()):INDEX(Listado!F:F,ROW()))&gt;0,1,0)</f>
        <v/>
      </c>
      <c r="W1400" s="17" t="str">
        <f>IF(INDEX(Listado!L:L,ROW())="","",INDEX(Listado!L:L,ROW()))</f>
        <v/>
      </c>
      <c r="X1400" s="17">
        <f>IF(N1400="","",IF(INDEX(Listado!$M:$M,N1400)="No","No","Sí"))</f>
        <v/>
      </c>
    </row>
    <row r="1401" spans="2:24" ht="14.25">
      <c r="N1401" s="17" t="str">
        <f>IF(V1401=0,"",IFERROR(LOOKUP(2,1/(INDEX(Listado!A:A,2):INDEX(Listado!A:A,ROW())&lt;&gt;""),ROW(INDEX(Listado!A:A,2):INDEX(Listado!A:A,ROW()))),""))</f>
        <v/>
      </c>
      <c r="O1401" s="17" t="str">
        <f>IFERROR(IF(N1401="","",IF(INDEX(Listado!M:M,N1401)="No",IF(INDEX(Listado!N:N,N1401)=0,"",INDEX(Listado!N:N,N1401)),IF(INDEX(Listado!I:I,N1401)=0,"",INDEX(Listado!I:I,N1401)))),"")</f>
        <v/>
      </c>
      <c r="P1401" s="17">
        <f t="shared" ca="1" si="64"/>
        <v/>
      </c>
      <c r="Q1401" s="17">
        <f>IFERROR(IF(AND(N1401&lt;&gt;"",ISNUMBER(O1401),O1401&gt;0,O1401&gt;=TODAY()-90),1,0),0)</f>
        <v/>
      </c>
      <c r="R1401" s="17" t="str">
        <f t="shared" si="66"/>
        <v/>
      </c>
      <c r="S1401" s="17" t="str">
        <f>IF(INDEX(Listado!A:A,ROW())="","",INDEX(Listado!A:A,ROW()))</f>
        <v/>
      </c>
      <c r="T1401" s="17" t="str">
        <f ca="1">IF(INDEX(Listado!G:G,ROW())="","",INDEX(Listado!G:G,ROW()))</f>
        <v/>
      </c>
      <c r="U1401" s="17" t="str">
        <f>IF(INDEX(Listado!F:F,ROW())="","",INDEX(Listado!F:F,ROW()))</f>
        <v/>
      </c>
      <c r="V1401" s="17">
        <f>IF(COUNTA(INDEX(Listado!B:B,ROW()):INDEX(Listado!F:F,ROW()))&gt;0,1,0)</f>
        <v/>
      </c>
      <c r="W1401" s="17" t="str">
        <f>IF(INDEX(Listado!L:L,ROW())="","",INDEX(Listado!L:L,ROW()))</f>
        <v/>
      </c>
      <c r="X1401" s="17">
        <f>IF(N1401="","",IF(INDEX(Listado!$M:$M,N1401)="No","No","Sí"))</f>
        <v/>
      </c>
    </row>
    <row r="1402" spans="2:24" ht="14.25">
      <c r="N1402" s="17" t="str">
        <f>IF(V1402=0,"",IFERROR(LOOKUP(2,1/(INDEX(Listado!A:A,2):INDEX(Listado!A:A,ROW())&lt;&gt;""),ROW(INDEX(Listado!A:A,2):INDEX(Listado!A:A,ROW()))),""))</f>
        <v/>
      </c>
      <c r="O1402" s="17" t="str">
        <f>IFERROR(IF(N1402="","",IF(INDEX(Listado!M:M,N1402)="No",IF(INDEX(Listado!N:N,N1402)=0,"",INDEX(Listado!N:N,N1402)),IF(INDEX(Listado!I:I,N1402)=0,"",INDEX(Listado!I:I,N1402)))),"")</f>
        <v/>
      </c>
      <c r="P1402" s="17">
        <f t="shared" ca="1" si="64"/>
        <v/>
      </c>
      <c r="Q1402" s="17">
        <f>IFERROR(IF(AND(N1402&lt;&gt;"",ISNUMBER(O1402),O1402&gt;0,O1402&gt;=TODAY()-90),1,0),0)</f>
        <v/>
      </c>
      <c r="R1402" s="17" t="str">
        <f t="shared" si="66"/>
        <v/>
      </c>
      <c r="S1402" s="17" t="str">
        <f>IF(INDEX(Listado!A:A,ROW())="","",INDEX(Listado!A:A,ROW()))</f>
        <v/>
      </c>
      <c r="T1402" s="17" t="str">
        <f ca="1">IF(INDEX(Listado!G:G,ROW())="","",INDEX(Listado!G:G,ROW()))</f>
        <v/>
      </c>
      <c r="U1402" s="17" t="str">
        <f>IF(INDEX(Listado!F:F,ROW())="","",INDEX(Listado!F:F,ROW()))</f>
        <v/>
      </c>
      <c r="V1402" s="17">
        <f>IF(COUNTA(INDEX(Listado!B:B,ROW()):INDEX(Listado!F:F,ROW()))&gt;0,1,0)</f>
        <v/>
      </c>
      <c r="W1402" s="17" t="str">
        <f>IF(INDEX(Listado!L:L,ROW())="","",INDEX(Listado!L:L,ROW()))</f>
        <v/>
      </c>
      <c r="X1402" s="17">
        <f>IF(N1402="","",IF(INDEX(Listado!$M:$M,N1402)="No","No","Sí"))</f>
        <v/>
      </c>
    </row>
    <row r="1403" spans="2:24" ht="14.25">
      <c r="N1403" s="17" t="str">
        <f>IF(V1403=0,"",IFERROR(LOOKUP(2,1/(INDEX(Listado!A:A,2):INDEX(Listado!A:A,ROW())&lt;&gt;""),ROW(INDEX(Listado!A:A,2):INDEX(Listado!A:A,ROW()))),""))</f>
        <v/>
      </c>
      <c r="O1403" s="17" t="str">
        <f>IFERROR(IF(N1403="","",IF(INDEX(Listado!M:M,N1403)="No",IF(INDEX(Listado!N:N,N1403)=0,"",INDEX(Listado!N:N,N1403)),IF(INDEX(Listado!I:I,N1403)=0,"",INDEX(Listado!I:I,N1403)))),"")</f>
        <v/>
      </c>
      <c r="P1403" s="17">
        <f t="shared" ca="1" si="64"/>
        <v/>
      </c>
      <c r="Q1403" s="17">
        <f>IFERROR(IF(AND(N1403&lt;&gt;"",ISNUMBER(O1403),O1403&gt;0,O1403&gt;=TODAY()-90),1,0),0)</f>
        <v/>
      </c>
      <c r="R1403" s="17" t="str">
        <f t="shared" si="66"/>
        <v/>
      </c>
      <c r="S1403" s="17" t="str">
        <f>IF(INDEX(Listado!A:A,ROW())="","",INDEX(Listado!A:A,ROW()))</f>
        <v/>
      </c>
      <c r="T1403" s="17" t="str">
        <f ca="1">IF(INDEX(Listado!G:G,ROW())="","",INDEX(Listado!G:G,ROW()))</f>
        <v/>
      </c>
      <c r="U1403" s="17" t="str">
        <f>IF(INDEX(Listado!F:F,ROW())="","",INDEX(Listado!F:F,ROW()))</f>
        <v/>
      </c>
      <c r="V1403" s="17">
        <f>IF(COUNTA(INDEX(Listado!B:B,ROW()):INDEX(Listado!F:F,ROW()))&gt;0,1,0)</f>
        <v/>
      </c>
      <c r="W1403" s="17" t="str">
        <f>IF(INDEX(Listado!L:L,ROW())="","",INDEX(Listado!L:L,ROW()))</f>
        <v/>
      </c>
      <c r="X1403" s="17">
        <f>IF(N1403="","",IF(INDEX(Listado!$M:$M,N1403)="No","No","Sí"))</f>
        <v/>
      </c>
    </row>
    <row r="1404" spans="2:24" ht="14.25">
      <c r="N1404" s="17" t="str">
        <f>IF(V1404=0,"",IFERROR(LOOKUP(2,1/(INDEX(Listado!A:A,2):INDEX(Listado!A:A,ROW())&lt;&gt;""),ROW(INDEX(Listado!A:A,2):INDEX(Listado!A:A,ROW()))),""))</f>
        <v/>
      </c>
      <c r="O1404" s="17" t="str">
        <f>IFERROR(IF(N1404="","",IF(INDEX(Listado!M:M,N1404)="No",IF(INDEX(Listado!N:N,N1404)=0,"",INDEX(Listado!N:N,N1404)),IF(INDEX(Listado!I:I,N1404)=0,"",INDEX(Listado!I:I,N1404)))),"")</f>
        <v/>
      </c>
      <c r="P1404" s="17">
        <f t="shared" ca="1" si="64"/>
        <v/>
      </c>
      <c r="Q1404" s="17">
        <f>IFERROR(IF(AND(N1404&lt;&gt;"",ISNUMBER(O1404),O1404&gt;0,O1404&gt;=TODAY()-90),1,0),0)</f>
        <v/>
      </c>
      <c r="R1404" s="17" t="str">
        <f t="shared" si="66"/>
        <v/>
      </c>
      <c r="S1404" s="17" t="str">
        <f>IF(INDEX(Listado!A:A,ROW())="","",INDEX(Listado!A:A,ROW()))</f>
        <v/>
      </c>
      <c r="T1404" s="17" t="str">
        <f ca="1">IF(INDEX(Listado!G:G,ROW())="","",INDEX(Listado!G:G,ROW()))</f>
        <v/>
      </c>
      <c r="U1404" s="17" t="str">
        <f>IF(INDEX(Listado!F:F,ROW())="","",INDEX(Listado!F:F,ROW()))</f>
        <v/>
      </c>
      <c r="V1404" s="17">
        <f>IF(COUNTA(INDEX(Listado!B:B,ROW()):INDEX(Listado!F:F,ROW()))&gt;0,1,0)</f>
        <v/>
      </c>
      <c r="W1404" s="17" t="str">
        <f>IF(INDEX(Listado!L:L,ROW())="","",INDEX(Listado!L:L,ROW()))</f>
        <v/>
      </c>
      <c r="X1404" s="17">
        <f>IF(N1404="","",IF(INDEX(Listado!$M:$M,N1404)="No","No","Sí"))</f>
        <v/>
      </c>
    </row>
    <row r="1405" spans="2:24" ht="14.25">
      <c r="N1405" s="17" t="str">
        <f>IF(V1405=0,"",IFERROR(LOOKUP(2,1/(INDEX(Listado!A:A,2):INDEX(Listado!A:A,ROW())&lt;&gt;""),ROW(INDEX(Listado!A:A,2):INDEX(Listado!A:A,ROW()))),""))</f>
        <v/>
      </c>
      <c r="O1405" s="17" t="str">
        <f>IFERROR(IF(N1405="","",IF(INDEX(Listado!M:M,N1405)="No",IF(INDEX(Listado!N:N,N1405)=0,"",INDEX(Listado!N:N,N1405)),IF(INDEX(Listado!I:I,N1405)=0,"",INDEX(Listado!I:I,N1405)))),"")</f>
        <v/>
      </c>
      <c r="P1405" s="17">
        <f t="shared" ca="1" si="64"/>
        <v/>
      </c>
      <c r="Q1405" s="17">
        <f>IFERROR(IF(AND(N1405&lt;&gt;"",ISNUMBER(O1405),O1405&gt;0,O1405&gt;=TODAY()-90),1,0),0)</f>
        <v/>
      </c>
      <c r="R1405" s="17" t="str">
        <f t="shared" si="66"/>
        <v/>
      </c>
      <c r="S1405" s="17" t="str">
        <f>IF(INDEX(Listado!A:A,ROW())="","",INDEX(Listado!A:A,ROW()))</f>
        <v/>
      </c>
      <c r="T1405" s="17" t="str">
        <f ca="1">IF(INDEX(Listado!G:G,ROW())="","",INDEX(Listado!G:G,ROW()))</f>
        <v/>
      </c>
      <c r="U1405" s="17" t="str">
        <f>IF(INDEX(Listado!F:F,ROW())="","",INDEX(Listado!F:F,ROW()))</f>
        <v/>
      </c>
      <c r="V1405" s="17">
        <f>IF(COUNTA(INDEX(Listado!B:B,ROW()):INDEX(Listado!F:F,ROW()))&gt;0,1,0)</f>
        <v/>
      </c>
      <c r="W1405" s="17" t="str">
        <f>IF(INDEX(Listado!L:L,ROW())="","",INDEX(Listado!L:L,ROW()))</f>
        <v/>
      </c>
      <c r="X1405" s="17">
        <f>IF(N1405="","",IF(INDEX(Listado!$M:$M,N1405)="No","No","Sí"))</f>
        <v/>
      </c>
    </row>
    <row r="1406" spans="2:24" ht="14.25">
      <c r="N1406" s="17" t="str">
        <f>IF(V1406=0,"",IFERROR(LOOKUP(2,1/(INDEX(Listado!A:A,2):INDEX(Listado!A:A,ROW())&lt;&gt;""),ROW(INDEX(Listado!A:A,2):INDEX(Listado!A:A,ROW()))),""))</f>
        <v/>
      </c>
      <c r="O1406" s="17" t="str">
        <f>IFERROR(IF(N1406="","",IF(INDEX(Listado!M:M,N1406)="No",IF(INDEX(Listado!N:N,N1406)=0,"",INDEX(Listado!N:N,N1406)),IF(INDEX(Listado!I:I,N1406)=0,"",INDEX(Listado!I:I,N1406)))),"")</f>
        <v/>
      </c>
      <c r="P1406" s="17">
        <f t="shared" ca="1" si="64"/>
        <v/>
      </c>
      <c r="Q1406" s="17">
        <f>IFERROR(IF(AND(N1406&lt;&gt;"",ISNUMBER(O1406),O1406&gt;0,O1406&gt;=TODAY()-90),1,0),0)</f>
        <v/>
      </c>
      <c r="R1406" s="17" t="str">
        <f t="shared" si="66"/>
        <v/>
      </c>
      <c r="S1406" s="17" t="str">
        <f>IF(INDEX(Listado!A:A,ROW())="","",INDEX(Listado!A:A,ROW()))</f>
        <v/>
      </c>
      <c r="T1406" s="17" t="str">
        <f ca="1">IF(INDEX(Listado!G:G,ROW())="","",INDEX(Listado!G:G,ROW()))</f>
        <v/>
      </c>
      <c r="U1406" s="17" t="str">
        <f>IF(INDEX(Listado!F:F,ROW())="","",INDEX(Listado!F:F,ROW()))</f>
        <v/>
      </c>
      <c r="V1406" s="17">
        <f>IF(COUNTA(INDEX(Listado!B:B,ROW()):INDEX(Listado!F:F,ROW()))&gt;0,1,0)</f>
        <v/>
      </c>
      <c r="W1406" s="17" t="str">
        <f>IF(INDEX(Listado!L:L,ROW())="","",INDEX(Listado!L:L,ROW()))</f>
        <v/>
      </c>
      <c r="X1406" s="17">
        <f>IF(N1406="","",IF(INDEX(Listado!$M:$M,N1406)="No","No","Sí"))</f>
        <v/>
      </c>
    </row>
    <row r="1407" spans="2:24" ht="14.25">
      <c r="N1407" s="17" t="str">
        <f>IF(V1407=0,"",IFERROR(LOOKUP(2,1/(INDEX(Listado!A:A,2):INDEX(Listado!A:A,ROW())&lt;&gt;""),ROW(INDEX(Listado!A:A,2):INDEX(Listado!A:A,ROW()))),""))</f>
        <v/>
      </c>
      <c r="O1407" s="17" t="str">
        <f>IFERROR(IF(N1407="","",IF(INDEX(Listado!M:M,N1407)="No",IF(INDEX(Listado!N:N,N1407)=0,"",INDEX(Listado!N:N,N1407)),IF(INDEX(Listado!I:I,N1407)=0,"",INDEX(Listado!I:I,N1407)))),"")</f>
        <v/>
      </c>
      <c r="P1407" s="17">
        <f t="shared" ca="1" si="64"/>
        <v/>
      </c>
      <c r="Q1407" s="17">
        <f>IFERROR(IF(AND(N1407&lt;&gt;"",ISNUMBER(O1407),O1407&gt;0,O1407&gt;=TODAY()-90),1,0),0)</f>
        <v/>
      </c>
      <c r="R1407" s="17" t="str">
        <f t="shared" si="66"/>
        <v/>
      </c>
      <c r="S1407" s="17" t="str">
        <f>IF(INDEX(Listado!A:A,ROW())="","",INDEX(Listado!A:A,ROW()))</f>
        <v/>
      </c>
      <c r="T1407" s="17" t="str">
        <f ca="1">IF(INDEX(Listado!G:G,ROW())="","",INDEX(Listado!G:G,ROW()))</f>
        <v/>
      </c>
      <c r="U1407" s="17" t="str">
        <f>IF(INDEX(Listado!F:F,ROW())="","",INDEX(Listado!F:F,ROW()))</f>
        <v/>
      </c>
      <c r="V1407" s="17">
        <f>IF(COUNTA(INDEX(Listado!B:B,ROW()):INDEX(Listado!F:F,ROW()))&gt;0,1,0)</f>
        <v/>
      </c>
      <c r="W1407" s="17" t="str">
        <f>IF(INDEX(Listado!L:L,ROW())="","",INDEX(Listado!L:L,ROW()))</f>
        <v/>
      </c>
      <c r="X1407" s="17">
        <f>IF(N1407="","",IF(INDEX(Listado!$M:$M,N1407)="No","No","Sí"))</f>
        <v/>
      </c>
    </row>
    <row r="1408" spans="2:24" ht="14.25">
      <c r="N1408" s="17" t="str">
        <f>IF(V1408=0,"",IFERROR(LOOKUP(2,1/(INDEX(Listado!A:A,2):INDEX(Listado!A:A,ROW())&lt;&gt;""),ROW(INDEX(Listado!A:A,2):INDEX(Listado!A:A,ROW()))),""))</f>
        <v/>
      </c>
      <c r="O1408" s="17" t="str">
        <f>IFERROR(IF(N1408="","",IF(INDEX(Listado!M:M,N1408)="No",IF(INDEX(Listado!N:N,N1408)=0,"",INDEX(Listado!N:N,N1408)),IF(INDEX(Listado!I:I,N1408)=0,"",INDEX(Listado!I:I,N1408)))),"")</f>
        <v/>
      </c>
      <c r="P1408" s="17">
        <f t="shared" ca="1" si="64"/>
        <v/>
      </c>
      <c r="Q1408" s="17">
        <f>IFERROR(IF(AND(N1408&lt;&gt;"",ISNUMBER(O1408),O1408&gt;0,O1408&gt;=TODAY()-90),1,0),0)</f>
        <v/>
      </c>
      <c r="R1408" s="17" t="str">
        <f t="shared" si="66"/>
        <v/>
      </c>
      <c r="S1408" s="17" t="str">
        <f>IF(INDEX(Listado!A:A,ROW())="","",INDEX(Listado!A:A,ROW()))</f>
        <v/>
      </c>
      <c r="T1408" s="17" t="str">
        <f ca="1">IF(INDEX(Listado!G:G,ROW())="","",INDEX(Listado!G:G,ROW()))</f>
        <v/>
      </c>
      <c r="U1408" s="17" t="str">
        <f>IF(INDEX(Listado!F:F,ROW())="","",INDEX(Listado!F:F,ROW()))</f>
        <v/>
      </c>
      <c r="V1408" s="17">
        <f>IF(COUNTA(INDEX(Listado!B:B,ROW()):INDEX(Listado!F:F,ROW()))&gt;0,1,0)</f>
        <v/>
      </c>
      <c r="W1408" s="17" t="str">
        <f>IF(INDEX(Listado!L:L,ROW())="","",INDEX(Listado!L:L,ROW()))</f>
        <v/>
      </c>
      <c r="X1408" s="17">
        <f>IF(N1408="","",IF(INDEX(Listado!$M:$M,N1408)="No","No","Sí"))</f>
        <v/>
      </c>
    </row>
    <row r="1409" spans="2:24" ht="14.25">
      <c r="N1409" s="17" t="str">
        <f>IF(V1409=0,"",IFERROR(LOOKUP(2,1/(INDEX(Listado!A:A,2):INDEX(Listado!A:A,ROW())&lt;&gt;""),ROW(INDEX(Listado!A:A,2):INDEX(Listado!A:A,ROW()))),""))</f>
        <v/>
      </c>
      <c r="O1409" s="17" t="str">
        <f>IFERROR(IF(N1409="","",IF(INDEX(Listado!M:M,N1409)="No",IF(INDEX(Listado!N:N,N1409)=0,"",INDEX(Listado!N:N,N1409)),IF(INDEX(Listado!I:I,N1409)=0,"",INDEX(Listado!I:I,N1409)))),"")</f>
        <v/>
      </c>
      <c r="P1409" s="17">
        <f t="shared" ca="1" si="64"/>
        <v/>
      </c>
      <c r="Q1409" s="17">
        <f>IFERROR(IF(AND(N1409&lt;&gt;"",ISNUMBER(O1409),O1409&gt;0,O1409&gt;=TODAY()-90),1,0),0)</f>
        <v/>
      </c>
      <c r="R1409" s="17" t="str">
        <f t="shared" si="66"/>
        <v/>
      </c>
      <c r="S1409" s="17" t="str">
        <f>IF(INDEX(Listado!A:A,ROW())="","",INDEX(Listado!A:A,ROW()))</f>
        <v/>
      </c>
      <c r="T1409" s="17" t="str">
        <f ca="1">IF(INDEX(Listado!G:G,ROW())="","",INDEX(Listado!G:G,ROW()))</f>
        <v/>
      </c>
      <c r="U1409" s="17" t="str">
        <f>IF(INDEX(Listado!F:F,ROW())="","",INDEX(Listado!F:F,ROW()))</f>
        <v/>
      </c>
      <c r="V1409" s="17">
        <f>IF(COUNTA(INDEX(Listado!B:B,ROW()):INDEX(Listado!F:F,ROW()))&gt;0,1,0)</f>
        <v/>
      </c>
      <c r="W1409" s="17" t="str">
        <f>IF(INDEX(Listado!L:L,ROW())="","",INDEX(Listado!L:L,ROW()))</f>
        <v/>
      </c>
      <c r="X1409" s="17">
        <f>IF(N1409="","",IF(INDEX(Listado!$M:$M,N1409)="No","No","Sí"))</f>
        <v/>
      </c>
    </row>
    <row r="1410" spans="2:24" ht="14.25">
      <c r="N1410" s="17" t="str">
        <f>IF(V1410=0,"",IFERROR(LOOKUP(2,1/(INDEX(Listado!A:A,2):INDEX(Listado!A:A,ROW())&lt;&gt;""),ROW(INDEX(Listado!A:A,2):INDEX(Listado!A:A,ROW()))),""))</f>
        <v/>
      </c>
      <c r="O1410" s="17" t="str">
        <f>IFERROR(IF(N1410="","",IF(INDEX(Listado!M:M,N1410)="No",IF(INDEX(Listado!N:N,N1410)=0,"",INDEX(Listado!N:N,N1410)),IF(INDEX(Listado!I:I,N1410)=0,"",INDEX(Listado!I:I,N1410)))),"")</f>
        <v/>
      </c>
      <c r="P1410" s="17">
        <f t="shared" ref="P1410:P1473" ca="1" si="67">IF(W1410="",0,IFERROR(IF(AND(ISNUMBER(W1410),W1410=INT(W1410),ISNUMBER(O1410),O1410&gt;0,W1410&gt;=TODAY(),W1410&lt;=O1410+90),0,1),1))</f>
        <v/>
      </c>
      <c r="Q1410" s="17">
        <f>IFERROR(IF(AND(N1410&lt;&gt;"",ISNUMBER(O1410),O1410&gt;0,O1410&gt;=TODAY()-90),1,0),0)</f>
        <v/>
      </c>
      <c r="R1410" s="17" t="str">
        <f t="shared" ref="R1410:R1473" si="69">IF(S1410="","",COUNTIFS($N$2:$N$2999,ROW(),$Q$2:$Q$2999,1))</f>
        <v/>
      </c>
      <c r="S1410" s="17" t="str">
        <f>IF(INDEX(Listado!A:A,ROW())="","",INDEX(Listado!A:A,ROW()))</f>
        <v/>
      </c>
      <c r="T1410" s="17" t="str">
        <f ca="1">IF(INDEX(Listado!G:G,ROW())="","",INDEX(Listado!G:G,ROW()))</f>
        <v/>
      </c>
      <c r="U1410" s="17" t="str">
        <f>IF(INDEX(Listado!F:F,ROW())="","",INDEX(Listado!F:F,ROW()))</f>
        <v/>
      </c>
      <c r="V1410" s="17">
        <f>IF(COUNTA(INDEX(Listado!B:B,ROW()):INDEX(Listado!F:F,ROW()))&gt;0,1,0)</f>
        <v/>
      </c>
      <c r="W1410" s="17" t="str">
        <f>IF(INDEX(Listado!L:L,ROW())="","",INDEX(Listado!L:L,ROW()))</f>
        <v/>
      </c>
      <c r="X1410" s="17">
        <f>IF(N1410="","",IF(INDEX(Listado!$M:$M,N1410)="No","No","Sí"))</f>
        <v/>
      </c>
    </row>
    <row r="1411" spans="2:24" ht="14.25">
      <c r="N1411" s="17" t="str">
        <f>IF(V1411=0,"",IFERROR(LOOKUP(2,1/(INDEX(Listado!A:A,2):INDEX(Listado!A:A,ROW())&lt;&gt;""),ROW(INDEX(Listado!A:A,2):INDEX(Listado!A:A,ROW()))),""))</f>
        <v/>
      </c>
      <c r="O1411" s="17" t="str">
        <f>IFERROR(IF(N1411="","",IF(INDEX(Listado!M:M,N1411)="No",IF(INDEX(Listado!N:N,N1411)=0,"",INDEX(Listado!N:N,N1411)),IF(INDEX(Listado!I:I,N1411)=0,"",INDEX(Listado!I:I,N1411)))),"")</f>
        <v/>
      </c>
      <c r="P1411" s="17">
        <f t="shared" ca="1" si="67"/>
        <v/>
      </c>
      <c r="Q1411" s="17">
        <f>IFERROR(IF(AND(N1411&lt;&gt;"",ISNUMBER(O1411),O1411&gt;0,O1411&gt;=TODAY()-90),1,0),0)</f>
        <v/>
      </c>
      <c r="R1411" s="17" t="str">
        <f t="shared" si="69"/>
        <v/>
      </c>
      <c r="S1411" s="17" t="str">
        <f>IF(INDEX(Listado!A:A,ROW())="","",INDEX(Listado!A:A,ROW()))</f>
        <v/>
      </c>
      <c r="T1411" s="17" t="str">
        <f ca="1">IF(INDEX(Listado!G:G,ROW())="","",INDEX(Listado!G:G,ROW()))</f>
        <v/>
      </c>
      <c r="U1411" s="17" t="str">
        <f>IF(INDEX(Listado!F:F,ROW())="","",INDEX(Listado!F:F,ROW()))</f>
        <v/>
      </c>
      <c r="V1411" s="17">
        <f>IF(COUNTA(INDEX(Listado!B:B,ROW()):INDEX(Listado!F:F,ROW()))&gt;0,1,0)</f>
        <v/>
      </c>
      <c r="W1411" s="17" t="str">
        <f>IF(INDEX(Listado!L:L,ROW())="","",INDEX(Listado!L:L,ROW()))</f>
        <v/>
      </c>
      <c r="X1411" s="17">
        <f>IF(N1411="","",IF(INDEX(Listado!$M:$M,N1411)="No","No","Sí"))</f>
        <v/>
      </c>
    </row>
    <row r="1412" spans="2:24" ht="14.25">
      <c r="N1412" s="17" t="str">
        <f>IF(V1412=0,"",IFERROR(LOOKUP(2,1/(INDEX(Listado!A:A,2):INDEX(Listado!A:A,ROW())&lt;&gt;""),ROW(INDEX(Listado!A:A,2):INDEX(Listado!A:A,ROW()))),""))</f>
        <v/>
      </c>
      <c r="O1412" s="17" t="str">
        <f>IFERROR(IF(N1412="","",IF(INDEX(Listado!M:M,N1412)="No",IF(INDEX(Listado!N:N,N1412)=0,"",INDEX(Listado!N:N,N1412)),IF(INDEX(Listado!I:I,N1412)=0,"",INDEX(Listado!I:I,N1412)))),"")</f>
        <v/>
      </c>
      <c r="P1412" s="17">
        <f t="shared" ca="1" si="67"/>
        <v/>
      </c>
      <c r="Q1412" s="17">
        <f>IFERROR(IF(AND(N1412&lt;&gt;"",ISNUMBER(O1412),O1412&gt;0,O1412&gt;=TODAY()-90),1,0),0)</f>
        <v/>
      </c>
      <c r="R1412" s="17" t="str">
        <f t="shared" si="69"/>
        <v/>
      </c>
      <c r="S1412" s="17" t="str">
        <f>IF(INDEX(Listado!A:A,ROW())="","",INDEX(Listado!A:A,ROW()))</f>
        <v/>
      </c>
      <c r="T1412" s="17" t="str">
        <f ca="1">IF(INDEX(Listado!G:G,ROW())="","",INDEX(Listado!G:G,ROW()))</f>
        <v/>
      </c>
      <c r="U1412" s="17" t="str">
        <f>IF(INDEX(Listado!F:F,ROW())="","",INDEX(Listado!F:F,ROW()))</f>
        <v/>
      </c>
      <c r="V1412" s="17">
        <f>IF(COUNTA(INDEX(Listado!B:B,ROW()):INDEX(Listado!F:F,ROW()))&gt;0,1,0)</f>
        <v/>
      </c>
      <c r="W1412" s="17" t="str">
        <f>IF(INDEX(Listado!L:L,ROW())="","",INDEX(Listado!L:L,ROW()))</f>
        <v/>
      </c>
      <c r="X1412" s="17">
        <f>IF(N1412="","",IF(INDEX(Listado!$M:$M,N1412)="No","No","Sí"))</f>
        <v/>
      </c>
    </row>
    <row r="1413" spans="2:24" ht="14.25">
      <c r="N1413" s="17" t="str">
        <f>IF(V1413=0,"",IFERROR(LOOKUP(2,1/(INDEX(Listado!A:A,2):INDEX(Listado!A:A,ROW())&lt;&gt;""),ROW(INDEX(Listado!A:A,2):INDEX(Listado!A:A,ROW()))),""))</f>
        <v/>
      </c>
      <c r="O1413" s="17" t="str">
        <f>IFERROR(IF(N1413="","",IF(INDEX(Listado!M:M,N1413)="No",IF(INDEX(Listado!N:N,N1413)=0,"",INDEX(Listado!N:N,N1413)),IF(INDEX(Listado!I:I,N1413)=0,"",INDEX(Listado!I:I,N1413)))),"")</f>
        <v/>
      </c>
      <c r="P1413" s="17">
        <f t="shared" ca="1" si="67"/>
        <v/>
      </c>
      <c r="Q1413" s="17">
        <f>IFERROR(IF(AND(N1413&lt;&gt;"",ISNUMBER(O1413),O1413&gt;0,O1413&gt;=TODAY()-90),1,0),0)</f>
        <v/>
      </c>
      <c r="R1413" s="17" t="str">
        <f t="shared" si="69"/>
        <v/>
      </c>
      <c r="S1413" s="17" t="str">
        <f>IF(INDEX(Listado!A:A,ROW())="","",INDEX(Listado!A:A,ROW()))</f>
        <v/>
      </c>
      <c r="T1413" s="17" t="str">
        <f ca="1">IF(INDEX(Listado!G:G,ROW())="","",INDEX(Listado!G:G,ROW()))</f>
        <v/>
      </c>
      <c r="U1413" s="17" t="str">
        <f>IF(INDEX(Listado!F:F,ROW())="","",INDEX(Listado!F:F,ROW()))</f>
        <v/>
      </c>
      <c r="V1413" s="17">
        <f>IF(COUNTA(INDEX(Listado!B:B,ROW()):INDEX(Listado!F:F,ROW()))&gt;0,1,0)</f>
        <v/>
      </c>
      <c r="W1413" s="17" t="str">
        <f>IF(INDEX(Listado!L:L,ROW())="","",INDEX(Listado!L:L,ROW()))</f>
        <v/>
      </c>
      <c r="X1413" s="17">
        <f>IF(N1413="","",IF(INDEX(Listado!$M:$M,N1413)="No","No","Sí"))</f>
        <v/>
      </c>
    </row>
    <row r="1414" spans="2:24" ht="14.25">
      <c r="N1414" s="17" t="str">
        <f>IF(V1414=0,"",IFERROR(LOOKUP(2,1/(INDEX(Listado!A:A,2):INDEX(Listado!A:A,ROW())&lt;&gt;""),ROW(INDEX(Listado!A:A,2):INDEX(Listado!A:A,ROW()))),""))</f>
        <v/>
      </c>
      <c r="O1414" s="17" t="str">
        <f>IFERROR(IF(N1414="","",IF(INDEX(Listado!M:M,N1414)="No",IF(INDEX(Listado!N:N,N1414)=0,"",INDEX(Listado!N:N,N1414)),IF(INDEX(Listado!I:I,N1414)=0,"",INDEX(Listado!I:I,N1414)))),"")</f>
        <v/>
      </c>
      <c r="P1414" s="17">
        <f t="shared" ca="1" si="67"/>
        <v/>
      </c>
      <c r="Q1414" s="17">
        <f>IFERROR(IF(AND(N1414&lt;&gt;"",ISNUMBER(O1414),O1414&gt;0,O1414&gt;=TODAY()-90),1,0),0)</f>
        <v/>
      </c>
      <c r="R1414" s="17" t="str">
        <f t="shared" si="69"/>
        <v/>
      </c>
      <c r="S1414" s="17" t="str">
        <f>IF(INDEX(Listado!A:A,ROW())="","",INDEX(Listado!A:A,ROW()))</f>
        <v/>
      </c>
      <c r="T1414" s="17" t="str">
        <f ca="1">IF(INDEX(Listado!G:G,ROW())="","",INDEX(Listado!G:G,ROW()))</f>
        <v/>
      </c>
      <c r="U1414" s="17" t="str">
        <f>IF(INDEX(Listado!F:F,ROW())="","",INDEX(Listado!F:F,ROW()))</f>
        <v/>
      </c>
      <c r="V1414" s="17">
        <f>IF(COUNTA(INDEX(Listado!B:B,ROW()):INDEX(Listado!F:F,ROW()))&gt;0,1,0)</f>
        <v/>
      </c>
      <c r="W1414" s="17" t="str">
        <f>IF(INDEX(Listado!L:L,ROW())="","",INDEX(Listado!L:L,ROW()))</f>
        <v/>
      </c>
      <c r="X1414" s="17">
        <f>IF(N1414="","",IF(INDEX(Listado!$M:$M,N1414)="No","No","Sí"))</f>
        <v/>
      </c>
    </row>
    <row r="1415" spans="2:24" ht="14.25">
      <c r="N1415" s="17" t="str">
        <f>IF(V1415=0,"",IFERROR(LOOKUP(2,1/(INDEX(Listado!A:A,2):INDEX(Listado!A:A,ROW())&lt;&gt;""),ROW(INDEX(Listado!A:A,2):INDEX(Listado!A:A,ROW()))),""))</f>
        <v/>
      </c>
      <c r="O1415" s="17" t="str">
        <f>IFERROR(IF(N1415="","",IF(INDEX(Listado!M:M,N1415)="No",IF(INDEX(Listado!N:N,N1415)=0,"",INDEX(Listado!N:N,N1415)),IF(INDEX(Listado!I:I,N1415)=0,"",INDEX(Listado!I:I,N1415)))),"")</f>
        <v/>
      </c>
      <c r="P1415" s="17">
        <f t="shared" ca="1" si="67"/>
        <v/>
      </c>
      <c r="Q1415" s="17">
        <f>IFERROR(IF(AND(N1415&lt;&gt;"",ISNUMBER(O1415),O1415&gt;0,O1415&gt;=TODAY()-90),1,0),0)</f>
        <v/>
      </c>
      <c r="R1415" s="17" t="str">
        <f t="shared" si="69"/>
        <v/>
      </c>
      <c r="S1415" s="17" t="str">
        <f>IF(INDEX(Listado!A:A,ROW())="","",INDEX(Listado!A:A,ROW()))</f>
        <v/>
      </c>
      <c r="T1415" s="17" t="str">
        <f ca="1">IF(INDEX(Listado!G:G,ROW())="","",INDEX(Listado!G:G,ROW()))</f>
        <v/>
      </c>
      <c r="U1415" s="17" t="str">
        <f>IF(INDEX(Listado!F:F,ROW())="","",INDEX(Listado!F:F,ROW()))</f>
        <v/>
      </c>
      <c r="V1415" s="17">
        <f>IF(COUNTA(INDEX(Listado!B:B,ROW()):INDEX(Listado!F:F,ROW()))&gt;0,1,0)</f>
        <v/>
      </c>
      <c r="W1415" s="17" t="str">
        <f>IF(INDEX(Listado!L:L,ROW())="","",INDEX(Listado!L:L,ROW()))</f>
        <v/>
      </c>
      <c r="X1415" s="17">
        <f>IF(N1415="","",IF(INDEX(Listado!$M:$M,N1415)="No","No","Sí"))</f>
        <v/>
      </c>
    </row>
    <row r="1416" spans="2:24" ht="14.25">
      <c r="N1416" s="17" t="str">
        <f>IF(V1416=0,"",IFERROR(LOOKUP(2,1/(INDEX(Listado!A:A,2):INDEX(Listado!A:A,ROW())&lt;&gt;""),ROW(INDEX(Listado!A:A,2):INDEX(Listado!A:A,ROW()))),""))</f>
        <v/>
      </c>
      <c r="O1416" s="17" t="str">
        <f>IFERROR(IF(N1416="","",IF(INDEX(Listado!M:M,N1416)="No",IF(INDEX(Listado!N:N,N1416)=0,"",INDEX(Listado!N:N,N1416)),IF(INDEX(Listado!I:I,N1416)=0,"",INDEX(Listado!I:I,N1416)))),"")</f>
        <v/>
      </c>
      <c r="P1416" s="17">
        <f t="shared" ca="1" si="67"/>
        <v/>
      </c>
      <c r="Q1416" s="17">
        <f>IFERROR(IF(AND(N1416&lt;&gt;"",ISNUMBER(O1416),O1416&gt;0,O1416&gt;=TODAY()-90),1,0),0)</f>
        <v/>
      </c>
      <c r="R1416" s="17" t="str">
        <f t="shared" si="69"/>
        <v/>
      </c>
      <c r="S1416" s="17" t="str">
        <f>IF(INDEX(Listado!A:A,ROW())="","",INDEX(Listado!A:A,ROW()))</f>
        <v/>
      </c>
      <c r="T1416" s="17" t="str">
        <f ca="1">IF(INDEX(Listado!G:G,ROW())="","",INDEX(Listado!G:G,ROW()))</f>
        <v/>
      </c>
      <c r="U1416" s="17" t="str">
        <f>IF(INDEX(Listado!F:F,ROW())="","",INDEX(Listado!F:F,ROW()))</f>
        <v/>
      </c>
      <c r="V1416" s="17">
        <f>IF(COUNTA(INDEX(Listado!B:B,ROW()):INDEX(Listado!F:F,ROW()))&gt;0,1,0)</f>
        <v/>
      </c>
      <c r="W1416" s="17" t="str">
        <f>IF(INDEX(Listado!L:L,ROW())="","",INDEX(Listado!L:L,ROW()))</f>
        <v/>
      </c>
      <c r="X1416" s="17">
        <f>IF(N1416="","",IF(INDEX(Listado!$M:$M,N1416)="No","No","Sí"))</f>
        <v/>
      </c>
    </row>
    <row r="1417" spans="2:24" ht="14.25">
      <c r="N1417" s="17" t="str">
        <f>IF(V1417=0,"",IFERROR(LOOKUP(2,1/(INDEX(Listado!A:A,2):INDEX(Listado!A:A,ROW())&lt;&gt;""),ROW(INDEX(Listado!A:A,2):INDEX(Listado!A:A,ROW()))),""))</f>
        <v/>
      </c>
      <c r="O1417" s="17" t="str">
        <f>IFERROR(IF(N1417="","",IF(INDEX(Listado!M:M,N1417)="No",IF(INDEX(Listado!N:N,N1417)=0,"",INDEX(Listado!N:N,N1417)),IF(INDEX(Listado!I:I,N1417)=0,"",INDEX(Listado!I:I,N1417)))),"")</f>
        <v/>
      </c>
      <c r="P1417" s="17">
        <f t="shared" ca="1" si="67"/>
        <v/>
      </c>
      <c r="Q1417" s="17">
        <f>IFERROR(IF(AND(N1417&lt;&gt;"",ISNUMBER(O1417),O1417&gt;0,O1417&gt;=TODAY()-90),1,0),0)</f>
        <v/>
      </c>
      <c r="R1417" s="17" t="str">
        <f t="shared" si="69"/>
        <v/>
      </c>
      <c r="S1417" s="17" t="str">
        <f>IF(INDEX(Listado!A:A,ROW())="","",INDEX(Listado!A:A,ROW()))</f>
        <v/>
      </c>
      <c r="T1417" s="17" t="str">
        <f ca="1">IF(INDEX(Listado!G:G,ROW())="","",INDEX(Listado!G:G,ROW()))</f>
        <v/>
      </c>
      <c r="U1417" s="17" t="str">
        <f>IF(INDEX(Listado!F:F,ROW())="","",INDEX(Listado!F:F,ROW()))</f>
        <v/>
      </c>
      <c r="V1417" s="17">
        <f>IF(COUNTA(INDEX(Listado!B:B,ROW()):INDEX(Listado!F:F,ROW()))&gt;0,1,0)</f>
        <v/>
      </c>
      <c r="W1417" s="17" t="str">
        <f>IF(INDEX(Listado!L:L,ROW())="","",INDEX(Listado!L:L,ROW()))</f>
        <v/>
      </c>
      <c r="X1417" s="17">
        <f>IF(N1417="","",IF(INDEX(Listado!$M:$M,N1417)="No","No","Sí"))</f>
        <v/>
      </c>
    </row>
    <row r="1418" spans="2:24" ht="14.25">
      <c r="N1418" s="17" t="str">
        <f>IF(V1418=0,"",IFERROR(LOOKUP(2,1/(INDEX(Listado!A:A,2):INDEX(Listado!A:A,ROW())&lt;&gt;""),ROW(INDEX(Listado!A:A,2):INDEX(Listado!A:A,ROW()))),""))</f>
        <v/>
      </c>
      <c r="O1418" s="17" t="str">
        <f>IFERROR(IF(N1418="","",IF(INDEX(Listado!M:M,N1418)="No",IF(INDEX(Listado!N:N,N1418)=0,"",INDEX(Listado!N:N,N1418)),IF(INDEX(Listado!I:I,N1418)=0,"",INDEX(Listado!I:I,N1418)))),"")</f>
        <v/>
      </c>
      <c r="P1418" s="17">
        <f t="shared" ca="1" si="67"/>
        <v/>
      </c>
      <c r="Q1418" s="17">
        <f>IFERROR(IF(AND(N1418&lt;&gt;"",ISNUMBER(O1418),O1418&gt;0,O1418&gt;=TODAY()-90),1,0),0)</f>
        <v/>
      </c>
      <c r="R1418" s="17" t="str">
        <f t="shared" si="69"/>
        <v/>
      </c>
      <c r="S1418" s="17" t="str">
        <f>IF(INDEX(Listado!A:A,ROW())="","",INDEX(Listado!A:A,ROW()))</f>
        <v/>
      </c>
      <c r="T1418" s="17" t="str">
        <f ca="1">IF(INDEX(Listado!G:G,ROW())="","",INDEX(Listado!G:G,ROW()))</f>
        <v/>
      </c>
      <c r="U1418" s="17" t="str">
        <f>IF(INDEX(Listado!F:F,ROW())="","",INDEX(Listado!F:F,ROW()))</f>
        <v/>
      </c>
      <c r="V1418" s="17">
        <f>IF(COUNTA(INDEX(Listado!B:B,ROW()):INDEX(Listado!F:F,ROW()))&gt;0,1,0)</f>
        <v/>
      </c>
      <c r="W1418" s="17" t="str">
        <f>IF(INDEX(Listado!L:L,ROW())="","",INDEX(Listado!L:L,ROW()))</f>
        <v/>
      </c>
      <c r="X1418" s="17">
        <f>IF(N1418="","",IF(INDEX(Listado!$M:$M,N1418)="No","No","Sí"))</f>
        <v/>
      </c>
    </row>
    <row r="1419" spans="2:24" ht="14.25">
      <c r="N1419" s="17" t="str">
        <f>IF(V1419=0,"",IFERROR(LOOKUP(2,1/(INDEX(Listado!A:A,2):INDEX(Listado!A:A,ROW())&lt;&gt;""),ROW(INDEX(Listado!A:A,2):INDEX(Listado!A:A,ROW()))),""))</f>
        <v/>
      </c>
      <c r="O1419" s="17" t="str">
        <f>IFERROR(IF(N1419="","",IF(INDEX(Listado!M:M,N1419)="No",IF(INDEX(Listado!N:N,N1419)=0,"",INDEX(Listado!N:N,N1419)),IF(INDEX(Listado!I:I,N1419)=0,"",INDEX(Listado!I:I,N1419)))),"")</f>
        <v/>
      </c>
      <c r="P1419" s="17">
        <f t="shared" ca="1" si="67"/>
        <v/>
      </c>
      <c r="Q1419" s="17">
        <f>IFERROR(IF(AND(N1419&lt;&gt;"",ISNUMBER(O1419),O1419&gt;0,O1419&gt;=TODAY()-90),1,0),0)</f>
        <v/>
      </c>
      <c r="R1419" s="17" t="str">
        <f t="shared" si="69"/>
        <v/>
      </c>
      <c r="S1419" s="17" t="str">
        <f>IF(INDEX(Listado!A:A,ROW())="","",INDEX(Listado!A:A,ROW()))</f>
        <v/>
      </c>
      <c r="T1419" s="17" t="str">
        <f ca="1">IF(INDEX(Listado!G:G,ROW())="","",INDEX(Listado!G:G,ROW()))</f>
        <v/>
      </c>
      <c r="U1419" s="17" t="str">
        <f>IF(INDEX(Listado!F:F,ROW())="","",INDEX(Listado!F:F,ROW()))</f>
        <v/>
      </c>
      <c r="V1419" s="17">
        <f>IF(COUNTA(INDEX(Listado!B:B,ROW()):INDEX(Listado!F:F,ROW()))&gt;0,1,0)</f>
        <v/>
      </c>
      <c r="W1419" s="17" t="str">
        <f>IF(INDEX(Listado!L:L,ROW())="","",INDEX(Listado!L:L,ROW()))</f>
        <v/>
      </c>
      <c r="X1419" s="17">
        <f>IF(N1419="","",IF(INDEX(Listado!$M:$M,N1419)="No","No","Sí"))</f>
        <v/>
      </c>
    </row>
    <row r="1420" spans="2:24" ht="14.25">
      <c r="N1420" s="17" t="str">
        <f>IF(V1420=0,"",IFERROR(LOOKUP(2,1/(INDEX(Listado!A:A,2):INDEX(Listado!A:A,ROW())&lt;&gt;""),ROW(INDEX(Listado!A:A,2):INDEX(Listado!A:A,ROW()))),""))</f>
        <v/>
      </c>
      <c r="O1420" s="17" t="str">
        <f>IFERROR(IF(N1420="","",IF(INDEX(Listado!M:M,N1420)="No",IF(INDEX(Listado!N:N,N1420)=0,"",INDEX(Listado!N:N,N1420)),IF(INDEX(Listado!I:I,N1420)=0,"",INDEX(Listado!I:I,N1420)))),"")</f>
        <v/>
      </c>
      <c r="P1420" s="17">
        <f t="shared" ca="1" si="67"/>
        <v/>
      </c>
      <c r="Q1420" s="17">
        <f>IFERROR(IF(AND(N1420&lt;&gt;"",ISNUMBER(O1420),O1420&gt;0,O1420&gt;=TODAY()-90),1,0),0)</f>
        <v/>
      </c>
      <c r="R1420" s="17" t="str">
        <f t="shared" si="69"/>
        <v/>
      </c>
      <c r="S1420" s="17" t="str">
        <f>IF(INDEX(Listado!A:A,ROW())="","",INDEX(Listado!A:A,ROW()))</f>
        <v/>
      </c>
      <c r="T1420" s="17" t="str">
        <f ca="1">IF(INDEX(Listado!G:G,ROW())="","",INDEX(Listado!G:G,ROW()))</f>
        <v/>
      </c>
      <c r="U1420" s="17" t="str">
        <f>IF(INDEX(Listado!F:F,ROW())="","",INDEX(Listado!F:F,ROW()))</f>
        <v/>
      </c>
      <c r="V1420" s="17">
        <f>IF(COUNTA(INDEX(Listado!B:B,ROW()):INDEX(Listado!F:F,ROW()))&gt;0,1,0)</f>
        <v/>
      </c>
      <c r="W1420" s="17" t="str">
        <f>IF(INDEX(Listado!L:L,ROW())="","",INDEX(Listado!L:L,ROW()))</f>
        <v/>
      </c>
      <c r="X1420" s="17">
        <f>IF(N1420="","",IF(INDEX(Listado!$M:$M,N1420)="No","No","Sí"))</f>
        <v/>
      </c>
    </row>
    <row r="1421" spans="2:24" ht="14.25">
      <c r="N1421" s="17" t="str">
        <f>IF(V1421=0,"",IFERROR(LOOKUP(2,1/(INDEX(Listado!A:A,2):INDEX(Listado!A:A,ROW())&lt;&gt;""),ROW(INDEX(Listado!A:A,2):INDEX(Listado!A:A,ROW()))),""))</f>
        <v/>
      </c>
      <c r="O1421" s="17" t="str">
        <f>IFERROR(IF(N1421="","",IF(INDEX(Listado!M:M,N1421)="No",IF(INDEX(Listado!N:N,N1421)=0,"",INDEX(Listado!N:N,N1421)),IF(INDEX(Listado!I:I,N1421)=0,"",INDEX(Listado!I:I,N1421)))),"")</f>
        <v/>
      </c>
      <c r="P1421" s="17">
        <f t="shared" ca="1" si="67"/>
        <v/>
      </c>
      <c r="Q1421" s="17">
        <f>IFERROR(IF(AND(N1421&lt;&gt;"",ISNUMBER(O1421),O1421&gt;0,O1421&gt;=TODAY()-90),1,0),0)</f>
        <v/>
      </c>
      <c r="R1421" s="17" t="str">
        <f t="shared" si="69"/>
        <v/>
      </c>
      <c r="S1421" s="17" t="str">
        <f>IF(INDEX(Listado!A:A,ROW())="","",INDEX(Listado!A:A,ROW()))</f>
        <v/>
      </c>
      <c r="T1421" s="17" t="str">
        <f ca="1">IF(INDEX(Listado!G:G,ROW())="","",INDEX(Listado!G:G,ROW()))</f>
        <v/>
      </c>
      <c r="U1421" s="17" t="str">
        <f>IF(INDEX(Listado!F:F,ROW())="","",INDEX(Listado!F:F,ROW()))</f>
        <v/>
      </c>
      <c r="V1421" s="17">
        <f>IF(COUNTA(INDEX(Listado!B:B,ROW()):INDEX(Listado!F:F,ROW()))&gt;0,1,0)</f>
        <v/>
      </c>
      <c r="W1421" s="17" t="str">
        <f>IF(INDEX(Listado!L:L,ROW())="","",INDEX(Listado!L:L,ROW()))</f>
        <v/>
      </c>
      <c r="X1421" s="17">
        <f>IF(N1421="","",IF(INDEX(Listado!$M:$M,N1421)="No","No","Sí"))</f>
        <v/>
      </c>
    </row>
    <row r="1422" spans="2:24" ht="14.25">
      <c r="N1422" s="17" t="str">
        <f>IF(V1422=0,"",IFERROR(LOOKUP(2,1/(INDEX(Listado!A:A,2):INDEX(Listado!A:A,ROW())&lt;&gt;""),ROW(INDEX(Listado!A:A,2):INDEX(Listado!A:A,ROW()))),""))</f>
        <v/>
      </c>
      <c r="O1422" s="17" t="str">
        <f>IFERROR(IF(N1422="","",IF(INDEX(Listado!M:M,N1422)="No",IF(INDEX(Listado!N:N,N1422)=0,"",INDEX(Listado!N:N,N1422)),IF(INDEX(Listado!I:I,N1422)=0,"",INDEX(Listado!I:I,N1422)))),"")</f>
        <v/>
      </c>
      <c r="P1422" s="17">
        <f t="shared" ca="1" si="67"/>
        <v/>
      </c>
      <c r="Q1422" s="17">
        <f>IFERROR(IF(AND(N1422&lt;&gt;"",ISNUMBER(O1422),O1422&gt;0,O1422&gt;=TODAY()-90),1,0),0)</f>
        <v/>
      </c>
      <c r="R1422" s="17" t="str">
        <f t="shared" si="69"/>
        <v/>
      </c>
      <c r="S1422" s="17" t="str">
        <f>IF(INDEX(Listado!A:A,ROW())="","",INDEX(Listado!A:A,ROW()))</f>
        <v/>
      </c>
      <c r="T1422" s="17" t="str">
        <f ca="1">IF(INDEX(Listado!G:G,ROW())="","",INDEX(Listado!G:G,ROW()))</f>
        <v/>
      </c>
      <c r="U1422" s="17" t="str">
        <f>IF(INDEX(Listado!F:F,ROW())="","",INDEX(Listado!F:F,ROW()))</f>
        <v/>
      </c>
      <c r="V1422" s="17">
        <f>IF(COUNTA(INDEX(Listado!B:B,ROW()):INDEX(Listado!F:F,ROW()))&gt;0,1,0)</f>
        <v/>
      </c>
      <c r="W1422" s="17" t="str">
        <f>IF(INDEX(Listado!L:L,ROW())="","",INDEX(Listado!L:L,ROW()))</f>
        <v/>
      </c>
      <c r="X1422" s="17">
        <f>IF(N1422="","",IF(INDEX(Listado!$M:$M,N1422)="No","No","Sí"))</f>
        <v/>
      </c>
    </row>
    <row r="1423" spans="2:24" ht="14.25">
      <c r="N1423" s="17" t="str">
        <f>IF(V1423=0,"",IFERROR(LOOKUP(2,1/(INDEX(Listado!A:A,2):INDEX(Listado!A:A,ROW())&lt;&gt;""),ROW(INDEX(Listado!A:A,2):INDEX(Listado!A:A,ROW()))),""))</f>
        <v/>
      </c>
      <c r="O1423" s="17" t="str">
        <f>IFERROR(IF(N1423="","",IF(INDEX(Listado!M:M,N1423)="No",IF(INDEX(Listado!N:N,N1423)=0,"",INDEX(Listado!N:N,N1423)),IF(INDEX(Listado!I:I,N1423)=0,"",INDEX(Listado!I:I,N1423)))),"")</f>
        <v/>
      </c>
      <c r="P1423" s="17">
        <f t="shared" ca="1" si="67"/>
        <v/>
      </c>
      <c r="Q1423" s="17">
        <f>IFERROR(IF(AND(N1423&lt;&gt;"",ISNUMBER(O1423),O1423&gt;0,O1423&gt;=TODAY()-90),1,0),0)</f>
        <v/>
      </c>
      <c r="R1423" s="17" t="str">
        <f t="shared" si="69"/>
        <v/>
      </c>
      <c r="S1423" s="17" t="str">
        <f>IF(INDEX(Listado!A:A,ROW())="","",INDEX(Listado!A:A,ROW()))</f>
        <v/>
      </c>
      <c r="T1423" s="17" t="str">
        <f ca="1">IF(INDEX(Listado!G:G,ROW())="","",INDEX(Listado!G:G,ROW()))</f>
        <v/>
      </c>
      <c r="U1423" s="17" t="str">
        <f>IF(INDEX(Listado!F:F,ROW())="","",INDEX(Listado!F:F,ROW()))</f>
        <v/>
      </c>
      <c r="V1423" s="17">
        <f>IF(COUNTA(INDEX(Listado!B:B,ROW()):INDEX(Listado!F:F,ROW()))&gt;0,1,0)</f>
        <v/>
      </c>
      <c r="W1423" s="17" t="str">
        <f>IF(INDEX(Listado!L:L,ROW())="","",INDEX(Listado!L:L,ROW()))</f>
        <v/>
      </c>
      <c r="X1423" s="17">
        <f>IF(N1423="","",IF(INDEX(Listado!$M:$M,N1423)="No","No","Sí"))</f>
        <v/>
      </c>
    </row>
    <row r="1424" spans="2:24" ht="14.25">
      <c r="N1424" s="17" t="str">
        <f>IF(V1424=0,"",IFERROR(LOOKUP(2,1/(INDEX(Listado!A:A,2):INDEX(Listado!A:A,ROW())&lt;&gt;""),ROW(INDEX(Listado!A:A,2):INDEX(Listado!A:A,ROW()))),""))</f>
        <v/>
      </c>
      <c r="O1424" s="17" t="str">
        <f>IFERROR(IF(N1424="","",IF(INDEX(Listado!M:M,N1424)="No",IF(INDEX(Listado!N:N,N1424)=0,"",INDEX(Listado!N:N,N1424)),IF(INDEX(Listado!I:I,N1424)=0,"",INDEX(Listado!I:I,N1424)))),"")</f>
        <v/>
      </c>
      <c r="P1424" s="17">
        <f t="shared" ca="1" si="67"/>
        <v/>
      </c>
      <c r="Q1424" s="17">
        <f>IFERROR(IF(AND(N1424&lt;&gt;"",ISNUMBER(O1424),O1424&gt;0,O1424&gt;=TODAY()-90),1,0),0)</f>
        <v/>
      </c>
      <c r="R1424" s="17" t="str">
        <f t="shared" si="69"/>
        <v/>
      </c>
      <c r="S1424" s="17" t="str">
        <f>IF(INDEX(Listado!A:A,ROW())="","",INDEX(Listado!A:A,ROW()))</f>
        <v/>
      </c>
      <c r="T1424" s="17" t="str">
        <f ca="1">IF(INDEX(Listado!G:G,ROW())="","",INDEX(Listado!G:G,ROW()))</f>
        <v/>
      </c>
      <c r="U1424" s="17" t="str">
        <f>IF(INDEX(Listado!F:F,ROW())="","",INDEX(Listado!F:F,ROW()))</f>
        <v/>
      </c>
      <c r="V1424" s="17">
        <f>IF(COUNTA(INDEX(Listado!B:B,ROW()):INDEX(Listado!F:F,ROW()))&gt;0,1,0)</f>
        <v/>
      </c>
      <c r="W1424" s="17" t="str">
        <f>IF(INDEX(Listado!L:L,ROW())="","",INDEX(Listado!L:L,ROW()))</f>
        <v/>
      </c>
      <c r="X1424" s="17">
        <f>IF(N1424="","",IF(INDEX(Listado!$M:$M,N1424)="No","No","Sí"))</f>
        <v/>
      </c>
    </row>
    <row r="1425" spans="2:24" ht="14.25">
      <c r="N1425" s="17" t="str">
        <f>IF(V1425=0,"",IFERROR(LOOKUP(2,1/(INDEX(Listado!A:A,2):INDEX(Listado!A:A,ROW())&lt;&gt;""),ROW(INDEX(Listado!A:A,2):INDEX(Listado!A:A,ROW()))),""))</f>
        <v/>
      </c>
      <c r="O1425" s="17" t="str">
        <f>IFERROR(IF(N1425="","",IF(INDEX(Listado!M:M,N1425)="No",IF(INDEX(Listado!N:N,N1425)=0,"",INDEX(Listado!N:N,N1425)),IF(INDEX(Listado!I:I,N1425)=0,"",INDEX(Listado!I:I,N1425)))),"")</f>
        <v/>
      </c>
      <c r="P1425" s="17">
        <f t="shared" ca="1" si="67"/>
        <v/>
      </c>
      <c r="Q1425" s="17">
        <f>IFERROR(IF(AND(N1425&lt;&gt;"",ISNUMBER(O1425),O1425&gt;0,O1425&gt;=TODAY()-90),1,0),0)</f>
        <v/>
      </c>
      <c r="R1425" s="17" t="str">
        <f t="shared" si="69"/>
        <v/>
      </c>
      <c r="S1425" s="17" t="str">
        <f>IF(INDEX(Listado!A:A,ROW())="","",INDEX(Listado!A:A,ROW()))</f>
        <v/>
      </c>
      <c r="T1425" s="17" t="str">
        <f ca="1">IF(INDEX(Listado!G:G,ROW())="","",INDEX(Listado!G:G,ROW()))</f>
        <v/>
      </c>
      <c r="U1425" s="17" t="str">
        <f>IF(INDEX(Listado!F:F,ROW())="","",INDEX(Listado!F:F,ROW()))</f>
        <v/>
      </c>
      <c r="V1425" s="17">
        <f>IF(COUNTA(INDEX(Listado!B:B,ROW()):INDEX(Listado!F:F,ROW()))&gt;0,1,0)</f>
        <v/>
      </c>
      <c r="W1425" s="17" t="str">
        <f>IF(INDEX(Listado!L:L,ROW())="","",INDEX(Listado!L:L,ROW()))</f>
        <v/>
      </c>
      <c r="X1425" s="17">
        <f>IF(N1425="","",IF(INDEX(Listado!$M:$M,N1425)="No","No","Sí"))</f>
        <v/>
      </c>
    </row>
    <row r="1426" spans="2:24" ht="14.25">
      <c r="N1426" s="17" t="str">
        <f>IF(V1426=0,"",IFERROR(LOOKUP(2,1/(INDEX(Listado!A:A,2):INDEX(Listado!A:A,ROW())&lt;&gt;""),ROW(INDEX(Listado!A:A,2):INDEX(Listado!A:A,ROW()))),""))</f>
        <v/>
      </c>
      <c r="O1426" s="17" t="str">
        <f>IFERROR(IF(N1426="","",IF(INDEX(Listado!M:M,N1426)="No",IF(INDEX(Listado!N:N,N1426)=0,"",INDEX(Listado!N:N,N1426)),IF(INDEX(Listado!I:I,N1426)=0,"",INDEX(Listado!I:I,N1426)))),"")</f>
        <v/>
      </c>
      <c r="P1426" s="17">
        <f t="shared" ca="1" si="67"/>
        <v/>
      </c>
      <c r="Q1426" s="17">
        <f>IFERROR(IF(AND(N1426&lt;&gt;"",ISNUMBER(O1426),O1426&gt;0,O1426&gt;=TODAY()-90),1,0),0)</f>
        <v/>
      </c>
      <c r="R1426" s="17" t="str">
        <f t="shared" si="69"/>
        <v/>
      </c>
      <c r="S1426" s="17" t="str">
        <f>IF(INDEX(Listado!A:A,ROW())="","",INDEX(Listado!A:A,ROW()))</f>
        <v/>
      </c>
      <c r="T1426" s="17" t="str">
        <f ca="1">IF(INDEX(Listado!G:G,ROW())="","",INDEX(Listado!G:G,ROW()))</f>
        <v/>
      </c>
      <c r="U1426" s="17" t="str">
        <f>IF(INDEX(Listado!F:F,ROW())="","",INDEX(Listado!F:F,ROW()))</f>
        <v/>
      </c>
      <c r="V1426" s="17">
        <f>IF(COUNTA(INDEX(Listado!B:B,ROW()):INDEX(Listado!F:F,ROW()))&gt;0,1,0)</f>
        <v/>
      </c>
      <c r="W1426" s="17" t="str">
        <f>IF(INDEX(Listado!L:L,ROW())="","",INDEX(Listado!L:L,ROW()))</f>
        <v/>
      </c>
      <c r="X1426" s="17">
        <f>IF(N1426="","",IF(INDEX(Listado!$M:$M,N1426)="No","No","Sí"))</f>
        <v/>
      </c>
    </row>
    <row r="1427" spans="2:24" ht="14.25">
      <c r="N1427" s="17" t="str">
        <f>IF(V1427=0,"",IFERROR(LOOKUP(2,1/(INDEX(Listado!A:A,2):INDEX(Listado!A:A,ROW())&lt;&gt;""),ROW(INDEX(Listado!A:A,2):INDEX(Listado!A:A,ROW()))),""))</f>
        <v/>
      </c>
      <c r="O1427" s="17" t="str">
        <f>IFERROR(IF(N1427="","",IF(INDEX(Listado!M:M,N1427)="No",IF(INDEX(Listado!N:N,N1427)=0,"",INDEX(Listado!N:N,N1427)),IF(INDEX(Listado!I:I,N1427)=0,"",INDEX(Listado!I:I,N1427)))),"")</f>
        <v/>
      </c>
      <c r="P1427" s="17">
        <f t="shared" ca="1" si="67"/>
        <v/>
      </c>
      <c r="Q1427" s="17">
        <f>IFERROR(IF(AND(N1427&lt;&gt;"",ISNUMBER(O1427),O1427&gt;0,O1427&gt;=TODAY()-90),1,0),0)</f>
        <v/>
      </c>
      <c r="R1427" s="17" t="str">
        <f t="shared" si="69"/>
        <v/>
      </c>
      <c r="S1427" s="17" t="str">
        <f>IF(INDEX(Listado!A:A,ROW())="","",INDEX(Listado!A:A,ROW()))</f>
        <v/>
      </c>
      <c r="T1427" s="17" t="str">
        <f ca="1">IF(INDEX(Listado!G:G,ROW())="","",INDEX(Listado!G:G,ROW()))</f>
        <v/>
      </c>
      <c r="U1427" s="17" t="str">
        <f>IF(INDEX(Listado!F:F,ROW())="","",INDEX(Listado!F:F,ROW()))</f>
        <v/>
      </c>
      <c r="V1427" s="17">
        <f>IF(COUNTA(INDEX(Listado!B:B,ROW()):INDEX(Listado!F:F,ROW()))&gt;0,1,0)</f>
        <v/>
      </c>
      <c r="W1427" s="17" t="str">
        <f>IF(INDEX(Listado!L:L,ROW())="","",INDEX(Listado!L:L,ROW()))</f>
        <v/>
      </c>
      <c r="X1427" s="17">
        <f>IF(N1427="","",IF(INDEX(Listado!$M:$M,N1427)="No","No","Sí"))</f>
        <v/>
      </c>
    </row>
    <row r="1428" spans="2:24" ht="14.25">
      <c r="N1428" s="17" t="str">
        <f>IF(V1428=0,"",IFERROR(LOOKUP(2,1/(INDEX(Listado!A:A,2):INDEX(Listado!A:A,ROW())&lt;&gt;""),ROW(INDEX(Listado!A:A,2):INDEX(Listado!A:A,ROW()))),""))</f>
        <v/>
      </c>
      <c r="O1428" s="17" t="str">
        <f>IFERROR(IF(N1428="","",IF(INDEX(Listado!M:M,N1428)="No",IF(INDEX(Listado!N:N,N1428)=0,"",INDEX(Listado!N:N,N1428)),IF(INDEX(Listado!I:I,N1428)=0,"",INDEX(Listado!I:I,N1428)))),"")</f>
        <v/>
      </c>
      <c r="P1428" s="17">
        <f t="shared" ca="1" si="67"/>
        <v/>
      </c>
      <c r="Q1428" s="17">
        <f>IFERROR(IF(AND(N1428&lt;&gt;"",ISNUMBER(O1428),O1428&gt;0,O1428&gt;=TODAY()-90),1,0),0)</f>
        <v/>
      </c>
      <c r="R1428" s="17" t="str">
        <f t="shared" si="69"/>
        <v/>
      </c>
      <c r="S1428" s="17" t="str">
        <f>IF(INDEX(Listado!A:A,ROW())="","",INDEX(Listado!A:A,ROW()))</f>
        <v/>
      </c>
      <c r="T1428" s="17" t="str">
        <f ca="1">IF(INDEX(Listado!G:G,ROW())="","",INDEX(Listado!G:G,ROW()))</f>
        <v/>
      </c>
      <c r="U1428" s="17" t="str">
        <f>IF(INDEX(Listado!F:F,ROW())="","",INDEX(Listado!F:F,ROW()))</f>
        <v/>
      </c>
      <c r="V1428" s="17">
        <f>IF(COUNTA(INDEX(Listado!B:B,ROW()):INDEX(Listado!F:F,ROW()))&gt;0,1,0)</f>
        <v/>
      </c>
      <c r="W1428" s="17" t="str">
        <f>IF(INDEX(Listado!L:L,ROW())="","",INDEX(Listado!L:L,ROW()))</f>
        <v/>
      </c>
      <c r="X1428" s="17">
        <f>IF(N1428="","",IF(INDEX(Listado!$M:$M,N1428)="No","No","Sí"))</f>
        <v/>
      </c>
    </row>
    <row r="1429" spans="2:24" ht="14.25">
      <c r="N1429" s="17" t="str">
        <f>IF(V1429=0,"",IFERROR(LOOKUP(2,1/(INDEX(Listado!A:A,2):INDEX(Listado!A:A,ROW())&lt;&gt;""),ROW(INDEX(Listado!A:A,2):INDEX(Listado!A:A,ROW()))),""))</f>
        <v/>
      </c>
      <c r="O1429" s="17" t="str">
        <f>IFERROR(IF(N1429="","",IF(INDEX(Listado!M:M,N1429)="No",IF(INDEX(Listado!N:N,N1429)=0,"",INDEX(Listado!N:N,N1429)),IF(INDEX(Listado!I:I,N1429)=0,"",INDEX(Listado!I:I,N1429)))),"")</f>
        <v/>
      </c>
      <c r="P1429" s="17">
        <f t="shared" ca="1" si="67"/>
        <v/>
      </c>
      <c r="Q1429" s="17">
        <f>IFERROR(IF(AND(N1429&lt;&gt;"",ISNUMBER(O1429),O1429&gt;0,O1429&gt;=TODAY()-90),1,0),0)</f>
        <v/>
      </c>
      <c r="R1429" s="17" t="str">
        <f t="shared" si="69"/>
        <v/>
      </c>
      <c r="S1429" s="17" t="str">
        <f>IF(INDEX(Listado!A:A,ROW())="","",INDEX(Listado!A:A,ROW()))</f>
        <v/>
      </c>
      <c r="T1429" s="17" t="str">
        <f ca="1">IF(INDEX(Listado!G:G,ROW())="","",INDEX(Listado!G:G,ROW()))</f>
        <v/>
      </c>
      <c r="U1429" s="17" t="str">
        <f>IF(INDEX(Listado!F:F,ROW())="","",INDEX(Listado!F:F,ROW()))</f>
        <v/>
      </c>
      <c r="V1429" s="17">
        <f>IF(COUNTA(INDEX(Listado!B:B,ROW()):INDEX(Listado!F:F,ROW()))&gt;0,1,0)</f>
        <v/>
      </c>
      <c r="W1429" s="17" t="str">
        <f>IF(INDEX(Listado!L:L,ROW())="","",INDEX(Listado!L:L,ROW()))</f>
        <v/>
      </c>
      <c r="X1429" s="17">
        <f>IF(N1429="","",IF(INDEX(Listado!$M:$M,N1429)="No","No","Sí"))</f>
        <v/>
      </c>
    </row>
    <row r="1430" spans="2:24" ht="14.25">
      <c r="N1430" s="17" t="str">
        <f>IF(V1430=0,"",IFERROR(LOOKUP(2,1/(INDEX(Listado!A:A,2):INDEX(Listado!A:A,ROW())&lt;&gt;""),ROW(INDEX(Listado!A:A,2):INDEX(Listado!A:A,ROW()))),""))</f>
        <v/>
      </c>
      <c r="O1430" s="17" t="str">
        <f>IFERROR(IF(N1430="","",IF(INDEX(Listado!M:M,N1430)="No",IF(INDEX(Listado!N:N,N1430)=0,"",INDEX(Listado!N:N,N1430)),IF(INDEX(Listado!I:I,N1430)=0,"",INDEX(Listado!I:I,N1430)))),"")</f>
        <v/>
      </c>
      <c r="P1430" s="17">
        <f t="shared" ca="1" si="67"/>
        <v/>
      </c>
      <c r="Q1430" s="17">
        <f>IFERROR(IF(AND(N1430&lt;&gt;"",ISNUMBER(O1430),O1430&gt;0,O1430&gt;=TODAY()-90),1,0),0)</f>
        <v/>
      </c>
      <c r="R1430" s="17" t="str">
        <f t="shared" si="69"/>
        <v/>
      </c>
      <c r="S1430" s="17" t="str">
        <f>IF(INDEX(Listado!A:A,ROW())="","",INDEX(Listado!A:A,ROW()))</f>
        <v/>
      </c>
      <c r="T1430" s="17" t="str">
        <f ca="1">IF(INDEX(Listado!G:G,ROW())="","",INDEX(Listado!G:G,ROW()))</f>
        <v/>
      </c>
      <c r="U1430" s="17" t="str">
        <f>IF(INDEX(Listado!F:F,ROW())="","",INDEX(Listado!F:F,ROW()))</f>
        <v/>
      </c>
      <c r="V1430" s="17">
        <f>IF(COUNTA(INDEX(Listado!B:B,ROW()):INDEX(Listado!F:F,ROW()))&gt;0,1,0)</f>
        <v/>
      </c>
      <c r="W1430" s="17" t="str">
        <f>IF(INDEX(Listado!L:L,ROW())="","",INDEX(Listado!L:L,ROW()))</f>
        <v/>
      </c>
      <c r="X1430" s="17">
        <f>IF(N1430="","",IF(INDEX(Listado!$M:$M,N1430)="No","No","Sí"))</f>
        <v/>
      </c>
    </row>
    <row r="1431" spans="2:24" ht="14.25">
      <c r="N1431" s="17" t="str">
        <f>IF(V1431=0,"",IFERROR(LOOKUP(2,1/(INDEX(Listado!A:A,2):INDEX(Listado!A:A,ROW())&lt;&gt;""),ROW(INDEX(Listado!A:A,2):INDEX(Listado!A:A,ROW()))),""))</f>
        <v/>
      </c>
      <c r="O1431" s="17" t="str">
        <f>IFERROR(IF(N1431="","",IF(INDEX(Listado!M:M,N1431)="No",IF(INDEX(Listado!N:N,N1431)=0,"",INDEX(Listado!N:N,N1431)),IF(INDEX(Listado!I:I,N1431)=0,"",INDEX(Listado!I:I,N1431)))),"")</f>
        <v/>
      </c>
      <c r="P1431" s="17">
        <f t="shared" ca="1" si="67"/>
        <v/>
      </c>
      <c r="Q1431" s="17">
        <f>IFERROR(IF(AND(N1431&lt;&gt;"",ISNUMBER(O1431),O1431&gt;0,O1431&gt;=TODAY()-90),1,0),0)</f>
        <v/>
      </c>
      <c r="R1431" s="17" t="str">
        <f t="shared" si="69"/>
        <v/>
      </c>
      <c r="S1431" s="17" t="str">
        <f>IF(INDEX(Listado!A:A,ROW())="","",INDEX(Listado!A:A,ROW()))</f>
        <v/>
      </c>
      <c r="T1431" s="17" t="str">
        <f ca="1">IF(INDEX(Listado!G:G,ROW())="","",INDEX(Listado!G:G,ROW()))</f>
        <v/>
      </c>
      <c r="U1431" s="17" t="str">
        <f>IF(INDEX(Listado!F:F,ROW())="","",INDEX(Listado!F:F,ROW()))</f>
        <v/>
      </c>
      <c r="V1431" s="17">
        <f>IF(COUNTA(INDEX(Listado!B:B,ROW()):INDEX(Listado!F:F,ROW()))&gt;0,1,0)</f>
        <v/>
      </c>
      <c r="W1431" s="17" t="str">
        <f>IF(INDEX(Listado!L:L,ROW())="","",INDEX(Listado!L:L,ROW()))</f>
        <v/>
      </c>
      <c r="X1431" s="17">
        <f>IF(N1431="","",IF(INDEX(Listado!$M:$M,N1431)="No","No","Sí"))</f>
        <v/>
      </c>
    </row>
    <row r="1432" spans="2:24" ht="14.25">
      <c r="N1432" s="17" t="str">
        <f>IF(V1432=0,"",IFERROR(LOOKUP(2,1/(INDEX(Listado!A:A,2):INDEX(Listado!A:A,ROW())&lt;&gt;""),ROW(INDEX(Listado!A:A,2):INDEX(Listado!A:A,ROW()))),""))</f>
        <v/>
      </c>
      <c r="O1432" s="17" t="str">
        <f>IFERROR(IF(N1432="","",IF(INDEX(Listado!M:M,N1432)="No",IF(INDEX(Listado!N:N,N1432)=0,"",INDEX(Listado!N:N,N1432)),IF(INDEX(Listado!I:I,N1432)=0,"",INDEX(Listado!I:I,N1432)))),"")</f>
        <v/>
      </c>
      <c r="P1432" s="17">
        <f t="shared" ca="1" si="67"/>
        <v/>
      </c>
      <c r="Q1432" s="17">
        <f>IFERROR(IF(AND(N1432&lt;&gt;"",ISNUMBER(O1432),O1432&gt;0,O1432&gt;=TODAY()-90),1,0),0)</f>
        <v/>
      </c>
      <c r="R1432" s="17" t="str">
        <f t="shared" si="69"/>
        <v/>
      </c>
      <c r="S1432" s="17" t="str">
        <f>IF(INDEX(Listado!A:A,ROW())="","",INDEX(Listado!A:A,ROW()))</f>
        <v/>
      </c>
      <c r="T1432" s="17" t="str">
        <f ca="1">IF(INDEX(Listado!G:G,ROW())="","",INDEX(Listado!G:G,ROW()))</f>
        <v/>
      </c>
      <c r="U1432" s="17" t="str">
        <f>IF(INDEX(Listado!F:F,ROW())="","",INDEX(Listado!F:F,ROW()))</f>
        <v/>
      </c>
      <c r="V1432" s="17">
        <f>IF(COUNTA(INDEX(Listado!B:B,ROW()):INDEX(Listado!F:F,ROW()))&gt;0,1,0)</f>
        <v/>
      </c>
      <c r="W1432" s="17" t="str">
        <f>IF(INDEX(Listado!L:L,ROW())="","",INDEX(Listado!L:L,ROW()))</f>
        <v/>
      </c>
      <c r="X1432" s="17">
        <f>IF(N1432="","",IF(INDEX(Listado!$M:$M,N1432)="No","No","Sí"))</f>
        <v/>
      </c>
    </row>
    <row r="1433" spans="2:24" ht="14.25">
      <c r="N1433" s="17" t="str">
        <f>IF(V1433=0,"",IFERROR(LOOKUP(2,1/(INDEX(Listado!A:A,2):INDEX(Listado!A:A,ROW())&lt;&gt;""),ROW(INDEX(Listado!A:A,2):INDEX(Listado!A:A,ROW()))),""))</f>
        <v/>
      </c>
      <c r="O1433" s="17" t="str">
        <f>IFERROR(IF(N1433="","",IF(INDEX(Listado!M:M,N1433)="No",IF(INDEX(Listado!N:N,N1433)=0,"",INDEX(Listado!N:N,N1433)),IF(INDEX(Listado!I:I,N1433)=0,"",INDEX(Listado!I:I,N1433)))),"")</f>
        <v/>
      </c>
      <c r="P1433" s="17">
        <f t="shared" ca="1" si="67"/>
        <v/>
      </c>
      <c r="Q1433" s="17">
        <f>IFERROR(IF(AND(N1433&lt;&gt;"",ISNUMBER(O1433),O1433&gt;0,O1433&gt;=TODAY()-90),1,0),0)</f>
        <v/>
      </c>
      <c r="R1433" s="17" t="str">
        <f t="shared" si="69"/>
        <v/>
      </c>
      <c r="S1433" s="17" t="str">
        <f>IF(INDEX(Listado!A:A,ROW())="","",INDEX(Listado!A:A,ROW()))</f>
        <v/>
      </c>
      <c r="T1433" s="17" t="str">
        <f ca="1">IF(INDEX(Listado!G:G,ROW())="","",INDEX(Listado!G:G,ROW()))</f>
        <v/>
      </c>
      <c r="U1433" s="17" t="str">
        <f>IF(INDEX(Listado!F:F,ROW())="","",INDEX(Listado!F:F,ROW()))</f>
        <v/>
      </c>
      <c r="V1433" s="17">
        <f>IF(COUNTA(INDEX(Listado!B:B,ROW()):INDEX(Listado!F:F,ROW()))&gt;0,1,0)</f>
        <v/>
      </c>
      <c r="W1433" s="17" t="str">
        <f>IF(INDEX(Listado!L:L,ROW())="","",INDEX(Listado!L:L,ROW()))</f>
        <v/>
      </c>
      <c r="X1433" s="17">
        <f>IF(N1433="","",IF(INDEX(Listado!$M:$M,N1433)="No","No","Sí"))</f>
        <v/>
      </c>
    </row>
    <row r="1434" spans="2:24" ht="14.25">
      <c r="N1434" s="17" t="str">
        <f>IF(V1434=0,"",IFERROR(LOOKUP(2,1/(INDEX(Listado!A:A,2):INDEX(Listado!A:A,ROW())&lt;&gt;""),ROW(INDEX(Listado!A:A,2):INDEX(Listado!A:A,ROW()))),""))</f>
        <v/>
      </c>
      <c r="O1434" s="17" t="str">
        <f>IFERROR(IF(N1434="","",IF(INDEX(Listado!M:M,N1434)="No",IF(INDEX(Listado!N:N,N1434)=0,"",INDEX(Listado!N:N,N1434)),IF(INDEX(Listado!I:I,N1434)=0,"",INDEX(Listado!I:I,N1434)))),"")</f>
        <v/>
      </c>
      <c r="P1434" s="17">
        <f t="shared" ca="1" si="67"/>
        <v/>
      </c>
      <c r="Q1434" s="17">
        <f>IFERROR(IF(AND(N1434&lt;&gt;"",ISNUMBER(O1434),O1434&gt;0,O1434&gt;=TODAY()-90),1,0),0)</f>
        <v/>
      </c>
      <c r="R1434" s="17" t="str">
        <f t="shared" si="69"/>
        <v/>
      </c>
      <c r="S1434" s="17" t="str">
        <f>IF(INDEX(Listado!A:A,ROW())="","",INDEX(Listado!A:A,ROW()))</f>
        <v/>
      </c>
      <c r="T1434" s="17" t="str">
        <f ca="1">IF(INDEX(Listado!G:G,ROW())="","",INDEX(Listado!G:G,ROW()))</f>
        <v/>
      </c>
      <c r="U1434" s="17" t="str">
        <f>IF(INDEX(Listado!F:F,ROW())="","",INDEX(Listado!F:F,ROW()))</f>
        <v/>
      </c>
      <c r="V1434" s="17">
        <f>IF(COUNTA(INDEX(Listado!B:B,ROW()):INDEX(Listado!F:F,ROW()))&gt;0,1,0)</f>
        <v/>
      </c>
      <c r="W1434" s="17" t="str">
        <f>IF(INDEX(Listado!L:L,ROW())="","",INDEX(Listado!L:L,ROW()))</f>
        <v/>
      </c>
      <c r="X1434" s="17">
        <f>IF(N1434="","",IF(INDEX(Listado!$M:$M,N1434)="No","No","Sí"))</f>
        <v/>
      </c>
    </row>
    <row r="1435" spans="2:24" ht="14.25">
      <c r="N1435" s="17" t="str">
        <f>IF(V1435=0,"",IFERROR(LOOKUP(2,1/(INDEX(Listado!A:A,2):INDEX(Listado!A:A,ROW())&lt;&gt;""),ROW(INDEX(Listado!A:A,2):INDEX(Listado!A:A,ROW()))),""))</f>
        <v/>
      </c>
      <c r="O1435" s="17" t="str">
        <f>IFERROR(IF(N1435="","",IF(INDEX(Listado!M:M,N1435)="No",IF(INDEX(Listado!N:N,N1435)=0,"",INDEX(Listado!N:N,N1435)),IF(INDEX(Listado!I:I,N1435)=0,"",INDEX(Listado!I:I,N1435)))),"")</f>
        <v/>
      </c>
      <c r="P1435" s="17">
        <f t="shared" ca="1" si="67"/>
        <v/>
      </c>
      <c r="Q1435" s="17">
        <f>IFERROR(IF(AND(N1435&lt;&gt;"",ISNUMBER(O1435),O1435&gt;0,O1435&gt;=TODAY()-90),1,0),0)</f>
        <v/>
      </c>
      <c r="R1435" s="17" t="str">
        <f t="shared" si="69"/>
        <v/>
      </c>
      <c r="S1435" s="17" t="str">
        <f>IF(INDEX(Listado!A:A,ROW())="","",INDEX(Listado!A:A,ROW()))</f>
        <v/>
      </c>
      <c r="T1435" s="17" t="str">
        <f ca="1">IF(INDEX(Listado!G:G,ROW())="","",INDEX(Listado!G:G,ROW()))</f>
        <v/>
      </c>
      <c r="U1435" s="17" t="str">
        <f>IF(INDEX(Listado!F:F,ROW())="","",INDEX(Listado!F:F,ROW()))</f>
        <v/>
      </c>
      <c r="V1435" s="17">
        <f>IF(COUNTA(INDEX(Listado!B:B,ROW()):INDEX(Listado!F:F,ROW()))&gt;0,1,0)</f>
        <v/>
      </c>
      <c r="W1435" s="17" t="str">
        <f>IF(INDEX(Listado!L:L,ROW())="","",INDEX(Listado!L:L,ROW()))</f>
        <v/>
      </c>
      <c r="X1435" s="17">
        <f>IF(N1435="","",IF(INDEX(Listado!$M:$M,N1435)="No","No","Sí"))</f>
        <v/>
      </c>
    </row>
    <row r="1436" spans="2:24" ht="14.25">
      <c r="N1436" s="17" t="str">
        <f>IF(V1436=0,"",IFERROR(LOOKUP(2,1/(INDEX(Listado!A:A,2):INDEX(Listado!A:A,ROW())&lt;&gt;""),ROW(INDEX(Listado!A:A,2):INDEX(Listado!A:A,ROW()))),""))</f>
        <v/>
      </c>
      <c r="O1436" s="17" t="str">
        <f>IFERROR(IF(N1436="","",IF(INDEX(Listado!M:M,N1436)="No",IF(INDEX(Listado!N:N,N1436)=0,"",INDEX(Listado!N:N,N1436)),IF(INDEX(Listado!I:I,N1436)=0,"",INDEX(Listado!I:I,N1436)))),"")</f>
        <v/>
      </c>
      <c r="P1436" s="17">
        <f t="shared" ca="1" si="67"/>
        <v/>
      </c>
      <c r="Q1436" s="17">
        <f>IFERROR(IF(AND(N1436&lt;&gt;"",ISNUMBER(O1436),O1436&gt;0,O1436&gt;=TODAY()-90),1,0),0)</f>
        <v/>
      </c>
      <c r="R1436" s="17" t="str">
        <f t="shared" si="69"/>
        <v/>
      </c>
      <c r="S1436" s="17" t="str">
        <f>IF(INDEX(Listado!A:A,ROW())="","",INDEX(Listado!A:A,ROW()))</f>
        <v/>
      </c>
      <c r="T1436" s="17" t="str">
        <f ca="1">IF(INDEX(Listado!G:G,ROW())="","",INDEX(Listado!G:G,ROW()))</f>
        <v/>
      </c>
      <c r="U1436" s="17" t="str">
        <f>IF(INDEX(Listado!F:F,ROW())="","",INDEX(Listado!F:F,ROW()))</f>
        <v/>
      </c>
      <c r="V1436" s="17">
        <f>IF(COUNTA(INDEX(Listado!B:B,ROW()):INDEX(Listado!F:F,ROW()))&gt;0,1,0)</f>
        <v/>
      </c>
      <c r="W1436" s="17" t="str">
        <f>IF(INDEX(Listado!L:L,ROW())="","",INDEX(Listado!L:L,ROW()))</f>
        <v/>
      </c>
      <c r="X1436" s="17">
        <f>IF(N1436="","",IF(INDEX(Listado!$M:$M,N1436)="No","No","Sí"))</f>
        <v/>
      </c>
    </row>
    <row r="1437" spans="2:24" ht="14.25">
      <c r="N1437" s="17" t="str">
        <f>IF(V1437=0,"",IFERROR(LOOKUP(2,1/(INDEX(Listado!A:A,2):INDEX(Listado!A:A,ROW())&lt;&gt;""),ROW(INDEX(Listado!A:A,2):INDEX(Listado!A:A,ROW()))),""))</f>
        <v/>
      </c>
      <c r="O1437" s="17" t="str">
        <f>IFERROR(IF(N1437="","",IF(INDEX(Listado!M:M,N1437)="No",IF(INDEX(Listado!N:N,N1437)=0,"",INDEX(Listado!N:N,N1437)),IF(INDEX(Listado!I:I,N1437)=0,"",INDEX(Listado!I:I,N1437)))),"")</f>
        <v/>
      </c>
      <c r="P1437" s="17">
        <f t="shared" ca="1" si="67"/>
        <v/>
      </c>
      <c r="Q1437" s="17">
        <f>IFERROR(IF(AND(N1437&lt;&gt;"",ISNUMBER(O1437),O1437&gt;0,O1437&gt;=TODAY()-90),1,0),0)</f>
        <v/>
      </c>
      <c r="R1437" s="17" t="str">
        <f t="shared" si="69"/>
        <v/>
      </c>
      <c r="S1437" s="17" t="str">
        <f>IF(INDEX(Listado!A:A,ROW())="","",INDEX(Listado!A:A,ROW()))</f>
        <v/>
      </c>
      <c r="T1437" s="17" t="str">
        <f ca="1">IF(INDEX(Listado!G:G,ROW())="","",INDEX(Listado!G:G,ROW()))</f>
        <v/>
      </c>
      <c r="U1437" s="17" t="str">
        <f>IF(INDEX(Listado!F:F,ROW())="","",INDEX(Listado!F:F,ROW()))</f>
        <v/>
      </c>
      <c r="V1437" s="17">
        <f>IF(COUNTA(INDEX(Listado!B:B,ROW()):INDEX(Listado!F:F,ROW()))&gt;0,1,0)</f>
        <v/>
      </c>
      <c r="W1437" s="17" t="str">
        <f>IF(INDEX(Listado!L:L,ROW())="","",INDEX(Listado!L:L,ROW()))</f>
        <v/>
      </c>
      <c r="X1437" s="17">
        <f>IF(N1437="","",IF(INDEX(Listado!$M:$M,N1437)="No","No","Sí"))</f>
        <v/>
      </c>
    </row>
    <row r="1438" spans="2:24" ht="14.25">
      <c r="N1438" s="17" t="str">
        <f>IF(V1438=0,"",IFERROR(LOOKUP(2,1/(INDEX(Listado!A:A,2):INDEX(Listado!A:A,ROW())&lt;&gt;""),ROW(INDEX(Listado!A:A,2):INDEX(Listado!A:A,ROW()))),""))</f>
        <v/>
      </c>
      <c r="O1438" s="17" t="str">
        <f>IFERROR(IF(N1438="","",IF(INDEX(Listado!M:M,N1438)="No",IF(INDEX(Listado!N:N,N1438)=0,"",INDEX(Listado!N:N,N1438)),IF(INDEX(Listado!I:I,N1438)=0,"",INDEX(Listado!I:I,N1438)))),"")</f>
        <v/>
      </c>
      <c r="P1438" s="17">
        <f t="shared" ca="1" si="67"/>
        <v/>
      </c>
      <c r="Q1438" s="17">
        <f>IFERROR(IF(AND(N1438&lt;&gt;"",ISNUMBER(O1438),O1438&gt;0,O1438&gt;=TODAY()-90),1,0),0)</f>
        <v/>
      </c>
      <c r="R1438" s="17" t="str">
        <f t="shared" si="69"/>
        <v/>
      </c>
      <c r="S1438" s="17" t="str">
        <f>IF(INDEX(Listado!A:A,ROW())="","",INDEX(Listado!A:A,ROW()))</f>
        <v/>
      </c>
      <c r="T1438" s="17" t="str">
        <f ca="1">IF(INDEX(Listado!G:G,ROW())="","",INDEX(Listado!G:G,ROW()))</f>
        <v/>
      </c>
      <c r="U1438" s="17" t="str">
        <f>IF(INDEX(Listado!F:F,ROW())="","",INDEX(Listado!F:F,ROW()))</f>
        <v/>
      </c>
      <c r="V1438" s="17">
        <f>IF(COUNTA(INDEX(Listado!B:B,ROW()):INDEX(Listado!F:F,ROW()))&gt;0,1,0)</f>
        <v/>
      </c>
      <c r="W1438" s="17" t="str">
        <f>IF(INDEX(Listado!L:L,ROW())="","",INDEX(Listado!L:L,ROW()))</f>
        <v/>
      </c>
      <c r="X1438" s="17">
        <f>IF(N1438="","",IF(INDEX(Listado!$M:$M,N1438)="No","No","Sí"))</f>
        <v/>
      </c>
    </row>
    <row r="1439" spans="2:24" ht="14.25">
      <c r="N1439" s="17" t="str">
        <f>IF(V1439=0,"",IFERROR(LOOKUP(2,1/(INDEX(Listado!A:A,2):INDEX(Listado!A:A,ROW())&lt;&gt;""),ROW(INDEX(Listado!A:A,2):INDEX(Listado!A:A,ROW()))),""))</f>
        <v/>
      </c>
      <c r="O1439" s="17" t="str">
        <f>IFERROR(IF(N1439="","",IF(INDEX(Listado!M:M,N1439)="No",IF(INDEX(Listado!N:N,N1439)=0,"",INDEX(Listado!N:N,N1439)),IF(INDEX(Listado!I:I,N1439)=0,"",INDEX(Listado!I:I,N1439)))),"")</f>
        <v/>
      </c>
      <c r="P1439" s="17">
        <f t="shared" ca="1" si="67"/>
        <v/>
      </c>
      <c r="Q1439" s="17">
        <f>IFERROR(IF(AND(N1439&lt;&gt;"",ISNUMBER(O1439),O1439&gt;0,O1439&gt;=TODAY()-90),1,0),0)</f>
        <v/>
      </c>
      <c r="R1439" s="17" t="str">
        <f t="shared" si="69"/>
        <v/>
      </c>
      <c r="S1439" s="17" t="str">
        <f>IF(INDEX(Listado!A:A,ROW())="","",INDEX(Listado!A:A,ROW()))</f>
        <v/>
      </c>
      <c r="T1439" s="17" t="str">
        <f ca="1">IF(INDEX(Listado!G:G,ROW())="","",INDEX(Listado!G:G,ROW()))</f>
        <v/>
      </c>
      <c r="U1439" s="17" t="str">
        <f>IF(INDEX(Listado!F:F,ROW())="","",INDEX(Listado!F:F,ROW()))</f>
        <v/>
      </c>
      <c r="V1439" s="17">
        <f>IF(COUNTA(INDEX(Listado!B:B,ROW()):INDEX(Listado!F:F,ROW()))&gt;0,1,0)</f>
        <v/>
      </c>
      <c r="W1439" s="17" t="str">
        <f>IF(INDEX(Listado!L:L,ROW())="","",INDEX(Listado!L:L,ROW()))</f>
        <v/>
      </c>
      <c r="X1439" s="17">
        <f>IF(N1439="","",IF(INDEX(Listado!$M:$M,N1439)="No","No","Sí"))</f>
        <v/>
      </c>
    </row>
    <row r="1440" spans="2:24" ht="14.25">
      <c r="N1440" s="17" t="str">
        <f>IF(V1440=0,"",IFERROR(LOOKUP(2,1/(INDEX(Listado!A:A,2):INDEX(Listado!A:A,ROW())&lt;&gt;""),ROW(INDEX(Listado!A:A,2):INDEX(Listado!A:A,ROW()))),""))</f>
        <v/>
      </c>
      <c r="O1440" s="17" t="str">
        <f>IFERROR(IF(N1440="","",IF(INDEX(Listado!M:M,N1440)="No",IF(INDEX(Listado!N:N,N1440)=0,"",INDEX(Listado!N:N,N1440)),IF(INDEX(Listado!I:I,N1440)=0,"",INDEX(Listado!I:I,N1440)))),"")</f>
        <v/>
      </c>
      <c r="P1440" s="17">
        <f t="shared" ca="1" si="67"/>
        <v/>
      </c>
      <c r="Q1440" s="17">
        <f>IFERROR(IF(AND(N1440&lt;&gt;"",ISNUMBER(O1440),O1440&gt;0,O1440&gt;=TODAY()-90),1,0),0)</f>
        <v/>
      </c>
      <c r="R1440" s="17" t="str">
        <f t="shared" si="69"/>
        <v/>
      </c>
      <c r="S1440" s="17" t="str">
        <f>IF(INDEX(Listado!A:A,ROW())="","",INDEX(Listado!A:A,ROW()))</f>
        <v/>
      </c>
      <c r="T1440" s="17" t="str">
        <f ca="1">IF(INDEX(Listado!G:G,ROW())="","",INDEX(Listado!G:G,ROW()))</f>
        <v/>
      </c>
      <c r="U1440" s="17" t="str">
        <f>IF(INDEX(Listado!F:F,ROW())="","",INDEX(Listado!F:F,ROW()))</f>
        <v/>
      </c>
      <c r="V1440" s="17">
        <f>IF(COUNTA(INDEX(Listado!B:B,ROW()):INDEX(Listado!F:F,ROW()))&gt;0,1,0)</f>
        <v/>
      </c>
      <c r="W1440" s="17" t="str">
        <f>IF(INDEX(Listado!L:L,ROW())="","",INDEX(Listado!L:L,ROW()))</f>
        <v/>
      </c>
      <c r="X1440" s="17">
        <f>IF(N1440="","",IF(INDEX(Listado!$M:$M,N1440)="No","No","Sí"))</f>
        <v/>
      </c>
    </row>
    <row r="1441" spans="2:24" ht="14.25">
      <c r="N1441" s="17" t="str">
        <f>IF(V1441=0,"",IFERROR(LOOKUP(2,1/(INDEX(Listado!A:A,2):INDEX(Listado!A:A,ROW())&lt;&gt;""),ROW(INDEX(Listado!A:A,2):INDEX(Listado!A:A,ROW()))),""))</f>
        <v/>
      </c>
      <c r="O1441" s="17" t="str">
        <f>IFERROR(IF(N1441="","",IF(INDEX(Listado!M:M,N1441)="No",IF(INDEX(Listado!N:N,N1441)=0,"",INDEX(Listado!N:N,N1441)),IF(INDEX(Listado!I:I,N1441)=0,"",INDEX(Listado!I:I,N1441)))),"")</f>
        <v/>
      </c>
      <c r="P1441" s="17">
        <f t="shared" ca="1" si="67"/>
        <v/>
      </c>
      <c r="Q1441" s="17">
        <f>IFERROR(IF(AND(N1441&lt;&gt;"",ISNUMBER(O1441),O1441&gt;0,O1441&gt;=TODAY()-90),1,0),0)</f>
        <v/>
      </c>
      <c r="R1441" s="17" t="str">
        <f t="shared" si="69"/>
        <v/>
      </c>
      <c r="S1441" s="17" t="str">
        <f>IF(INDEX(Listado!A:A,ROW())="","",INDEX(Listado!A:A,ROW()))</f>
        <v/>
      </c>
      <c r="T1441" s="17" t="str">
        <f ca="1">IF(INDEX(Listado!G:G,ROW())="","",INDEX(Listado!G:G,ROW()))</f>
        <v/>
      </c>
      <c r="U1441" s="17" t="str">
        <f>IF(INDEX(Listado!F:F,ROW())="","",INDEX(Listado!F:F,ROW()))</f>
        <v/>
      </c>
      <c r="V1441" s="17">
        <f>IF(COUNTA(INDEX(Listado!B:B,ROW()):INDEX(Listado!F:F,ROW()))&gt;0,1,0)</f>
        <v/>
      </c>
      <c r="W1441" s="17" t="str">
        <f>IF(INDEX(Listado!L:L,ROW())="","",INDEX(Listado!L:L,ROW()))</f>
        <v/>
      </c>
      <c r="X1441" s="17">
        <f>IF(N1441="","",IF(INDEX(Listado!$M:$M,N1441)="No","No","Sí"))</f>
        <v/>
      </c>
    </row>
    <row r="1442" spans="2:24" ht="14.25">
      <c r="N1442" s="17" t="str">
        <f>IF(V1442=0,"",IFERROR(LOOKUP(2,1/(INDEX(Listado!A:A,2):INDEX(Listado!A:A,ROW())&lt;&gt;""),ROW(INDEX(Listado!A:A,2):INDEX(Listado!A:A,ROW()))),""))</f>
        <v/>
      </c>
      <c r="O1442" s="17" t="str">
        <f>IFERROR(IF(N1442="","",IF(INDEX(Listado!M:M,N1442)="No",IF(INDEX(Listado!N:N,N1442)=0,"",INDEX(Listado!N:N,N1442)),IF(INDEX(Listado!I:I,N1442)=0,"",INDEX(Listado!I:I,N1442)))),"")</f>
        <v/>
      </c>
      <c r="P1442" s="17">
        <f t="shared" ca="1" si="67"/>
        <v/>
      </c>
      <c r="Q1442" s="17">
        <f>IFERROR(IF(AND(N1442&lt;&gt;"",ISNUMBER(O1442),O1442&gt;0,O1442&gt;=TODAY()-90),1,0),0)</f>
        <v/>
      </c>
      <c r="R1442" s="17" t="str">
        <f t="shared" si="69"/>
        <v/>
      </c>
      <c r="S1442" s="17" t="str">
        <f>IF(INDEX(Listado!A:A,ROW())="","",INDEX(Listado!A:A,ROW()))</f>
        <v/>
      </c>
      <c r="T1442" s="17" t="str">
        <f ca="1">IF(INDEX(Listado!G:G,ROW())="","",INDEX(Listado!G:G,ROW()))</f>
        <v/>
      </c>
      <c r="U1442" s="17" t="str">
        <f>IF(INDEX(Listado!F:F,ROW())="","",INDEX(Listado!F:F,ROW()))</f>
        <v/>
      </c>
      <c r="V1442" s="17">
        <f>IF(COUNTA(INDEX(Listado!B:B,ROW()):INDEX(Listado!F:F,ROW()))&gt;0,1,0)</f>
        <v/>
      </c>
      <c r="W1442" s="17" t="str">
        <f>IF(INDEX(Listado!L:L,ROW())="","",INDEX(Listado!L:L,ROW()))</f>
        <v/>
      </c>
      <c r="X1442" s="17">
        <f>IF(N1442="","",IF(INDEX(Listado!$M:$M,N1442)="No","No","Sí"))</f>
        <v/>
      </c>
    </row>
    <row r="1443" spans="2:24" ht="14.25">
      <c r="N1443" s="17" t="str">
        <f>IF(V1443=0,"",IFERROR(LOOKUP(2,1/(INDEX(Listado!A:A,2):INDEX(Listado!A:A,ROW())&lt;&gt;""),ROW(INDEX(Listado!A:A,2):INDEX(Listado!A:A,ROW()))),""))</f>
        <v/>
      </c>
      <c r="O1443" s="17" t="str">
        <f>IFERROR(IF(N1443="","",IF(INDEX(Listado!M:M,N1443)="No",IF(INDEX(Listado!N:N,N1443)=0,"",INDEX(Listado!N:N,N1443)),IF(INDEX(Listado!I:I,N1443)=0,"",INDEX(Listado!I:I,N1443)))),"")</f>
        <v/>
      </c>
      <c r="P1443" s="17">
        <f t="shared" ca="1" si="67"/>
        <v/>
      </c>
      <c r="Q1443" s="17">
        <f>IFERROR(IF(AND(N1443&lt;&gt;"",ISNUMBER(O1443),O1443&gt;0,O1443&gt;=TODAY()-90),1,0),0)</f>
        <v/>
      </c>
      <c r="R1443" s="17" t="str">
        <f t="shared" si="69"/>
        <v/>
      </c>
      <c r="S1443" s="17" t="str">
        <f>IF(INDEX(Listado!A:A,ROW())="","",INDEX(Listado!A:A,ROW()))</f>
        <v/>
      </c>
      <c r="T1443" s="17" t="str">
        <f ca="1">IF(INDEX(Listado!G:G,ROW())="","",INDEX(Listado!G:G,ROW()))</f>
        <v/>
      </c>
      <c r="U1443" s="17" t="str">
        <f>IF(INDEX(Listado!F:F,ROW())="","",INDEX(Listado!F:F,ROW()))</f>
        <v/>
      </c>
      <c r="V1443" s="17">
        <f>IF(COUNTA(INDEX(Listado!B:B,ROW()):INDEX(Listado!F:F,ROW()))&gt;0,1,0)</f>
        <v/>
      </c>
      <c r="W1443" s="17" t="str">
        <f>IF(INDEX(Listado!L:L,ROW())="","",INDEX(Listado!L:L,ROW()))</f>
        <v/>
      </c>
      <c r="X1443" s="17">
        <f>IF(N1443="","",IF(INDEX(Listado!$M:$M,N1443)="No","No","Sí"))</f>
        <v/>
      </c>
    </row>
    <row r="1444" spans="2:24" ht="14.25">
      <c r="N1444" s="17" t="str">
        <f>IF(V1444=0,"",IFERROR(LOOKUP(2,1/(INDEX(Listado!A:A,2):INDEX(Listado!A:A,ROW())&lt;&gt;""),ROW(INDEX(Listado!A:A,2):INDEX(Listado!A:A,ROW()))),""))</f>
        <v/>
      </c>
      <c r="O1444" s="17" t="str">
        <f>IFERROR(IF(N1444="","",IF(INDEX(Listado!M:M,N1444)="No",IF(INDEX(Listado!N:N,N1444)=0,"",INDEX(Listado!N:N,N1444)),IF(INDEX(Listado!I:I,N1444)=0,"",INDEX(Listado!I:I,N1444)))),"")</f>
        <v/>
      </c>
      <c r="P1444" s="17">
        <f t="shared" ca="1" si="67"/>
        <v/>
      </c>
      <c r="Q1444" s="17">
        <f>IFERROR(IF(AND(N1444&lt;&gt;"",ISNUMBER(O1444),O1444&gt;0,O1444&gt;=TODAY()-90),1,0),0)</f>
        <v/>
      </c>
      <c r="R1444" s="17" t="str">
        <f t="shared" si="69"/>
        <v/>
      </c>
      <c r="S1444" s="17" t="str">
        <f>IF(INDEX(Listado!A:A,ROW())="","",INDEX(Listado!A:A,ROW()))</f>
        <v/>
      </c>
      <c r="T1444" s="17" t="str">
        <f ca="1">IF(INDEX(Listado!G:G,ROW())="","",INDEX(Listado!G:G,ROW()))</f>
        <v/>
      </c>
      <c r="U1444" s="17" t="str">
        <f>IF(INDEX(Listado!F:F,ROW())="","",INDEX(Listado!F:F,ROW()))</f>
        <v/>
      </c>
      <c r="V1444" s="17">
        <f>IF(COUNTA(INDEX(Listado!B:B,ROW()):INDEX(Listado!F:F,ROW()))&gt;0,1,0)</f>
        <v/>
      </c>
      <c r="W1444" s="17" t="str">
        <f>IF(INDEX(Listado!L:L,ROW())="","",INDEX(Listado!L:L,ROW()))</f>
        <v/>
      </c>
      <c r="X1444" s="17">
        <f>IF(N1444="","",IF(INDEX(Listado!$M:$M,N1444)="No","No","Sí"))</f>
        <v/>
      </c>
    </row>
    <row r="1445" spans="2:24" ht="14.25">
      <c r="N1445" s="17" t="str">
        <f>IF(V1445=0,"",IFERROR(LOOKUP(2,1/(INDEX(Listado!A:A,2):INDEX(Listado!A:A,ROW())&lt;&gt;""),ROW(INDEX(Listado!A:A,2):INDEX(Listado!A:A,ROW()))),""))</f>
        <v/>
      </c>
      <c r="O1445" s="17" t="str">
        <f>IFERROR(IF(N1445="","",IF(INDEX(Listado!M:M,N1445)="No",IF(INDEX(Listado!N:N,N1445)=0,"",INDEX(Listado!N:N,N1445)),IF(INDEX(Listado!I:I,N1445)=0,"",INDEX(Listado!I:I,N1445)))),"")</f>
        <v/>
      </c>
      <c r="P1445" s="17">
        <f t="shared" ca="1" si="67"/>
        <v/>
      </c>
      <c r="Q1445" s="17">
        <f>IFERROR(IF(AND(N1445&lt;&gt;"",ISNUMBER(O1445),O1445&gt;0,O1445&gt;=TODAY()-90),1,0),0)</f>
        <v/>
      </c>
      <c r="R1445" s="17" t="str">
        <f t="shared" si="69"/>
        <v/>
      </c>
      <c r="S1445" s="17" t="str">
        <f>IF(INDEX(Listado!A:A,ROW())="","",INDEX(Listado!A:A,ROW()))</f>
        <v/>
      </c>
      <c r="T1445" s="17" t="str">
        <f ca="1">IF(INDEX(Listado!G:G,ROW())="","",INDEX(Listado!G:G,ROW()))</f>
        <v/>
      </c>
      <c r="U1445" s="17" t="str">
        <f>IF(INDEX(Listado!F:F,ROW())="","",INDEX(Listado!F:F,ROW()))</f>
        <v/>
      </c>
      <c r="V1445" s="17">
        <f>IF(COUNTA(INDEX(Listado!B:B,ROW()):INDEX(Listado!F:F,ROW()))&gt;0,1,0)</f>
        <v/>
      </c>
      <c r="W1445" s="17" t="str">
        <f>IF(INDEX(Listado!L:L,ROW())="","",INDEX(Listado!L:L,ROW()))</f>
        <v/>
      </c>
      <c r="X1445" s="17">
        <f>IF(N1445="","",IF(INDEX(Listado!$M:$M,N1445)="No","No","Sí"))</f>
        <v/>
      </c>
    </row>
    <row r="1446" spans="2:24" ht="14.25">
      <c r="N1446" s="17" t="str">
        <f>IF(V1446=0,"",IFERROR(LOOKUP(2,1/(INDEX(Listado!A:A,2):INDEX(Listado!A:A,ROW())&lt;&gt;""),ROW(INDEX(Listado!A:A,2):INDEX(Listado!A:A,ROW()))),""))</f>
        <v/>
      </c>
      <c r="O1446" s="17" t="str">
        <f>IFERROR(IF(N1446="","",IF(INDEX(Listado!M:M,N1446)="No",IF(INDEX(Listado!N:N,N1446)=0,"",INDEX(Listado!N:N,N1446)),IF(INDEX(Listado!I:I,N1446)=0,"",INDEX(Listado!I:I,N1446)))),"")</f>
        <v/>
      </c>
      <c r="P1446" s="17">
        <f t="shared" ca="1" si="67"/>
        <v/>
      </c>
      <c r="Q1446" s="17">
        <f>IFERROR(IF(AND(N1446&lt;&gt;"",ISNUMBER(O1446),O1446&gt;0,O1446&gt;=TODAY()-90),1,0),0)</f>
        <v/>
      </c>
      <c r="R1446" s="17" t="str">
        <f t="shared" si="69"/>
        <v/>
      </c>
      <c r="S1446" s="17" t="str">
        <f>IF(INDEX(Listado!A:A,ROW())="","",INDEX(Listado!A:A,ROW()))</f>
        <v/>
      </c>
      <c r="T1446" s="17" t="str">
        <f ca="1">IF(INDEX(Listado!G:G,ROW())="","",INDEX(Listado!G:G,ROW()))</f>
        <v/>
      </c>
      <c r="U1446" s="17" t="str">
        <f>IF(INDEX(Listado!F:F,ROW())="","",INDEX(Listado!F:F,ROW()))</f>
        <v/>
      </c>
      <c r="V1446" s="17">
        <f>IF(COUNTA(INDEX(Listado!B:B,ROW()):INDEX(Listado!F:F,ROW()))&gt;0,1,0)</f>
        <v/>
      </c>
      <c r="W1446" s="17" t="str">
        <f>IF(INDEX(Listado!L:L,ROW())="","",INDEX(Listado!L:L,ROW()))</f>
        <v/>
      </c>
      <c r="X1446" s="17">
        <f>IF(N1446="","",IF(INDEX(Listado!$M:$M,N1446)="No","No","Sí"))</f>
        <v/>
      </c>
    </row>
    <row r="1447" spans="2:24" ht="14.25">
      <c r="N1447" s="17" t="str">
        <f>IF(V1447=0,"",IFERROR(LOOKUP(2,1/(INDEX(Listado!A:A,2):INDEX(Listado!A:A,ROW())&lt;&gt;""),ROW(INDEX(Listado!A:A,2):INDEX(Listado!A:A,ROW()))),""))</f>
        <v/>
      </c>
      <c r="O1447" s="17" t="str">
        <f>IFERROR(IF(N1447="","",IF(INDEX(Listado!M:M,N1447)="No",IF(INDEX(Listado!N:N,N1447)=0,"",INDEX(Listado!N:N,N1447)),IF(INDEX(Listado!I:I,N1447)=0,"",INDEX(Listado!I:I,N1447)))),"")</f>
        <v/>
      </c>
      <c r="P1447" s="17">
        <f t="shared" ca="1" si="67"/>
        <v/>
      </c>
      <c r="Q1447" s="17">
        <f>IFERROR(IF(AND(N1447&lt;&gt;"",ISNUMBER(O1447),O1447&gt;0,O1447&gt;=TODAY()-90),1,0),0)</f>
        <v/>
      </c>
      <c r="R1447" s="17" t="str">
        <f t="shared" si="69"/>
        <v/>
      </c>
      <c r="S1447" s="17" t="str">
        <f>IF(INDEX(Listado!A:A,ROW())="","",INDEX(Listado!A:A,ROW()))</f>
        <v/>
      </c>
      <c r="T1447" s="17" t="str">
        <f ca="1">IF(INDEX(Listado!G:G,ROW())="","",INDEX(Listado!G:G,ROW()))</f>
        <v/>
      </c>
      <c r="U1447" s="17" t="str">
        <f>IF(INDEX(Listado!F:F,ROW())="","",INDEX(Listado!F:F,ROW()))</f>
        <v/>
      </c>
      <c r="V1447" s="17">
        <f>IF(COUNTA(INDEX(Listado!B:B,ROW()):INDEX(Listado!F:F,ROW()))&gt;0,1,0)</f>
        <v/>
      </c>
      <c r="W1447" s="17" t="str">
        <f>IF(INDEX(Listado!L:L,ROW())="","",INDEX(Listado!L:L,ROW()))</f>
        <v/>
      </c>
      <c r="X1447" s="17">
        <f>IF(N1447="","",IF(INDEX(Listado!$M:$M,N1447)="No","No","Sí"))</f>
        <v/>
      </c>
    </row>
    <row r="1448" spans="2:24" ht="14.25">
      <c r="N1448" s="17" t="str">
        <f>IF(V1448=0,"",IFERROR(LOOKUP(2,1/(INDEX(Listado!A:A,2):INDEX(Listado!A:A,ROW())&lt;&gt;""),ROW(INDEX(Listado!A:A,2):INDEX(Listado!A:A,ROW()))),""))</f>
        <v/>
      </c>
      <c r="O1448" s="17" t="str">
        <f>IFERROR(IF(N1448="","",IF(INDEX(Listado!M:M,N1448)="No",IF(INDEX(Listado!N:N,N1448)=0,"",INDEX(Listado!N:N,N1448)),IF(INDEX(Listado!I:I,N1448)=0,"",INDEX(Listado!I:I,N1448)))),"")</f>
        <v/>
      </c>
      <c r="P1448" s="17">
        <f t="shared" ca="1" si="67"/>
        <v/>
      </c>
      <c r="Q1448" s="17">
        <f>IFERROR(IF(AND(N1448&lt;&gt;"",ISNUMBER(O1448),O1448&gt;0,O1448&gt;=TODAY()-90),1,0),0)</f>
        <v/>
      </c>
      <c r="R1448" s="17" t="str">
        <f t="shared" si="69"/>
        <v/>
      </c>
      <c r="S1448" s="17" t="str">
        <f>IF(INDEX(Listado!A:A,ROW())="","",INDEX(Listado!A:A,ROW()))</f>
        <v/>
      </c>
      <c r="T1448" s="17" t="str">
        <f ca="1">IF(INDEX(Listado!G:G,ROW())="","",INDEX(Listado!G:G,ROW()))</f>
        <v/>
      </c>
      <c r="U1448" s="17" t="str">
        <f>IF(INDEX(Listado!F:F,ROW())="","",INDEX(Listado!F:F,ROW()))</f>
        <v/>
      </c>
      <c r="V1448" s="17">
        <f>IF(COUNTA(INDEX(Listado!B:B,ROW()):INDEX(Listado!F:F,ROW()))&gt;0,1,0)</f>
        <v/>
      </c>
      <c r="W1448" s="17" t="str">
        <f>IF(INDEX(Listado!L:L,ROW())="","",INDEX(Listado!L:L,ROW()))</f>
        <v/>
      </c>
      <c r="X1448" s="17">
        <f>IF(N1448="","",IF(INDEX(Listado!$M:$M,N1448)="No","No","Sí"))</f>
        <v/>
      </c>
    </row>
    <row r="1449" spans="2:24" ht="14.25">
      <c r="N1449" s="17" t="str">
        <f>IF(V1449=0,"",IFERROR(LOOKUP(2,1/(INDEX(Listado!A:A,2):INDEX(Listado!A:A,ROW())&lt;&gt;""),ROW(INDEX(Listado!A:A,2):INDEX(Listado!A:A,ROW()))),""))</f>
        <v/>
      </c>
      <c r="O1449" s="17" t="str">
        <f>IFERROR(IF(N1449="","",IF(INDEX(Listado!M:M,N1449)="No",IF(INDEX(Listado!N:N,N1449)=0,"",INDEX(Listado!N:N,N1449)),IF(INDEX(Listado!I:I,N1449)=0,"",INDEX(Listado!I:I,N1449)))),"")</f>
        <v/>
      </c>
      <c r="P1449" s="17">
        <f t="shared" ca="1" si="67"/>
        <v/>
      </c>
      <c r="Q1449" s="17">
        <f>IFERROR(IF(AND(N1449&lt;&gt;"",ISNUMBER(O1449),O1449&gt;0,O1449&gt;=TODAY()-90),1,0),0)</f>
        <v/>
      </c>
      <c r="R1449" s="17" t="str">
        <f t="shared" si="69"/>
        <v/>
      </c>
      <c r="S1449" s="17" t="str">
        <f>IF(INDEX(Listado!A:A,ROW())="","",INDEX(Listado!A:A,ROW()))</f>
        <v/>
      </c>
      <c r="T1449" s="17" t="str">
        <f ca="1">IF(INDEX(Listado!G:G,ROW())="","",INDEX(Listado!G:G,ROW()))</f>
        <v/>
      </c>
      <c r="U1449" s="17" t="str">
        <f>IF(INDEX(Listado!F:F,ROW())="","",INDEX(Listado!F:F,ROW()))</f>
        <v/>
      </c>
      <c r="V1449" s="17">
        <f>IF(COUNTA(INDEX(Listado!B:B,ROW()):INDEX(Listado!F:F,ROW()))&gt;0,1,0)</f>
        <v/>
      </c>
      <c r="W1449" s="17" t="str">
        <f>IF(INDEX(Listado!L:L,ROW())="","",INDEX(Listado!L:L,ROW()))</f>
        <v/>
      </c>
      <c r="X1449" s="17">
        <f>IF(N1449="","",IF(INDEX(Listado!$M:$M,N1449)="No","No","Sí"))</f>
        <v/>
      </c>
    </row>
    <row r="1450" spans="2:24" ht="14.25">
      <c r="N1450" s="17" t="str">
        <f>IF(V1450=0,"",IFERROR(LOOKUP(2,1/(INDEX(Listado!A:A,2):INDEX(Listado!A:A,ROW())&lt;&gt;""),ROW(INDEX(Listado!A:A,2):INDEX(Listado!A:A,ROW()))),""))</f>
        <v/>
      </c>
      <c r="O1450" s="17" t="str">
        <f>IFERROR(IF(N1450="","",IF(INDEX(Listado!M:M,N1450)="No",IF(INDEX(Listado!N:N,N1450)=0,"",INDEX(Listado!N:N,N1450)),IF(INDEX(Listado!I:I,N1450)=0,"",INDEX(Listado!I:I,N1450)))),"")</f>
        <v/>
      </c>
      <c r="P1450" s="17">
        <f t="shared" ca="1" si="67"/>
        <v/>
      </c>
      <c r="Q1450" s="17">
        <f>IFERROR(IF(AND(N1450&lt;&gt;"",ISNUMBER(O1450),O1450&gt;0,O1450&gt;=TODAY()-90),1,0),0)</f>
        <v/>
      </c>
      <c r="R1450" s="17" t="str">
        <f t="shared" si="69"/>
        <v/>
      </c>
      <c r="S1450" s="17" t="str">
        <f>IF(INDEX(Listado!A:A,ROW())="","",INDEX(Listado!A:A,ROW()))</f>
        <v/>
      </c>
      <c r="T1450" s="17" t="str">
        <f ca="1">IF(INDEX(Listado!G:G,ROW())="","",INDEX(Listado!G:G,ROW()))</f>
        <v/>
      </c>
      <c r="U1450" s="17" t="str">
        <f>IF(INDEX(Listado!F:F,ROW())="","",INDEX(Listado!F:F,ROW()))</f>
        <v/>
      </c>
      <c r="V1450" s="17">
        <f>IF(COUNTA(INDEX(Listado!B:B,ROW()):INDEX(Listado!F:F,ROW()))&gt;0,1,0)</f>
        <v/>
      </c>
      <c r="W1450" s="17" t="str">
        <f>IF(INDEX(Listado!L:L,ROW())="","",INDEX(Listado!L:L,ROW()))</f>
        <v/>
      </c>
      <c r="X1450" s="17">
        <f>IF(N1450="","",IF(INDEX(Listado!$M:$M,N1450)="No","No","Sí"))</f>
        <v/>
      </c>
    </row>
    <row r="1451" spans="2:24" ht="14.25">
      <c r="N1451" s="17" t="str">
        <f>IF(V1451=0,"",IFERROR(LOOKUP(2,1/(INDEX(Listado!A:A,2):INDEX(Listado!A:A,ROW())&lt;&gt;""),ROW(INDEX(Listado!A:A,2):INDEX(Listado!A:A,ROW()))),""))</f>
        <v/>
      </c>
      <c r="O1451" s="17" t="str">
        <f>IFERROR(IF(N1451="","",IF(INDEX(Listado!M:M,N1451)="No",IF(INDEX(Listado!N:N,N1451)=0,"",INDEX(Listado!N:N,N1451)),IF(INDEX(Listado!I:I,N1451)=0,"",INDEX(Listado!I:I,N1451)))),"")</f>
        <v/>
      </c>
      <c r="P1451" s="17">
        <f t="shared" ca="1" si="67"/>
        <v/>
      </c>
      <c r="Q1451" s="17">
        <f>IFERROR(IF(AND(N1451&lt;&gt;"",ISNUMBER(O1451),O1451&gt;0,O1451&gt;=TODAY()-90),1,0),0)</f>
        <v/>
      </c>
      <c r="R1451" s="17" t="str">
        <f t="shared" si="69"/>
        <v/>
      </c>
      <c r="S1451" s="17" t="str">
        <f>IF(INDEX(Listado!A:A,ROW())="","",INDEX(Listado!A:A,ROW()))</f>
        <v/>
      </c>
      <c r="T1451" s="17" t="str">
        <f ca="1">IF(INDEX(Listado!G:G,ROW())="","",INDEX(Listado!G:G,ROW()))</f>
        <v/>
      </c>
      <c r="U1451" s="17" t="str">
        <f>IF(INDEX(Listado!F:F,ROW())="","",INDEX(Listado!F:F,ROW()))</f>
        <v/>
      </c>
      <c r="V1451" s="17">
        <f>IF(COUNTA(INDEX(Listado!B:B,ROW()):INDEX(Listado!F:F,ROW()))&gt;0,1,0)</f>
        <v/>
      </c>
      <c r="W1451" s="17" t="str">
        <f>IF(INDEX(Listado!L:L,ROW())="","",INDEX(Listado!L:L,ROW()))</f>
        <v/>
      </c>
      <c r="X1451" s="17">
        <f>IF(N1451="","",IF(INDEX(Listado!$M:$M,N1451)="No","No","Sí"))</f>
        <v/>
      </c>
    </row>
    <row r="1452" spans="2:24" ht="14.25">
      <c r="N1452" s="17" t="str">
        <f>IF(V1452=0,"",IFERROR(LOOKUP(2,1/(INDEX(Listado!A:A,2):INDEX(Listado!A:A,ROW())&lt;&gt;""),ROW(INDEX(Listado!A:A,2):INDEX(Listado!A:A,ROW()))),""))</f>
        <v/>
      </c>
      <c r="O1452" s="17" t="str">
        <f>IFERROR(IF(N1452="","",IF(INDEX(Listado!M:M,N1452)="No",IF(INDEX(Listado!N:N,N1452)=0,"",INDEX(Listado!N:N,N1452)),IF(INDEX(Listado!I:I,N1452)=0,"",INDEX(Listado!I:I,N1452)))),"")</f>
        <v/>
      </c>
      <c r="P1452" s="17">
        <f t="shared" ca="1" si="67"/>
        <v/>
      </c>
      <c r="Q1452" s="17">
        <f>IFERROR(IF(AND(N1452&lt;&gt;"",ISNUMBER(O1452),O1452&gt;0,O1452&gt;=TODAY()-90),1,0),0)</f>
        <v/>
      </c>
      <c r="R1452" s="17" t="str">
        <f t="shared" si="69"/>
        <v/>
      </c>
      <c r="S1452" s="17" t="str">
        <f>IF(INDEX(Listado!A:A,ROW())="","",INDEX(Listado!A:A,ROW()))</f>
        <v/>
      </c>
      <c r="T1452" s="17" t="str">
        <f ca="1">IF(INDEX(Listado!G:G,ROW())="","",INDEX(Listado!G:G,ROW()))</f>
        <v/>
      </c>
      <c r="U1452" s="17" t="str">
        <f>IF(INDEX(Listado!F:F,ROW())="","",INDEX(Listado!F:F,ROW()))</f>
        <v/>
      </c>
      <c r="V1452" s="17">
        <f>IF(COUNTA(INDEX(Listado!B:B,ROW()):INDEX(Listado!F:F,ROW()))&gt;0,1,0)</f>
        <v/>
      </c>
      <c r="W1452" s="17" t="str">
        <f>IF(INDEX(Listado!L:L,ROW())="","",INDEX(Listado!L:L,ROW()))</f>
        <v/>
      </c>
      <c r="X1452" s="17">
        <f>IF(N1452="","",IF(INDEX(Listado!$M:$M,N1452)="No","No","Sí"))</f>
        <v/>
      </c>
    </row>
    <row r="1453" spans="2:24" ht="14.25">
      <c r="N1453" s="17" t="str">
        <f>IF(V1453=0,"",IFERROR(LOOKUP(2,1/(INDEX(Listado!A:A,2):INDEX(Listado!A:A,ROW())&lt;&gt;""),ROW(INDEX(Listado!A:A,2):INDEX(Listado!A:A,ROW()))),""))</f>
        <v/>
      </c>
      <c r="O1453" s="17" t="str">
        <f>IFERROR(IF(N1453="","",IF(INDEX(Listado!M:M,N1453)="No",IF(INDEX(Listado!N:N,N1453)=0,"",INDEX(Listado!N:N,N1453)),IF(INDEX(Listado!I:I,N1453)=0,"",INDEX(Listado!I:I,N1453)))),"")</f>
        <v/>
      </c>
      <c r="P1453" s="17">
        <f t="shared" ca="1" si="67"/>
        <v/>
      </c>
      <c r="Q1453" s="17">
        <f>IFERROR(IF(AND(N1453&lt;&gt;"",ISNUMBER(O1453),O1453&gt;0,O1453&gt;=TODAY()-90),1,0),0)</f>
        <v/>
      </c>
      <c r="R1453" s="17" t="str">
        <f t="shared" si="69"/>
        <v/>
      </c>
      <c r="S1453" s="17" t="str">
        <f>IF(INDEX(Listado!A:A,ROW())="","",INDEX(Listado!A:A,ROW()))</f>
        <v/>
      </c>
      <c r="T1453" s="17" t="str">
        <f ca="1">IF(INDEX(Listado!G:G,ROW())="","",INDEX(Listado!G:G,ROW()))</f>
        <v/>
      </c>
      <c r="U1453" s="17" t="str">
        <f>IF(INDEX(Listado!F:F,ROW())="","",INDEX(Listado!F:F,ROW()))</f>
        <v/>
      </c>
      <c r="V1453" s="17">
        <f>IF(COUNTA(INDEX(Listado!B:B,ROW()):INDEX(Listado!F:F,ROW()))&gt;0,1,0)</f>
        <v/>
      </c>
      <c r="W1453" s="17" t="str">
        <f>IF(INDEX(Listado!L:L,ROW())="","",INDEX(Listado!L:L,ROW()))</f>
        <v/>
      </c>
      <c r="X1453" s="17">
        <f>IF(N1453="","",IF(INDEX(Listado!$M:$M,N1453)="No","No","Sí"))</f>
        <v/>
      </c>
    </row>
    <row r="1454" spans="2:24" ht="14.25">
      <c r="N1454" s="17" t="str">
        <f>IF(V1454=0,"",IFERROR(LOOKUP(2,1/(INDEX(Listado!A:A,2):INDEX(Listado!A:A,ROW())&lt;&gt;""),ROW(INDEX(Listado!A:A,2):INDEX(Listado!A:A,ROW()))),""))</f>
        <v/>
      </c>
      <c r="O1454" s="17" t="str">
        <f>IFERROR(IF(N1454="","",IF(INDEX(Listado!M:M,N1454)="No",IF(INDEX(Listado!N:N,N1454)=0,"",INDEX(Listado!N:N,N1454)),IF(INDEX(Listado!I:I,N1454)=0,"",INDEX(Listado!I:I,N1454)))),"")</f>
        <v/>
      </c>
      <c r="P1454" s="17">
        <f t="shared" ca="1" si="67"/>
        <v/>
      </c>
      <c r="Q1454" s="17">
        <f>IFERROR(IF(AND(N1454&lt;&gt;"",ISNUMBER(O1454),O1454&gt;0,O1454&gt;=TODAY()-90),1,0),0)</f>
        <v/>
      </c>
      <c r="R1454" s="17" t="str">
        <f t="shared" si="69"/>
        <v/>
      </c>
      <c r="S1454" s="17" t="str">
        <f>IF(INDEX(Listado!A:A,ROW())="","",INDEX(Listado!A:A,ROW()))</f>
        <v/>
      </c>
      <c r="T1454" s="17" t="str">
        <f ca="1">IF(INDEX(Listado!G:G,ROW())="","",INDEX(Listado!G:G,ROW()))</f>
        <v/>
      </c>
      <c r="U1454" s="17" t="str">
        <f>IF(INDEX(Listado!F:F,ROW())="","",INDEX(Listado!F:F,ROW()))</f>
        <v/>
      </c>
      <c r="V1454" s="17">
        <f>IF(COUNTA(INDEX(Listado!B:B,ROW()):INDEX(Listado!F:F,ROW()))&gt;0,1,0)</f>
        <v/>
      </c>
      <c r="W1454" s="17" t="str">
        <f>IF(INDEX(Listado!L:L,ROW())="","",INDEX(Listado!L:L,ROW()))</f>
        <v/>
      </c>
      <c r="X1454" s="17">
        <f>IF(N1454="","",IF(INDEX(Listado!$M:$M,N1454)="No","No","Sí"))</f>
        <v/>
      </c>
    </row>
    <row r="1455" spans="2:24" ht="14.25">
      <c r="N1455" s="17" t="str">
        <f>IF(V1455=0,"",IFERROR(LOOKUP(2,1/(INDEX(Listado!A:A,2):INDEX(Listado!A:A,ROW())&lt;&gt;""),ROW(INDEX(Listado!A:A,2):INDEX(Listado!A:A,ROW()))),""))</f>
        <v/>
      </c>
      <c r="O1455" s="17" t="str">
        <f>IFERROR(IF(N1455="","",IF(INDEX(Listado!M:M,N1455)="No",IF(INDEX(Listado!N:N,N1455)=0,"",INDEX(Listado!N:N,N1455)),IF(INDEX(Listado!I:I,N1455)=0,"",INDEX(Listado!I:I,N1455)))),"")</f>
        <v/>
      </c>
      <c r="P1455" s="17">
        <f t="shared" ca="1" si="67"/>
        <v/>
      </c>
      <c r="Q1455" s="17">
        <f>IFERROR(IF(AND(N1455&lt;&gt;"",ISNUMBER(O1455),O1455&gt;0,O1455&gt;=TODAY()-90),1,0),0)</f>
        <v/>
      </c>
      <c r="R1455" s="17" t="str">
        <f t="shared" si="69"/>
        <v/>
      </c>
      <c r="S1455" s="17" t="str">
        <f>IF(INDEX(Listado!A:A,ROW())="","",INDEX(Listado!A:A,ROW()))</f>
        <v/>
      </c>
      <c r="T1455" s="17" t="str">
        <f ca="1">IF(INDEX(Listado!G:G,ROW())="","",INDEX(Listado!G:G,ROW()))</f>
        <v/>
      </c>
      <c r="U1455" s="17" t="str">
        <f>IF(INDEX(Listado!F:F,ROW())="","",INDEX(Listado!F:F,ROW()))</f>
        <v/>
      </c>
      <c r="V1455" s="17">
        <f>IF(COUNTA(INDEX(Listado!B:B,ROW()):INDEX(Listado!F:F,ROW()))&gt;0,1,0)</f>
        <v/>
      </c>
      <c r="W1455" s="17" t="str">
        <f>IF(INDEX(Listado!L:L,ROW())="","",INDEX(Listado!L:L,ROW()))</f>
        <v/>
      </c>
      <c r="X1455" s="17">
        <f>IF(N1455="","",IF(INDEX(Listado!$M:$M,N1455)="No","No","Sí"))</f>
        <v/>
      </c>
    </row>
    <row r="1456" spans="2:24" ht="14.25">
      <c r="N1456" s="17" t="str">
        <f>IF(V1456=0,"",IFERROR(LOOKUP(2,1/(INDEX(Listado!A:A,2):INDEX(Listado!A:A,ROW())&lt;&gt;""),ROW(INDEX(Listado!A:A,2):INDEX(Listado!A:A,ROW()))),""))</f>
        <v/>
      </c>
      <c r="O1456" s="17" t="str">
        <f>IFERROR(IF(N1456="","",IF(INDEX(Listado!M:M,N1456)="No",IF(INDEX(Listado!N:N,N1456)=0,"",INDEX(Listado!N:N,N1456)),IF(INDEX(Listado!I:I,N1456)=0,"",INDEX(Listado!I:I,N1456)))),"")</f>
        <v/>
      </c>
      <c r="P1456" s="17">
        <f t="shared" ca="1" si="67"/>
        <v/>
      </c>
      <c r="Q1456" s="17">
        <f>IFERROR(IF(AND(N1456&lt;&gt;"",ISNUMBER(O1456),O1456&gt;0,O1456&gt;=TODAY()-90),1,0),0)</f>
        <v/>
      </c>
      <c r="R1456" s="17" t="str">
        <f t="shared" si="69"/>
        <v/>
      </c>
      <c r="S1456" s="17" t="str">
        <f>IF(INDEX(Listado!A:A,ROW())="","",INDEX(Listado!A:A,ROW()))</f>
        <v/>
      </c>
      <c r="T1456" s="17" t="str">
        <f ca="1">IF(INDEX(Listado!G:G,ROW())="","",INDEX(Listado!G:G,ROW()))</f>
        <v/>
      </c>
      <c r="U1456" s="17" t="str">
        <f>IF(INDEX(Listado!F:F,ROW())="","",INDEX(Listado!F:F,ROW()))</f>
        <v/>
      </c>
      <c r="V1456" s="17">
        <f>IF(COUNTA(INDEX(Listado!B:B,ROW()):INDEX(Listado!F:F,ROW()))&gt;0,1,0)</f>
        <v/>
      </c>
      <c r="W1456" s="17" t="str">
        <f>IF(INDEX(Listado!L:L,ROW())="","",INDEX(Listado!L:L,ROW()))</f>
        <v/>
      </c>
      <c r="X1456" s="17">
        <f>IF(N1456="","",IF(INDEX(Listado!$M:$M,N1456)="No","No","Sí"))</f>
        <v/>
      </c>
    </row>
    <row r="1457" spans="2:24" ht="14.25">
      <c r="N1457" s="17" t="str">
        <f>IF(V1457=0,"",IFERROR(LOOKUP(2,1/(INDEX(Listado!A:A,2):INDEX(Listado!A:A,ROW())&lt;&gt;""),ROW(INDEX(Listado!A:A,2):INDEX(Listado!A:A,ROW()))),""))</f>
        <v/>
      </c>
      <c r="O1457" s="17" t="str">
        <f>IFERROR(IF(N1457="","",IF(INDEX(Listado!M:M,N1457)="No",IF(INDEX(Listado!N:N,N1457)=0,"",INDEX(Listado!N:N,N1457)),IF(INDEX(Listado!I:I,N1457)=0,"",INDEX(Listado!I:I,N1457)))),"")</f>
        <v/>
      </c>
      <c r="P1457" s="17">
        <f t="shared" ca="1" si="67"/>
        <v/>
      </c>
      <c r="Q1457" s="17">
        <f>IFERROR(IF(AND(N1457&lt;&gt;"",ISNUMBER(O1457),O1457&gt;0,O1457&gt;=TODAY()-90),1,0),0)</f>
        <v/>
      </c>
      <c r="R1457" s="17" t="str">
        <f t="shared" si="69"/>
        <v/>
      </c>
      <c r="S1457" s="17" t="str">
        <f>IF(INDEX(Listado!A:A,ROW())="","",INDEX(Listado!A:A,ROW()))</f>
        <v/>
      </c>
      <c r="T1457" s="17" t="str">
        <f ca="1">IF(INDEX(Listado!G:G,ROW())="","",INDEX(Listado!G:G,ROW()))</f>
        <v/>
      </c>
      <c r="U1457" s="17" t="str">
        <f>IF(INDEX(Listado!F:F,ROW())="","",INDEX(Listado!F:F,ROW()))</f>
        <v/>
      </c>
      <c r="V1457" s="17">
        <f>IF(COUNTA(INDEX(Listado!B:B,ROW()):INDEX(Listado!F:F,ROW()))&gt;0,1,0)</f>
        <v/>
      </c>
      <c r="W1457" s="17" t="str">
        <f>IF(INDEX(Listado!L:L,ROW())="","",INDEX(Listado!L:L,ROW()))</f>
        <v/>
      </c>
      <c r="X1457" s="17">
        <f>IF(N1457="","",IF(INDEX(Listado!$M:$M,N1457)="No","No","Sí"))</f>
        <v/>
      </c>
    </row>
    <row r="1458" spans="2:24" ht="14.25">
      <c r="N1458" s="17" t="str">
        <f>IF(V1458=0,"",IFERROR(LOOKUP(2,1/(INDEX(Listado!A:A,2):INDEX(Listado!A:A,ROW())&lt;&gt;""),ROW(INDEX(Listado!A:A,2):INDEX(Listado!A:A,ROW()))),""))</f>
        <v/>
      </c>
      <c r="O1458" s="17" t="str">
        <f>IFERROR(IF(N1458="","",IF(INDEX(Listado!M:M,N1458)="No",IF(INDEX(Listado!N:N,N1458)=0,"",INDEX(Listado!N:N,N1458)),IF(INDEX(Listado!I:I,N1458)=0,"",INDEX(Listado!I:I,N1458)))),"")</f>
        <v/>
      </c>
      <c r="P1458" s="17">
        <f t="shared" ca="1" si="67"/>
        <v/>
      </c>
      <c r="Q1458" s="17">
        <f>IFERROR(IF(AND(N1458&lt;&gt;"",ISNUMBER(O1458),O1458&gt;0,O1458&gt;=TODAY()-90),1,0),0)</f>
        <v/>
      </c>
      <c r="R1458" s="17" t="str">
        <f t="shared" si="69"/>
        <v/>
      </c>
      <c r="S1458" s="17" t="str">
        <f>IF(INDEX(Listado!A:A,ROW())="","",INDEX(Listado!A:A,ROW()))</f>
        <v/>
      </c>
      <c r="T1458" s="17" t="str">
        <f ca="1">IF(INDEX(Listado!G:G,ROW())="","",INDEX(Listado!G:G,ROW()))</f>
        <v/>
      </c>
      <c r="U1458" s="17" t="str">
        <f>IF(INDEX(Listado!F:F,ROW())="","",INDEX(Listado!F:F,ROW()))</f>
        <v/>
      </c>
      <c r="V1458" s="17">
        <f>IF(COUNTA(INDEX(Listado!B:B,ROW()):INDEX(Listado!F:F,ROW()))&gt;0,1,0)</f>
        <v/>
      </c>
      <c r="W1458" s="17" t="str">
        <f>IF(INDEX(Listado!L:L,ROW())="","",INDEX(Listado!L:L,ROW()))</f>
        <v/>
      </c>
      <c r="X1458" s="17">
        <f>IF(N1458="","",IF(INDEX(Listado!$M:$M,N1458)="No","No","Sí"))</f>
        <v/>
      </c>
    </row>
    <row r="1459" spans="2:24" ht="14.25">
      <c r="N1459" s="17" t="str">
        <f>IF(V1459=0,"",IFERROR(LOOKUP(2,1/(INDEX(Listado!A:A,2):INDEX(Listado!A:A,ROW())&lt;&gt;""),ROW(INDEX(Listado!A:A,2):INDEX(Listado!A:A,ROW()))),""))</f>
        <v/>
      </c>
      <c r="O1459" s="17" t="str">
        <f>IFERROR(IF(N1459="","",IF(INDEX(Listado!M:M,N1459)="No",IF(INDEX(Listado!N:N,N1459)=0,"",INDEX(Listado!N:N,N1459)),IF(INDEX(Listado!I:I,N1459)=0,"",INDEX(Listado!I:I,N1459)))),"")</f>
        <v/>
      </c>
      <c r="P1459" s="17">
        <f t="shared" ca="1" si="67"/>
        <v/>
      </c>
      <c r="Q1459" s="17">
        <f>IFERROR(IF(AND(N1459&lt;&gt;"",ISNUMBER(O1459),O1459&gt;0,O1459&gt;=TODAY()-90),1,0),0)</f>
        <v/>
      </c>
      <c r="R1459" s="17" t="str">
        <f t="shared" si="69"/>
        <v/>
      </c>
      <c r="S1459" s="17" t="str">
        <f>IF(INDEX(Listado!A:A,ROW())="","",INDEX(Listado!A:A,ROW()))</f>
        <v/>
      </c>
      <c r="T1459" s="17" t="str">
        <f ca="1">IF(INDEX(Listado!G:G,ROW())="","",INDEX(Listado!G:G,ROW()))</f>
        <v/>
      </c>
      <c r="U1459" s="17" t="str">
        <f>IF(INDEX(Listado!F:F,ROW())="","",INDEX(Listado!F:F,ROW()))</f>
        <v/>
      </c>
      <c r="V1459" s="17">
        <f>IF(COUNTA(INDEX(Listado!B:B,ROW()):INDEX(Listado!F:F,ROW()))&gt;0,1,0)</f>
        <v/>
      </c>
      <c r="W1459" s="17" t="str">
        <f>IF(INDEX(Listado!L:L,ROW())="","",INDEX(Listado!L:L,ROW()))</f>
        <v/>
      </c>
      <c r="X1459" s="17">
        <f>IF(N1459="","",IF(INDEX(Listado!$M:$M,N1459)="No","No","Sí"))</f>
        <v/>
      </c>
    </row>
    <row r="1460" spans="2:24" ht="14.25">
      <c r="N1460" s="17" t="str">
        <f>IF(V1460=0,"",IFERROR(LOOKUP(2,1/(INDEX(Listado!A:A,2):INDEX(Listado!A:A,ROW())&lt;&gt;""),ROW(INDEX(Listado!A:A,2):INDEX(Listado!A:A,ROW()))),""))</f>
        <v/>
      </c>
      <c r="O1460" s="17" t="str">
        <f>IFERROR(IF(N1460="","",IF(INDEX(Listado!M:M,N1460)="No",IF(INDEX(Listado!N:N,N1460)=0,"",INDEX(Listado!N:N,N1460)),IF(INDEX(Listado!I:I,N1460)=0,"",INDEX(Listado!I:I,N1460)))),"")</f>
        <v/>
      </c>
      <c r="P1460" s="17">
        <f t="shared" ca="1" si="67"/>
        <v/>
      </c>
      <c r="Q1460" s="17">
        <f>IFERROR(IF(AND(N1460&lt;&gt;"",ISNUMBER(O1460),O1460&gt;0,O1460&gt;=TODAY()-90),1,0),0)</f>
        <v/>
      </c>
      <c r="R1460" s="17" t="str">
        <f t="shared" si="69"/>
        <v/>
      </c>
      <c r="S1460" s="17" t="str">
        <f>IF(INDEX(Listado!A:A,ROW())="","",INDEX(Listado!A:A,ROW()))</f>
        <v/>
      </c>
      <c r="T1460" s="17" t="str">
        <f ca="1">IF(INDEX(Listado!G:G,ROW())="","",INDEX(Listado!G:G,ROW()))</f>
        <v/>
      </c>
      <c r="U1460" s="17" t="str">
        <f>IF(INDEX(Listado!F:F,ROW())="","",INDEX(Listado!F:F,ROW()))</f>
        <v/>
      </c>
      <c r="V1460" s="17">
        <f>IF(COUNTA(INDEX(Listado!B:B,ROW()):INDEX(Listado!F:F,ROW()))&gt;0,1,0)</f>
        <v/>
      </c>
      <c r="W1460" s="17" t="str">
        <f>IF(INDEX(Listado!L:L,ROW())="","",INDEX(Listado!L:L,ROW()))</f>
        <v/>
      </c>
      <c r="X1460" s="17">
        <f>IF(N1460="","",IF(INDEX(Listado!$M:$M,N1460)="No","No","Sí"))</f>
        <v/>
      </c>
    </row>
    <row r="1461" spans="2:24" ht="14.25">
      <c r="N1461" s="17" t="str">
        <f>IF(V1461=0,"",IFERROR(LOOKUP(2,1/(INDEX(Listado!A:A,2):INDEX(Listado!A:A,ROW())&lt;&gt;""),ROW(INDEX(Listado!A:A,2):INDEX(Listado!A:A,ROW()))),""))</f>
        <v/>
      </c>
      <c r="O1461" s="17" t="str">
        <f>IFERROR(IF(N1461="","",IF(INDEX(Listado!M:M,N1461)="No",IF(INDEX(Listado!N:N,N1461)=0,"",INDEX(Listado!N:N,N1461)),IF(INDEX(Listado!I:I,N1461)=0,"",INDEX(Listado!I:I,N1461)))),"")</f>
        <v/>
      </c>
      <c r="P1461" s="17">
        <f t="shared" ca="1" si="67"/>
        <v/>
      </c>
      <c r="Q1461" s="17">
        <f>IFERROR(IF(AND(N1461&lt;&gt;"",ISNUMBER(O1461),O1461&gt;0,O1461&gt;=TODAY()-90),1,0),0)</f>
        <v/>
      </c>
      <c r="R1461" s="17" t="str">
        <f t="shared" si="69"/>
        <v/>
      </c>
      <c r="S1461" s="17" t="str">
        <f>IF(INDEX(Listado!A:A,ROW())="","",INDEX(Listado!A:A,ROW()))</f>
        <v/>
      </c>
      <c r="T1461" s="17" t="str">
        <f ca="1">IF(INDEX(Listado!G:G,ROW())="","",INDEX(Listado!G:G,ROW()))</f>
        <v/>
      </c>
      <c r="U1461" s="17" t="str">
        <f>IF(INDEX(Listado!F:F,ROW())="","",INDEX(Listado!F:F,ROW()))</f>
        <v/>
      </c>
      <c r="V1461" s="17">
        <f>IF(COUNTA(INDEX(Listado!B:B,ROW()):INDEX(Listado!F:F,ROW()))&gt;0,1,0)</f>
        <v/>
      </c>
      <c r="W1461" s="17" t="str">
        <f>IF(INDEX(Listado!L:L,ROW())="","",INDEX(Listado!L:L,ROW()))</f>
        <v/>
      </c>
      <c r="X1461" s="17">
        <f>IF(N1461="","",IF(INDEX(Listado!$M:$M,N1461)="No","No","Sí"))</f>
        <v/>
      </c>
    </row>
    <row r="1462" spans="2:24" ht="14.25">
      <c r="N1462" s="17" t="str">
        <f>IF(V1462=0,"",IFERROR(LOOKUP(2,1/(INDEX(Listado!A:A,2):INDEX(Listado!A:A,ROW())&lt;&gt;""),ROW(INDEX(Listado!A:A,2):INDEX(Listado!A:A,ROW()))),""))</f>
        <v/>
      </c>
      <c r="O1462" s="17" t="str">
        <f>IFERROR(IF(N1462="","",IF(INDEX(Listado!M:M,N1462)="No",IF(INDEX(Listado!N:N,N1462)=0,"",INDEX(Listado!N:N,N1462)),IF(INDEX(Listado!I:I,N1462)=0,"",INDEX(Listado!I:I,N1462)))),"")</f>
        <v/>
      </c>
      <c r="P1462" s="17">
        <f t="shared" ca="1" si="67"/>
        <v/>
      </c>
      <c r="Q1462" s="17">
        <f>IFERROR(IF(AND(N1462&lt;&gt;"",ISNUMBER(O1462),O1462&gt;0,O1462&gt;=TODAY()-90),1,0),0)</f>
        <v/>
      </c>
      <c r="R1462" s="17" t="str">
        <f t="shared" si="69"/>
        <v/>
      </c>
      <c r="S1462" s="17" t="str">
        <f>IF(INDEX(Listado!A:A,ROW())="","",INDEX(Listado!A:A,ROW()))</f>
        <v/>
      </c>
      <c r="T1462" s="17" t="str">
        <f ca="1">IF(INDEX(Listado!G:G,ROW())="","",INDEX(Listado!G:G,ROW()))</f>
        <v/>
      </c>
      <c r="U1462" s="17" t="str">
        <f>IF(INDEX(Listado!F:F,ROW())="","",INDEX(Listado!F:F,ROW()))</f>
        <v/>
      </c>
      <c r="V1462" s="17">
        <f>IF(COUNTA(INDEX(Listado!B:B,ROW()):INDEX(Listado!F:F,ROW()))&gt;0,1,0)</f>
        <v/>
      </c>
      <c r="W1462" s="17" t="str">
        <f>IF(INDEX(Listado!L:L,ROW())="","",INDEX(Listado!L:L,ROW()))</f>
        <v/>
      </c>
      <c r="X1462" s="17">
        <f>IF(N1462="","",IF(INDEX(Listado!$M:$M,N1462)="No","No","Sí"))</f>
        <v/>
      </c>
    </row>
    <row r="1463" spans="2:24" ht="14.25">
      <c r="N1463" s="17" t="str">
        <f>IF(V1463=0,"",IFERROR(LOOKUP(2,1/(INDEX(Listado!A:A,2):INDEX(Listado!A:A,ROW())&lt;&gt;""),ROW(INDEX(Listado!A:A,2):INDEX(Listado!A:A,ROW()))),""))</f>
        <v/>
      </c>
      <c r="O1463" s="17" t="str">
        <f>IFERROR(IF(N1463="","",IF(INDEX(Listado!M:M,N1463)="No",IF(INDEX(Listado!N:N,N1463)=0,"",INDEX(Listado!N:N,N1463)),IF(INDEX(Listado!I:I,N1463)=0,"",INDEX(Listado!I:I,N1463)))),"")</f>
        <v/>
      </c>
      <c r="P1463" s="17">
        <f t="shared" ca="1" si="67"/>
        <v/>
      </c>
      <c r="Q1463" s="17">
        <f>IFERROR(IF(AND(N1463&lt;&gt;"",ISNUMBER(O1463),O1463&gt;0,O1463&gt;=TODAY()-90),1,0),0)</f>
        <v/>
      </c>
      <c r="R1463" s="17" t="str">
        <f t="shared" si="69"/>
        <v/>
      </c>
      <c r="S1463" s="17" t="str">
        <f>IF(INDEX(Listado!A:A,ROW())="","",INDEX(Listado!A:A,ROW()))</f>
        <v/>
      </c>
      <c r="T1463" s="17" t="str">
        <f ca="1">IF(INDEX(Listado!G:G,ROW())="","",INDEX(Listado!G:G,ROW()))</f>
        <v/>
      </c>
      <c r="U1463" s="17" t="str">
        <f>IF(INDEX(Listado!F:F,ROW())="","",INDEX(Listado!F:F,ROW()))</f>
        <v/>
      </c>
      <c r="V1463" s="17">
        <f>IF(COUNTA(INDEX(Listado!B:B,ROW()):INDEX(Listado!F:F,ROW()))&gt;0,1,0)</f>
        <v/>
      </c>
      <c r="W1463" s="17" t="str">
        <f>IF(INDEX(Listado!L:L,ROW())="","",INDEX(Listado!L:L,ROW()))</f>
        <v/>
      </c>
      <c r="X1463" s="17">
        <f>IF(N1463="","",IF(INDEX(Listado!$M:$M,N1463)="No","No","Sí"))</f>
        <v/>
      </c>
    </row>
    <row r="1464" spans="2:24" ht="14.25">
      <c r="N1464" s="17" t="str">
        <f>IF(V1464=0,"",IFERROR(LOOKUP(2,1/(INDEX(Listado!A:A,2):INDEX(Listado!A:A,ROW())&lt;&gt;""),ROW(INDEX(Listado!A:A,2):INDEX(Listado!A:A,ROW()))),""))</f>
        <v/>
      </c>
      <c r="O1464" s="17" t="str">
        <f>IFERROR(IF(N1464="","",IF(INDEX(Listado!M:M,N1464)="No",IF(INDEX(Listado!N:N,N1464)=0,"",INDEX(Listado!N:N,N1464)),IF(INDEX(Listado!I:I,N1464)=0,"",INDEX(Listado!I:I,N1464)))),"")</f>
        <v/>
      </c>
      <c r="P1464" s="17">
        <f t="shared" ca="1" si="67"/>
        <v/>
      </c>
      <c r="Q1464" s="17">
        <f>IFERROR(IF(AND(N1464&lt;&gt;"",ISNUMBER(O1464),O1464&gt;0,O1464&gt;=TODAY()-90),1,0),0)</f>
        <v/>
      </c>
      <c r="R1464" s="17" t="str">
        <f t="shared" si="69"/>
        <v/>
      </c>
      <c r="S1464" s="17" t="str">
        <f>IF(INDEX(Listado!A:A,ROW())="","",INDEX(Listado!A:A,ROW()))</f>
        <v/>
      </c>
      <c r="T1464" s="17" t="str">
        <f ca="1">IF(INDEX(Listado!G:G,ROW())="","",INDEX(Listado!G:G,ROW()))</f>
        <v/>
      </c>
      <c r="U1464" s="17" t="str">
        <f>IF(INDEX(Listado!F:F,ROW())="","",INDEX(Listado!F:F,ROW()))</f>
        <v/>
      </c>
      <c r="V1464" s="17">
        <f>IF(COUNTA(INDEX(Listado!B:B,ROW()):INDEX(Listado!F:F,ROW()))&gt;0,1,0)</f>
        <v/>
      </c>
      <c r="W1464" s="17" t="str">
        <f>IF(INDEX(Listado!L:L,ROW())="","",INDEX(Listado!L:L,ROW()))</f>
        <v/>
      </c>
      <c r="X1464" s="17">
        <f>IF(N1464="","",IF(INDEX(Listado!$M:$M,N1464)="No","No","Sí"))</f>
        <v/>
      </c>
    </row>
    <row r="1465" spans="2:24" ht="14.25">
      <c r="N1465" s="17" t="str">
        <f>IF(V1465=0,"",IFERROR(LOOKUP(2,1/(INDEX(Listado!A:A,2):INDEX(Listado!A:A,ROW())&lt;&gt;""),ROW(INDEX(Listado!A:A,2):INDEX(Listado!A:A,ROW()))),""))</f>
        <v/>
      </c>
      <c r="O1465" s="17" t="str">
        <f>IFERROR(IF(N1465="","",IF(INDEX(Listado!M:M,N1465)="No",IF(INDEX(Listado!N:N,N1465)=0,"",INDEX(Listado!N:N,N1465)),IF(INDEX(Listado!I:I,N1465)=0,"",INDEX(Listado!I:I,N1465)))),"")</f>
        <v/>
      </c>
      <c r="P1465" s="17">
        <f t="shared" ca="1" si="67"/>
        <v/>
      </c>
      <c r="Q1465" s="17">
        <f>IFERROR(IF(AND(N1465&lt;&gt;"",ISNUMBER(O1465),O1465&gt;0,O1465&gt;=TODAY()-90),1,0),0)</f>
        <v/>
      </c>
      <c r="R1465" s="17" t="str">
        <f t="shared" si="69"/>
        <v/>
      </c>
      <c r="S1465" s="17" t="str">
        <f>IF(INDEX(Listado!A:A,ROW())="","",INDEX(Listado!A:A,ROW()))</f>
        <v/>
      </c>
      <c r="T1465" s="17" t="str">
        <f ca="1">IF(INDEX(Listado!G:G,ROW())="","",INDEX(Listado!G:G,ROW()))</f>
        <v/>
      </c>
      <c r="U1465" s="17" t="str">
        <f>IF(INDEX(Listado!F:F,ROW())="","",INDEX(Listado!F:F,ROW()))</f>
        <v/>
      </c>
      <c r="V1465" s="17">
        <f>IF(COUNTA(INDEX(Listado!B:B,ROW()):INDEX(Listado!F:F,ROW()))&gt;0,1,0)</f>
        <v/>
      </c>
      <c r="W1465" s="17" t="str">
        <f>IF(INDEX(Listado!L:L,ROW())="","",INDEX(Listado!L:L,ROW()))</f>
        <v/>
      </c>
      <c r="X1465" s="17">
        <f>IF(N1465="","",IF(INDEX(Listado!$M:$M,N1465)="No","No","Sí"))</f>
        <v/>
      </c>
    </row>
    <row r="1466" spans="2:24" ht="14.25">
      <c r="N1466" s="17" t="str">
        <f>IF(V1466=0,"",IFERROR(LOOKUP(2,1/(INDEX(Listado!A:A,2):INDEX(Listado!A:A,ROW())&lt;&gt;""),ROW(INDEX(Listado!A:A,2):INDEX(Listado!A:A,ROW()))),""))</f>
        <v/>
      </c>
      <c r="O1466" s="17" t="str">
        <f>IFERROR(IF(N1466="","",IF(INDEX(Listado!M:M,N1466)="No",IF(INDEX(Listado!N:N,N1466)=0,"",INDEX(Listado!N:N,N1466)),IF(INDEX(Listado!I:I,N1466)=0,"",INDEX(Listado!I:I,N1466)))),"")</f>
        <v/>
      </c>
      <c r="P1466" s="17">
        <f t="shared" ca="1" si="67"/>
        <v/>
      </c>
      <c r="Q1466" s="17">
        <f>IFERROR(IF(AND(N1466&lt;&gt;"",ISNUMBER(O1466),O1466&gt;0,O1466&gt;=TODAY()-90),1,0),0)</f>
        <v/>
      </c>
      <c r="R1466" s="17" t="str">
        <f t="shared" si="69"/>
        <v/>
      </c>
      <c r="S1466" s="17" t="str">
        <f>IF(INDEX(Listado!A:A,ROW())="","",INDEX(Listado!A:A,ROW()))</f>
        <v/>
      </c>
      <c r="T1466" s="17" t="str">
        <f ca="1">IF(INDEX(Listado!G:G,ROW())="","",INDEX(Listado!G:G,ROW()))</f>
        <v/>
      </c>
      <c r="U1466" s="17" t="str">
        <f>IF(INDEX(Listado!F:F,ROW())="","",INDEX(Listado!F:F,ROW()))</f>
        <v/>
      </c>
      <c r="V1466" s="17">
        <f>IF(COUNTA(INDEX(Listado!B:B,ROW()):INDEX(Listado!F:F,ROW()))&gt;0,1,0)</f>
        <v/>
      </c>
      <c r="W1466" s="17" t="str">
        <f>IF(INDEX(Listado!L:L,ROW())="","",INDEX(Listado!L:L,ROW()))</f>
        <v/>
      </c>
      <c r="X1466" s="17">
        <f>IF(N1466="","",IF(INDEX(Listado!$M:$M,N1466)="No","No","Sí"))</f>
        <v/>
      </c>
    </row>
    <row r="1467" spans="2:24" ht="14.25">
      <c r="N1467" s="17" t="str">
        <f>IF(V1467=0,"",IFERROR(LOOKUP(2,1/(INDEX(Listado!A:A,2):INDEX(Listado!A:A,ROW())&lt;&gt;""),ROW(INDEX(Listado!A:A,2):INDEX(Listado!A:A,ROW()))),""))</f>
        <v/>
      </c>
      <c r="O1467" s="17" t="str">
        <f>IFERROR(IF(N1467="","",IF(INDEX(Listado!M:M,N1467)="No",IF(INDEX(Listado!N:N,N1467)=0,"",INDEX(Listado!N:N,N1467)),IF(INDEX(Listado!I:I,N1467)=0,"",INDEX(Listado!I:I,N1467)))),"")</f>
        <v/>
      </c>
      <c r="P1467" s="17">
        <f t="shared" ca="1" si="67"/>
        <v/>
      </c>
      <c r="Q1467" s="17">
        <f>IFERROR(IF(AND(N1467&lt;&gt;"",ISNUMBER(O1467),O1467&gt;0,O1467&gt;=TODAY()-90),1,0),0)</f>
        <v/>
      </c>
      <c r="R1467" s="17" t="str">
        <f t="shared" si="69"/>
        <v/>
      </c>
      <c r="S1467" s="17" t="str">
        <f>IF(INDEX(Listado!A:A,ROW())="","",INDEX(Listado!A:A,ROW()))</f>
        <v/>
      </c>
      <c r="T1467" s="17" t="str">
        <f ca="1">IF(INDEX(Listado!G:G,ROW())="","",INDEX(Listado!G:G,ROW()))</f>
        <v/>
      </c>
      <c r="U1467" s="17" t="str">
        <f>IF(INDEX(Listado!F:F,ROW())="","",INDEX(Listado!F:F,ROW()))</f>
        <v/>
      </c>
      <c r="V1467" s="17">
        <f>IF(COUNTA(INDEX(Listado!B:B,ROW()):INDEX(Listado!F:F,ROW()))&gt;0,1,0)</f>
        <v/>
      </c>
      <c r="W1467" s="17" t="str">
        <f>IF(INDEX(Listado!L:L,ROW())="","",INDEX(Listado!L:L,ROW()))</f>
        <v/>
      </c>
      <c r="X1467" s="17">
        <f>IF(N1467="","",IF(INDEX(Listado!$M:$M,N1467)="No","No","Sí"))</f>
        <v/>
      </c>
    </row>
    <row r="1468" spans="2:24" ht="14.25">
      <c r="N1468" s="17" t="str">
        <f>IF(V1468=0,"",IFERROR(LOOKUP(2,1/(INDEX(Listado!A:A,2):INDEX(Listado!A:A,ROW())&lt;&gt;""),ROW(INDEX(Listado!A:A,2):INDEX(Listado!A:A,ROW()))),""))</f>
        <v/>
      </c>
      <c r="O1468" s="17" t="str">
        <f>IFERROR(IF(N1468="","",IF(INDEX(Listado!M:M,N1468)="No",IF(INDEX(Listado!N:N,N1468)=0,"",INDEX(Listado!N:N,N1468)),IF(INDEX(Listado!I:I,N1468)=0,"",INDEX(Listado!I:I,N1468)))),"")</f>
        <v/>
      </c>
      <c r="P1468" s="17">
        <f t="shared" ca="1" si="67"/>
        <v/>
      </c>
      <c r="Q1468" s="17">
        <f>IFERROR(IF(AND(N1468&lt;&gt;"",ISNUMBER(O1468),O1468&gt;0,O1468&gt;=TODAY()-90),1,0),0)</f>
        <v/>
      </c>
      <c r="R1468" s="17" t="str">
        <f t="shared" si="69"/>
        <v/>
      </c>
      <c r="S1468" s="17" t="str">
        <f>IF(INDEX(Listado!A:A,ROW())="","",INDEX(Listado!A:A,ROW()))</f>
        <v/>
      </c>
      <c r="T1468" s="17" t="str">
        <f ca="1">IF(INDEX(Listado!G:G,ROW())="","",INDEX(Listado!G:G,ROW()))</f>
        <v/>
      </c>
      <c r="U1468" s="17" t="str">
        <f>IF(INDEX(Listado!F:F,ROW())="","",INDEX(Listado!F:F,ROW()))</f>
        <v/>
      </c>
      <c r="V1468" s="17">
        <f>IF(COUNTA(INDEX(Listado!B:B,ROW()):INDEX(Listado!F:F,ROW()))&gt;0,1,0)</f>
        <v/>
      </c>
      <c r="W1468" s="17" t="str">
        <f>IF(INDEX(Listado!L:L,ROW())="","",INDEX(Listado!L:L,ROW()))</f>
        <v/>
      </c>
      <c r="X1468" s="17">
        <f>IF(N1468="","",IF(INDEX(Listado!$M:$M,N1468)="No","No","Sí"))</f>
        <v/>
      </c>
    </row>
    <row r="1469" spans="2:24" ht="14.25">
      <c r="N1469" s="17" t="str">
        <f>IF(V1469=0,"",IFERROR(LOOKUP(2,1/(INDEX(Listado!A:A,2):INDEX(Listado!A:A,ROW())&lt;&gt;""),ROW(INDEX(Listado!A:A,2):INDEX(Listado!A:A,ROW()))),""))</f>
        <v/>
      </c>
      <c r="O1469" s="17" t="str">
        <f>IFERROR(IF(N1469="","",IF(INDEX(Listado!M:M,N1469)="No",IF(INDEX(Listado!N:N,N1469)=0,"",INDEX(Listado!N:N,N1469)),IF(INDEX(Listado!I:I,N1469)=0,"",INDEX(Listado!I:I,N1469)))),"")</f>
        <v/>
      </c>
      <c r="P1469" s="17">
        <f t="shared" ca="1" si="67"/>
        <v/>
      </c>
      <c r="Q1469" s="17">
        <f>IFERROR(IF(AND(N1469&lt;&gt;"",ISNUMBER(O1469),O1469&gt;0,O1469&gt;=TODAY()-90),1,0),0)</f>
        <v/>
      </c>
      <c r="R1469" s="17" t="str">
        <f t="shared" si="69"/>
        <v/>
      </c>
      <c r="S1469" s="17" t="str">
        <f>IF(INDEX(Listado!A:A,ROW())="","",INDEX(Listado!A:A,ROW()))</f>
        <v/>
      </c>
      <c r="T1469" s="17" t="str">
        <f ca="1">IF(INDEX(Listado!G:G,ROW())="","",INDEX(Listado!G:G,ROW()))</f>
        <v/>
      </c>
      <c r="U1469" s="17" t="str">
        <f>IF(INDEX(Listado!F:F,ROW())="","",INDEX(Listado!F:F,ROW()))</f>
        <v/>
      </c>
      <c r="V1469" s="17">
        <f>IF(COUNTA(INDEX(Listado!B:B,ROW()):INDEX(Listado!F:F,ROW()))&gt;0,1,0)</f>
        <v/>
      </c>
      <c r="W1469" s="17" t="str">
        <f>IF(INDEX(Listado!L:L,ROW())="","",INDEX(Listado!L:L,ROW()))</f>
        <v/>
      </c>
      <c r="X1469" s="17">
        <f>IF(N1469="","",IF(INDEX(Listado!$M:$M,N1469)="No","No","Sí"))</f>
        <v/>
      </c>
    </row>
    <row r="1470" spans="2:24" ht="14.25">
      <c r="N1470" s="17" t="str">
        <f>IF(V1470=0,"",IFERROR(LOOKUP(2,1/(INDEX(Listado!A:A,2):INDEX(Listado!A:A,ROW())&lt;&gt;""),ROW(INDEX(Listado!A:A,2):INDEX(Listado!A:A,ROW()))),""))</f>
        <v/>
      </c>
      <c r="O1470" s="17" t="str">
        <f>IFERROR(IF(N1470="","",IF(INDEX(Listado!M:M,N1470)="No",IF(INDEX(Listado!N:N,N1470)=0,"",INDEX(Listado!N:N,N1470)),IF(INDEX(Listado!I:I,N1470)=0,"",INDEX(Listado!I:I,N1470)))),"")</f>
        <v/>
      </c>
      <c r="P1470" s="17">
        <f t="shared" ca="1" si="67"/>
        <v/>
      </c>
      <c r="Q1470" s="17">
        <f>IFERROR(IF(AND(N1470&lt;&gt;"",ISNUMBER(O1470),O1470&gt;0,O1470&gt;=TODAY()-90),1,0),0)</f>
        <v/>
      </c>
      <c r="R1470" s="17" t="str">
        <f t="shared" si="69"/>
        <v/>
      </c>
      <c r="S1470" s="17" t="str">
        <f>IF(INDEX(Listado!A:A,ROW())="","",INDEX(Listado!A:A,ROW()))</f>
        <v/>
      </c>
      <c r="T1470" s="17" t="str">
        <f ca="1">IF(INDEX(Listado!G:G,ROW())="","",INDEX(Listado!G:G,ROW()))</f>
        <v/>
      </c>
      <c r="U1470" s="17" t="str">
        <f>IF(INDEX(Listado!F:F,ROW())="","",INDEX(Listado!F:F,ROW()))</f>
        <v/>
      </c>
      <c r="V1470" s="17">
        <f>IF(COUNTA(INDEX(Listado!B:B,ROW()):INDEX(Listado!F:F,ROW()))&gt;0,1,0)</f>
        <v/>
      </c>
      <c r="W1470" s="17" t="str">
        <f>IF(INDEX(Listado!L:L,ROW())="","",INDEX(Listado!L:L,ROW()))</f>
        <v/>
      </c>
      <c r="X1470" s="17">
        <f>IF(N1470="","",IF(INDEX(Listado!$M:$M,N1470)="No","No","Sí"))</f>
        <v/>
      </c>
    </row>
    <row r="1471" spans="2:24" ht="14.25">
      <c r="N1471" s="17" t="str">
        <f>IF(V1471=0,"",IFERROR(LOOKUP(2,1/(INDEX(Listado!A:A,2):INDEX(Listado!A:A,ROW())&lt;&gt;""),ROW(INDEX(Listado!A:A,2):INDEX(Listado!A:A,ROW()))),""))</f>
        <v/>
      </c>
      <c r="O1471" s="17" t="str">
        <f>IFERROR(IF(N1471="","",IF(INDEX(Listado!M:M,N1471)="No",IF(INDEX(Listado!N:N,N1471)=0,"",INDEX(Listado!N:N,N1471)),IF(INDEX(Listado!I:I,N1471)=0,"",INDEX(Listado!I:I,N1471)))),"")</f>
        <v/>
      </c>
      <c r="P1471" s="17">
        <f t="shared" ca="1" si="67"/>
        <v/>
      </c>
      <c r="Q1471" s="17">
        <f>IFERROR(IF(AND(N1471&lt;&gt;"",ISNUMBER(O1471),O1471&gt;0,O1471&gt;=TODAY()-90),1,0),0)</f>
        <v/>
      </c>
      <c r="R1471" s="17" t="str">
        <f t="shared" si="69"/>
        <v/>
      </c>
      <c r="S1471" s="17" t="str">
        <f>IF(INDEX(Listado!A:A,ROW())="","",INDEX(Listado!A:A,ROW()))</f>
        <v/>
      </c>
      <c r="T1471" s="17" t="str">
        <f ca="1">IF(INDEX(Listado!G:G,ROW())="","",INDEX(Listado!G:G,ROW()))</f>
        <v/>
      </c>
      <c r="U1471" s="17" t="str">
        <f>IF(INDEX(Listado!F:F,ROW())="","",INDEX(Listado!F:F,ROW()))</f>
        <v/>
      </c>
      <c r="V1471" s="17">
        <f>IF(COUNTA(INDEX(Listado!B:B,ROW()):INDEX(Listado!F:F,ROW()))&gt;0,1,0)</f>
        <v/>
      </c>
      <c r="W1471" s="17" t="str">
        <f>IF(INDEX(Listado!L:L,ROW())="","",INDEX(Listado!L:L,ROW()))</f>
        <v/>
      </c>
      <c r="X1471" s="17">
        <f>IF(N1471="","",IF(INDEX(Listado!$M:$M,N1471)="No","No","Sí"))</f>
        <v/>
      </c>
    </row>
    <row r="1472" spans="2:24" ht="14.25">
      <c r="N1472" s="17" t="str">
        <f>IF(V1472=0,"",IFERROR(LOOKUP(2,1/(INDEX(Listado!A:A,2):INDEX(Listado!A:A,ROW())&lt;&gt;""),ROW(INDEX(Listado!A:A,2):INDEX(Listado!A:A,ROW()))),""))</f>
        <v/>
      </c>
      <c r="O1472" s="17" t="str">
        <f>IFERROR(IF(N1472="","",IF(INDEX(Listado!M:M,N1472)="No",IF(INDEX(Listado!N:N,N1472)=0,"",INDEX(Listado!N:N,N1472)),IF(INDEX(Listado!I:I,N1472)=0,"",INDEX(Listado!I:I,N1472)))),"")</f>
        <v/>
      </c>
      <c r="P1472" s="17">
        <f t="shared" ca="1" si="67"/>
        <v/>
      </c>
      <c r="Q1472" s="17">
        <f>IFERROR(IF(AND(N1472&lt;&gt;"",ISNUMBER(O1472),O1472&gt;0,O1472&gt;=TODAY()-90),1,0),0)</f>
        <v/>
      </c>
      <c r="R1472" s="17" t="str">
        <f t="shared" si="69"/>
        <v/>
      </c>
      <c r="S1472" s="17" t="str">
        <f>IF(INDEX(Listado!A:A,ROW())="","",INDEX(Listado!A:A,ROW()))</f>
        <v/>
      </c>
      <c r="T1472" s="17" t="str">
        <f ca="1">IF(INDEX(Listado!G:G,ROW())="","",INDEX(Listado!G:G,ROW()))</f>
        <v/>
      </c>
      <c r="U1472" s="17" t="str">
        <f>IF(INDEX(Listado!F:F,ROW())="","",INDEX(Listado!F:F,ROW()))</f>
        <v/>
      </c>
      <c r="V1472" s="17">
        <f>IF(COUNTA(INDEX(Listado!B:B,ROW()):INDEX(Listado!F:F,ROW()))&gt;0,1,0)</f>
        <v/>
      </c>
      <c r="W1472" s="17" t="str">
        <f>IF(INDEX(Listado!L:L,ROW())="","",INDEX(Listado!L:L,ROW()))</f>
        <v/>
      </c>
      <c r="X1472" s="17">
        <f>IF(N1472="","",IF(INDEX(Listado!$M:$M,N1472)="No","No","Sí"))</f>
        <v/>
      </c>
    </row>
    <row r="1473" spans="2:24" ht="14.25">
      <c r="N1473" s="17" t="str">
        <f>IF(V1473=0,"",IFERROR(LOOKUP(2,1/(INDEX(Listado!A:A,2):INDEX(Listado!A:A,ROW())&lt;&gt;""),ROW(INDEX(Listado!A:A,2):INDEX(Listado!A:A,ROW()))),""))</f>
        <v/>
      </c>
      <c r="O1473" s="17" t="str">
        <f>IFERROR(IF(N1473="","",IF(INDEX(Listado!M:M,N1473)="No",IF(INDEX(Listado!N:N,N1473)=0,"",INDEX(Listado!N:N,N1473)),IF(INDEX(Listado!I:I,N1473)=0,"",INDEX(Listado!I:I,N1473)))),"")</f>
        <v/>
      </c>
      <c r="P1473" s="17">
        <f t="shared" ca="1" si="67"/>
        <v/>
      </c>
      <c r="Q1473" s="17">
        <f>IFERROR(IF(AND(N1473&lt;&gt;"",ISNUMBER(O1473),O1473&gt;0,O1473&gt;=TODAY()-90),1,0),0)</f>
        <v/>
      </c>
      <c r="R1473" s="17" t="str">
        <f t="shared" si="69"/>
        <v/>
      </c>
      <c r="S1473" s="17" t="str">
        <f>IF(INDEX(Listado!A:A,ROW())="","",INDEX(Listado!A:A,ROW()))</f>
        <v/>
      </c>
      <c r="T1473" s="17" t="str">
        <f ca="1">IF(INDEX(Listado!G:G,ROW())="","",INDEX(Listado!G:G,ROW()))</f>
        <v/>
      </c>
      <c r="U1473" s="17" t="str">
        <f>IF(INDEX(Listado!F:F,ROW())="","",INDEX(Listado!F:F,ROW()))</f>
        <v/>
      </c>
      <c r="V1473" s="17">
        <f>IF(COUNTA(INDEX(Listado!B:B,ROW()):INDEX(Listado!F:F,ROW()))&gt;0,1,0)</f>
        <v/>
      </c>
      <c r="W1473" s="17" t="str">
        <f>IF(INDEX(Listado!L:L,ROW())="","",INDEX(Listado!L:L,ROW()))</f>
        <v/>
      </c>
      <c r="X1473" s="17">
        <f>IF(N1473="","",IF(INDEX(Listado!$M:$M,N1473)="No","No","Sí"))</f>
        <v/>
      </c>
    </row>
    <row r="1474" spans="2:24" ht="14.25">
      <c r="N1474" s="17" t="str">
        <f>IF(V1474=0,"",IFERROR(LOOKUP(2,1/(INDEX(Listado!A:A,2):INDEX(Listado!A:A,ROW())&lt;&gt;""),ROW(INDEX(Listado!A:A,2):INDEX(Listado!A:A,ROW()))),""))</f>
        <v/>
      </c>
      <c r="O1474" s="17" t="str">
        <f>IFERROR(IF(N1474="","",IF(INDEX(Listado!M:M,N1474)="No",IF(INDEX(Listado!N:N,N1474)=0,"",INDEX(Listado!N:N,N1474)),IF(INDEX(Listado!I:I,N1474)=0,"",INDEX(Listado!I:I,N1474)))),"")</f>
        <v/>
      </c>
      <c r="P1474" s="17">
        <f t="shared" ref="P1474:P1537" ca="1" si="70">IF(W1474="",0,IFERROR(IF(AND(ISNUMBER(W1474),W1474=INT(W1474),ISNUMBER(O1474),O1474&gt;0,W1474&gt;=TODAY(),W1474&lt;=O1474+90),0,1),1))</f>
        <v/>
      </c>
      <c r="Q1474" s="17">
        <f>IFERROR(IF(AND(N1474&lt;&gt;"",ISNUMBER(O1474),O1474&gt;0,O1474&gt;=TODAY()-90),1,0),0)</f>
        <v/>
      </c>
      <c r="R1474" s="17" t="str">
        <f t="shared" ref="R1474:R1537" si="72">IF(S1474="","",COUNTIFS($N$2:$N$2999,ROW(),$Q$2:$Q$2999,1))</f>
        <v/>
      </c>
      <c r="S1474" s="17" t="str">
        <f>IF(INDEX(Listado!A:A,ROW())="","",INDEX(Listado!A:A,ROW()))</f>
        <v/>
      </c>
      <c r="T1474" s="17" t="str">
        <f ca="1">IF(INDEX(Listado!G:G,ROW())="","",INDEX(Listado!G:G,ROW()))</f>
        <v/>
      </c>
      <c r="U1474" s="17" t="str">
        <f>IF(INDEX(Listado!F:F,ROW())="","",INDEX(Listado!F:F,ROW()))</f>
        <v/>
      </c>
      <c r="V1474" s="17">
        <f>IF(COUNTA(INDEX(Listado!B:B,ROW()):INDEX(Listado!F:F,ROW()))&gt;0,1,0)</f>
        <v/>
      </c>
      <c r="W1474" s="17" t="str">
        <f>IF(INDEX(Listado!L:L,ROW())="","",INDEX(Listado!L:L,ROW()))</f>
        <v/>
      </c>
      <c r="X1474" s="17">
        <f>IF(N1474="","",IF(INDEX(Listado!$M:$M,N1474)="No","No","Sí"))</f>
        <v/>
      </c>
    </row>
    <row r="1475" spans="2:24" ht="14.25">
      <c r="N1475" s="17" t="str">
        <f>IF(V1475=0,"",IFERROR(LOOKUP(2,1/(INDEX(Listado!A:A,2):INDEX(Listado!A:A,ROW())&lt;&gt;""),ROW(INDEX(Listado!A:A,2):INDEX(Listado!A:A,ROW()))),""))</f>
        <v/>
      </c>
      <c r="O1475" s="17" t="str">
        <f>IFERROR(IF(N1475="","",IF(INDEX(Listado!M:M,N1475)="No",IF(INDEX(Listado!N:N,N1475)=0,"",INDEX(Listado!N:N,N1475)),IF(INDEX(Listado!I:I,N1475)=0,"",INDEX(Listado!I:I,N1475)))),"")</f>
        <v/>
      </c>
      <c r="P1475" s="17">
        <f t="shared" ca="1" si="70"/>
        <v/>
      </c>
      <c r="Q1475" s="17">
        <f>IFERROR(IF(AND(N1475&lt;&gt;"",ISNUMBER(O1475),O1475&gt;0,O1475&gt;=TODAY()-90),1,0),0)</f>
        <v/>
      </c>
      <c r="R1475" s="17" t="str">
        <f t="shared" si="72"/>
        <v/>
      </c>
      <c r="S1475" s="17" t="str">
        <f>IF(INDEX(Listado!A:A,ROW())="","",INDEX(Listado!A:A,ROW()))</f>
        <v/>
      </c>
      <c r="T1475" s="17" t="str">
        <f ca="1">IF(INDEX(Listado!G:G,ROW())="","",INDEX(Listado!G:G,ROW()))</f>
        <v/>
      </c>
      <c r="U1475" s="17" t="str">
        <f>IF(INDEX(Listado!F:F,ROW())="","",INDEX(Listado!F:F,ROW()))</f>
        <v/>
      </c>
      <c r="V1475" s="17">
        <f>IF(COUNTA(INDEX(Listado!B:B,ROW()):INDEX(Listado!F:F,ROW()))&gt;0,1,0)</f>
        <v/>
      </c>
      <c r="W1475" s="17" t="str">
        <f>IF(INDEX(Listado!L:L,ROW())="","",INDEX(Listado!L:L,ROW()))</f>
        <v/>
      </c>
      <c r="X1475" s="17">
        <f>IF(N1475="","",IF(INDEX(Listado!$M:$M,N1475)="No","No","Sí"))</f>
        <v/>
      </c>
    </row>
    <row r="1476" spans="2:24" ht="14.25">
      <c r="N1476" s="17" t="str">
        <f>IF(V1476=0,"",IFERROR(LOOKUP(2,1/(INDEX(Listado!A:A,2):INDEX(Listado!A:A,ROW())&lt;&gt;""),ROW(INDEX(Listado!A:A,2):INDEX(Listado!A:A,ROW()))),""))</f>
        <v/>
      </c>
      <c r="O1476" s="17" t="str">
        <f>IFERROR(IF(N1476="","",IF(INDEX(Listado!M:M,N1476)="No",IF(INDEX(Listado!N:N,N1476)=0,"",INDEX(Listado!N:N,N1476)),IF(INDEX(Listado!I:I,N1476)=0,"",INDEX(Listado!I:I,N1476)))),"")</f>
        <v/>
      </c>
      <c r="P1476" s="17">
        <f t="shared" ca="1" si="70"/>
        <v/>
      </c>
      <c r="Q1476" s="17">
        <f>IFERROR(IF(AND(N1476&lt;&gt;"",ISNUMBER(O1476),O1476&gt;0,O1476&gt;=TODAY()-90),1,0),0)</f>
        <v/>
      </c>
      <c r="R1476" s="17" t="str">
        <f t="shared" si="72"/>
        <v/>
      </c>
      <c r="S1476" s="17" t="str">
        <f>IF(INDEX(Listado!A:A,ROW())="","",INDEX(Listado!A:A,ROW()))</f>
        <v/>
      </c>
      <c r="T1476" s="17" t="str">
        <f ca="1">IF(INDEX(Listado!G:G,ROW())="","",INDEX(Listado!G:G,ROW()))</f>
        <v/>
      </c>
      <c r="U1476" s="17" t="str">
        <f>IF(INDEX(Listado!F:F,ROW())="","",INDEX(Listado!F:F,ROW()))</f>
        <v/>
      </c>
      <c r="V1476" s="17">
        <f>IF(COUNTA(INDEX(Listado!B:B,ROW()):INDEX(Listado!F:F,ROW()))&gt;0,1,0)</f>
        <v/>
      </c>
      <c r="W1476" s="17" t="str">
        <f>IF(INDEX(Listado!L:L,ROW())="","",INDEX(Listado!L:L,ROW()))</f>
        <v/>
      </c>
      <c r="X1476" s="17">
        <f>IF(N1476="","",IF(INDEX(Listado!$M:$M,N1476)="No","No","Sí"))</f>
        <v/>
      </c>
    </row>
    <row r="1477" spans="2:24" ht="14.25">
      <c r="N1477" s="17" t="str">
        <f>IF(V1477=0,"",IFERROR(LOOKUP(2,1/(INDEX(Listado!A:A,2):INDEX(Listado!A:A,ROW())&lt;&gt;""),ROW(INDEX(Listado!A:A,2):INDEX(Listado!A:A,ROW()))),""))</f>
        <v/>
      </c>
      <c r="O1477" s="17" t="str">
        <f>IFERROR(IF(N1477="","",IF(INDEX(Listado!M:M,N1477)="No",IF(INDEX(Listado!N:N,N1477)=0,"",INDEX(Listado!N:N,N1477)),IF(INDEX(Listado!I:I,N1477)=0,"",INDEX(Listado!I:I,N1477)))),"")</f>
        <v/>
      </c>
      <c r="P1477" s="17">
        <f t="shared" ca="1" si="70"/>
        <v/>
      </c>
      <c r="Q1477" s="17">
        <f>IFERROR(IF(AND(N1477&lt;&gt;"",ISNUMBER(O1477),O1477&gt;0,O1477&gt;=TODAY()-90),1,0),0)</f>
        <v/>
      </c>
      <c r="R1477" s="17" t="str">
        <f t="shared" si="72"/>
        <v/>
      </c>
      <c r="S1477" s="17" t="str">
        <f>IF(INDEX(Listado!A:A,ROW())="","",INDEX(Listado!A:A,ROW()))</f>
        <v/>
      </c>
      <c r="T1477" s="17" t="str">
        <f ca="1">IF(INDEX(Listado!G:G,ROW())="","",INDEX(Listado!G:G,ROW()))</f>
        <v/>
      </c>
      <c r="U1477" s="17" t="str">
        <f>IF(INDEX(Listado!F:F,ROW())="","",INDEX(Listado!F:F,ROW()))</f>
        <v/>
      </c>
      <c r="V1477" s="17">
        <f>IF(COUNTA(INDEX(Listado!B:B,ROW()):INDEX(Listado!F:F,ROW()))&gt;0,1,0)</f>
        <v/>
      </c>
      <c r="W1477" s="17" t="str">
        <f>IF(INDEX(Listado!L:L,ROW())="","",INDEX(Listado!L:L,ROW()))</f>
        <v/>
      </c>
      <c r="X1477" s="17">
        <f>IF(N1477="","",IF(INDEX(Listado!$M:$M,N1477)="No","No","Sí"))</f>
        <v/>
      </c>
    </row>
    <row r="1478" spans="2:24" ht="14.25">
      <c r="N1478" s="17" t="str">
        <f>IF(V1478=0,"",IFERROR(LOOKUP(2,1/(INDEX(Listado!A:A,2):INDEX(Listado!A:A,ROW())&lt;&gt;""),ROW(INDEX(Listado!A:A,2):INDEX(Listado!A:A,ROW()))),""))</f>
        <v/>
      </c>
      <c r="O1478" s="17" t="str">
        <f>IFERROR(IF(N1478="","",IF(INDEX(Listado!M:M,N1478)="No",IF(INDEX(Listado!N:N,N1478)=0,"",INDEX(Listado!N:N,N1478)),IF(INDEX(Listado!I:I,N1478)=0,"",INDEX(Listado!I:I,N1478)))),"")</f>
        <v/>
      </c>
      <c r="P1478" s="17">
        <f t="shared" ca="1" si="70"/>
        <v/>
      </c>
      <c r="Q1478" s="17">
        <f>IFERROR(IF(AND(N1478&lt;&gt;"",ISNUMBER(O1478),O1478&gt;0,O1478&gt;=TODAY()-90),1,0),0)</f>
        <v/>
      </c>
      <c r="R1478" s="17" t="str">
        <f t="shared" si="72"/>
        <v/>
      </c>
      <c r="S1478" s="17" t="str">
        <f>IF(INDEX(Listado!A:A,ROW())="","",INDEX(Listado!A:A,ROW()))</f>
        <v/>
      </c>
      <c r="T1478" s="17" t="str">
        <f ca="1">IF(INDEX(Listado!G:G,ROW())="","",INDEX(Listado!G:G,ROW()))</f>
        <v/>
      </c>
      <c r="U1478" s="17" t="str">
        <f>IF(INDEX(Listado!F:F,ROW())="","",INDEX(Listado!F:F,ROW()))</f>
        <v/>
      </c>
      <c r="V1478" s="17">
        <f>IF(COUNTA(INDEX(Listado!B:B,ROW()):INDEX(Listado!F:F,ROW()))&gt;0,1,0)</f>
        <v/>
      </c>
      <c r="W1478" s="17" t="str">
        <f>IF(INDEX(Listado!L:L,ROW())="","",INDEX(Listado!L:L,ROW()))</f>
        <v/>
      </c>
      <c r="X1478" s="17">
        <f>IF(N1478="","",IF(INDEX(Listado!$M:$M,N1478)="No","No","Sí"))</f>
        <v/>
      </c>
    </row>
    <row r="1479" spans="2:24" ht="14.25">
      <c r="N1479" s="17" t="str">
        <f>IF(V1479=0,"",IFERROR(LOOKUP(2,1/(INDEX(Listado!A:A,2):INDEX(Listado!A:A,ROW())&lt;&gt;""),ROW(INDEX(Listado!A:A,2):INDEX(Listado!A:A,ROW()))),""))</f>
        <v/>
      </c>
      <c r="O1479" s="17" t="str">
        <f>IFERROR(IF(N1479="","",IF(INDEX(Listado!M:M,N1479)="No",IF(INDEX(Listado!N:N,N1479)=0,"",INDEX(Listado!N:N,N1479)),IF(INDEX(Listado!I:I,N1479)=0,"",INDEX(Listado!I:I,N1479)))),"")</f>
        <v/>
      </c>
      <c r="P1479" s="17">
        <f t="shared" ca="1" si="70"/>
        <v/>
      </c>
      <c r="Q1479" s="17">
        <f>IFERROR(IF(AND(N1479&lt;&gt;"",ISNUMBER(O1479),O1479&gt;0,O1479&gt;=TODAY()-90),1,0),0)</f>
        <v/>
      </c>
      <c r="R1479" s="17" t="str">
        <f t="shared" si="72"/>
        <v/>
      </c>
      <c r="S1479" s="17" t="str">
        <f>IF(INDEX(Listado!A:A,ROW())="","",INDEX(Listado!A:A,ROW()))</f>
        <v/>
      </c>
      <c r="T1479" s="17" t="str">
        <f ca="1">IF(INDEX(Listado!G:G,ROW())="","",INDEX(Listado!G:G,ROW()))</f>
        <v/>
      </c>
      <c r="U1479" s="17" t="str">
        <f>IF(INDEX(Listado!F:F,ROW())="","",INDEX(Listado!F:F,ROW()))</f>
        <v/>
      </c>
      <c r="V1479" s="17">
        <f>IF(COUNTA(INDEX(Listado!B:B,ROW()):INDEX(Listado!F:F,ROW()))&gt;0,1,0)</f>
        <v/>
      </c>
      <c r="W1479" s="17" t="str">
        <f>IF(INDEX(Listado!L:L,ROW())="","",INDEX(Listado!L:L,ROW()))</f>
        <v/>
      </c>
      <c r="X1479" s="17">
        <f>IF(N1479="","",IF(INDEX(Listado!$M:$M,N1479)="No","No","Sí"))</f>
        <v/>
      </c>
    </row>
    <row r="1480" spans="2:24" ht="14.25">
      <c r="N1480" s="17" t="str">
        <f>IF(V1480=0,"",IFERROR(LOOKUP(2,1/(INDEX(Listado!A:A,2):INDEX(Listado!A:A,ROW())&lt;&gt;""),ROW(INDEX(Listado!A:A,2):INDEX(Listado!A:A,ROW()))),""))</f>
        <v/>
      </c>
      <c r="O1480" s="17" t="str">
        <f>IFERROR(IF(N1480="","",IF(INDEX(Listado!M:M,N1480)="No",IF(INDEX(Listado!N:N,N1480)=0,"",INDEX(Listado!N:N,N1480)),IF(INDEX(Listado!I:I,N1480)=0,"",INDEX(Listado!I:I,N1480)))),"")</f>
        <v/>
      </c>
      <c r="P1480" s="17">
        <f t="shared" ca="1" si="70"/>
        <v/>
      </c>
      <c r="Q1480" s="17">
        <f>IFERROR(IF(AND(N1480&lt;&gt;"",ISNUMBER(O1480),O1480&gt;0,O1480&gt;=TODAY()-90),1,0),0)</f>
        <v/>
      </c>
      <c r="R1480" s="17" t="str">
        <f t="shared" si="72"/>
        <v/>
      </c>
      <c r="S1480" s="17" t="str">
        <f>IF(INDEX(Listado!A:A,ROW())="","",INDEX(Listado!A:A,ROW()))</f>
        <v/>
      </c>
      <c r="T1480" s="17" t="str">
        <f ca="1">IF(INDEX(Listado!G:G,ROW())="","",INDEX(Listado!G:G,ROW()))</f>
        <v/>
      </c>
      <c r="U1480" s="17" t="str">
        <f>IF(INDEX(Listado!F:F,ROW())="","",INDEX(Listado!F:F,ROW()))</f>
        <v/>
      </c>
      <c r="V1480" s="17">
        <f>IF(COUNTA(INDEX(Listado!B:B,ROW()):INDEX(Listado!F:F,ROW()))&gt;0,1,0)</f>
        <v/>
      </c>
      <c r="W1480" s="17" t="str">
        <f>IF(INDEX(Listado!L:L,ROW())="","",INDEX(Listado!L:L,ROW()))</f>
        <v/>
      </c>
      <c r="X1480" s="17">
        <f>IF(N1480="","",IF(INDEX(Listado!$M:$M,N1480)="No","No","Sí"))</f>
        <v/>
      </c>
    </row>
    <row r="1481" spans="2:24" ht="14.25">
      <c r="N1481" s="17" t="str">
        <f>IF(V1481=0,"",IFERROR(LOOKUP(2,1/(INDEX(Listado!A:A,2):INDEX(Listado!A:A,ROW())&lt;&gt;""),ROW(INDEX(Listado!A:A,2):INDEX(Listado!A:A,ROW()))),""))</f>
        <v/>
      </c>
      <c r="O1481" s="17" t="str">
        <f>IFERROR(IF(N1481="","",IF(INDEX(Listado!M:M,N1481)="No",IF(INDEX(Listado!N:N,N1481)=0,"",INDEX(Listado!N:N,N1481)),IF(INDEX(Listado!I:I,N1481)=0,"",INDEX(Listado!I:I,N1481)))),"")</f>
        <v/>
      </c>
      <c r="P1481" s="17">
        <f t="shared" ca="1" si="70"/>
        <v/>
      </c>
      <c r="Q1481" s="17">
        <f>IFERROR(IF(AND(N1481&lt;&gt;"",ISNUMBER(O1481),O1481&gt;0,O1481&gt;=TODAY()-90),1,0),0)</f>
        <v/>
      </c>
      <c r="R1481" s="17" t="str">
        <f t="shared" si="72"/>
        <v/>
      </c>
      <c r="S1481" s="17" t="str">
        <f>IF(INDEX(Listado!A:A,ROW())="","",INDEX(Listado!A:A,ROW()))</f>
        <v/>
      </c>
      <c r="T1481" s="17" t="str">
        <f ca="1">IF(INDEX(Listado!G:G,ROW())="","",INDEX(Listado!G:G,ROW()))</f>
        <v/>
      </c>
      <c r="U1481" s="17" t="str">
        <f>IF(INDEX(Listado!F:F,ROW())="","",INDEX(Listado!F:F,ROW()))</f>
        <v/>
      </c>
      <c r="V1481" s="17">
        <f>IF(COUNTA(INDEX(Listado!B:B,ROW()):INDEX(Listado!F:F,ROW()))&gt;0,1,0)</f>
        <v/>
      </c>
      <c r="W1481" s="17" t="str">
        <f>IF(INDEX(Listado!L:L,ROW())="","",INDEX(Listado!L:L,ROW()))</f>
        <v/>
      </c>
      <c r="X1481" s="17">
        <f>IF(N1481="","",IF(INDEX(Listado!$M:$M,N1481)="No","No","Sí"))</f>
        <v/>
      </c>
    </row>
    <row r="1482" spans="2:24" ht="14.25">
      <c r="N1482" s="17" t="str">
        <f>IF(V1482=0,"",IFERROR(LOOKUP(2,1/(INDEX(Listado!A:A,2):INDEX(Listado!A:A,ROW())&lt;&gt;""),ROW(INDEX(Listado!A:A,2):INDEX(Listado!A:A,ROW()))),""))</f>
        <v/>
      </c>
      <c r="O1482" s="17" t="str">
        <f>IFERROR(IF(N1482="","",IF(INDEX(Listado!M:M,N1482)="No",IF(INDEX(Listado!N:N,N1482)=0,"",INDEX(Listado!N:N,N1482)),IF(INDEX(Listado!I:I,N1482)=0,"",INDEX(Listado!I:I,N1482)))),"")</f>
        <v/>
      </c>
      <c r="P1482" s="17">
        <f t="shared" ca="1" si="70"/>
        <v/>
      </c>
      <c r="Q1482" s="17">
        <f>IFERROR(IF(AND(N1482&lt;&gt;"",ISNUMBER(O1482),O1482&gt;0,O1482&gt;=TODAY()-90),1,0),0)</f>
        <v/>
      </c>
      <c r="R1482" s="17" t="str">
        <f t="shared" si="72"/>
        <v/>
      </c>
      <c r="S1482" s="17" t="str">
        <f>IF(INDEX(Listado!A:A,ROW())="","",INDEX(Listado!A:A,ROW()))</f>
        <v/>
      </c>
      <c r="T1482" s="17" t="str">
        <f ca="1">IF(INDEX(Listado!G:G,ROW())="","",INDEX(Listado!G:G,ROW()))</f>
        <v/>
      </c>
      <c r="U1482" s="17" t="str">
        <f>IF(INDEX(Listado!F:F,ROW())="","",INDEX(Listado!F:F,ROW()))</f>
        <v/>
      </c>
      <c r="V1482" s="17">
        <f>IF(COUNTA(INDEX(Listado!B:B,ROW()):INDEX(Listado!F:F,ROW()))&gt;0,1,0)</f>
        <v/>
      </c>
      <c r="W1482" s="17" t="str">
        <f>IF(INDEX(Listado!L:L,ROW())="","",INDEX(Listado!L:L,ROW()))</f>
        <v/>
      </c>
      <c r="X1482" s="17">
        <f>IF(N1482="","",IF(INDEX(Listado!$M:$M,N1482)="No","No","Sí"))</f>
        <v/>
      </c>
    </row>
    <row r="1483" spans="2:24" ht="14.25">
      <c r="N1483" s="17" t="str">
        <f>IF(V1483=0,"",IFERROR(LOOKUP(2,1/(INDEX(Listado!A:A,2):INDEX(Listado!A:A,ROW())&lt;&gt;""),ROW(INDEX(Listado!A:A,2):INDEX(Listado!A:A,ROW()))),""))</f>
        <v/>
      </c>
      <c r="O1483" s="17" t="str">
        <f>IFERROR(IF(N1483="","",IF(INDEX(Listado!M:M,N1483)="No",IF(INDEX(Listado!N:N,N1483)=0,"",INDEX(Listado!N:N,N1483)),IF(INDEX(Listado!I:I,N1483)=0,"",INDEX(Listado!I:I,N1483)))),"")</f>
        <v/>
      </c>
      <c r="P1483" s="17">
        <f t="shared" ca="1" si="70"/>
        <v/>
      </c>
      <c r="Q1483" s="17">
        <f>IFERROR(IF(AND(N1483&lt;&gt;"",ISNUMBER(O1483),O1483&gt;0,O1483&gt;=TODAY()-90),1,0),0)</f>
        <v/>
      </c>
      <c r="R1483" s="17" t="str">
        <f t="shared" si="72"/>
        <v/>
      </c>
      <c r="S1483" s="17" t="str">
        <f>IF(INDEX(Listado!A:A,ROW())="","",INDEX(Listado!A:A,ROW()))</f>
        <v/>
      </c>
      <c r="T1483" s="17" t="str">
        <f ca="1">IF(INDEX(Listado!G:G,ROW())="","",INDEX(Listado!G:G,ROW()))</f>
        <v/>
      </c>
      <c r="U1483" s="17" t="str">
        <f>IF(INDEX(Listado!F:F,ROW())="","",INDEX(Listado!F:F,ROW()))</f>
        <v/>
      </c>
      <c r="V1483" s="17">
        <f>IF(COUNTA(INDEX(Listado!B:B,ROW()):INDEX(Listado!F:F,ROW()))&gt;0,1,0)</f>
        <v/>
      </c>
      <c r="W1483" s="17" t="str">
        <f>IF(INDEX(Listado!L:L,ROW())="","",INDEX(Listado!L:L,ROW()))</f>
        <v/>
      </c>
      <c r="X1483" s="17">
        <f>IF(N1483="","",IF(INDEX(Listado!$M:$M,N1483)="No","No","Sí"))</f>
        <v/>
      </c>
    </row>
    <row r="1484" spans="2:24" ht="14.25">
      <c r="N1484" s="17" t="str">
        <f>IF(V1484=0,"",IFERROR(LOOKUP(2,1/(INDEX(Listado!A:A,2):INDEX(Listado!A:A,ROW())&lt;&gt;""),ROW(INDEX(Listado!A:A,2):INDEX(Listado!A:A,ROW()))),""))</f>
        <v/>
      </c>
      <c r="O1484" s="17" t="str">
        <f>IFERROR(IF(N1484="","",IF(INDEX(Listado!M:M,N1484)="No",IF(INDEX(Listado!N:N,N1484)=0,"",INDEX(Listado!N:N,N1484)),IF(INDEX(Listado!I:I,N1484)=0,"",INDEX(Listado!I:I,N1484)))),"")</f>
        <v/>
      </c>
      <c r="P1484" s="17">
        <f t="shared" ca="1" si="70"/>
        <v/>
      </c>
      <c r="Q1484" s="17">
        <f>IFERROR(IF(AND(N1484&lt;&gt;"",ISNUMBER(O1484),O1484&gt;0,O1484&gt;=TODAY()-90),1,0),0)</f>
        <v/>
      </c>
      <c r="R1484" s="17" t="str">
        <f t="shared" si="72"/>
        <v/>
      </c>
      <c r="S1484" s="17" t="str">
        <f>IF(INDEX(Listado!A:A,ROW())="","",INDEX(Listado!A:A,ROW()))</f>
        <v/>
      </c>
      <c r="T1484" s="17" t="str">
        <f ca="1">IF(INDEX(Listado!G:G,ROW())="","",INDEX(Listado!G:G,ROW()))</f>
        <v/>
      </c>
      <c r="U1484" s="17" t="str">
        <f>IF(INDEX(Listado!F:F,ROW())="","",INDEX(Listado!F:F,ROW()))</f>
        <v/>
      </c>
      <c r="V1484" s="17">
        <f>IF(COUNTA(INDEX(Listado!B:B,ROW()):INDEX(Listado!F:F,ROW()))&gt;0,1,0)</f>
        <v/>
      </c>
      <c r="W1484" s="17" t="str">
        <f>IF(INDEX(Listado!L:L,ROW())="","",INDEX(Listado!L:L,ROW()))</f>
        <v/>
      </c>
      <c r="X1484" s="17">
        <f>IF(N1484="","",IF(INDEX(Listado!$M:$M,N1484)="No","No","Sí"))</f>
        <v/>
      </c>
    </row>
    <row r="1485" spans="2:24" ht="14.25">
      <c r="N1485" s="17" t="str">
        <f>IF(V1485=0,"",IFERROR(LOOKUP(2,1/(INDEX(Listado!A:A,2):INDEX(Listado!A:A,ROW())&lt;&gt;""),ROW(INDEX(Listado!A:A,2):INDEX(Listado!A:A,ROW()))),""))</f>
        <v/>
      </c>
      <c r="O1485" s="17" t="str">
        <f>IFERROR(IF(N1485="","",IF(INDEX(Listado!M:M,N1485)="No",IF(INDEX(Listado!N:N,N1485)=0,"",INDEX(Listado!N:N,N1485)),IF(INDEX(Listado!I:I,N1485)=0,"",INDEX(Listado!I:I,N1485)))),"")</f>
        <v/>
      </c>
      <c r="P1485" s="17">
        <f t="shared" ca="1" si="70"/>
        <v/>
      </c>
      <c r="Q1485" s="17">
        <f>IFERROR(IF(AND(N1485&lt;&gt;"",ISNUMBER(O1485),O1485&gt;0,O1485&gt;=TODAY()-90),1,0),0)</f>
        <v/>
      </c>
      <c r="R1485" s="17" t="str">
        <f t="shared" si="72"/>
        <v/>
      </c>
      <c r="S1485" s="17" t="str">
        <f>IF(INDEX(Listado!A:A,ROW())="","",INDEX(Listado!A:A,ROW()))</f>
        <v/>
      </c>
      <c r="T1485" s="17" t="str">
        <f ca="1">IF(INDEX(Listado!G:G,ROW())="","",INDEX(Listado!G:G,ROW()))</f>
        <v/>
      </c>
      <c r="U1485" s="17" t="str">
        <f>IF(INDEX(Listado!F:F,ROW())="","",INDEX(Listado!F:F,ROW()))</f>
        <v/>
      </c>
      <c r="V1485" s="17">
        <f>IF(COUNTA(INDEX(Listado!B:B,ROW()):INDEX(Listado!F:F,ROW()))&gt;0,1,0)</f>
        <v/>
      </c>
      <c r="W1485" s="17" t="str">
        <f>IF(INDEX(Listado!L:L,ROW())="","",INDEX(Listado!L:L,ROW()))</f>
        <v/>
      </c>
      <c r="X1485" s="17">
        <f>IF(N1485="","",IF(INDEX(Listado!$M:$M,N1485)="No","No","Sí"))</f>
        <v/>
      </c>
    </row>
    <row r="1486" spans="2:24" ht="14.25">
      <c r="N1486" s="17" t="str">
        <f>IF(V1486=0,"",IFERROR(LOOKUP(2,1/(INDEX(Listado!A:A,2):INDEX(Listado!A:A,ROW())&lt;&gt;""),ROW(INDEX(Listado!A:A,2):INDEX(Listado!A:A,ROW()))),""))</f>
        <v/>
      </c>
      <c r="O1486" s="17" t="str">
        <f>IFERROR(IF(N1486="","",IF(INDEX(Listado!M:M,N1486)="No",IF(INDEX(Listado!N:N,N1486)=0,"",INDEX(Listado!N:N,N1486)),IF(INDEX(Listado!I:I,N1486)=0,"",INDEX(Listado!I:I,N1486)))),"")</f>
        <v/>
      </c>
      <c r="P1486" s="17">
        <f t="shared" ca="1" si="70"/>
        <v/>
      </c>
      <c r="Q1486" s="17">
        <f>IFERROR(IF(AND(N1486&lt;&gt;"",ISNUMBER(O1486),O1486&gt;0,O1486&gt;=TODAY()-90),1,0),0)</f>
        <v/>
      </c>
      <c r="R1486" s="17" t="str">
        <f t="shared" si="72"/>
        <v/>
      </c>
      <c r="S1486" s="17" t="str">
        <f>IF(INDEX(Listado!A:A,ROW())="","",INDEX(Listado!A:A,ROW()))</f>
        <v/>
      </c>
      <c r="T1486" s="17" t="str">
        <f ca="1">IF(INDEX(Listado!G:G,ROW())="","",INDEX(Listado!G:G,ROW()))</f>
        <v/>
      </c>
      <c r="U1486" s="17" t="str">
        <f>IF(INDEX(Listado!F:F,ROW())="","",INDEX(Listado!F:F,ROW()))</f>
        <v/>
      </c>
      <c r="V1486" s="17">
        <f>IF(COUNTA(INDEX(Listado!B:B,ROW()):INDEX(Listado!F:F,ROW()))&gt;0,1,0)</f>
        <v/>
      </c>
      <c r="W1486" s="17" t="str">
        <f>IF(INDEX(Listado!L:L,ROW())="","",INDEX(Listado!L:L,ROW()))</f>
        <v/>
      </c>
      <c r="X1486" s="17">
        <f>IF(N1486="","",IF(INDEX(Listado!$M:$M,N1486)="No","No","Sí"))</f>
        <v/>
      </c>
    </row>
    <row r="1487" spans="2:24" ht="14.25">
      <c r="N1487" s="17" t="str">
        <f>IF(V1487=0,"",IFERROR(LOOKUP(2,1/(INDEX(Listado!A:A,2):INDEX(Listado!A:A,ROW())&lt;&gt;""),ROW(INDEX(Listado!A:A,2):INDEX(Listado!A:A,ROW()))),""))</f>
        <v/>
      </c>
      <c r="O1487" s="17" t="str">
        <f>IFERROR(IF(N1487="","",IF(INDEX(Listado!M:M,N1487)="No",IF(INDEX(Listado!N:N,N1487)=0,"",INDEX(Listado!N:N,N1487)),IF(INDEX(Listado!I:I,N1487)=0,"",INDEX(Listado!I:I,N1487)))),"")</f>
        <v/>
      </c>
      <c r="P1487" s="17">
        <f t="shared" ca="1" si="70"/>
        <v/>
      </c>
      <c r="Q1487" s="17">
        <f>IFERROR(IF(AND(N1487&lt;&gt;"",ISNUMBER(O1487),O1487&gt;0,O1487&gt;=TODAY()-90),1,0),0)</f>
        <v/>
      </c>
      <c r="R1487" s="17" t="str">
        <f t="shared" si="72"/>
        <v/>
      </c>
      <c r="S1487" s="17" t="str">
        <f>IF(INDEX(Listado!A:A,ROW())="","",INDEX(Listado!A:A,ROW()))</f>
        <v/>
      </c>
      <c r="T1487" s="17" t="str">
        <f ca="1">IF(INDEX(Listado!G:G,ROW())="","",INDEX(Listado!G:G,ROW()))</f>
        <v/>
      </c>
      <c r="U1487" s="17" t="str">
        <f>IF(INDEX(Listado!F:F,ROW())="","",INDEX(Listado!F:F,ROW()))</f>
        <v/>
      </c>
      <c r="V1487" s="17">
        <f>IF(COUNTA(INDEX(Listado!B:B,ROW()):INDEX(Listado!F:F,ROW()))&gt;0,1,0)</f>
        <v/>
      </c>
      <c r="W1487" s="17" t="str">
        <f>IF(INDEX(Listado!L:L,ROW())="","",INDEX(Listado!L:L,ROW()))</f>
        <v/>
      </c>
      <c r="X1487" s="17">
        <f>IF(N1487="","",IF(INDEX(Listado!$M:$M,N1487)="No","No","Sí"))</f>
        <v/>
      </c>
    </row>
    <row r="1488" spans="2:24" ht="14.25">
      <c r="N1488" s="17" t="str">
        <f>IF(V1488=0,"",IFERROR(LOOKUP(2,1/(INDEX(Listado!A:A,2):INDEX(Listado!A:A,ROW())&lt;&gt;""),ROW(INDEX(Listado!A:A,2):INDEX(Listado!A:A,ROW()))),""))</f>
        <v/>
      </c>
      <c r="O1488" s="17" t="str">
        <f>IFERROR(IF(N1488="","",IF(INDEX(Listado!M:M,N1488)="No",IF(INDEX(Listado!N:N,N1488)=0,"",INDEX(Listado!N:N,N1488)),IF(INDEX(Listado!I:I,N1488)=0,"",INDEX(Listado!I:I,N1488)))),"")</f>
        <v/>
      </c>
      <c r="P1488" s="17">
        <f t="shared" ca="1" si="70"/>
        <v/>
      </c>
      <c r="Q1488" s="17">
        <f>IFERROR(IF(AND(N1488&lt;&gt;"",ISNUMBER(O1488),O1488&gt;0,O1488&gt;=TODAY()-90),1,0),0)</f>
        <v/>
      </c>
      <c r="R1488" s="17" t="str">
        <f t="shared" si="72"/>
        <v/>
      </c>
      <c r="S1488" s="17" t="str">
        <f>IF(INDEX(Listado!A:A,ROW())="","",INDEX(Listado!A:A,ROW()))</f>
        <v/>
      </c>
      <c r="T1488" s="17" t="str">
        <f ca="1">IF(INDEX(Listado!G:G,ROW())="","",INDEX(Listado!G:G,ROW()))</f>
        <v/>
      </c>
      <c r="U1488" s="17" t="str">
        <f>IF(INDEX(Listado!F:F,ROW())="","",INDEX(Listado!F:F,ROW()))</f>
        <v/>
      </c>
      <c r="V1488" s="17">
        <f>IF(COUNTA(INDEX(Listado!B:B,ROW()):INDEX(Listado!F:F,ROW()))&gt;0,1,0)</f>
        <v/>
      </c>
      <c r="W1488" s="17" t="str">
        <f>IF(INDEX(Listado!L:L,ROW())="","",INDEX(Listado!L:L,ROW()))</f>
        <v/>
      </c>
      <c r="X1488" s="17">
        <f>IF(N1488="","",IF(INDEX(Listado!$M:$M,N1488)="No","No","Sí"))</f>
        <v/>
      </c>
    </row>
    <row r="1489" spans="2:24" ht="14.25">
      <c r="N1489" s="17" t="str">
        <f>IF(V1489=0,"",IFERROR(LOOKUP(2,1/(INDEX(Listado!A:A,2):INDEX(Listado!A:A,ROW())&lt;&gt;""),ROW(INDEX(Listado!A:A,2):INDEX(Listado!A:A,ROW()))),""))</f>
        <v/>
      </c>
      <c r="O1489" s="17" t="str">
        <f>IFERROR(IF(N1489="","",IF(INDEX(Listado!M:M,N1489)="No",IF(INDEX(Listado!N:N,N1489)=0,"",INDEX(Listado!N:N,N1489)),IF(INDEX(Listado!I:I,N1489)=0,"",INDEX(Listado!I:I,N1489)))),"")</f>
        <v/>
      </c>
      <c r="P1489" s="17">
        <f t="shared" ca="1" si="70"/>
        <v/>
      </c>
      <c r="Q1489" s="17">
        <f>IFERROR(IF(AND(N1489&lt;&gt;"",ISNUMBER(O1489),O1489&gt;0,O1489&gt;=TODAY()-90),1,0),0)</f>
        <v/>
      </c>
      <c r="R1489" s="17" t="str">
        <f t="shared" si="72"/>
        <v/>
      </c>
      <c r="S1489" s="17" t="str">
        <f>IF(INDEX(Listado!A:A,ROW())="","",INDEX(Listado!A:A,ROW()))</f>
        <v/>
      </c>
      <c r="T1489" s="17" t="str">
        <f ca="1">IF(INDEX(Listado!G:G,ROW())="","",INDEX(Listado!G:G,ROW()))</f>
        <v/>
      </c>
      <c r="U1489" s="17" t="str">
        <f>IF(INDEX(Listado!F:F,ROW())="","",INDEX(Listado!F:F,ROW()))</f>
        <v/>
      </c>
      <c r="V1489" s="17">
        <f>IF(COUNTA(INDEX(Listado!B:B,ROW()):INDEX(Listado!F:F,ROW()))&gt;0,1,0)</f>
        <v/>
      </c>
      <c r="W1489" s="17" t="str">
        <f>IF(INDEX(Listado!L:L,ROW())="","",INDEX(Listado!L:L,ROW()))</f>
        <v/>
      </c>
      <c r="X1489" s="17">
        <f>IF(N1489="","",IF(INDEX(Listado!$M:$M,N1489)="No","No","Sí"))</f>
        <v/>
      </c>
    </row>
    <row r="1490" spans="2:24" ht="14.25">
      <c r="N1490" s="17" t="str">
        <f>IF(V1490=0,"",IFERROR(LOOKUP(2,1/(INDEX(Listado!A:A,2):INDEX(Listado!A:A,ROW())&lt;&gt;""),ROW(INDEX(Listado!A:A,2):INDEX(Listado!A:A,ROW()))),""))</f>
        <v/>
      </c>
      <c r="O1490" s="17" t="str">
        <f>IFERROR(IF(N1490="","",IF(INDEX(Listado!M:M,N1490)="No",IF(INDEX(Listado!N:N,N1490)=0,"",INDEX(Listado!N:N,N1490)),IF(INDEX(Listado!I:I,N1490)=0,"",INDEX(Listado!I:I,N1490)))),"")</f>
        <v/>
      </c>
      <c r="P1490" s="17">
        <f t="shared" ca="1" si="70"/>
        <v/>
      </c>
      <c r="Q1490" s="17">
        <f>IFERROR(IF(AND(N1490&lt;&gt;"",ISNUMBER(O1490),O1490&gt;0,O1490&gt;=TODAY()-90),1,0),0)</f>
        <v/>
      </c>
      <c r="R1490" s="17" t="str">
        <f t="shared" si="72"/>
        <v/>
      </c>
      <c r="S1490" s="17" t="str">
        <f>IF(INDEX(Listado!A:A,ROW())="","",INDEX(Listado!A:A,ROW()))</f>
        <v/>
      </c>
      <c r="T1490" s="17" t="str">
        <f ca="1">IF(INDEX(Listado!G:G,ROW())="","",INDEX(Listado!G:G,ROW()))</f>
        <v/>
      </c>
      <c r="U1490" s="17" t="str">
        <f>IF(INDEX(Listado!F:F,ROW())="","",INDEX(Listado!F:F,ROW()))</f>
        <v/>
      </c>
      <c r="V1490" s="17">
        <f>IF(COUNTA(INDEX(Listado!B:B,ROW()):INDEX(Listado!F:F,ROW()))&gt;0,1,0)</f>
        <v/>
      </c>
      <c r="W1490" s="17" t="str">
        <f>IF(INDEX(Listado!L:L,ROW())="","",INDEX(Listado!L:L,ROW()))</f>
        <v/>
      </c>
      <c r="X1490" s="17">
        <f>IF(N1490="","",IF(INDEX(Listado!$M:$M,N1490)="No","No","Sí"))</f>
        <v/>
      </c>
    </row>
    <row r="1491" spans="2:24" ht="14.25">
      <c r="N1491" s="17" t="str">
        <f>IF(V1491=0,"",IFERROR(LOOKUP(2,1/(INDEX(Listado!A:A,2):INDEX(Listado!A:A,ROW())&lt;&gt;""),ROW(INDEX(Listado!A:A,2):INDEX(Listado!A:A,ROW()))),""))</f>
        <v/>
      </c>
      <c r="O1491" s="17" t="str">
        <f>IFERROR(IF(N1491="","",IF(INDEX(Listado!M:M,N1491)="No",IF(INDEX(Listado!N:N,N1491)=0,"",INDEX(Listado!N:N,N1491)),IF(INDEX(Listado!I:I,N1491)=0,"",INDEX(Listado!I:I,N1491)))),"")</f>
        <v/>
      </c>
      <c r="P1491" s="17">
        <f t="shared" ca="1" si="70"/>
        <v/>
      </c>
      <c r="Q1491" s="17">
        <f>IFERROR(IF(AND(N1491&lt;&gt;"",ISNUMBER(O1491),O1491&gt;0,O1491&gt;=TODAY()-90),1,0),0)</f>
        <v/>
      </c>
      <c r="R1491" s="17" t="str">
        <f t="shared" si="72"/>
        <v/>
      </c>
      <c r="S1491" s="17" t="str">
        <f>IF(INDEX(Listado!A:A,ROW())="","",INDEX(Listado!A:A,ROW()))</f>
        <v/>
      </c>
      <c r="T1491" s="17" t="str">
        <f ca="1">IF(INDEX(Listado!G:G,ROW())="","",INDEX(Listado!G:G,ROW()))</f>
        <v/>
      </c>
      <c r="U1491" s="17" t="str">
        <f>IF(INDEX(Listado!F:F,ROW())="","",INDEX(Listado!F:F,ROW()))</f>
        <v/>
      </c>
      <c r="V1491" s="17">
        <f>IF(COUNTA(INDEX(Listado!B:B,ROW()):INDEX(Listado!F:F,ROW()))&gt;0,1,0)</f>
        <v/>
      </c>
      <c r="W1491" s="17" t="str">
        <f>IF(INDEX(Listado!L:L,ROW())="","",INDEX(Listado!L:L,ROW()))</f>
        <v/>
      </c>
      <c r="X1491" s="17">
        <f>IF(N1491="","",IF(INDEX(Listado!$M:$M,N1491)="No","No","Sí"))</f>
        <v/>
      </c>
    </row>
    <row r="1492" spans="2:24" ht="14.25">
      <c r="N1492" s="17" t="str">
        <f>IF(V1492=0,"",IFERROR(LOOKUP(2,1/(INDEX(Listado!A:A,2):INDEX(Listado!A:A,ROW())&lt;&gt;""),ROW(INDEX(Listado!A:A,2):INDEX(Listado!A:A,ROW()))),""))</f>
        <v/>
      </c>
      <c r="O1492" s="17" t="str">
        <f>IFERROR(IF(N1492="","",IF(INDEX(Listado!M:M,N1492)="No",IF(INDEX(Listado!N:N,N1492)=0,"",INDEX(Listado!N:N,N1492)),IF(INDEX(Listado!I:I,N1492)=0,"",INDEX(Listado!I:I,N1492)))),"")</f>
        <v/>
      </c>
      <c r="P1492" s="17">
        <f t="shared" ca="1" si="70"/>
        <v/>
      </c>
      <c r="Q1492" s="17">
        <f>IFERROR(IF(AND(N1492&lt;&gt;"",ISNUMBER(O1492),O1492&gt;0,O1492&gt;=TODAY()-90),1,0),0)</f>
        <v/>
      </c>
      <c r="R1492" s="17" t="str">
        <f t="shared" si="72"/>
        <v/>
      </c>
      <c r="S1492" s="17" t="str">
        <f>IF(INDEX(Listado!A:A,ROW())="","",INDEX(Listado!A:A,ROW()))</f>
        <v/>
      </c>
      <c r="T1492" s="17" t="str">
        <f ca="1">IF(INDEX(Listado!G:G,ROW())="","",INDEX(Listado!G:G,ROW()))</f>
        <v/>
      </c>
      <c r="U1492" s="17" t="str">
        <f>IF(INDEX(Listado!F:F,ROW())="","",INDEX(Listado!F:F,ROW()))</f>
        <v/>
      </c>
      <c r="V1492" s="17">
        <f>IF(COUNTA(INDEX(Listado!B:B,ROW()):INDEX(Listado!F:F,ROW()))&gt;0,1,0)</f>
        <v/>
      </c>
      <c r="W1492" s="17" t="str">
        <f>IF(INDEX(Listado!L:L,ROW())="","",INDEX(Listado!L:L,ROW()))</f>
        <v/>
      </c>
      <c r="X1492" s="17">
        <f>IF(N1492="","",IF(INDEX(Listado!$M:$M,N1492)="No","No","Sí"))</f>
        <v/>
      </c>
    </row>
    <row r="1493" spans="2:24" ht="14.25">
      <c r="N1493" s="17" t="str">
        <f>IF(V1493=0,"",IFERROR(LOOKUP(2,1/(INDEX(Listado!A:A,2):INDEX(Listado!A:A,ROW())&lt;&gt;""),ROW(INDEX(Listado!A:A,2):INDEX(Listado!A:A,ROW()))),""))</f>
        <v/>
      </c>
      <c r="O1493" s="17" t="str">
        <f>IFERROR(IF(N1493="","",IF(INDEX(Listado!M:M,N1493)="No",IF(INDEX(Listado!N:N,N1493)=0,"",INDEX(Listado!N:N,N1493)),IF(INDEX(Listado!I:I,N1493)=0,"",INDEX(Listado!I:I,N1493)))),"")</f>
        <v/>
      </c>
      <c r="P1493" s="17">
        <f t="shared" ca="1" si="70"/>
        <v/>
      </c>
      <c r="Q1493" s="17">
        <f>IFERROR(IF(AND(N1493&lt;&gt;"",ISNUMBER(O1493),O1493&gt;0,O1493&gt;=TODAY()-90),1,0),0)</f>
        <v/>
      </c>
      <c r="R1493" s="17" t="str">
        <f t="shared" si="72"/>
        <v/>
      </c>
      <c r="S1493" s="17" t="str">
        <f>IF(INDEX(Listado!A:A,ROW())="","",INDEX(Listado!A:A,ROW()))</f>
        <v/>
      </c>
      <c r="T1493" s="17" t="str">
        <f ca="1">IF(INDEX(Listado!G:G,ROW())="","",INDEX(Listado!G:G,ROW()))</f>
        <v/>
      </c>
      <c r="U1493" s="17" t="str">
        <f>IF(INDEX(Listado!F:F,ROW())="","",INDEX(Listado!F:F,ROW()))</f>
        <v/>
      </c>
      <c r="V1493" s="17">
        <f>IF(COUNTA(INDEX(Listado!B:B,ROW()):INDEX(Listado!F:F,ROW()))&gt;0,1,0)</f>
        <v/>
      </c>
      <c r="W1493" s="17" t="str">
        <f>IF(INDEX(Listado!L:L,ROW())="","",INDEX(Listado!L:L,ROW()))</f>
        <v/>
      </c>
      <c r="X1493" s="17">
        <f>IF(N1493="","",IF(INDEX(Listado!$M:$M,N1493)="No","No","Sí"))</f>
        <v/>
      </c>
    </row>
    <row r="1494" spans="2:24" ht="14.25">
      <c r="N1494" s="17" t="str">
        <f>IF(V1494=0,"",IFERROR(LOOKUP(2,1/(INDEX(Listado!A:A,2):INDEX(Listado!A:A,ROW())&lt;&gt;""),ROW(INDEX(Listado!A:A,2):INDEX(Listado!A:A,ROW()))),""))</f>
        <v/>
      </c>
      <c r="O1494" s="17" t="str">
        <f>IFERROR(IF(N1494="","",IF(INDEX(Listado!M:M,N1494)="No",IF(INDEX(Listado!N:N,N1494)=0,"",INDEX(Listado!N:N,N1494)),IF(INDEX(Listado!I:I,N1494)=0,"",INDEX(Listado!I:I,N1494)))),"")</f>
        <v/>
      </c>
      <c r="P1494" s="17">
        <f t="shared" ca="1" si="70"/>
        <v/>
      </c>
      <c r="Q1494" s="17">
        <f>IFERROR(IF(AND(N1494&lt;&gt;"",ISNUMBER(O1494),O1494&gt;0,O1494&gt;=TODAY()-90),1,0),0)</f>
        <v/>
      </c>
      <c r="R1494" s="17" t="str">
        <f t="shared" si="72"/>
        <v/>
      </c>
      <c r="S1494" s="17" t="str">
        <f>IF(INDEX(Listado!A:A,ROW())="","",INDEX(Listado!A:A,ROW()))</f>
        <v/>
      </c>
      <c r="T1494" s="17" t="str">
        <f ca="1">IF(INDEX(Listado!G:G,ROW())="","",INDEX(Listado!G:G,ROW()))</f>
        <v/>
      </c>
      <c r="U1494" s="17" t="str">
        <f>IF(INDEX(Listado!F:F,ROW())="","",INDEX(Listado!F:F,ROW()))</f>
        <v/>
      </c>
      <c r="V1494" s="17">
        <f>IF(COUNTA(INDEX(Listado!B:B,ROW()):INDEX(Listado!F:F,ROW()))&gt;0,1,0)</f>
        <v/>
      </c>
      <c r="W1494" s="17" t="str">
        <f>IF(INDEX(Listado!L:L,ROW())="","",INDEX(Listado!L:L,ROW()))</f>
        <v/>
      </c>
      <c r="X1494" s="17">
        <f>IF(N1494="","",IF(INDEX(Listado!$M:$M,N1494)="No","No","Sí"))</f>
        <v/>
      </c>
    </row>
    <row r="1495" spans="2:24" ht="14.25">
      <c r="N1495" s="17" t="str">
        <f>IF(V1495=0,"",IFERROR(LOOKUP(2,1/(INDEX(Listado!A:A,2):INDEX(Listado!A:A,ROW())&lt;&gt;""),ROW(INDEX(Listado!A:A,2):INDEX(Listado!A:A,ROW()))),""))</f>
        <v/>
      </c>
      <c r="O1495" s="17" t="str">
        <f>IFERROR(IF(N1495="","",IF(INDEX(Listado!M:M,N1495)="No",IF(INDEX(Listado!N:N,N1495)=0,"",INDEX(Listado!N:N,N1495)),IF(INDEX(Listado!I:I,N1495)=0,"",INDEX(Listado!I:I,N1495)))),"")</f>
        <v/>
      </c>
      <c r="P1495" s="17">
        <f t="shared" ca="1" si="70"/>
        <v/>
      </c>
      <c r="Q1495" s="17">
        <f>IFERROR(IF(AND(N1495&lt;&gt;"",ISNUMBER(O1495),O1495&gt;0,O1495&gt;=TODAY()-90),1,0),0)</f>
        <v/>
      </c>
      <c r="R1495" s="17" t="str">
        <f t="shared" si="72"/>
        <v/>
      </c>
      <c r="S1495" s="17" t="str">
        <f>IF(INDEX(Listado!A:A,ROW())="","",INDEX(Listado!A:A,ROW()))</f>
        <v/>
      </c>
      <c r="T1495" s="17" t="str">
        <f ca="1">IF(INDEX(Listado!G:G,ROW())="","",INDEX(Listado!G:G,ROW()))</f>
        <v/>
      </c>
      <c r="U1495" s="17" t="str">
        <f>IF(INDEX(Listado!F:F,ROW())="","",INDEX(Listado!F:F,ROW()))</f>
        <v/>
      </c>
      <c r="V1495" s="17">
        <f>IF(COUNTA(INDEX(Listado!B:B,ROW()):INDEX(Listado!F:F,ROW()))&gt;0,1,0)</f>
        <v/>
      </c>
      <c r="W1495" s="17" t="str">
        <f>IF(INDEX(Listado!L:L,ROW())="","",INDEX(Listado!L:L,ROW()))</f>
        <v/>
      </c>
      <c r="X1495" s="17">
        <f>IF(N1495="","",IF(INDEX(Listado!$M:$M,N1495)="No","No","Sí"))</f>
        <v/>
      </c>
    </row>
    <row r="1496" spans="2:24" ht="14.25">
      <c r="N1496" s="17" t="str">
        <f>IF(V1496=0,"",IFERROR(LOOKUP(2,1/(INDEX(Listado!A:A,2):INDEX(Listado!A:A,ROW())&lt;&gt;""),ROW(INDEX(Listado!A:A,2):INDEX(Listado!A:A,ROW()))),""))</f>
        <v/>
      </c>
      <c r="O1496" s="17" t="str">
        <f>IFERROR(IF(N1496="","",IF(INDEX(Listado!M:M,N1496)="No",IF(INDEX(Listado!N:N,N1496)=0,"",INDEX(Listado!N:N,N1496)),IF(INDEX(Listado!I:I,N1496)=0,"",INDEX(Listado!I:I,N1496)))),"")</f>
        <v/>
      </c>
      <c r="P1496" s="17">
        <f t="shared" ca="1" si="70"/>
        <v/>
      </c>
      <c r="Q1496" s="17">
        <f>IFERROR(IF(AND(N1496&lt;&gt;"",ISNUMBER(O1496),O1496&gt;0,O1496&gt;=TODAY()-90),1,0),0)</f>
        <v/>
      </c>
      <c r="R1496" s="17" t="str">
        <f t="shared" si="72"/>
        <v/>
      </c>
      <c r="S1496" s="17" t="str">
        <f>IF(INDEX(Listado!A:A,ROW())="","",INDEX(Listado!A:A,ROW()))</f>
        <v/>
      </c>
      <c r="T1496" s="17" t="str">
        <f ca="1">IF(INDEX(Listado!G:G,ROW())="","",INDEX(Listado!G:G,ROW()))</f>
        <v/>
      </c>
      <c r="U1496" s="17" t="str">
        <f>IF(INDEX(Listado!F:F,ROW())="","",INDEX(Listado!F:F,ROW()))</f>
        <v/>
      </c>
      <c r="V1496" s="17">
        <f>IF(COUNTA(INDEX(Listado!B:B,ROW()):INDEX(Listado!F:F,ROW()))&gt;0,1,0)</f>
        <v/>
      </c>
      <c r="W1496" s="17" t="str">
        <f>IF(INDEX(Listado!L:L,ROW())="","",INDEX(Listado!L:L,ROW()))</f>
        <v/>
      </c>
      <c r="X1496" s="17">
        <f>IF(N1496="","",IF(INDEX(Listado!$M:$M,N1496)="No","No","Sí"))</f>
        <v/>
      </c>
    </row>
    <row r="1497" spans="2:24" ht="14.25">
      <c r="N1497" s="17" t="str">
        <f>IF(V1497=0,"",IFERROR(LOOKUP(2,1/(INDEX(Listado!A:A,2):INDEX(Listado!A:A,ROW())&lt;&gt;""),ROW(INDEX(Listado!A:A,2):INDEX(Listado!A:A,ROW()))),""))</f>
        <v/>
      </c>
      <c r="O1497" s="17" t="str">
        <f>IFERROR(IF(N1497="","",IF(INDEX(Listado!M:M,N1497)="No",IF(INDEX(Listado!N:N,N1497)=0,"",INDEX(Listado!N:N,N1497)),IF(INDEX(Listado!I:I,N1497)=0,"",INDEX(Listado!I:I,N1497)))),"")</f>
        <v/>
      </c>
      <c r="P1497" s="17">
        <f t="shared" ca="1" si="70"/>
        <v/>
      </c>
      <c r="Q1497" s="17">
        <f>IFERROR(IF(AND(N1497&lt;&gt;"",ISNUMBER(O1497),O1497&gt;0,O1497&gt;=TODAY()-90),1,0),0)</f>
        <v/>
      </c>
      <c r="R1497" s="17" t="str">
        <f t="shared" si="72"/>
        <v/>
      </c>
      <c r="S1497" s="17" t="str">
        <f>IF(INDEX(Listado!A:A,ROW())="","",INDEX(Listado!A:A,ROW()))</f>
        <v/>
      </c>
      <c r="T1497" s="17" t="str">
        <f ca="1">IF(INDEX(Listado!G:G,ROW())="","",INDEX(Listado!G:G,ROW()))</f>
        <v/>
      </c>
      <c r="U1497" s="17" t="str">
        <f>IF(INDEX(Listado!F:F,ROW())="","",INDEX(Listado!F:F,ROW()))</f>
        <v/>
      </c>
      <c r="V1497" s="17">
        <f>IF(COUNTA(INDEX(Listado!B:B,ROW()):INDEX(Listado!F:F,ROW()))&gt;0,1,0)</f>
        <v/>
      </c>
      <c r="W1497" s="17" t="str">
        <f>IF(INDEX(Listado!L:L,ROW())="","",INDEX(Listado!L:L,ROW()))</f>
        <v/>
      </c>
      <c r="X1497" s="17">
        <f>IF(N1497="","",IF(INDEX(Listado!$M:$M,N1497)="No","No","Sí"))</f>
        <v/>
      </c>
    </row>
    <row r="1498" spans="2:24" ht="14.25">
      <c r="N1498" s="17" t="str">
        <f>IF(V1498=0,"",IFERROR(LOOKUP(2,1/(INDEX(Listado!A:A,2):INDEX(Listado!A:A,ROW())&lt;&gt;""),ROW(INDEX(Listado!A:A,2):INDEX(Listado!A:A,ROW()))),""))</f>
        <v/>
      </c>
      <c r="O1498" s="17" t="str">
        <f>IFERROR(IF(N1498="","",IF(INDEX(Listado!M:M,N1498)="No",IF(INDEX(Listado!N:N,N1498)=0,"",INDEX(Listado!N:N,N1498)),IF(INDEX(Listado!I:I,N1498)=0,"",INDEX(Listado!I:I,N1498)))),"")</f>
        <v/>
      </c>
      <c r="P1498" s="17">
        <f t="shared" ca="1" si="70"/>
        <v/>
      </c>
      <c r="Q1498" s="17">
        <f>IFERROR(IF(AND(N1498&lt;&gt;"",ISNUMBER(O1498),O1498&gt;0,O1498&gt;=TODAY()-90),1,0),0)</f>
        <v/>
      </c>
      <c r="R1498" s="17" t="str">
        <f t="shared" si="72"/>
        <v/>
      </c>
      <c r="S1498" s="17" t="str">
        <f>IF(INDEX(Listado!A:A,ROW())="","",INDEX(Listado!A:A,ROW()))</f>
        <v/>
      </c>
      <c r="T1498" s="17" t="str">
        <f ca="1">IF(INDEX(Listado!G:G,ROW())="","",INDEX(Listado!G:G,ROW()))</f>
        <v/>
      </c>
      <c r="U1498" s="17" t="str">
        <f>IF(INDEX(Listado!F:F,ROW())="","",INDEX(Listado!F:F,ROW()))</f>
        <v/>
      </c>
      <c r="V1498" s="17">
        <f>IF(COUNTA(INDEX(Listado!B:B,ROW()):INDEX(Listado!F:F,ROW()))&gt;0,1,0)</f>
        <v/>
      </c>
      <c r="W1498" s="17" t="str">
        <f>IF(INDEX(Listado!L:L,ROW())="","",INDEX(Listado!L:L,ROW()))</f>
        <v/>
      </c>
      <c r="X1498" s="17">
        <f>IF(N1498="","",IF(INDEX(Listado!$M:$M,N1498)="No","No","Sí"))</f>
        <v/>
      </c>
    </row>
    <row r="1499" spans="2:24" ht="14.25">
      <c r="N1499" s="17" t="str">
        <f>IF(V1499=0,"",IFERROR(LOOKUP(2,1/(INDEX(Listado!A:A,2):INDEX(Listado!A:A,ROW())&lt;&gt;""),ROW(INDEX(Listado!A:A,2):INDEX(Listado!A:A,ROW()))),""))</f>
        <v/>
      </c>
      <c r="O1499" s="17" t="str">
        <f>IFERROR(IF(N1499="","",IF(INDEX(Listado!M:M,N1499)="No",IF(INDEX(Listado!N:N,N1499)=0,"",INDEX(Listado!N:N,N1499)),IF(INDEX(Listado!I:I,N1499)=0,"",INDEX(Listado!I:I,N1499)))),"")</f>
        <v/>
      </c>
      <c r="P1499" s="17">
        <f t="shared" ca="1" si="70"/>
        <v/>
      </c>
      <c r="Q1499" s="17">
        <f>IFERROR(IF(AND(N1499&lt;&gt;"",ISNUMBER(O1499),O1499&gt;0,O1499&gt;=TODAY()-90),1,0),0)</f>
        <v/>
      </c>
      <c r="R1499" s="17" t="str">
        <f t="shared" si="72"/>
        <v/>
      </c>
      <c r="S1499" s="17" t="str">
        <f>IF(INDEX(Listado!A:A,ROW())="","",INDEX(Listado!A:A,ROW()))</f>
        <v/>
      </c>
      <c r="T1499" s="17" t="str">
        <f ca="1">IF(INDEX(Listado!G:G,ROW())="","",INDEX(Listado!G:G,ROW()))</f>
        <v/>
      </c>
      <c r="U1499" s="17" t="str">
        <f>IF(INDEX(Listado!F:F,ROW())="","",INDEX(Listado!F:F,ROW()))</f>
        <v/>
      </c>
      <c r="V1499" s="17">
        <f>IF(COUNTA(INDEX(Listado!B:B,ROW()):INDEX(Listado!F:F,ROW()))&gt;0,1,0)</f>
        <v/>
      </c>
      <c r="W1499" s="17" t="str">
        <f>IF(INDEX(Listado!L:L,ROW())="","",INDEX(Listado!L:L,ROW()))</f>
        <v/>
      </c>
      <c r="X1499" s="17">
        <f>IF(N1499="","",IF(INDEX(Listado!$M:$M,N1499)="No","No","Sí"))</f>
        <v/>
      </c>
    </row>
    <row r="1500" spans="2:24" ht="14.25">
      <c r="N1500" s="17" t="str">
        <f>IF(V1500=0,"",IFERROR(LOOKUP(2,1/(INDEX(Listado!A:A,2):INDEX(Listado!A:A,ROW())&lt;&gt;""),ROW(INDEX(Listado!A:A,2):INDEX(Listado!A:A,ROW()))),""))</f>
        <v/>
      </c>
      <c r="O1500" s="17" t="str">
        <f>IFERROR(IF(N1500="","",IF(INDEX(Listado!M:M,N1500)="No",IF(INDEX(Listado!N:N,N1500)=0,"",INDEX(Listado!N:N,N1500)),IF(INDEX(Listado!I:I,N1500)=0,"",INDEX(Listado!I:I,N1500)))),"")</f>
        <v/>
      </c>
      <c r="P1500" s="17">
        <f t="shared" ca="1" si="70"/>
        <v/>
      </c>
      <c r="Q1500" s="17">
        <f>IFERROR(IF(AND(N1500&lt;&gt;"",ISNUMBER(O1500),O1500&gt;0,O1500&gt;=TODAY()-90),1,0),0)</f>
        <v/>
      </c>
      <c r="R1500" s="17" t="str">
        <f t="shared" si="72"/>
        <v/>
      </c>
      <c r="S1500" s="17" t="str">
        <f>IF(INDEX(Listado!A:A,ROW())="","",INDEX(Listado!A:A,ROW()))</f>
        <v/>
      </c>
      <c r="T1500" s="17" t="str">
        <f ca="1">IF(INDEX(Listado!G:G,ROW())="","",INDEX(Listado!G:G,ROW()))</f>
        <v/>
      </c>
      <c r="U1500" s="17" t="str">
        <f>IF(INDEX(Listado!F:F,ROW())="","",INDEX(Listado!F:F,ROW()))</f>
        <v/>
      </c>
      <c r="V1500" s="17">
        <f>IF(COUNTA(INDEX(Listado!B:B,ROW()):INDEX(Listado!F:F,ROW()))&gt;0,1,0)</f>
        <v/>
      </c>
      <c r="W1500" s="17" t="str">
        <f>IF(INDEX(Listado!L:L,ROW())="","",INDEX(Listado!L:L,ROW()))</f>
        <v/>
      </c>
      <c r="X1500" s="17">
        <f>IF(N1500="","",IF(INDEX(Listado!$M:$M,N1500)="No","No","Sí"))</f>
        <v/>
      </c>
    </row>
    <row r="1501" spans="2:24" ht="14.25">
      <c r="N1501" s="17" t="str">
        <f>IF(V1501=0,"",IFERROR(LOOKUP(2,1/(INDEX(Listado!A:A,2):INDEX(Listado!A:A,ROW())&lt;&gt;""),ROW(INDEX(Listado!A:A,2):INDEX(Listado!A:A,ROW()))),""))</f>
        <v/>
      </c>
      <c r="O1501" s="17" t="str">
        <f>IFERROR(IF(N1501="","",IF(INDEX(Listado!M:M,N1501)="No",IF(INDEX(Listado!N:N,N1501)=0,"",INDEX(Listado!N:N,N1501)),IF(INDEX(Listado!I:I,N1501)=0,"",INDEX(Listado!I:I,N1501)))),"")</f>
        <v/>
      </c>
      <c r="P1501" s="17">
        <f t="shared" ca="1" si="70"/>
        <v/>
      </c>
      <c r="Q1501" s="17">
        <f>IFERROR(IF(AND(N1501&lt;&gt;"",ISNUMBER(O1501),O1501&gt;0,O1501&gt;=TODAY()-90),1,0),0)</f>
        <v/>
      </c>
      <c r="R1501" s="17" t="str">
        <f t="shared" si="72"/>
        <v/>
      </c>
      <c r="S1501" s="17" t="str">
        <f>IF(INDEX(Listado!A:A,ROW())="","",INDEX(Listado!A:A,ROW()))</f>
        <v/>
      </c>
      <c r="T1501" s="17" t="str">
        <f ca="1">IF(INDEX(Listado!G:G,ROW())="","",INDEX(Listado!G:G,ROW()))</f>
        <v/>
      </c>
      <c r="U1501" s="17" t="str">
        <f>IF(INDEX(Listado!F:F,ROW())="","",INDEX(Listado!F:F,ROW()))</f>
        <v/>
      </c>
      <c r="V1501" s="17">
        <f>IF(COUNTA(INDEX(Listado!B:B,ROW()):INDEX(Listado!F:F,ROW()))&gt;0,1,0)</f>
        <v/>
      </c>
      <c r="W1501" s="17" t="str">
        <f>IF(INDEX(Listado!L:L,ROW())="","",INDEX(Listado!L:L,ROW()))</f>
        <v/>
      </c>
      <c r="X1501" s="17">
        <f>IF(N1501="","",IF(INDEX(Listado!$M:$M,N1501)="No","No","Sí"))</f>
        <v/>
      </c>
    </row>
    <row r="1502" spans="2:24" ht="14.25">
      <c r="N1502" s="17" t="str">
        <f>IF(V1502=0,"",IFERROR(LOOKUP(2,1/(INDEX(Listado!A:A,2):INDEX(Listado!A:A,ROW())&lt;&gt;""),ROW(INDEX(Listado!A:A,2):INDEX(Listado!A:A,ROW()))),""))</f>
        <v/>
      </c>
      <c r="O1502" s="17" t="str">
        <f>IFERROR(IF(N1502="","",IF(INDEX(Listado!M:M,N1502)="No",IF(INDEX(Listado!N:N,N1502)=0,"",INDEX(Listado!N:N,N1502)),IF(INDEX(Listado!I:I,N1502)=0,"",INDEX(Listado!I:I,N1502)))),"")</f>
        <v/>
      </c>
      <c r="P1502" s="17">
        <f t="shared" ca="1" si="70"/>
        <v/>
      </c>
      <c r="Q1502" s="17">
        <f>IFERROR(IF(AND(N1502&lt;&gt;"",ISNUMBER(O1502),O1502&gt;0,O1502&gt;=TODAY()-90),1,0),0)</f>
        <v/>
      </c>
      <c r="R1502" s="17" t="str">
        <f t="shared" si="72"/>
        <v/>
      </c>
      <c r="S1502" s="17" t="str">
        <f>IF(INDEX(Listado!A:A,ROW())="","",INDEX(Listado!A:A,ROW()))</f>
        <v/>
      </c>
      <c r="T1502" s="17" t="str">
        <f ca="1">IF(INDEX(Listado!G:G,ROW())="","",INDEX(Listado!G:G,ROW()))</f>
        <v/>
      </c>
      <c r="U1502" s="17" t="str">
        <f>IF(INDEX(Listado!F:F,ROW())="","",INDEX(Listado!F:F,ROW()))</f>
        <v/>
      </c>
      <c r="V1502" s="17">
        <f>IF(COUNTA(INDEX(Listado!B:B,ROW()):INDEX(Listado!F:F,ROW()))&gt;0,1,0)</f>
        <v/>
      </c>
      <c r="W1502" s="17" t="str">
        <f>IF(INDEX(Listado!L:L,ROW())="","",INDEX(Listado!L:L,ROW()))</f>
        <v/>
      </c>
      <c r="X1502" s="17">
        <f>IF(N1502="","",IF(INDEX(Listado!$M:$M,N1502)="No","No","Sí"))</f>
        <v/>
      </c>
    </row>
    <row r="1503" spans="2:24" ht="14.25">
      <c r="N1503" s="17" t="str">
        <f>IF(V1503=0,"",IFERROR(LOOKUP(2,1/(INDEX(Listado!A:A,2):INDEX(Listado!A:A,ROW())&lt;&gt;""),ROW(INDEX(Listado!A:A,2):INDEX(Listado!A:A,ROW()))),""))</f>
        <v/>
      </c>
      <c r="O1503" s="17" t="str">
        <f>IFERROR(IF(N1503="","",IF(INDEX(Listado!M:M,N1503)="No",IF(INDEX(Listado!N:N,N1503)=0,"",INDEX(Listado!N:N,N1503)),IF(INDEX(Listado!I:I,N1503)=0,"",INDEX(Listado!I:I,N1503)))),"")</f>
        <v/>
      </c>
      <c r="P1503" s="17">
        <f t="shared" ca="1" si="70"/>
        <v/>
      </c>
      <c r="Q1503" s="17">
        <f>IFERROR(IF(AND(N1503&lt;&gt;"",ISNUMBER(O1503),O1503&gt;0,O1503&gt;=TODAY()-90),1,0),0)</f>
        <v/>
      </c>
      <c r="R1503" s="17" t="str">
        <f t="shared" si="72"/>
        <v/>
      </c>
      <c r="S1503" s="17" t="str">
        <f>IF(INDEX(Listado!A:A,ROW())="","",INDEX(Listado!A:A,ROW()))</f>
        <v/>
      </c>
      <c r="T1503" s="17" t="str">
        <f ca="1">IF(INDEX(Listado!G:G,ROW())="","",INDEX(Listado!G:G,ROW()))</f>
        <v/>
      </c>
      <c r="U1503" s="17" t="str">
        <f>IF(INDEX(Listado!F:F,ROW())="","",INDEX(Listado!F:F,ROW()))</f>
        <v/>
      </c>
      <c r="V1503" s="17">
        <f>IF(COUNTA(INDEX(Listado!B:B,ROW()):INDEX(Listado!F:F,ROW()))&gt;0,1,0)</f>
        <v/>
      </c>
      <c r="W1503" s="17" t="str">
        <f>IF(INDEX(Listado!L:L,ROW())="","",INDEX(Listado!L:L,ROW()))</f>
        <v/>
      </c>
      <c r="X1503" s="17">
        <f>IF(N1503="","",IF(INDEX(Listado!$M:$M,N1503)="No","No","Sí"))</f>
        <v/>
      </c>
    </row>
    <row r="1504" spans="2:24" ht="14.25">
      <c r="N1504" s="17" t="str">
        <f>IF(V1504=0,"",IFERROR(LOOKUP(2,1/(INDEX(Listado!A:A,2):INDEX(Listado!A:A,ROW())&lt;&gt;""),ROW(INDEX(Listado!A:A,2):INDEX(Listado!A:A,ROW()))),""))</f>
        <v/>
      </c>
      <c r="O1504" s="17" t="str">
        <f>IFERROR(IF(N1504="","",IF(INDEX(Listado!M:M,N1504)="No",IF(INDEX(Listado!N:N,N1504)=0,"",INDEX(Listado!N:N,N1504)),IF(INDEX(Listado!I:I,N1504)=0,"",INDEX(Listado!I:I,N1504)))),"")</f>
        <v/>
      </c>
      <c r="P1504" s="17">
        <f t="shared" ca="1" si="70"/>
        <v/>
      </c>
      <c r="Q1504" s="17">
        <f>IFERROR(IF(AND(N1504&lt;&gt;"",ISNUMBER(O1504),O1504&gt;0,O1504&gt;=TODAY()-90),1,0),0)</f>
        <v/>
      </c>
      <c r="R1504" s="17" t="str">
        <f t="shared" si="72"/>
        <v/>
      </c>
      <c r="S1504" s="17" t="str">
        <f>IF(INDEX(Listado!A:A,ROW())="","",INDEX(Listado!A:A,ROW()))</f>
        <v/>
      </c>
      <c r="T1504" s="17" t="str">
        <f ca="1">IF(INDEX(Listado!G:G,ROW())="","",INDEX(Listado!G:G,ROW()))</f>
        <v/>
      </c>
      <c r="U1504" s="17" t="str">
        <f>IF(INDEX(Listado!F:F,ROW())="","",INDEX(Listado!F:F,ROW()))</f>
        <v/>
      </c>
      <c r="V1504" s="17">
        <f>IF(COUNTA(INDEX(Listado!B:B,ROW()):INDEX(Listado!F:F,ROW()))&gt;0,1,0)</f>
        <v/>
      </c>
      <c r="W1504" s="17" t="str">
        <f>IF(INDEX(Listado!L:L,ROW())="","",INDEX(Listado!L:L,ROW()))</f>
        <v/>
      </c>
      <c r="X1504" s="17">
        <f>IF(N1504="","",IF(INDEX(Listado!$M:$M,N1504)="No","No","Sí"))</f>
        <v/>
      </c>
    </row>
    <row r="1505" spans="2:24" ht="14.25">
      <c r="N1505" s="17" t="str">
        <f>IF(V1505=0,"",IFERROR(LOOKUP(2,1/(INDEX(Listado!A:A,2):INDEX(Listado!A:A,ROW())&lt;&gt;""),ROW(INDEX(Listado!A:A,2):INDEX(Listado!A:A,ROW()))),""))</f>
        <v/>
      </c>
      <c r="O1505" s="17" t="str">
        <f>IFERROR(IF(N1505="","",IF(INDEX(Listado!M:M,N1505)="No",IF(INDEX(Listado!N:N,N1505)=0,"",INDEX(Listado!N:N,N1505)),IF(INDEX(Listado!I:I,N1505)=0,"",INDEX(Listado!I:I,N1505)))),"")</f>
        <v/>
      </c>
      <c r="P1505" s="17">
        <f t="shared" ca="1" si="70"/>
        <v/>
      </c>
      <c r="Q1505" s="17">
        <f>IFERROR(IF(AND(N1505&lt;&gt;"",ISNUMBER(O1505),O1505&gt;0,O1505&gt;=TODAY()-90),1,0),0)</f>
        <v/>
      </c>
      <c r="R1505" s="17" t="str">
        <f t="shared" si="72"/>
        <v/>
      </c>
      <c r="S1505" s="17" t="str">
        <f>IF(INDEX(Listado!A:A,ROW())="","",INDEX(Listado!A:A,ROW()))</f>
        <v/>
      </c>
      <c r="T1505" s="17" t="str">
        <f ca="1">IF(INDEX(Listado!G:G,ROW())="","",INDEX(Listado!G:G,ROW()))</f>
        <v/>
      </c>
      <c r="U1505" s="17" t="str">
        <f>IF(INDEX(Listado!F:F,ROW())="","",INDEX(Listado!F:F,ROW()))</f>
        <v/>
      </c>
      <c r="V1505" s="17">
        <f>IF(COUNTA(INDEX(Listado!B:B,ROW()):INDEX(Listado!F:F,ROW()))&gt;0,1,0)</f>
        <v/>
      </c>
      <c r="W1505" s="17" t="str">
        <f>IF(INDEX(Listado!L:L,ROW())="","",INDEX(Listado!L:L,ROW()))</f>
        <v/>
      </c>
      <c r="X1505" s="17">
        <f>IF(N1505="","",IF(INDEX(Listado!$M:$M,N1505)="No","No","Sí"))</f>
        <v/>
      </c>
    </row>
    <row r="1506" spans="2:24" ht="14.25">
      <c r="N1506" s="17" t="str">
        <f>IF(V1506=0,"",IFERROR(LOOKUP(2,1/(INDEX(Listado!A:A,2):INDEX(Listado!A:A,ROW())&lt;&gt;""),ROW(INDEX(Listado!A:A,2):INDEX(Listado!A:A,ROW()))),""))</f>
        <v/>
      </c>
      <c r="O1506" s="17" t="str">
        <f>IFERROR(IF(N1506="","",IF(INDEX(Listado!M:M,N1506)="No",IF(INDEX(Listado!N:N,N1506)=0,"",INDEX(Listado!N:N,N1506)),IF(INDEX(Listado!I:I,N1506)=0,"",INDEX(Listado!I:I,N1506)))),"")</f>
        <v/>
      </c>
      <c r="P1506" s="17">
        <f t="shared" ca="1" si="70"/>
        <v/>
      </c>
      <c r="Q1506" s="17">
        <f>IFERROR(IF(AND(N1506&lt;&gt;"",ISNUMBER(O1506),O1506&gt;0,O1506&gt;=TODAY()-90),1,0),0)</f>
        <v/>
      </c>
      <c r="R1506" s="17" t="str">
        <f t="shared" si="72"/>
        <v/>
      </c>
      <c r="S1506" s="17" t="str">
        <f>IF(INDEX(Listado!A:A,ROW())="","",INDEX(Listado!A:A,ROW()))</f>
        <v/>
      </c>
      <c r="T1506" s="17" t="str">
        <f ca="1">IF(INDEX(Listado!G:G,ROW())="","",INDEX(Listado!G:G,ROW()))</f>
        <v/>
      </c>
      <c r="U1506" s="17" t="str">
        <f>IF(INDEX(Listado!F:F,ROW())="","",INDEX(Listado!F:F,ROW()))</f>
        <v/>
      </c>
      <c r="V1506" s="17">
        <f>IF(COUNTA(INDEX(Listado!B:B,ROW()):INDEX(Listado!F:F,ROW()))&gt;0,1,0)</f>
        <v/>
      </c>
      <c r="W1506" s="17" t="str">
        <f>IF(INDEX(Listado!L:L,ROW())="","",INDEX(Listado!L:L,ROW()))</f>
        <v/>
      </c>
      <c r="X1506" s="17">
        <f>IF(N1506="","",IF(INDEX(Listado!$M:$M,N1506)="No","No","Sí"))</f>
        <v/>
      </c>
    </row>
    <row r="1507" spans="2:24" ht="14.25">
      <c r="N1507" s="17" t="str">
        <f>IF(V1507=0,"",IFERROR(LOOKUP(2,1/(INDEX(Listado!A:A,2):INDEX(Listado!A:A,ROW())&lt;&gt;""),ROW(INDEX(Listado!A:A,2):INDEX(Listado!A:A,ROW()))),""))</f>
        <v/>
      </c>
      <c r="O1507" s="17" t="str">
        <f>IFERROR(IF(N1507="","",IF(INDEX(Listado!M:M,N1507)="No",IF(INDEX(Listado!N:N,N1507)=0,"",INDEX(Listado!N:N,N1507)),IF(INDEX(Listado!I:I,N1507)=0,"",INDEX(Listado!I:I,N1507)))),"")</f>
        <v/>
      </c>
      <c r="P1507" s="17">
        <f t="shared" ca="1" si="70"/>
        <v/>
      </c>
      <c r="Q1507" s="17">
        <f>IFERROR(IF(AND(N1507&lt;&gt;"",ISNUMBER(O1507),O1507&gt;0,O1507&gt;=TODAY()-90),1,0),0)</f>
        <v/>
      </c>
      <c r="R1507" s="17" t="str">
        <f t="shared" si="72"/>
        <v/>
      </c>
      <c r="S1507" s="17" t="str">
        <f>IF(INDEX(Listado!A:A,ROW())="","",INDEX(Listado!A:A,ROW()))</f>
        <v/>
      </c>
      <c r="T1507" s="17" t="str">
        <f ca="1">IF(INDEX(Listado!G:G,ROW())="","",INDEX(Listado!G:G,ROW()))</f>
        <v/>
      </c>
      <c r="U1507" s="17" t="str">
        <f>IF(INDEX(Listado!F:F,ROW())="","",INDEX(Listado!F:F,ROW()))</f>
        <v/>
      </c>
      <c r="V1507" s="17">
        <f>IF(COUNTA(INDEX(Listado!B:B,ROW()):INDEX(Listado!F:F,ROW()))&gt;0,1,0)</f>
        <v/>
      </c>
      <c r="W1507" s="17" t="str">
        <f>IF(INDEX(Listado!L:L,ROW())="","",INDEX(Listado!L:L,ROW()))</f>
        <v/>
      </c>
      <c r="X1507" s="17">
        <f>IF(N1507="","",IF(INDEX(Listado!$M:$M,N1507)="No","No","Sí"))</f>
        <v/>
      </c>
    </row>
    <row r="1508" spans="2:24" ht="14.25">
      <c r="N1508" s="17" t="str">
        <f>IF(V1508=0,"",IFERROR(LOOKUP(2,1/(INDEX(Listado!A:A,2):INDEX(Listado!A:A,ROW())&lt;&gt;""),ROW(INDEX(Listado!A:A,2):INDEX(Listado!A:A,ROW()))),""))</f>
        <v/>
      </c>
      <c r="O1508" s="17" t="str">
        <f>IFERROR(IF(N1508="","",IF(INDEX(Listado!M:M,N1508)="No",IF(INDEX(Listado!N:N,N1508)=0,"",INDEX(Listado!N:N,N1508)),IF(INDEX(Listado!I:I,N1508)=0,"",INDEX(Listado!I:I,N1508)))),"")</f>
        <v/>
      </c>
      <c r="P1508" s="17">
        <f t="shared" ca="1" si="70"/>
        <v/>
      </c>
      <c r="Q1508" s="17">
        <f>IFERROR(IF(AND(N1508&lt;&gt;"",ISNUMBER(O1508),O1508&gt;0,O1508&gt;=TODAY()-90),1,0),0)</f>
        <v/>
      </c>
      <c r="R1508" s="17" t="str">
        <f t="shared" si="72"/>
        <v/>
      </c>
      <c r="S1508" s="17" t="str">
        <f>IF(INDEX(Listado!A:A,ROW())="","",INDEX(Listado!A:A,ROW()))</f>
        <v/>
      </c>
      <c r="T1508" s="17" t="str">
        <f ca="1">IF(INDEX(Listado!G:G,ROW())="","",INDEX(Listado!G:G,ROW()))</f>
        <v/>
      </c>
      <c r="U1508" s="17" t="str">
        <f>IF(INDEX(Listado!F:F,ROW())="","",INDEX(Listado!F:F,ROW()))</f>
        <v/>
      </c>
      <c r="V1508" s="17">
        <f>IF(COUNTA(INDEX(Listado!B:B,ROW()):INDEX(Listado!F:F,ROW()))&gt;0,1,0)</f>
        <v/>
      </c>
      <c r="W1508" s="17" t="str">
        <f>IF(INDEX(Listado!L:L,ROW())="","",INDEX(Listado!L:L,ROW()))</f>
        <v/>
      </c>
      <c r="X1508" s="17">
        <f>IF(N1508="","",IF(INDEX(Listado!$M:$M,N1508)="No","No","Sí"))</f>
        <v/>
      </c>
    </row>
    <row r="1509" spans="2:24" ht="14.25">
      <c r="N1509" s="17" t="str">
        <f>IF(V1509=0,"",IFERROR(LOOKUP(2,1/(INDEX(Listado!A:A,2):INDEX(Listado!A:A,ROW())&lt;&gt;""),ROW(INDEX(Listado!A:A,2):INDEX(Listado!A:A,ROW()))),""))</f>
        <v/>
      </c>
      <c r="O1509" s="17" t="str">
        <f>IFERROR(IF(N1509="","",IF(INDEX(Listado!M:M,N1509)="No",IF(INDEX(Listado!N:N,N1509)=0,"",INDEX(Listado!N:N,N1509)),IF(INDEX(Listado!I:I,N1509)=0,"",INDEX(Listado!I:I,N1509)))),"")</f>
        <v/>
      </c>
      <c r="P1509" s="17">
        <f t="shared" ca="1" si="70"/>
        <v/>
      </c>
      <c r="Q1509" s="17">
        <f>IFERROR(IF(AND(N1509&lt;&gt;"",ISNUMBER(O1509),O1509&gt;0,O1509&gt;=TODAY()-90),1,0),0)</f>
        <v/>
      </c>
      <c r="R1509" s="17" t="str">
        <f t="shared" si="72"/>
        <v/>
      </c>
      <c r="S1509" s="17" t="str">
        <f>IF(INDEX(Listado!A:A,ROW())="","",INDEX(Listado!A:A,ROW()))</f>
        <v/>
      </c>
      <c r="T1509" s="17" t="str">
        <f ca="1">IF(INDEX(Listado!G:G,ROW())="","",INDEX(Listado!G:G,ROW()))</f>
        <v/>
      </c>
      <c r="U1509" s="17" t="str">
        <f>IF(INDEX(Listado!F:F,ROW())="","",INDEX(Listado!F:F,ROW()))</f>
        <v/>
      </c>
      <c r="V1509" s="17">
        <f>IF(COUNTA(INDEX(Listado!B:B,ROW()):INDEX(Listado!F:F,ROW()))&gt;0,1,0)</f>
        <v/>
      </c>
      <c r="W1509" s="17" t="str">
        <f>IF(INDEX(Listado!L:L,ROW())="","",INDEX(Listado!L:L,ROW()))</f>
        <v/>
      </c>
      <c r="X1509" s="17">
        <f>IF(N1509="","",IF(INDEX(Listado!$M:$M,N1509)="No","No","Sí"))</f>
        <v/>
      </c>
    </row>
    <row r="1510" spans="2:24" ht="14.25">
      <c r="N1510" s="17" t="str">
        <f>IF(V1510=0,"",IFERROR(LOOKUP(2,1/(INDEX(Listado!A:A,2):INDEX(Listado!A:A,ROW())&lt;&gt;""),ROW(INDEX(Listado!A:A,2):INDEX(Listado!A:A,ROW()))),""))</f>
        <v/>
      </c>
      <c r="O1510" s="17" t="str">
        <f>IFERROR(IF(N1510="","",IF(INDEX(Listado!M:M,N1510)="No",IF(INDEX(Listado!N:N,N1510)=0,"",INDEX(Listado!N:N,N1510)),IF(INDEX(Listado!I:I,N1510)=0,"",INDEX(Listado!I:I,N1510)))),"")</f>
        <v/>
      </c>
      <c r="P1510" s="17">
        <f t="shared" ca="1" si="70"/>
        <v/>
      </c>
      <c r="Q1510" s="17">
        <f>IFERROR(IF(AND(N1510&lt;&gt;"",ISNUMBER(O1510),O1510&gt;0,O1510&gt;=TODAY()-90),1,0),0)</f>
        <v/>
      </c>
      <c r="R1510" s="17" t="str">
        <f t="shared" si="72"/>
        <v/>
      </c>
      <c r="S1510" s="17" t="str">
        <f>IF(INDEX(Listado!A:A,ROW())="","",INDEX(Listado!A:A,ROW()))</f>
        <v/>
      </c>
      <c r="T1510" s="17" t="str">
        <f ca="1">IF(INDEX(Listado!G:G,ROW())="","",INDEX(Listado!G:G,ROW()))</f>
        <v/>
      </c>
      <c r="U1510" s="17" t="str">
        <f>IF(INDEX(Listado!F:F,ROW())="","",INDEX(Listado!F:F,ROW()))</f>
        <v/>
      </c>
      <c r="V1510" s="17">
        <f>IF(COUNTA(INDEX(Listado!B:B,ROW()):INDEX(Listado!F:F,ROW()))&gt;0,1,0)</f>
        <v/>
      </c>
      <c r="W1510" s="17" t="str">
        <f>IF(INDEX(Listado!L:L,ROW())="","",INDEX(Listado!L:L,ROW()))</f>
        <v/>
      </c>
      <c r="X1510" s="17">
        <f>IF(N1510="","",IF(INDEX(Listado!$M:$M,N1510)="No","No","Sí"))</f>
        <v/>
      </c>
    </row>
    <row r="1511" spans="2:24" ht="14.25">
      <c r="N1511" s="17" t="str">
        <f>IF(V1511=0,"",IFERROR(LOOKUP(2,1/(INDEX(Listado!A:A,2):INDEX(Listado!A:A,ROW())&lt;&gt;""),ROW(INDEX(Listado!A:A,2):INDEX(Listado!A:A,ROW()))),""))</f>
        <v/>
      </c>
      <c r="O1511" s="17" t="str">
        <f>IFERROR(IF(N1511="","",IF(INDEX(Listado!M:M,N1511)="No",IF(INDEX(Listado!N:N,N1511)=0,"",INDEX(Listado!N:N,N1511)),IF(INDEX(Listado!I:I,N1511)=0,"",INDEX(Listado!I:I,N1511)))),"")</f>
        <v/>
      </c>
      <c r="P1511" s="17">
        <f t="shared" ca="1" si="70"/>
        <v/>
      </c>
      <c r="Q1511" s="17">
        <f>IFERROR(IF(AND(N1511&lt;&gt;"",ISNUMBER(O1511),O1511&gt;0,O1511&gt;=TODAY()-90),1,0),0)</f>
        <v/>
      </c>
      <c r="R1511" s="17" t="str">
        <f t="shared" si="72"/>
        <v/>
      </c>
      <c r="S1511" s="17" t="str">
        <f>IF(INDEX(Listado!A:A,ROW())="","",INDEX(Listado!A:A,ROW()))</f>
        <v/>
      </c>
      <c r="T1511" s="17" t="str">
        <f ca="1">IF(INDEX(Listado!G:G,ROW())="","",INDEX(Listado!G:G,ROW()))</f>
        <v/>
      </c>
      <c r="U1511" s="17" t="str">
        <f>IF(INDEX(Listado!F:F,ROW())="","",INDEX(Listado!F:F,ROW()))</f>
        <v/>
      </c>
      <c r="V1511" s="17">
        <f>IF(COUNTA(INDEX(Listado!B:B,ROW()):INDEX(Listado!F:F,ROW()))&gt;0,1,0)</f>
        <v/>
      </c>
      <c r="W1511" s="17" t="str">
        <f>IF(INDEX(Listado!L:L,ROW())="","",INDEX(Listado!L:L,ROW()))</f>
        <v/>
      </c>
      <c r="X1511" s="17">
        <f>IF(N1511="","",IF(INDEX(Listado!$M:$M,N1511)="No","No","Sí"))</f>
        <v/>
      </c>
    </row>
    <row r="1512" spans="2:24" ht="14.25">
      <c r="N1512" s="17" t="str">
        <f>IF(V1512=0,"",IFERROR(LOOKUP(2,1/(INDEX(Listado!A:A,2):INDEX(Listado!A:A,ROW())&lt;&gt;""),ROW(INDEX(Listado!A:A,2):INDEX(Listado!A:A,ROW()))),""))</f>
        <v/>
      </c>
      <c r="O1512" s="17" t="str">
        <f>IFERROR(IF(N1512="","",IF(INDEX(Listado!M:M,N1512)="No",IF(INDEX(Listado!N:N,N1512)=0,"",INDEX(Listado!N:N,N1512)),IF(INDEX(Listado!I:I,N1512)=0,"",INDEX(Listado!I:I,N1512)))),"")</f>
        <v/>
      </c>
      <c r="P1512" s="17">
        <f t="shared" ca="1" si="70"/>
        <v/>
      </c>
      <c r="Q1512" s="17">
        <f>IFERROR(IF(AND(N1512&lt;&gt;"",ISNUMBER(O1512),O1512&gt;0,O1512&gt;=TODAY()-90),1,0),0)</f>
        <v/>
      </c>
      <c r="R1512" s="17" t="str">
        <f t="shared" si="72"/>
        <v/>
      </c>
      <c r="S1512" s="17" t="str">
        <f>IF(INDEX(Listado!A:A,ROW())="","",INDEX(Listado!A:A,ROW()))</f>
        <v/>
      </c>
      <c r="T1512" s="17" t="str">
        <f ca="1">IF(INDEX(Listado!G:G,ROW())="","",INDEX(Listado!G:G,ROW()))</f>
        <v/>
      </c>
      <c r="U1512" s="17" t="str">
        <f>IF(INDEX(Listado!F:F,ROW())="","",INDEX(Listado!F:F,ROW()))</f>
        <v/>
      </c>
      <c r="V1512" s="17">
        <f>IF(COUNTA(INDEX(Listado!B:B,ROW()):INDEX(Listado!F:F,ROW()))&gt;0,1,0)</f>
        <v/>
      </c>
      <c r="W1512" s="17" t="str">
        <f>IF(INDEX(Listado!L:L,ROW())="","",INDEX(Listado!L:L,ROW()))</f>
        <v/>
      </c>
      <c r="X1512" s="17">
        <f>IF(N1512="","",IF(INDEX(Listado!$M:$M,N1512)="No","No","Sí"))</f>
        <v/>
      </c>
    </row>
    <row r="1513" spans="2:24" ht="14.25">
      <c r="N1513" s="17" t="str">
        <f>IF(V1513=0,"",IFERROR(LOOKUP(2,1/(INDEX(Listado!A:A,2):INDEX(Listado!A:A,ROW())&lt;&gt;""),ROW(INDEX(Listado!A:A,2):INDEX(Listado!A:A,ROW()))),""))</f>
        <v/>
      </c>
      <c r="O1513" s="17" t="str">
        <f>IFERROR(IF(N1513="","",IF(INDEX(Listado!M:M,N1513)="No",IF(INDEX(Listado!N:N,N1513)=0,"",INDEX(Listado!N:N,N1513)),IF(INDEX(Listado!I:I,N1513)=0,"",INDEX(Listado!I:I,N1513)))),"")</f>
        <v/>
      </c>
      <c r="P1513" s="17">
        <f t="shared" ca="1" si="70"/>
        <v/>
      </c>
      <c r="Q1513" s="17">
        <f>IFERROR(IF(AND(N1513&lt;&gt;"",ISNUMBER(O1513),O1513&gt;0,O1513&gt;=TODAY()-90),1,0),0)</f>
        <v/>
      </c>
      <c r="R1513" s="17" t="str">
        <f t="shared" si="72"/>
        <v/>
      </c>
      <c r="S1513" s="17" t="str">
        <f>IF(INDEX(Listado!A:A,ROW())="","",INDEX(Listado!A:A,ROW()))</f>
        <v/>
      </c>
      <c r="T1513" s="17" t="str">
        <f ca="1">IF(INDEX(Listado!G:G,ROW())="","",INDEX(Listado!G:G,ROW()))</f>
        <v/>
      </c>
      <c r="U1513" s="17" t="str">
        <f>IF(INDEX(Listado!F:F,ROW())="","",INDEX(Listado!F:F,ROW()))</f>
        <v/>
      </c>
      <c r="V1513" s="17">
        <f>IF(COUNTA(INDEX(Listado!B:B,ROW()):INDEX(Listado!F:F,ROW()))&gt;0,1,0)</f>
        <v/>
      </c>
      <c r="W1513" s="17" t="str">
        <f>IF(INDEX(Listado!L:L,ROW())="","",INDEX(Listado!L:L,ROW()))</f>
        <v/>
      </c>
      <c r="X1513" s="17">
        <f>IF(N1513="","",IF(INDEX(Listado!$M:$M,N1513)="No","No","Sí"))</f>
        <v/>
      </c>
    </row>
    <row r="1514" spans="2:24" ht="14.25">
      <c r="N1514" s="17" t="str">
        <f>IF(V1514=0,"",IFERROR(LOOKUP(2,1/(INDEX(Listado!A:A,2):INDEX(Listado!A:A,ROW())&lt;&gt;""),ROW(INDEX(Listado!A:A,2):INDEX(Listado!A:A,ROW()))),""))</f>
        <v/>
      </c>
      <c r="O1514" s="17" t="str">
        <f>IFERROR(IF(N1514="","",IF(INDEX(Listado!M:M,N1514)="No",IF(INDEX(Listado!N:N,N1514)=0,"",INDEX(Listado!N:N,N1514)),IF(INDEX(Listado!I:I,N1514)=0,"",INDEX(Listado!I:I,N1514)))),"")</f>
        <v/>
      </c>
      <c r="P1514" s="17">
        <f t="shared" ca="1" si="70"/>
        <v/>
      </c>
      <c r="Q1514" s="17">
        <f>IFERROR(IF(AND(N1514&lt;&gt;"",ISNUMBER(O1514),O1514&gt;0,O1514&gt;=TODAY()-90),1,0),0)</f>
        <v/>
      </c>
      <c r="R1514" s="17" t="str">
        <f t="shared" si="72"/>
        <v/>
      </c>
      <c r="S1514" s="17" t="str">
        <f>IF(INDEX(Listado!A:A,ROW())="","",INDEX(Listado!A:A,ROW()))</f>
        <v/>
      </c>
      <c r="T1514" s="17" t="str">
        <f ca="1">IF(INDEX(Listado!G:G,ROW())="","",INDEX(Listado!G:G,ROW()))</f>
        <v/>
      </c>
      <c r="U1514" s="17" t="str">
        <f>IF(INDEX(Listado!F:F,ROW())="","",INDEX(Listado!F:F,ROW()))</f>
        <v/>
      </c>
      <c r="V1514" s="17">
        <f>IF(COUNTA(INDEX(Listado!B:B,ROW()):INDEX(Listado!F:F,ROW()))&gt;0,1,0)</f>
        <v/>
      </c>
      <c r="W1514" s="17" t="str">
        <f>IF(INDEX(Listado!L:L,ROW())="","",INDEX(Listado!L:L,ROW()))</f>
        <v/>
      </c>
      <c r="X1514" s="17">
        <f>IF(N1514="","",IF(INDEX(Listado!$M:$M,N1514)="No","No","Sí"))</f>
        <v/>
      </c>
    </row>
    <row r="1515" spans="2:24" ht="14.25">
      <c r="N1515" s="17" t="str">
        <f>IF(V1515=0,"",IFERROR(LOOKUP(2,1/(INDEX(Listado!A:A,2):INDEX(Listado!A:A,ROW())&lt;&gt;""),ROW(INDEX(Listado!A:A,2):INDEX(Listado!A:A,ROW()))),""))</f>
        <v/>
      </c>
      <c r="O1515" s="17" t="str">
        <f>IFERROR(IF(N1515="","",IF(INDEX(Listado!M:M,N1515)="No",IF(INDEX(Listado!N:N,N1515)=0,"",INDEX(Listado!N:N,N1515)),IF(INDEX(Listado!I:I,N1515)=0,"",INDEX(Listado!I:I,N1515)))),"")</f>
        <v/>
      </c>
      <c r="P1515" s="17">
        <f t="shared" ca="1" si="70"/>
        <v/>
      </c>
      <c r="Q1515" s="17">
        <f>IFERROR(IF(AND(N1515&lt;&gt;"",ISNUMBER(O1515),O1515&gt;0,O1515&gt;=TODAY()-90),1,0),0)</f>
        <v/>
      </c>
      <c r="R1515" s="17" t="str">
        <f t="shared" si="72"/>
        <v/>
      </c>
      <c r="S1515" s="17" t="str">
        <f>IF(INDEX(Listado!A:A,ROW())="","",INDEX(Listado!A:A,ROW()))</f>
        <v/>
      </c>
      <c r="T1515" s="17" t="str">
        <f ca="1">IF(INDEX(Listado!G:G,ROW())="","",INDEX(Listado!G:G,ROW()))</f>
        <v/>
      </c>
      <c r="U1515" s="17" t="str">
        <f>IF(INDEX(Listado!F:F,ROW())="","",INDEX(Listado!F:F,ROW()))</f>
        <v/>
      </c>
      <c r="V1515" s="17">
        <f>IF(COUNTA(INDEX(Listado!B:B,ROW()):INDEX(Listado!F:F,ROW()))&gt;0,1,0)</f>
        <v/>
      </c>
      <c r="W1515" s="17" t="str">
        <f>IF(INDEX(Listado!L:L,ROW())="","",INDEX(Listado!L:L,ROW()))</f>
        <v/>
      </c>
      <c r="X1515" s="17">
        <f>IF(N1515="","",IF(INDEX(Listado!$M:$M,N1515)="No","No","Sí"))</f>
        <v/>
      </c>
    </row>
    <row r="1516" spans="2:24" ht="14.25">
      <c r="N1516" s="17" t="str">
        <f>IF(V1516=0,"",IFERROR(LOOKUP(2,1/(INDEX(Listado!A:A,2):INDEX(Listado!A:A,ROW())&lt;&gt;""),ROW(INDEX(Listado!A:A,2):INDEX(Listado!A:A,ROW()))),""))</f>
        <v/>
      </c>
      <c r="O1516" s="17" t="str">
        <f>IFERROR(IF(N1516="","",IF(INDEX(Listado!M:M,N1516)="No",IF(INDEX(Listado!N:N,N1516)=0,"",INDEX(Listado!N:N,N1516)),IF(INDEX(Listado!I:I,N1516)=0,"",INDEX(Listado!I:I,N1516)))),"")</f>
        <v/>
      </c>
      <c r="P1516" s="17">
        <f t="shared" ca="1" si="70"/>
        <v/>
      </c>
      <c r="Q1516" s="17">
        <f>IFERROR(IF(AND(N1516&lt;&gt;"",ISNUMBER(O1516),O1516&gt;0,O1516&gt;=TODAY()-90),1,0),0)</f>
        <v/>
      </c>
      <c r="R1516" s="17" t="str">
        <f t="shared" si="72"/>
        <v/>
      </c>
      <c r="S1516" s="17" t="str">
        <f>IF(INDEX(Listado!A:A,ROW())="","",INDEX(Listado!A:A,ROW()))</f>
        <v/>
      </c>
      <c r="T1516" s="17" t="str">
        <f ca="1">IF(INDEX(Listado!G:G,ROW())="","",INDEX(Listado!G:G,ROW()))</f>
        <v/>
      </c>
      <c r="U1516" s="17" t="str">
        <f>IF(INDEX(Listado!F:F,ROW())="","",INDEX(Listado!F:F,ROW()))</f>
        <v/>
      </c>
      <c r="V1516" s="17">
        <f>IF(COUNTA(INDEX(Listado!B:B,ROW()):INDEX(Listado!F:F,ROW()))&gt;0,1,0)</f>
        <v/>
      </c>
      <c r="W1516" s="17" t="str">
        <f>IF(INDEX(Listado!L:L,ROW())="","",INDEX(Listado!L:L,ROW()))</f>
        <v/>
      </c>
      <c r="X1516" s="17">
        <f>IF(N1516="","",IF(INDEX(Listado!$M:$M,N1516)="No","No","Sí"))</f>
        <v/>
      </c>
    </row>
    <row r="1517" spans="2:24" ht="14.25">
      <c r="N1517" s="17" t="str">
        <f>IF(V1517=0,"",IFERROR(LOOKUP(2,1/(INDEX(Listado!A:A,2):INDEX(Listado!A:A,ROW())&lt;&gt;""),ROW(INDEX(Listado!A:A,2):INDEX(Listado!A:A,ROW()))),""))</f>
        <v/>
      </c>
      <c r="O1517" s="17" t="str">
        <f>IFERROR(IF(N1517="","",IF(INDEX(Listado!M:M,N1517)="No",IF(INDEX(Listado!N:N,N1517)=0,"",INDEX(Listado!N:N,N1517)),IF(INDEX(Listado!I:I,N1517)=0,"",INDEX(Listado!I:I,N1517)))),"")</f>
        <v/>
      </c>
      <c r="P1517" s="17">
        <f t="shared" ca="1" si="70"/>
        <v/>
      </c>
      <c r="Q1517" s="17">
        <f>IFERROR(IF(AND(N1517&lt;&gt;"",ISNUMBER(O1517),O1517&gt;0,O1517&gt;=TODAY()-90),1,0),0)</f>
        <v/>
      </c>
      <c r="R1517" s="17" t="str">
        <f t="shared" si="72"/>
        <v/>
      </c>
      <c r="S1517" s="17" t="str">
        <f>IF(INDEX(Listado!A:A,ROW())="","",INDEX(Listado!A:A,ROW()))</f>
        <v/>
      </c>
      <c r="T1517" s="17" t="str">
        <f ca="1">IF(INDEX(Listado!G:G,ROW())="","",INDEX(Listado!G:G,ROW()))</f>
        <v/>
      </c>
      <c r="U1517" s="17" t="str">
        <f>IF(INDEX(Listado!F:F,ROW())="","",INDEX(Listado!F:F,ROW()))</f>
        <v/>
      </c>
      <c r="V1517" s="17">
        <f>IF(COUNTA(INDEX(Listado!B:B,ROW()):INDEX(Listado!F:F,ROW()))&gt;0,1,0)</f>
        <v/>
      </c>
      <c r="W1517" s="17" t="str">
        <f>IF(INDEX(Listado!L:L,ROW())="","",INDEX(Listado!L:L,ROW()))</f>
        <v/>
      </c>
      <c r="X1517" s="17">
        <f>IF(N1517="","",IF(INDEX(Listado!$M:$M,N1517)="No","No","Sí"))</f>
        <v/>
      </c>
    </row>
    <row r="1518" spans="2:24" ht="14.25">
      <c r="N1518" s="17" t="str">
        <f>IF(V1518=0,"",IFERROR(LOOKUP(2,1/(INDEX(Listado!A:A,2):INDEX(Listado!A:A,ROW())&lt;&gt;""),ROW(INDEX(Listado!A:A,2):INDEX(Listado!A:A,ROW()))),""))</f>
        <v/>
      </c>
      <c r="O1518" s="17" t="str">
        <f>IFERROR(IF(N1518="","",IF(INDEX(Listado!M:M,N1518)="No",IF(INDEX(Listado!N:N,N1518)=0,"",INDEX(Listado!N:N,N1518)),IF(INDEX(Listado!I:I,N1518)=0,"",INDEX(Listado!I:I,N1518)))),"")</f>
        <v/>
      </c>
      <c r="P1518" s="17">
        <f t="shared" ca="1" si="70"/>
        <v/>
      </c>
      <c r="Q1518" s="17">
        <f>IFERROR(IF(AND(N1518&lt;&gt;"",ISNUMBER(O1518),O1518&gt;0,O1518&gt;=TODAY()-90),1,0),0)</f>
        <v/>
      </c>
      <c r="R1518" s="17" t="str">
        <f t="shared" si="72"/>
        <v/>
      </c>
      <c r="S1518" s="17" t="str">
        <f>IF(INDEX(Listado!A:A,ROW())="","",INDEX(Listado!A:A,ROW()))</f>
        <v/>
      </c>
      <c r="T1518" s="17" t="str">
        <f ca="1">IF(INDEX(Listado!G:G,ROW())="","",INDEX(Listado!G:G,ROW()))</f>
        <v/>
      </c>
      <c r="U1518" s="17" t="str">
        <f>IF(INDEX(Listado!F:F,ROW())="","",INDEX(Listado!F:F,ROW()))</f>
        <v/>
      </c>
      <c r="V1518" s="17">
        <f>IF(COUNTA(INDEX(Listado!B:B,ROW()):INDEX(Listado!F:F,ROW()))&gt;0,1,0)</f>
        <v/>
      </c>
      <c r="W1518" s="17" t="str">
        <f>IF(INDEX(Listado!L:L,ROW())="","",INDEX(Listado!L:L,ROW()))</f>
        <v/>
      </c>
      <c r="X1518" s="17">
        <f>IF(N1518="","",IF(INDEX(Listado!$M:$M,N1518)="No","No","Sí"))</f>
        <v/>
      </c>
    </row>
    <row r="1519" spans="2:24" ht="14.25">
      <c r="N1519" s="17" t="str">
        <f>IF(V1519=0,"",IFERROR(LOOKUP(2,1/(INDEX(Listado!A:A,2):INDEX(Listado!A:A,ROW())&lt;&gt;""),ROW(INDEX(Listado!A:A,2):INDEX(Listado!A:A,ROW()))),""))</f>
        <v/>
      </c>
      <c r="O1519" s="17" t="str">
        <f>IFERROR(IF(N1519="","",IF(INDEX(Listado!M:M,N1519)="No",IF(INDEX(Listado!N:N,N1519)=0,"",INDEX(Listado!N:N,N1519)),IF(INDEX(Listado!I:I,N1519)=0,"",INDEX(Listado!I:I,N1519)))),"")</f>
        <v/>
      </c>
      <c r="P1519" s="17">
        <f t="shared" ca="1" si="70"/>
        <v/>
      </c>
      <c r="Q1519" s="17">
        <f>IFERROR(IF(AND(N1519&lt;&gt;"",ISNUMBER(O1519),O1519&gt;0,O1519&gt;=TODAY()-90),1,0),0)</f>
        <v/>
      </c>
      <c r="R1519" s="17" t="str">
        <f t="shared" si="72"/>
        <v/>
      </c>
      <c r="S1519" s="17" t="str">
        <f>IF(INDEX(Listado!A:A,ROW())="","",INDEX(Listado!A:A,ROW()))</f>
        <v/>
      </c>
      <c r="T1519" s="17" t="str">
        <f ca="1">IF(INDEX(Listado!G:G,ROW())="","",INDEX(Listado!G:G,ROW()))</f>
        <v/>
      </c>
      <c r="U1519" s="17" t="str">
        <f>IF(INDEX(Listado!F:F,ROW())="","",INDEX(Listado!F:F,ROW()))</f>
        <v/>
      </c>
      <c r="V1519" s="17">
        <f>IF(COUNTA(INDEX(Listado!B:B,ROW()):INDEX(Listado!F:F,ROW()))&gt;0,1,0)</f>
        <v/>
      </c>
      <c r="W1519" s="17" t="str">
        <f>IF(INDEX(Listado!L:L,ROW())="","",INDEX(Listado!L:L,ROW()))</f>
        <v/>
      </c>
      <c r="X1519" s="17">
        <f>IF(N1519="","",IF(INDEX(Listado!$M:$M,N1519)="No","No","Sí"))</f>
        <v/>
      </c>
    </row>
    <row r="1520" spans="2:24" ht="14.25">
      <c r="N1520" s="17" t="str">
        <f>IF(V1520=0,"",IFERROR(LOOKUP(2,1/(INDEX(Listado!A:A,2):INDEX(Listado!A:A,ROW())&lt;&gt;""),ROW(INDEX(Listado!A:A,2):INDEX(Listado!A:A,ROW()))),""))</f>
        <v/>
      </c>
      <c r="O1520" s="17" t="str">
        <f>IFERROR(IF(N1520="","",IF(INDEX(Listado!M:M,N1520)="No",IF(INDEX(Listado!N:N,N1520)=0,"",INDEX(Listado!N:N,N1520)),IF(INDEX(Listado!I:I,N1520)=0,"",INDEX(Listado!I:I,N1520)))),"")</f>
        <v/>
      </c>
      <c r="P1520" s="17">
        <f t="shared" ca="1" si="70"/>
        <v/>
      </c>
      <c r="Q1520" s="17">
        <f>IFERROR(IF(AND(N1520&lt;&gt;"",ISNUMBER(O1520),O1520&gt;0,O1520&gt;=TODAY()-90),1,0),0)</f>
        <v/>
      </c>
      <c r="R1520" s="17" t="str">
        <f t="shared" si="72"/>
        <v/>
      </c>
      <c r="S1520" s="17" t="str">
        <f>IF(INDEX(Listado!A:A,ROW())="","",INDEX(Listado!A:A,ROW()))</f>
        <v/>
      </c>
      <c r="T1520" s="17" t="str">
        <f ca="1">IF(INDEX(Listado!G:G,ROW())="","",INDEX(Listado!G:G,ROW()))</f>
        <v/>
      </c>
      <c r="U1520" s="17" t="str">
        <f>IF(INDEX(Listado!F:F,ROW())="","",INDEX(Listado!F:F,ROW()))</f>
        <v/>
      </c>
      <c r="V1520" s="17">
        <f>IF(COUNTA(INDEX(Listado!B:B,ROW()):INDEX(Listado!F:F,ROW()))&gt;0,1,0)</f>
        <v/>
      </c>
      <c r="W1520" s="17" t="str">
        <f>IF(INDEX(Listado!L:L,ROW())="","",INDEX(Listado!L:L,ROW()))</f>
        <v/>
      </c>
      <c r="X1520" s="17">
        <f>IF(N1520="","",IF(INDEX(Listado!$M:$M,N1520)="No","No","Sí"))</f>
        <v/>
      </c>
    </row>
    <row r="1521" spans="2:24" ht="14.25">
      <c r="N1521" s="17" t="str">
        <f>IF(V1521=0,"",IFERROR(LOOKUP(2,1/(INDEX(Listado!A:A,2):INDEX(Listado!A:A,ROW())&lt;&gt;""),ROW(INDEX(Listado!A:A,2):INDEX(Listado!A:A,ROW()))),""))</f>
        <v/>
      </c>
      <c r="O1521" s="17" t="str">
        <f>IFERROR(IF(N1521="","",IF(INDEX(Listado!M:M,N1521)="No",IF(INDEX(Listado!N:N,N1521)=0,"",INDEX(Listado!N:N,N1521)),IF(INDEX(Listado!I:I,N1521)=0,"",INDEX(Listado!I:I,N1521)))),"")</f>
        <v/>
      </c>
      <c r="P1521" s="17">
        <f t="shared" ca="1" si="70"/>
        <v/>
      </c>
      <c r="Q1521" s="17">
        <f>IFERROR(IF(AND(N1521&lt;&gt;"",ISNUMBER(O1521),O1521&gt;0,O1521&gt;=TODAY()-90),1,0),0)</f>
        <v/>
      </c>
      <c r="R1521" s="17" t="str">
        <f t="shared" si="72"/>
        <v/>
      </c>
      <c r="S1521" s="17" t="str">
        <f>IF(INDEX(Listado!A:A,ROW())="","",INDEX(Listado!A:A,ROW()))</f>
        <v/>
      </c>
      <c r="T1521" s="17" t="str">
        <f ca="1">IF(INDEX(Listado!G:G,ROW())="","",INDEX(Listado!G:G,ROW()))</f>
        <v/>
      </c>
      <c r="U1521" s="17" t="str">
        <f>IF(INDEX(Listado!F:F,ROW())="","",INDEX(Listado!F:F,ROW()))</f>
        <v/>
      </c>
      <c r="V1521" s="17">
        <f>IF(COUNTA(INDEX(Listado!B:B,ROW()):INDEX(Listado!F:F,ROW()))&gt;0,1,0)</f>
        <v/>
      </c>
      <c r="W1521" s="17" t="str">
        <f>IF(INDEX(Listado!L:L,ROW())="","",INDEX(Listado!L:L,ROW()))</f>
        <v/>
      </c>
      <c r="X1521" s="17">
        <f>IF(N1521="","",IF(INDEX(Listado!$M:$M,N1521)="No","No","Sí"))</f>
        <v/>
      </c>
    </row>
    <row r="1522" spans="2:24" ht="14.25">
      <c r="N1522" s="17" t="str">
        <f>IF(V1522=0,"",IFERROR(LOOKUP(2,1/(INDEX(Listado!A:A,2):INDEX(Listado!A:A,ROW())&lt;&gt;""),ROW(INDEX(Listado!A:A,2):INDEX(Listado!A:A,ROW()))),""))</f>
        <v/>
      </c>
      <c r="O1522" s="17" t="str">
        <f>IFERROR(IF(N1522="","",IF(INDEX(Listado!M:M,N1522)="No",IF(INDEX(Listado!N:N,N1522)=0,"",INDEX(Listado!N:N,N1522)),IF(INDEX(Listado!I:I,N1522)=0,"",INDEX(Listado!I:I,N1522)))),"")</f>
        <v/>
      </c>
      <c r="P1522" s="17">
        <f t="shared" ca="1" si="70"/>
        <v/>
      </c>
      <c r="Q1522" s="17">
        <f>IFERROR(IF(AND(N1522&lt;&gt;"",ISNUMBER(O1522),O1522&gt;0,O1522&gt;=TODAY()-90),1,0),0)</f>
        <v/>
      </c>
      <c r="R1522" s="17" t="str">
        <f t="shared" si="72"/>
        <v/>
      </c>
      <c r="S1522" s="17" t="str">
        <f>IF(INDEX(Listado!A:A,ROW())="","",INDEX(Listado!A:A,ROW()))</f>
        <v/>
      </c>
      <c r="T1522" s="17" t="str">
        <f ca="1">IF(INDEX(Listado!G:G,ROW())="","",INDEX(Listado!G:G,ROW()))</f>
        <v/>
      </c>
      <c r="U1522" s="17" t="str">
        <f>IF(INDEX(Listado!F:F,ROW())="","",INDEX(Listado!F:F,ROW()))</f>
        <v/>
      </c>
      <c r="V1522" s="17">
        <f>IF(COUNTA(INDEX(Listado!B:B,ROW()):INDEX(Listado!F:F,ROW()))&gt;0,1,0)</f>
        <v/>
      </c>
      <c r="W1522" s="17" t="str">
        <f>IF(INDEX(Listado!L:L,ROW())="","",INDEX(Listado!L:L,ROW()))</f>
        <v/>
      </c>
      <c r="X1522" s="17">
        <f>IF(N1522="","",IF(INDEX(Listado!$M:$M,N1522)="No","No","Sí"))</f>
        <v/>
      </c>
    </row>
    <row r="1523" spans="2:24" ht="14.25">
      <c r="N1523" s="17" t="str">
        <f>IF(V1523=0,"",IFERROR(LOOKUP(2,1/(INDEX(Listado!A:A,2):INDEX(Listado!A:A,ROW())&lt;&gt;""),ROW(INDEX(Listado!A:A,2):INDEX(Listado!A:A,ROW()))),""))</f>
        <v/>
      </c>
      <c r="O1523" s="17" t="str">
        <f>IFERROR(IF(N1523="","",IF(INDEX(Listado!M:M,N1523)="No",IF(INDEX(Listado!N:N,N1523)=0,"",INDEX(Listado!N:N,N1523)),IF(INDEX(Listado!I:I,N1523)=0,"",INDEX(Listado!I:I,N1523)))),"")</f>
        <v/>
      </c>
      <c r="P1523" s="17">
        <f t="shared" ca="1" si="70"/>
        <v/>
      </c>
      <c r="Q1523" s="17">
        <f>IFERROR(IF(AND(N1523&lt;&gt;"",ISNUMBER(O1523),O1523&gt;0,O1523&gt;=TODAY()-90),1,0),0)</f>
        <v/>
      </c>
      <c r="R1523" s="17" t="str">
        <f t="shared" si="72"/>
        <v/>
      </c>
      <c r="S1523" s="17" t="str">
        <f>IF(INDEX(Listado!A:A,ROW())="","",INDEX(Listado!A:A,ROW()))</f>
        <v/>
      </c>
      <c r="T1523" s="17" t="str">
        <f ca="1">IF(INDEX(Listado!G:G,ROW())="","",INDEX(Listado!G:G,ROW()))</f>
        <v/>
      </c>
      <c r="U1523" s="17" t="str">
        <f>IF(INDEX(Listado!F:F,ROW())="","",INDEX(Listado!F:F,ROW()))</f>
        <v/>
      </c>
      <c r="V1523" s="17">
        <f>IF(COUNTA(INDEX(Listado!B:B,ROW()):INDEX(Listado!F:F,ROW()))&gt;0,1,0)</f>
        <v/>
      </c>
      <c r="W1523" s="17" t="str">
        <f>IF(INDEX(Listado!L:L,ROW())="","",INDEX(Listado!L:L,ROW()))</f>
        <v/>
      </c>
      <c r="X1523" s="17">
        <f>IF(N1523="","",IF(INDEX(Listado!$M:$M,N1523)="No","No","Sí"))</f>
        <v/>
      </c>
    </row>
    <row r="1524" spans="2:24" ht="14.25">
      <c r="N1524" s="17" t="str">
        <f>IF(V1524=0,"",IFERROR(LOOKUP(2,1/(INDEX(Listado!A:A,2):INDEX(Listado!A:A,ROW())&lt;&gt;""),ROW(INDEX(Listado!A:A,2):INDEX(Listado!A:A,ROW()))),""))</f>
        <v/>
      </c>
      <c r="O1524" s="17" t="str">
        <f>IFERROR(IF(N1524="","",IF(INDEX(Listado!M:M,N1524)="No",IF(INDEX(Listado!N:N,N1524)=0,"",INDEX(Listado!N:N,N1524)),IF(INDEX(Listado!I:I,N1524)=0,"",INDEX(Listado!I:I,N1524)))),"")</f>
        <v/>
      </c>
      <c r="P1524" s="17">
        <f t="shared" ca="1" si="70"/>
        <v/>
      </c>
      <c r="Q1524" s="17">
        <f>IFERROR(IF(AND(N1524&lt;&gt;"",ISNUMBER(O1524),O1524&gt;0,O1524&gt;=TODAY()-90),1,0),0)</f>
        <v/>
      </c>
      <c r="R1524" s="17" t="str">
        <f t="shared" si="72"/>
        <v/>
      </c>
      <c r="S1524" s="17" t="str">
        <f>IF(INDEX(Listado!A:A,ROW())="","",INDEX(Listado!A:A,ROW()))</f>
        <v/>
      </c>
      <c r="T1524" s="17" t="str">
        <f ca="1">IF(INDEX(Listado!G:G,ROW())="","",INDEX(Listado!G:G,ROW()))</f>
        <v/>
      </c>
      <c r="U1524" s="17" t="str">
        <f>IF(INDEX(Listado!F:F,ROW())="","",INDEX(Listado!F:F,ROW()))</f>
        <v/>
      </c>
      <c r="V1524" s="17">
        <f>IF(COUNTA(INDEX(Listado!B:B,ROW()):INDEX(Listado!F:F,ROW()))&gt;0,1,0)</f>
        <v/>
      </c>
      <c r="W1524" s="17" t="str">
        <f>IF(INDEX(Listado!L:L,ROW())="","",INDEX(Listado!L:L,ROW()))</f>
        <v/>
      </c>
      <c r="X1524" s="17">
        <f>IF(N1524="","",IF(INDEX(Listado!$M:$M,N1524)="No","No","Sí"))</f>
        <v/>
      </c>
    </row>
    <row r="1525" spans="2:24" ht="14.25">
      <c r="N1525" s="17" t="str">
        <f>IF(V1525=0,"",IFERROR(LOOKUP(2,1/(INDEX(Listado!A:A,2):INDEX(Listado!A:A,ROW())&lt;&gt;""),ROW(INDEX(Listado!A:A,2):INDEX(Listado!A:A,ROW()))),""))</f>
        <v/>
      </c>
      <c r="O1525" s="17" t="str">
        <f>IFERROR(IF(N1525="","",IF(INDEX(Listado!M:M,N1525)="No",IF(INDEX(Listado!N:N,N1525)=0,"",INDEX(Listado!N:N,N1525)),IF(INDEX(Listado!I:I,N1525)=0,"",INDEX(Listado!I:I,N1525)))),"")</f>
        <v/>
      </c>
      <c r="P1525" s="17">
        <f t="shared" ca="1" si="70"/>
        <v/>
      </c>
      <c r="Q1525" s="17">
        <f>IFERROR(IF(AND(N1525&lt;&gt;"",ISNUMBER(O1525),O1525&gt;0,O1525&gt;=TODAY()-90),1,0),0)</f>
        <v/>
      </c>
      <c r="R1525" s="17" t="str">
        <f t="shared" si="72"/>
        <v/>
      </c>
      <c r="S1525" s="17" t="str">
        <f>IF(INDEX(Listado!A:A,ROW())="","",INDEX(Listado!A:A,ROW()))</f>
        <v/>
      </c>
      <c r="T1525" s="17" t="str">
        <f ca="1">IF(INDEX(Listado!G:G,ROW())="","",INDEX(Listado!G:G,ROW()))</f>
        <v/>
      </c>
      <c r="U1525" s="17" t="str">
        <f>IF(INDEX(Listado!F:F,ROW())="","",INDEX(Listado!F:F,ROW()))</f>
        <v/>
      </c>
      <c r="V1525" s="17">
        <f>IF(COUNTA(INDEX(Listado!B:B,ROW()):INDEX(Listado!F:F,ROW()))&gt;0,1,0)</f>
        <v/>
      </c>
      <c r="W1525" s="17" t="str">
        <f>IF(INDEX(Listado!L:L,ROW())="","",INDEX(Listado!L:L,ROW()))</f>
        <v/>
      </c>
      <c r="X1525" s="17">
        <f>IF(N1525="","",IF(INDEX(Listado!$M:$M,N1525)="No","No","Sí"))</f>
        <v/>
      </c>
    </row>
    <row r="1526" spans="2:24" ht="14.25">
      <c r="N1526" s="17" t="str">
        <f>IF(V1526=0,"",IFERROR(LOOKUP(2,1/(INDEX(Listado!A:A,2):INDEX(Listado!A:A,ROW())&lt;&gt;""),ROW(INDEX(Listado!A:A,2):INDEX(Listado!A:A,ROW()))),""))</f>
        <v/>
      </c>
      <c r="O1526" s="17" t="str">
        <f>IFERROR(IF(N1526="","",IF(INDEX(Listado!M:M,N1526)="No",IF(INDEX(Listado!N:N,N1526)=0,"",INDEX(Listado!N:N,N1526)),IF(INDEX(Listado!I:I,N1526)=0,"",INDEX(Listado!I:I,N1526)))),"")</f>
        <v/>
      </c>
      <c r="P1526" s="17">
        <f t="shared" ca="1" si="70"/>
        <v/>
      </c>
      <c r="Q1526" s="17">
        <f>IFERROR(IF(AND(N1526&lt;&gt;"",ISNUMBER(O1526),O1526&gt;0,O1526&gt;=TODAY()-90),1,0),0)</f>
        <v/>
      </c>
      <c r="R1526" s="17" t="str">
        <f t="shared" si="72"/>
        <v/>
      </c>
      <c r="S1526" s="17" t="str">
        <f>IF(INDEX(Listado!A:A,ROW())="","",INDEX(Listado!A:A,ROW()))</f>
        <v/>
      </c>
      <c r="T1526" s="17" t="str">
        <f ca="1">IF(INDEX(Listado!G:G,ROW())="","",INDEX(Listado!G:G,ROW()))</f>
        <v/>
      </c>
      <c r="U1526" s="17" t="str">
        <f>IF(INDEX(Listado!F:F,ROW())="","",INDEX(Listado!F:F,ROW()))</f>
        <v/>
      </c>
      <c r="V1526" s="17">
        <f>IF(COUNTA(INDEX(Listado!B:B,ROW()):INDEX(Listado!F:F,ROW()))&gt;0,1,0)</f>
        <v/>
      </c>
      <c r="W1526" s="17" t="str">
        <f>IF(INDEX(Listado!L:L,ROW())="","",INDEX(Listado!L:L,ROW()))</f>
        <v/>
      </c>
      <c r="X1526" s="17">
        <f>IF(N1526="","",IF(INDEX(Listado!$M:$M,N1526)="No","No","Sí"))</f>
        <v/>
      </c>
    </row>
    <row r="1527" spans="2:24" ht="14.25">
      <c r="N1527" s="17" t="str">
        <f>IF(V1527=0,"",IFERROR(LOOKUP(2,1/(INDEX(Listado!A:A,2):INDEX(Listado!A:A,ROW())&lt;&gt;""),ROW(INDEX(Listado!A:A,2):INDEX(Listado!A:A,ROW()))),""))</f>
        <v/>
      </c>
      <c r="O1527" s="17" t="str">
        <f>IFERROR(IF(N1527="","",IF(INDEX(Listado!M:M,N1527)="No",IF(INDEX(Listado!N:N,N1527)=0,"",INDEX(Listado!N:N,N1527)),IF(INDEX(Listado!I:I,N1527)=0,"",INDEX(Listado!I:I,N1527)))),"")</f>
        <v/>
      </c>
      <c r="P1527" s="17">
        <f t="shared" ca="1" si="70"/>
        <v/>
      </c>
      <c r="Q1527" s="17">
        <f>IFERROR(IF(AND(N1527&lt;&gt;"",ISNUMBER(O1527),O1527&gt;0,O1527&gt;=TODAY()-90),1,0),0)</f>
        <v/>
      </c>
      <c r="R1527" s="17" t="str">
        <f t="shared" si="72"/>
        <v/>
      </c>
      <c r="S1527" s="17" t="str">
        <f>IF(INDEX(Listado!A:A,ROW())="","",INDEX(Listado!A:A,ROW()))</f>
        <v/>
      </c>
      <c r="T1527" s="17" t="str">
        <f ca="1">IF(INDEX(Listado!G:G,ROW())="","",INDEX(Listado!G:G,ROW()))</f>
        <v/>
      </c>
      <c r="U1527" s="17" t="str">
        <f>IF(INDEX(Listado!F:F,ROW())="","",INDEX(Listado!F:F,ROW()))</f>
        <v/>
      </c>
      <c r="V1527" s="17">
        <f>IF(COUNTA(INDEX(Listado!B:B,ROW()):INDEX(Listado!F:F,ROW()))&gt;0,1,0)</f>
        <v/>
      </c>
      <c r="W1527" s="17" t="str">
        <f>IF(INDEX(Listado!L:L,ROW())="","",INDEX(Listado!L:L,ROW()))</f>
        <v/>
      </c>
      <c r="X1527" s="17">
        <f>IF(N1527="","",IF(INDEX(Listado!$M:$M,N1527)="No","No","Sí"))</f>
        <v/>
      </c>
    </row>
    <row r="1528" spans="2:24" ht="14.25">
      <c r="N1528" s="17" t="str">
        <f>IF(V1528=0,"",IFERROR(LOOKUP(2,1/(INDEX(Listado!A:A,2):INDEX(Listado!A:A,ROW())&lt;&gt;""),ROW(INDEX(Listado!A:A,2):INDEX(Listado!A:A,ROW()))),""))</f>
        <v/>
      </c>
      <c r="O1528" s="17" t="str">
        <f>IFERROR(IF(N1528="","",IF(INDEX(Listado!M:M,N1528)="No",IF(INDEX(Listado!N:N,N1528)=0,"",INDEX(Listado!N:N,N1528)),IF(INDEX(Listado!I:I,N1528)=0,"",INDEX(Listado!I:I,N1528)))),"")</f>
        <v/>
      </c>
      <c r="P1528" s="17">
        <f t="shared" ca="1" si="70"/>
        <v/>
      </c>
      <c r="Q1528" s="17">
        <f>IFERROR(IF(AND(N1528&lt;&gt;"",ISNUMBER(O1528),O1528&gt;0,O1528&gt;=TODAY()-90),1,0),0)</f>
        <v/>
      </c>
      <c r="R1528" s="17" t="str">
        <f t="shared" si="72"/>
        <v/>
      </c>
      <c r="S1528" s="17" t="str">
        <f>IF(INDEX(Listado!A:A,ROW())="","",INDEX(Listado!A:A,ROW()))</f>
        <v/>
      </c>
      <c r="T1528" s="17" t="str">
        <f ca="1">IF(INDEX(Listado!G:G,ROW())="","",INDEX(Listado!G:G,ROW()))</f>
        <v/>
      </c>
      <c r="U1528" s="17" t="str">
        <f>IF(INDEX(Listado!F:F,ROW())="","",INDEX(Listado!F:F,ROW()))</f>
        <v/>
      </c>
      <c r="V1528" s="17">
        <f>IF(COUNTA(INDEX(Listado!B:B,ROW()):INDEX(Listado!F:F,ROW()))&gt;0,1,0)</f>
        <v/>
      </c>
      <c r="W1528" s="17" t="str">
        <f>IF(INDEX(Listado!L:L,ROW())="","",INDEX(Listado!L:L,ROW()))</f>
        <v/>
      </c>
      <c r="X1528" s="17">
        <f>IF(N1528="","",IF(INDEX(Listado!$M:$M,N1528)="No","No","Sí"))</f>
        <v/>
      </c>
    </row>
    <row r="1529" spans="2:24" ht="14.25">
      <c r="N1529" s="17" t="str">
        <f>IF(V1529=0,"",IFERROR(LOOKUP(2,1/(INDEX(Listado!A:A,2):INDEX(Listado!A:A,ROW())&lt;&gt;""),ROW(INDEX(Listado!A:A,2):INDEX(Listado!A:A,ROW()))),""))</f>
        <v/>
      </c>
      <c r="O1529" s="17" t="str">
        <f>IFERROR(IF(N1529="","",IF(INDEX(Listado!M:M,N1529)="No",IF(INDEX(Listado!N:N,N1529)=0,"",INDEX(Listado!N:N,N1529)),IF(INDEX(Listado!I:I,N1529)=0,"",INDEX(Listado!I:I,N1529)))),"")</f>
        <v/>
      </c>
      <c r="P1529" s="17">
        <f t="shared" ca="1" si="70"/>
        <v/>
      </c>
      <c r="Q1529" s="17">
        <f>IFERROR(IF(AND(N1529&lt;&gt;"",ISNUMBER(O1529),O1529&gt;0,O1529&gt;=TODAY()-90),1,0),0)</f>
        <v/>
      </c>
      <c r="R1529" s="17" t="str">
        <f t="shared" si="72"/>
        <v/>
      </c>
      <c r="S1529" s="17" t="str">
        <f>IF(INDEX(Listado!A:A,ROW())="","",INDEX(Listado!A:A,ROW()))</f>
        <v/>
      </c>
      <c r="T1529" s="17" t="str">
        <f ca="1">IF(INDEX(Listado!G:G,ROW())="","",INDEX(Listado!G:G,ROW()))</f>
        <v/>
      </c>
      <c r="U1529" s="17" t="str">
        <f>IF(INDEX(Listado!F:F,ROW())="","",INDEX(Listado!F:F,ROW()))</f>
        <v/>
      </c>
      <c r="V1529" s="17">
        <f>IF(COUNTA(INDEX(Listado!B:B,ROW()):INDEX(Listado!F:F,ROW()))&gt;0,1,0)</f>
        <v/>
      </c>
      <c r="W1529" s="17" t="str">
        <f>IF(INDEX(Listado!L:L,ROW())="","",INDEX(Listado!L:L,ROW()))</f>
        <v/>
      </c>
      <c r="X1529" s="17">
        <f>IF(N1529="","",IF(INDEX(Listado!$M:$M,N1529)="No","No","Sí"))</f>
        <v/>
      </c>
    </row>
    <row r="1530" spans="2:24" ht="14.25">
      <c r="N1530" s="17" t="str">
        <f>IF(V1530=0,"",IFERROR(LOOKUP(2,1/(INDEX(Listado!A:A,2):INDEX(Listado!A:A,ROW())&lt;&gt;""),ROW(INDEX(Listado!A:A,2):INDEX(Listado!A:A,ROW()))),""))</f>
        <v/>
      </c>
      <c r="O1530" s="17" t="str">
        <f>IFERROR(IF(N1530="","",IF(INDEX(Listado!M:M,N1530)="No",IF(INDEX(Listado!N:N,N1530)=0,"",INDEX(Listado!N:N,N1530)),IF(INDEX(Listado!I:I,N1530)=0,"",INDEX(Listado!I:I,N1530)))),"")</f>
        <v/>
      </c>
      <c r="P1530" s="17">
        <f t="shared" ca="1" si="70"/>
        <v/>
      </c>
      <c r="Q1530" s="17">
        <f>IFERROR(IF(AND(N1530&lt;&gt;"",ISNUMBER(O1530),O1530&gt;0,O1530&gt;=TODAY()-90),1,0),0)</f>
        <v/>
      </c>
      <c r="R1530" s="17" t="str">
        <f t="shared" si="72"/>
        <v/>
      </c>
      <c r="S1530" s="17" t="str">
        <f>IF(INDEX(Listado!A:A,ROW())="","",INDEX(Listado!A:A,ROW()))</f>
        <v/>
      </c>
      <c r="T1530" s="17" t="str">
        <f ca="1">IF(INDEX(Listado!G:G,ROW())="","",INDEX(Listado!G:G,ROW()))</f>
        <v/>
      </c>
      <c r="U1530" s="17" t="str">
        <f>IF(INDEX(Listado!F:F,ROW())="","",INDEX(Listado!F:F,ROW()))</f>
        <v/>
      </c>
      <c r="V1530" s="17">
        <f>IF(COUNTA(INDEX(Listado!B:B,ROW()):INDEX(Listado!F:F,ROW()))&gt;0,1,0)</f>
        <v/>
      </c>
      <c r="W1530" s="17" t="str">
        <f>IF(INDEX(Listado!L:L,ROW())="","",INDEX(Listado!L:L,ROW()))</f>
        <v/>
      </c>
      <c r="X1530" s="17">
        <f>IF(N1530="","",IF(INDEX(Listado!$M:$M,N1530)="No","No","Sí"))</f>
        <v/>
      </c>
    </row>
    <row r="1531" spans="2:24" ht="14.25">
      <c r="N1531" s="17" t="str">
        <f>IF(V1531=0,"",IFERROR(LOOKUP(2,1/(INDEX(Listado!A:A,2):INDEX(Listado!A:A,ROW())&lt;&gt;""),ROW(INDEX(Listado!A:A,2):INDEX(Listado!A:A,ROW()))),""))</f>
        <v/>
      </c>
      <c r="O1531" s="17" t="str">
        <f>IFERROR(IF(N1531="","",IF(INDEX(Listado!M:M,N1531)="No",IF(INDEX(Listado!N:N,N1531)=0,"",INDEX(Listado!N:N,N1531)),IF(INDEX(Listado!I:I,N1531)=0,"",INDEX(Listado!I:I,N1531)))),"")</f>
        <v/>
      </c>
      <c r="P1531" s="17">
        <f t="shared" ca="1" si="70"/>
        <v/>
      </c>
      <c r="Q1531" s="17">
        <f>IFERROR(IF(AND(N1531&lt;&gt;"",ISNUMBER(O1531),O1531&gt;0,O1531&gt;=TODAY()-90),1,0),0)</f>
        <v/>
      </c>
      <c r="R1531" s="17" t="str">
        <f t="shared" si="72"/>
        <v/>
      </c>
      <c r="S1531" s="17" t="str">
        <f>IF(INDEX(Listado!A:A,ROW())="","",INDEX(Listado!A:A,ROW()))</f>
        <v/>
      </c>
      <c r="T1531" s="17" t="str">
        <f ca="1">IF(INDEX(Listado!G:G,ROW())="","",INDEX(Listado!G:G,ROW()))</f>
        <v/>
      </c>
      <c r="U1531" s="17" t="str">
        <f>IF(INDEX(Listado!F:F,ROW())="","",INDEX(Listado!F:F,ROW()))</f>
        <v/>
      </c>
      <c r="V1531" s="17">
        <f>IF(COUNTA(INDEX(Listado!B:B,ROW()):INDEX(Listado!F:F,ROW()))&gt;0,1,0)</f>
        <v/>
      </c>
      <c r="W1531" s="17" t="str">
        <f>IF(INDEX(Listado!L:L,ROW())="","",INDEX(Listado!L:L,ROW()))</f>
        <v/>
      </c>
      <c r="X1531" s="17">
        <f>IF(N1531="","",IF(INDEX(Listado!$M:$M,N1531)="No","No","Sí"))</f>
        <v/>
      </c>
    </row>
    <row r="1532" spans="2:24" ht="14.25">
      <c r="N1532" s="17" t="str">
        <f>IF(V1532=0,"",IFERROR(LOOKUP(2,1/(INDEX(Listado!A:A,2):INDEX(Listado!A:A,ROW())&lt;&gt;""),ROW(INDEX(Listado!A:A,2):INDEX(Listado!A:A,ROW()))),""))</f>
        <v/>
      </c>
      <c r="O1532" s="17" t="str">
        <f>IFERROR(IF(N1532="","",IF(INDEX(Listado!M:M,N1532)="No",IF(INDEX(Listado!N:N,N1532)=0,"",INDEX(Listado!N:N,N1532)),IF(INDEX(Listado!I:I,N1532)=0,"",INDEX(Listado!I:I,N1532)))),"")</f>
        <v/>
      </c>
      <c r="P1532" s="17">
        <f t="shared" ca="1" si="70"/>
        <v/>
      </c>
      <c r="Q1532" s="17">
        <f>IFERROR(IF(AND(N1532&lt;&gt;"",ISNUMBER(O1532),O1532&gt;0,O1532&gt;=TODAY()-90),1,0),0)</f>
        <v/>
      </c>
      <c r="R1532" s="17" t="str">
        <f t="shared" si="72"/>
        <v/>
      </c>
      <c r="S1532" s="17" t="str">
        <f>IF(INDEX(Listado!A:A,ROW())="","",INDEX(Listado!A:A,ROW()))</f>
        <v/>
      </c>
      <c r="T1532" s="17" t="str">
        <f ca="1">IF(INDEX(Listado!G:G,ROW())="","",INDEX(Listado!G:G,ROW()))</f>
        <v/>
      </c>
      <c r="U1532" s="17" t="str">
        <f>IF(INDEX(Listado!F:F,ROW())="","",INDEX(Listado!F:F,ROW()))</f>
        <v/>
      </c>
      <c r="V1532" s="17">
        <f>IF(COUNTA(INDEX(Listado!B:B,ROW()):INDEX(Listado!F:F,ROW()))&gt;0,1,0)</f>
        <v/>
      </c>
      <c r="W1532" s="17" t="str">
        <f>IF(INDEX(Listado!L:L,ROW())="","",INDEX(Listado!L:L,ROW()))</f>
        <v/>
      </c>
      <c r="X1532" s="17">
        <f>IF(N1532="","",IF(INDEX(Listado!$M:$M,N1532)="No","No","Sí"))</f>
        <v/>
      </c>
    </row>
    <row r="1533" spans="2:24" ht="14.25">
      <c r="N1533" s="17" t="str">
        <f>IF(V1533=0,"",IFERROR(LOOKUP(2,1/(INDEX(Listado!A:A,2):INDEX(Listado!A:A,ROW())&lt;&gt;""),ROW(INDEX(Listado!A:A,2):INDEX(Listado!A:A,ROW()))),""))</f>
        <v/>
      </c>
      <c r="O1533" s="17" t="str">
        <f>IFERROR(IF(N1533="","",IF(INDEX(Listado!M:M,N1533)="No",IF(INDEX(Listado!N:N,N1533)=0,"",INDEX(Listado!N:N,N1533)),IF(INDEX(Listado!I:I,N1533)=0,"",INDEX(Listado!I:I,N1533)))),"")</f>
        <v/>
      </c>
      <c r="P1533" s="17">
        <f t="shared" ca="1" si="70"/>
        <v/>
      </c>
      <c r="Q1533" s="17">
        <f>IFERROR(IF(AND(N1533&lt;&gt;"",ISNUMBER(O1533),O1533&gt;0,O1533&gt;=TODAY()-90),1,0),0)</f>
        <v/>
      </c>
      <c r="R1533" s="17" t="str">
        <f t="shared" si="72"/>
        <v/>
      </c>
      <c r="S1533" s="17" t="str">
        <f>IF(INDEX(Listado!A:A,ROW())="","",INDEX(Listado!A:A,ROW()))</f>
        <v/>
      </c>
      <c r="T1533" s="17" t="str">
        <f ca="1">IF(INDEX(Listado!G:G,ROW())="","",INDEX(Listado!G:G,ROW()))</f>
        <v/>
      </c>
      <c r="U1533" s="17" t="str">
        <f>IF(INDEX(Listado!F:F,ROW())="","",INDEX(Listado!F:F,ROW()))</f>
        <v/>
      </c>
      <c r="V1533" s="17">
        <f>IF(COUNTA(INDEX(Listado!B:B,ROW()):INDEX(Listado!F:F,ROW()))&gt;0,1,0)</f>
        <v/>
      </c>
      <c r="W1533" s="17" t="str">
        <f>IF(INDEX(Listado!L:L,ROW())="","",INDEX(Listado!L:L,ROW()))</f>
        <v/>
      </c>
      <c r="X1533" s="17">
        <f>IF(N1533="","",IF(INDEX(Listado!$M:$M,N1533)="No","No","Sí"))</f>
        <v/>
      </c>
    </row>
    <row r="1534" spans="2:24" ht="14.25">
      <c r="N1534" s="17" t="str">
        <f>IF(V1534=0,"",IFERROR(LOOKUP(2,1/(INDEX(Listado!A:A,2):INDEX(Listado!A:A,ROW())&lt;&gt;""),ROW(INDEX(Listado!A:A,2):INDEX(Listado!A:A,ROW()))),""))</f>
        <v/>
      </c>
      <c r="O1534" s="17" t="str">
        <f>IFERROR(IF(N1534="","",IF(INDEX(Listado!M:M,N1534)="No",IF(INDEX(Listado!N:N,N1534)=0,"",INDEX(Listado!N:N,N1534)),IF(INDEX(Listado!I:I,N1534)=0,"",INDEX(Listado!I:I,N1534)))),"")</f>
        <v/>
      </c>
      <c r="P1534" s="17">
        <f t="shared" ca="1" si="70"/>
        <v/>
      </c>
      <c r="Q1534" s="17">
        <f>IFERROR(IF(AND(N1534&lt;&gt;"",ISNUMBER(O1534),O1534&gt;0,O1534&gt;=TODAY()-90),1,0),0)</f>
        <v/>
      </c>
      <c r="R1534" s="17" t="str">
        <f t="shared" si="72"/>
        <v/>
      </c>
      <c r="S1534" s="17" t="str">
        <f>IF(INDEX(Listado!A:A,ROW())="","",INDEX(Listado!A:A,ROW()))</f>
        <v/>
      </c>
      <c r="T1534" s="17" t="str">
        <f ca="1">IF(INDEX(Listado!G:G,ROW())="","",INDEX(Listado!G:G,ROW()))</f>
        <v/>
      </c>
      <c r="U1534" s="17" t="str">
        <f>IF(INDEX(Listado!F:F,ROW())="","",INDEX(Listado!F:F,ROW()))</f>
        <v/>
      </c>
      <c r="V1534" s="17">
        <f>IF(COUNTA(INDEX(Listado!B:B,ROW()):INDEX(Listado!F:F,ROW()))&gt;0,1,0)</f>
        <v/>
      </c>
      <c r="W1534" s="17" t="str">
        <f>IF(INDEX(Listado!L:L,ROW())="","",INDEX(Listado!L:L,ROW()))</f>
        <v/>
      </c>
      <c r="X1534" s="17">
        <f>IF(N1534="","",IF(INDEX(Listado!$M:$M,N1534)="No","No","Sí"))</f>
        <v/>
      </c>
    </row>
    <row r="1535" spans="2:24" ht="14.25">
      <c r="N1535" s="17" t="str">
        <f>IF(V1535=0,"",IFERROR(LOOKUP(2,1/(INDEX(Listado!A:A,2):INDEX(Listado!A:A,ROW())&lt;&gt;""),ROW(INDEX(Listado!A:A,2):INDEX(Listado!A:A,ROW()))),""))</f>
        <v/>
      </c>
      <c r="O1535" s="17" t="str">
        <f>IFERROR(IF(N1535="","",IF(INDEX(Listado!M:M,N1535)="No",IF(INDEX(Listado!N:N,N1535)=0,"",INDEX(Listado!N:N,N1535)),IF(INDEX(Listado!I:I,N1535)=0,"",INDEX(Listado!I:I,N1535)))),"")</f>
        <v/>
      </c>
      <c r="P1535" s="17">
        <f t="shared" ca="1" si="70"/>
        <v/>
      </c>
      <c r="Q1535" s="17">
        <f>IFERROR(IF(AND(N1535&lt;&gt;"",ISNUMBER(O1535),O1535&gt;0,O1535&gt;=TODAY()-90),1,0),0)</f>
        <v/>
      </c>
      <c r="R1535" s="17" t="str">
        <f t="shared" si="72"/>
        <v/>
      </c>
      <c r="S1535" s="17" t="str">
        <f>IF(INDEX(Listado!A:A,ROW())="","",INDEX(Listado!A:A,ROW()))</f>
        <v/>
      </c>
      <c r="T1535" s="17" t="str">
        <f ca="1">IF(INDEX(Listado!G:G,ROW())="","",INDEX(Listado!G:G,ROW()))</f>
        <v/>
      </c>
      <c r="U1535" s="17" t="str">
        <f>IF(INDEX(Listado!F:F,ROW())="","",INDEX(Listado!F:F,ROW()))</f>
        <v/>
      </c>
      <c r="V1535" s="17">
        <f>IF(COUNTA(INDEX(Listado!B:B,ROW()):INDEX(Listado!F:F,ROW()))&gt;0,1,0)</f>
        <v/>
      </c>
      <c r="W1535" s="17" t="str">
        <f>IF(INDEX(Listado!L:L,ROW())="","",INDEX(Listado!L:L,ROW()))</f>
        <v/>
      </c>
      <c r="X1535" s="17">
        <f>IF(N1535="","",IF(INDEX(Listado!$M:$M,N1535)="No","No","Sí"))</f>
        <v/>
      </c>
    </row>
    <row r="1536" spans="2:24" ht="14.25">
      <c r="N1536" s="17" t="str">
        <f>IF(V1536=0,"",IFERROR(LOOKUP(2,1/(INDEX(Listado!A:A,2):INDEX(Listado!A:A,ROW())&lt;&gt;""),ROW(INDEX(Listado!A:A,2):INDEX(Listado!A:A,ROW()))),""))</f>
        <v/>
      </c>
      <c r="O1536" s="17" t="str">
        <f>IFERROR(IF(N1536="","",IF(INDEX(Listado!M:M,N1536)="No",IF(INDEX(Listado!N:N,N1536)=0,"",INDEX(Listado!N:N,N1536)),IF(INDEX(Listado!I:I,N1536)=0,"",INDEX(Listado!I:I,N1536)))),"")</f>
        <v/>
      </c>
      <c r="P1536" s="17">
        <f t="shared" ca="1" si="70"/>
        <v/>
      </c>
      <c r="Q1536" s="17">
        <f>IFERROR(IF(AND(N1536&lt;&gt;"",ISNUMBER(O1536),O1536&gt;0,O1536&gt;=TODAY()-90),1,0),0)</f>
        <v/>
      </c>
      <c r="R1536" s="17" t="str">
        <f t="shared" si="72"/>
        <v/>
      </c>
      <c r="S1536" s="17" t="str">
        <f>IF(INDEX(Listado!A:A,ROW())="","",INDEX(Listado!A:A,ROW()))</f>
        <v/>
      </c>
      <c r="T1536" s="17" t="str">
        <f ca="1">IF(INDEX(Listado!G:G,ROW())="","",INDEX(Listado!G:G,ROW()))</f>
        <v/>
      </c>
      <c r="U1536" s="17" t="str">
        <f>IF(INDEX(Listado!F:F,ROW())="","",INDEX(Listado!F:F,ROW()))</f>
        <v/>
      </c>
      <c r="V1536" s="17">
        <f>IF(COUNTA(INDEX(Listado!B:B,ROW()):INDEX(Listado!F:F,ROW()))&gt;0,1,0)</f>
        <v/>
      </c>
      <c r="W1536" s="17" t="str">
        <f>IF(INDEX(Listado!L:L,ROW())="","",INDEX(Listado!L:L,ROW()))</f>
        <v/>
      </c>
      <c r="X1536" s="17">
        <f>IF(N1536="","",IF(INDEX(Listado!$M:$M,N1536)="No","No","Sí"))</f>
        <v/>
      </c>
    </row>
    <row r="1537" spans="2:24" ht="14.25">
      <c r="N1537" s="17" t="str">
        <f>IF(V1537=0,"",IFERROR(LOOKUP(2,1/(INDEX(Listado!A:A,2):INDEX(Listado!A:A,ROW())&lt;&gt;""),ROW(INDEX(Listado!A:A,2):INDEX(Listado!A:A,ROW()))),""))</f>
        <v/>
      </c>
      <c r="O1537" s="17" t="str">
        <f>IFERROR(IF(N1537="","",IF(INDEX(Listado!M:M,N1537)="No",IF(INDEX(Listado!N:N,N1537)=0,"",INDEX(Listado!N:N,N1537)),IF(INDEX(Listado!I:I,N1537)=0,"",INDEX(Listado!I:I,N1537)))),"")</f>
        <v/>
      </c>
      <c r="P1537" s="17">
        <f t="shared" ca="1" si="70"/>
        <v/>
      </c>
      <c r="Q1537" s="17">
        <f>IFERROR(IF(AND(N1537&lt;&gt;"",ISNUMBER(O1537),O1537&gt;0,O1537&gt;=TODAY()-90),1,0),0)</f>
        <v/>
      </c>
      <c r="R1537" s="17" t="str">
        <f t="shared" si="72"/>
        <v/>
      </c>
      <c r="S1537" s="17" t="str">
        <f>IF(INDEX(Listado!A:A,ROW())="","",INDEX(Listado!A:A,ROW()))</f>
        <v/>
      </c>
      <c r="T1537" s="17" t="str">
        <f ca="1">IF(INDEX(Listado!G:G,ROW())="","",INDEX(Listado!G:G,ROW()))</f>
        <v/>
      </c>
      <c r="U1537" s="17" t="str">
        <f>IF(INDEX(Listado!F:F,ROW())="","",INDEX(Listado!F:F,ROW()))</f>
        <v/>
      </c>
      <c r="V1537" s="17">
        <f>IF(COUNTA(INDEX(Listado!B:B,ROW()):INDEX(Listado!F:F,ROW()))&gt;0,1,0)</f>
        <v/>
      </c>
      <c r="W1537" s="17" t="str">
        <f>IF(INDEX(Listado!L:L,ROW())="","",INDEX(Listado!L:L,ROW()))</f>
        <v/>
      </c>
      <c r="X1537" s="17">
        <f>IF(N1537="","",IF(INDEX(Listado!$M:$M,N1537)="No","No","Sí"))</f>
        <v/>
      </c>
    </row>
    <row r="1538" spans="2:24" ht="14.25">
      <c r="N1538" s="17" t="str">
        <f>IF(V1538=0,"",IFERROR(LOOKUP(2,1/(INDEX(Listado!A:A,2):INDEX(Listado!A:A,ROW())&lt;&gt;""),ROW(INDEX(Listado!A:A,2):INDEX(Listado!A:A,ROW()))),""))</f>
        <v/>
      </c>
      <c r="O1538" s="17" t="str">
        <f>IFERROR(IF(N1538="","",IF(INDEX(Listado!M:M,N1538)="No",IF(INDEX(Listado!N:N,N1538)=0,"",INDEX(Listado!N:N,N1538)),IF(INDEX(Listado!I:I,N1538)=0,"",INDEX(Listado!I:I,N1538)))),"")</f>
        <v/>
      </c>
      <c r="P1538" s="17">
        <f t="shared" ref="P1538:P1601" ca="1" si="73">IF(W1538="",0,IFERROR(IF(AND(ISNUMBER(W1538),W1538=INT(W1538),ISNUMBER(O1538),O1538&gt;0,W1538&gt;=TODAY(),W1538&lt;=O1538+90),0,1),1))</f>
        <v/>
      </c>
      <c r="Q1538" s="17">
        <f>IFERROR(IF(AND(N1538&lt;&gt;"",ISNUMBER(O1538),O1538&gt;0,O1538&gt;=TODAY()-90),1,0),0)</f>
        <v/>
      </c>
      <c r="R1538" s="17" t="str">
        <f t="shared" ref="R1538:R1601" si="75">IF(S1538="","",COUNTIFS($N$2:$N$2999,ROW(),$Q$2:$Q$2999,1))</f>
        <v/>
      </c>
      <c r="S1538" s="17" t="str">
        <f>IF(INDEX(Listado!A:A,ROW())="","",INDEX(Listado!A:A,ROW()))</f>
        <v/>
      </c>
      <c r="T1538" s="17" t="str">
        <f ca="1">IF(INDEX(Listado!G:G,ROW())="","",INDEX(Listado!G:G,ROW()))</f>
        <v/>
      </c>
      <c r="U1538" s="17" t="str">
        <f>IF(INDEX(Listado!F:F,ROW())="","",INDEX(Listado!F:F,ROW()))</f>
        <v/>
      </c>
      <c r="V1538" s="17">
        <f>IF(COUNTA(INDEX(Listado!B:B,ROW()):INDEX(Listado!F:F,ROW()))&gt;0,1,0)</f>
        <v/>
      </c>
      <c r="W1538" s="17" t="str">
        <f>IF(INDEX(Listado!L:L,ROW())="","",INDEX(Listado!L:L,ROW()))</f>
        <v/>
      </c>
      <c r="X1538" s="17">
        <f>IF(N1538="","",IF(INDEX(Listado!$M:$M,N1538)="No","No","Sí"))</f>
        <v/>
      </c>
    </row>
    <row r="1539" spans="2:24" ht="14.25">
      <c r="N1539" s="17" t="str">
        <f>IF(V1539=0,"",IFERROR(LOOKUP(2,1/(INDEX(Listado!A:A,2):INDEX(Listado!A:A,ROW())&lt;&gt;""),ROW(INDEX(Listado!A:A,2):INDEX(Listado!A:A,ROW()))),""))</f>
        <v/>
      </c>
      <c r="O1539" s="17" t="str">
        <f>IFERROR(IF(N1539="","",IF(INDEX(Listado!M:M,N1539)="No",IF(INDEX(Listado!N:N,N1539)=0,"",INDEX(Listado!N:N,N1539)),IF(INDEX(Listado!I:I,N1539)=0,"",INDEX(Listado!I:I,N1539)))),"")</f>
        <v/>
      </c>
      <c r="P1539" s="17">
        <f t="shared" ca="1" si="73"/>
        <v/>
      </c>
      <c r="Q1539" s="17">
        <f>IFERROR(IF(AND(N1539&lt;&gt;"",ISNUMBER(O1539),O1539&gt;0,O1539&gt;=TODAY()-90),1,0),0)</f>
        <v/>
      </c>
      <c r="R1539" s="17" t="str">
        <f t="shared" si="75"/>
        <v/>
      </c>
      <c r="S1539" s="17" t="str">
        <f>IF(INDEX(Listado!A:A,ROW())="","",INDEX(Listado!A:A,ROW()))</f>
        <v/>
      </c>
      <c r="T1539" s="17" t="str">
        <f ca="1">IF(INDEX(Listado!G:G,ROW())="","",INDEX(Listado!G:G,ROW()))</f>
        <v/>
      </c>
      <c r="U1539" s="17" t="str">
        <f>IF(INDEX(Listado!F:F,ROW())="","",INDEX(Listado!F:F,ROW()))</f>
        <v/>
      </c>
      <c r="V1539" s="17">
        <f>IF(COUNTA(INDEX(Listado!B:B,ROW()):INDEX(Listado!F:F,ROW()))&gt;0,1,0)</f>
        <v/>
      </c>
      <c r="W1539" s="17" t="str">
        <f>IF(INDEX(Listado!L:L,ROW())="","",INDEX(Listado!L:L,ROW()))</f>
        <v/>
      </c>
      <c r="X1539" s="17">
        <f>IF(N1539="","",IF(INDEX(Listado!$M:$M,N1539)="No","No","Sí"))</f>
        <v/>
      </c>
    </row>
    <row r="1540" spans="2:24" ht="14.25">
      <c r="N1540" s="17" t="str">
        <f>IF(V1540=0,"",IFERROR(LOOKUP(2,1/(INDEX(Listado!A:A,2):INDEX(Listado!A:A,ROW())&lt;&gt;""),ROW(INDEX(Listado!A:A,2):INDEX(Listado!A:A,ROW()))),""))</f>
        <v/>
      </c>
      <c r="O1540" s="17" t="str">
        <f>IFERROR(IF(N1540="","",IF(INDEX(Listado!M:M,N1540)="No",IF(INDEX(Listado!N:N,N1540)=0,"",INDEX(Listado!N:N,N1540)),IF(INDEX(Listado!I:I,N1540)=0,"",INDEX(Listado!I:I,N1540)))),"")</f>
        <v/>
      </c>
      <c r="P1540" s="17">
        <f t="shared" ca="1" si="73"/>
        <v/>
      </c>
      <c r="Q1540" s="17">
        <f>IFERROR(IF(AND(N1540&lt;&gt;"",ISNUMBER(O1540),O1540&gt;0,O1540&gt;=TODAY()-90),1,0),0)</f>
        <v/>
      </c>
      <c r="R1540" s="17" t="str">
        <f t="shared" si="75"/>
        <v/>
      </c>
      <c r="S1540" s="17" t="str">
        <f>IF(INDEX(Listado!A:A,ROW())="","",INDEX(Listado!A:A,ROW()))</f>
        <v/>
      </c>
      <c r="T1540" s="17" t="str">
        <f ca="1">IF(INDEX(Listado!G:G,ROW())="","",INDEX(Listado!G:G,ROW()))</f>
        <v/>
      </c>
      <c r="U1540" s="17" t="str">
        <f>IF(INDEX(Listado!F:F,ROW())="","",INDEX(Listado!F:F,ROW()))</f>
        <v/>
      </c>
      <c r="V1540" s="17">
        <f>IF(COUNTA(INDEX(Listado!B:B,ROW()):INDEX(Listado!F:F,ROW()))&gt;0,1,0)</f>
        <v/>
      </c>
      <c r="W1540" s="17" t="str">
        <f>IF(INDEX(Listado!L:L,ROW())="","",INDEX(Listado!L:L,ROW()))</f>
        <v/>
      </c>
      <c r="X1540" s="17">
        <f>IF(N1540="","",IF(INDEX(Listado!$M:$M,N1540)="No","No","Sí"))</f>
        <v/>
      </c>
    </row>
    <row r="1541" spans="2:24" ht="14.25">
      <c r="N1541" s="17" t="str">
        <f>IF(V1541=0,"",IFERROR(LOOKUP(2,1/(INDEX(Listado!A:A,2):INDEX(Listado!A:A,ROW())&lt;&gt;""),ROW(INDEX(Listado!A:A,2):INDEX(Listado!A:A,ROW()))),""))</f>
        <v/>
      </c>
      <c r="O1541" s="17" t="str">
        <f>IFERROR(IF(N1541="","",IF(INDEX(Listado!M:M,N1541)="No",IF(INDEX(Listado!N:N,N1541)=0,"",INDEX(Listado!N:N,N1541)),IF(INDEX(Listado!I:I,N1541)=0,"",INDEX(Listado!I:I,N1541)))),"")</f>
        <v/>
      </c>
      <c r="P1541" s="17">
        <f t="shared" ca="1" si="73"/>
        <v/>
      </c>
      <c r="Q1541" s="17">
        <f>IFERROR(IF(AND(N1541&lt;&gt;"",ISNUMBER(O1541),O1541&gt;0,O1541&gt;=TODAY()-90),1,0),0)</f>
        <v/>
      </c>
      <c r="R1541" s="17" t="str">
        <f t="shared" si="75"/>
        <v/>
      </c>
      <c r="S1541" s="17" t="str">
        <f>IF(INDEX(Listado!A:A,ROW())="","",INDEX(Listado!A:A,ROW()))</f>
        <v/>
      </c>
      <c r="T1541" s="17" t="str">
        <f ca="1">IF(INDEX(Listado!G:G,ROW())="","",INDEX(Listado!G:G,ROW()))</f>
        <v/>
      </c>
      <c r="U1541" s="17" t="str">
        <f>IF(INDEX(Listado!F:F,ROW())="","",INDEX(Listado!F:F,ROW()))</f>
        <v/>
      </c>
      <c r="V1541" s="17">
        <f>IF(COUNTA(INDEX(Listado!B:B,ROW()):INDEX(Listado!F:F,ROW()))&gt;0,1,0)</f>
        <v/>
      </c>
      <c r="W1541" s="17" t="str">
        <f>IF(INDEX(Listado!L:L,ROW())="","",INDEX(Listado!L:L,ROW()))</f>
        <v/>
      </c>
      <c r="X1541" s="17">
        <f>IF(N1541="","",IF(INDEX(Listado!$M:$M,N1541)="No","No","Sí"))</f>
        <v/>
      </c>
    </row>
    <row r="1542" spans="2:24" ht="14.25">
      <c r="N1542" s="17" t="str">
        <f>IF(V1542=0,"",IFERROR(LOOKUP(2,1/(INDEX(Listado!A:A,2):INDEX(Listado!A:A,ROW())&lt;&gt;""),ROW(INDEX(Listado!A:A,2):INDEX(Listado!A:A,ROW()))),""))</f>
        <v/>
      </c>
      <c r="O1542" s="17" t="str">
        <f>IFERROR(IF(N1542="","",IF(INDEX(Listado!M:M,N1542)="No",IF(INDEX(Listado!N:N,N1542)=0,"",INDEX(Listado!N:N,N1542)),IF(INDEX(Listado!I:I,N1542)=0,"",INDEX(Listado!I:I,N1542)))),"")</f>
        <v/>
      </c>
      <c r="P1542" s="17">
        <f t="shared" ca="1" si="73"/>
        <v/>
      </c>
      <c r="Q1542" s="17">
        <f>IFERROR(IF(AND(N1542&lt;&gt;"",ISNUMBER(O1542),O1542&gt;0,O1542&gt;=TODAY()-90),1,0),0)</f>
        <v/>
      </c>
      <c r="R1542" s="17" t="str">
        <f t="shared" si="75"/>
        <v/>
      </c>
      <c r="S1542" s="17" t="str">
        <f>IF(INDEX(Listado!A:A,ROW())="","",INDEX(Listado!A:A,ROW()))</f>
        <v/>
      </c>
      <c r="T1542" s="17" t="str">
        <f ca="1">IF(INDEX(Listado!G:G,ROW())="","",INDEX(Listado!G:G,ROW()))</f>
        <v/>
      </c>
      <c r="U1542" s="17" t="str">
        <f>IF(INDEX(Listado!F:F,ROW())="","",INDEX(Listado!F:F,ROW()))</f>
        <v/>
      </c>
      <c r="V1542" s="17">
        <f>IF(COUNTA(INDEX(Listado!B:B,ROW()):INDEX(Listado!F:F,ROW()))&gt;0,1,0)</f>
        <v/>
      </c>
      <c r="W1542" s="17" t="str">
        <f>IF(INDEX(Listado!L:L,ROW())="","",INDEX(Listado!L:L,ROW()))</f>
        <v/>
      </c>
      <c r="X1542" s="17">
        <f>IF(N1542="","",IF(INDEX(Listado!$M:$M,N1542)="No","No","Sí"))</f>
        <v/>
      </c>
    </row>
    <row r="1543" spans="2:24" ht="14.25">
      <c r="N1543" s="17" t="str">
        <f>IF(V1543=0,"",IFERROR(LOOKUP(2,1/(INDEX(Listado!A:A,2):INDEX(Listado!A:A,ROW())&lt;&gt;""),ROW(INDEX(Listado!A:A,2):INDEX(Listado!A:A,ROW()))),""))</f>
        <v/>
      </c>
      <c r="O1543" s="17" t="str">
        <f>IFERROR(IF(N1543="","",IF(INDEX(Listado!M:M,N1543)="No",IF(INDEX(Listado!N:N,N1543)=0,"",INDEX(Listado!N:N,N1543)),IF(INDEX(Listado!I:I,N1543)=0,"",INDEX(Listado!I:I,N1543)))),"")</f>
        <v/>
      </c>
      <c r="P1543" s="17">
        <f t="shared" ca="1" si="73"/>
        <v/>
      </c>
      <c r="Q1543" s="17">
        <f>IFERROR(IF(AND(N1543&lt;&gt;"",ISNUMBER(O1543),O1543&gt;0,O1543&gt;=TODAY()-90),1,0),0)</f>
        <v/>
      </c>
      <c r="R1543" s="17" t="str">
        <f t="shared" si="75"/>
        <v/>
      </c>
      <c r="S1543" s="17" t="str">
        <f>IF(INDEX(Listado!A:A,ROW())="","",INDEX(Listado!A:A,ROW()))</f>
        <v/>
      </c>
      <c r="T1543" s="17" t="str">
        <f ca="1">IF(INDEX(Listado!G:G,ROW())="","",INDEX(Listado!G:G,ROW()))</f>
        <v/>
      </c>
      <c r="U1543" s="17" t="str">
        <f>IF(INDEX(Listado!F:F,ROW())="","",INDEX(Listado!F:F,ROW()))</f>
        <v/>
      </c>
      <c r="V1543" s="17">
        <f>IF(COUNTA(INDEX(Listado!B:B,ROW()):INDEX(Listado!F:F,ROW()))&gt;0,1,0)</f>
        <v/>
      </c>
      <c r="W1543" s="17" t="str">
        <f>IF(INDEX(Listado!L:L,ROW())="","",INDEX(Listado!L:L,ROW()))</f>
        <v/>
      </c>
      <c r="X1543" s="17">
        <f>IF(N1543="","",IF(INDEX(Listado!$M:$M,N1543)="No","No","Sí"))</f>
        <v/>
      </c>
    </row>
    <row r="1544" spans="2:24" ht="14.25">
      <c r="N1544" s="17" t="str">
        <f>IF(V1544=0,"",IFERROR(LOOKUP(2,1/(INDEX(Listado!A:A,2):INDEX(Listado!A:A,ROW())&lt;&gt;""),ROW(INDEX(Listado!A:A,2):INDEX(Listado!A:A,ROW()))),""))</f>
        <v/>
      </c>
      <c r="O1544" s="17" t="str">
        <f>IFERROR(IF(N1544="","",IF(INDEX(Listado!M:M,N1544)="No",IF(INDEX(Listado!N:N,N1544)=0,"",INDEX(Listado!N:N,N1544)),IF(INDEX(Listado!I:I,N1544)=0,"",INDEX(Listado!I:I,N1544)))),"")</f>
        <v/>
      </c>
      <c r="P1544" s="17">
        <f t="shared" ca="1" si="73"/>
        <v/>
      </c>
      <c r="Q1544" s="17">
        <f>IFERROR(IF(AND(N1544&lt;&gt;"",ISNUMBER(O1544),O1544&gt;0,O1544&gt;=TODAY()-90),1,0),0)</f>
        <v/>
      </c>
      <c r="R1544" s="17" t="str">
        <f t="shared" si="75"/>
        <v/>
      </c>
      <c r="S1544" s="17" t="str">
        <f>IF(INDEX(Listado!A:A,ROW())="","",INDEX(Listado!A:A,ROW()))</f>
        <v/>
      </c>
      <c r="T1544" s="17" t="str">
        <f ca="1">IF(INDEX(Listado!G:G,ROW())="","",INDEX(Listado!G:G,ROW()))</f>
        <v/>
      </c>
      <c r="U1544" s="17" t="str">
        <f>IF(INDEX(Listado!F:F,ROW())="","",INDEX(Listado!F:F,ROW()))</f>
        <v/>
      </c>
      <c r="V1544" s="17">
        <f>IF(COUNTA(INDEX(Listado!B:B,ROW()):INDEX(Listado!F:F,ROW()))&gt;0,1,0)</f>
        <v/>
      </c>
      <c r="W1544" s="17" t="str">
        <f>IF(INDEX(Listado!L:L,ROW())="","",INDEX(Listado!L:L,ROW()))</f>
        <v/>
      </c>
      <c r="X1544" s="17">
        <f>IF(N1544="","",IF(INDEX(Listado!$M:$M,N1544)="No","No","Sí"))</f>
        <v/>
      </c>
    </row>
    <row r="1545" spans="2:24" ht="14.25">
      <c r="N1545" s="17" t="str">
        <f>IF(V1545=0,"",IFERROR(LOOKUP(2,1/(INDEX(Listado!A:A,2):INDEX(Listado!A:A,ROW())&lt;&gt;""),ROW(INDEX(Listado!A:A,2):INDEX(Listado!A:A,ROW()))),""))</f>
        <v/>
      </c>
      <c r="O1545" s="17" t="str">
        <f>IFERROR(IF(N1545="","",IF(INDEX(Listado!M:M,N1545)="No",IF(INDEX(Listado!N:N,N1545)=0,"",INDEX(Listado!N:N,N1545)),IF(INDEX(Listado!I:I,N1545)=0,"",INDEX(Listado!I:I,N1545)))),"")</f>
        <v/>
      </c>
      <c r="P1545" s="17">
        <f t="shared" ca="1" si="73"/>
        <v/>
      </c>
      <c r="Q1545" s="17">
        <f>IFERROR(IF(AND(N1545&lt;&gt;"",ISNUMBER(O1545),O1545&gt;0,O1545&gt;=TODAY()-90),1,0),0)</f>
        <v/>
      </c>
      <c r="R1545" s="17" t="str">
        <f t="shared" si="75"/>
        <v/>
      </c>
      <c r="S1545" s="17" t="str">
        <f>IF(INDEX(Listado!A:A,ROW())="","",INDEX(Listado!A:A,ROW()))</f>
        <v/>
      </c>
      <c r="T1545" s="17" t="str">
        <f ca="1">IF(INDEX(Listado!G:G,ROW())="","",INDEX(Listado!G:G,ROW()))</f>
        <v/>
      </c>
      <c r="U1545" s="17" t="str">
        <f>IF(INDEX(Listado!F:F,ROW())="","",INDEX(Listado!F:F,ROW()))</f>
        <v/>
      </c>
      <c r="V1545" s="17">
        <f>IF(COUNTA(INDEX(Listado!B:B,ROW()):INDEX(Listado!F:F,ROW()))&gt;0,1,0)</f>
        <v/>
      </c>
      <c r="W1545" s="17" t="str">
        <f>IF(INDEX(Listado!L:L,ROW())="","",INDEX(Listado!L:L,ROW()))</f>
        <v/>
      </c>
      <c r="X1545" s="17">
        <f>IF(N1545="","",IF(INDEX(Listado!$M:$M,N1545)="No","No","Sí"))</f>
        <v/>
      </c>
    </row>
    <row r="1546" spans="2:24" ht="14.25">
      <c r="N1546" s="17" t="str">
        <f>IF(V1546=0,"",IFERROR(LOOKUP(2,1/(INDEX(Listado!A:A,2):INDEX(Listado!A:A,ROW())&lt;&gt;""),ROW(INDEX(Listado!A:A,2):INDEX(Listado!A:A,ROW()))),""))</f>
        <v/>
      </c>
      <c r="O1546" s="17" t="str">
        <f>IFERROR(IF(N1546="","",IF(INDEX(Listado!M:M,N1546)="No",IF(INDEX(Listado!N:N,N1546)=0,"",INDEX(Listado!N:N,N1546)),IF(INDEX(Listado!I:I,N1546)=0,"",INDEX(Listado!I:I,N1546)))),"")</f>
        <v/>
      </c>
      <c r="P1546" s="17">
        <f t="shared" ca="1" si="73"/>
        <v/>
      </c>
      <c r="Q1546" s="17">
        <f>IFERROR(IF(AND(N1546&lt;&gt;"",ISNUMBER(O1546),O1546&gt;0,O1546&gt;=TODAY()-90),1,0),0)</f>
        <v/>
      </c>
      <c r="R1546" s="17" t="str">
        <f t="shared" si="75"/>
        <v/>
      </c>
      <c r="S1546" s="17" t="str">
        <f>IF(INDEX(Listado!A:A,ROW())="","",INDEX(Listado!A:A,ROW()))</f>
        <v/>
      </c>
      <c r="T1546" s="17" t="str">
        <f ca="1">IF(INDEX(Listado!G:G,ROW())="","",INDEX(Listado!G:G,ROW()))</f>
        <v/>
      </c>
      <c r="U1546" s="17" t="str">
        <f>IF(INDEX(Listado!F:F,ROW())="","",INDEX(Listado!F:F,ROW()))</f>
        <v/>
      </c>
      <c r="V1546" s="17">
        <f>IF(COUNTA(INDEX(Listado!B:B,ROW()):INDEX(Listado!F:F,ROW()))&gt;0,1,0)</f>
        <v/>
      </c>
      <c r="W1546" s="17" t="str">
        <f>IF(INDEX(Listado!L:L,ROW())="","",INDEX(Listado!L:L,ROW()))</f>
        <v/>
      </c>
      <c r="X1546" s="17">
        <f>IF(N1546="","",IF(INDEX(Listado!$M:$M,N1546)="No","No","Sí"))</f>
        <v/>
      </c>
    </row>
    <row r="1547" spans="2:24" ht="14.25">
      <c r="N1547" s="17" t="str">
        <f>IF(V1547=0,"",IFERROR(LOOKUP(2,1/(INDEX(Listado!A:A,2):INDEX(Listado!A:A,ROW())&lt;&gt;""),ROW(INDEX(Listado!A:A,2):INDEX(Listado!A:A,ROW()))),""))</f>
        <v/>
      </c>
      <c r="O1547" s="17" t="str">
        <f>IFERROR(IF(N1547="","",IF(INDEX(Listado!M:M,N1547)="No",IF(INDEX(Listado!N:N,N1547)=0,"",INDEX(Listado!N:N,N1547)),IF(INDEX(Listado!I:I,N1547)=0,"",INDEX(Listado!I:I,N1547)))),"")</f>
        <v/>
      </c>
      <c r="P1547" s="17">
        <f t="shared" ca="1" si="73"/>
        <v/>
      </c>
      <c r="Q1547" s="17">
        <f>IFERROR(IF(AND(N1547&lt;&gt;"",ISNUMBER(O1547),O1547&gt;0,O1547&gt;=TODAY()-90),1,0),0)</f>
        <v/>
      </c>
      <c r="R1547" s="17" t="str">
        <f t="shared" si="75"/>
        <v/>
      </c>
      <c r="S1547" s="17" t="str">
        <f>IF(INDEX(Listado!A:A,ROW())="","",INDEX(Listado!A:A,ROW()))</f>
        <v/>
      </c>
      <c r="T1547" s="17" t="str">
        <f ca="1">IF(INDEX(Listado!G:G,ROW())="","",INDEX(Listado!G:G,ROW()))</f>
        <v/>
      </c>
      <c r="U1547" s="17" t="str">
        <f>IF(INDEX(Listado!F:F,ROW())="","",INDEX(Listado!F:F,ROW()))</f>
        <v/>
      </c>
      <c r="V1547" s="17">
        <f>IF(COUNTA(INDEX(Listado!B:B,ROW()):INDEX(Listado!F:F,ROW()))&gt;0,1,0)</f>
        <v/>
      </c>
      <c r="W1547" s="17" t="str">
        <f>IF(INDEX(Listado!L:L,ROW())="","",INDEX(Listado!L:L,ROW()))</f>
        <v/>
      </c>
      <c r="X1547" s="17">
        <f>IF(N1547="","",IF(INDEX(Listado!$M:$M,N1547)="No","No","Sí"))</f>
        <v/>
      </c>
    </row>
    <row r="1548" spans="2:24" ht="14.25">
      <c r="N1548" s="17" t="str">
        <f>IF(V1548=0,"",IFERROR(LOOKUP(2,1/(INDEX(Listado!A:A,2):INDEX(Listado!A:A,ROW())&lt;&gt;""),ROW(INDEX(Listado!A:A,2):INDEX(Listado!A:A,ROW()))),""))</f>
        <v/>
      </c>
      <c r="O1548" s="17" t="str">
        <f>IFERROR(IF(N1548="","",IF(INDEX(Listado!M:M,N1548)="No",IF(INDEX(Listado!N:N,N1548)=0,"",INDEX(Listado!N:N,N1548)),IF(INDEX(Listado!I:I,N1548)=0,"",INDEX(Listado!I:I,N1548)))),"")</f>
        <v/>
      </c>
      <c r="P1548" s="17">
        <f t="shared" ca="1" si="73"/>
        <v/>
      </c>
      <c r="Q1548" s="17">
        <f>IFERROR(IF(AND(N1548&lt;&gt;"",ISNUMBER(O1548),O1548&gt;0,O1548&gt;=TODAY()-90),1,0),0)</f>
        <v/>
      </c>
      <c r="R1548" s="17" t="str">
        <f t="shared" si="75"/>
        <v/>
      </c>
      <c r="S1548" s="17" t="str">
        <f>IF(INDEX(Listado!A:A,ROW())="","",INDEX(Listado!A:A,ROW()))</f>
        <v/>
      </c>
      <c r="T1548" s="17" t="str">
        <f ca="1">IF(INDEX(Listado!G:G,ROW())="","",INDEX(Listado!G:G,ROW()))</f>
        <v/>
      </c>
      <c r="U1548" s="17" t="str">
        <f>IF(INDEX(Listado!F:F,ROW())="","",INDEX(Listado!F:F,ROW()))</f>
        <v/>
      </c>
      <c r="V1548" s="17">
        <f>IF(COUNTA(INDEX(Listado!B:B,ROW()):INDEX(Listado!F:F,ROW()))&gt;0,1,0)</f>
        <v/>
      </c>
      <c r="W1548" s="17" t="str">
        <f>IF(INDEX(Listado!L:L,ROW())="","",INDEX(Listado!L:L,ROW()))</f>
        <v/>
      </c>
      <c r="X1548" s="17">
        <f>IF(N1548="","",IF(INDEX(Listado!$M:$M,N1548)="No","No","Sí"))</f>
        <v/>
      </c>
    </row>
    <row r="1549" spans="2:24" ht="14.25">
      <c r="N1549" s="17" t="str">
        <f>IF(V1549=0,"",IFERROR(LOOKUP(2,1/(INDEX(Listado!A:A,2):INDEX(Listado!A:A,ROW())&lt;&gt;""),ROW(INDEX(Listado!A:A,2):INDEX(Listado!A:A,ROW()))),""))</f>
        <v/>
      </c>
      <c r="O1549" s="17" t="str">
        <f>IFERROR(IF(N1549="","",IF(INDEX(Listado!M:M,N1549)="No",IF(INDEX(Listado!N:N,N1549)=0,"",INDEX(Listado!N:N,N1549)),IF(INDEX(Listado!I:I,N1549)=0,"",INDEX(Listado!I:I,N1549)))),"")</f>
        <v/>
      </c>
      <c r="P1549" s="17">
        <f t="shared" ca="1" si="73"/>
        <v/>
      </c>
      <c r="Q1549" s="17">
        <f>IFERROR(IF(AND(N1549&lt;&gt;"",ISNUMBER(O1549),O1549&gt;0,O1549&gt;=TODAY()-90),1,0),0)</f>
        <v/>
      </c>
      <c r="R1549" s="17" t="str">
        <f t="shared" si="75"/>
        <v/>
      </c>
      <c r="S1549" s="17" t="str">
        <f>IF(INDEX(Listado!A:A,ROW())="","",INDEX(Listado!A:A,ROW()))</f>
        <v/>
      </c>
      <c r="T1549" s="17" t="str">
        <f ca="1">IF(INDEX(Listado!G:G,ROW())="","",INDEX(Listado!G:G,ROW()))</f>
        <v/>
      </c>
      <c r="U1549" s="17" t="str">
        <f>IF(INDEX(Listado!F:F,ROW())="","",INDEX(Listado!F:F,ROW()))</f>
        <v/>
      </c>
      <c r="V1549" s="17">
        <f>IF(COUNTA(INDEX(Listado!B:B,ROW()):INDEX(Listado!F:F,ROW()))&gt;0,1,0)</f>
        <v/>
      </c>
      <c r="W1549" s="17" t="str">
        <f>IF(INDEX(Listado!L:L,ROW())="","",INDEX(Listado!L:L,ROW()))</f>
        <v/>
      </c>
      <c r="X1549" s="17">
        <f>IF(N1549="","",IF(INDEX(Listado!$M:$M,N1549)="No","No","Sí"))</f>
        <v/>
      </c>
    </row>
    <row r="1550" spans="2:24" ht="14.25">
      <c r="N1550" s="17" t="str">
        <f>IF(V1550=0,"",IFERROR(LOOKUP(2,1/(INDEX(Listado!A:A,2):INDEX(Listado!A:A,ROW())&lt;&gt;""),ROW(INDEX(Listado!A:A,2):INDEX(Listado!A:A,ROW()))),""))</f>
        <v/>
      </c>
      <c r="O1550" s="17" t="str">
        <f>IFERROR(IF(N1550="","",IF(INDEX(Listado!M:M,N1550)="No",IF(INDEX(Listado!N:N,N1550)=0,"",INDEX(Listado!N:N,N1550)),IF(INDEX(Listado!I:I,N1550)=0,"",INDEX(Listado!I:I,N1550)))),"")</f>
        <v/>
      </c>
      <c r="P1550" s="17">
        <f t="shared" ca="1" si="73"/>
        <v/>
      </c>
      <c r="Q1550" s="17">
        <f>IFERROR(IF(AND(N1550&lt;&gt;"",ISNUMBER(O1550),O1550&gt;0,O1550&gt;=TODAY()-90),1,0),0)</f>
        <v/>
      </c>
      <c r="R1550" s="17" t="str">
        <f t="shared" si="75"/>
        <v/>
      </c>
      <c r="S1550" s="17" t="str">
        <f>IF(INDEX(Listado!A:A,ROW())="","",INDEX(Listado!A:A,ROW()))</f>
        <v/>
      </c>
      <c r="T1550" s="17" t="str">
        <f ca="1">IF(INDEX(Listado!G:G,ROW())="","",INDEX(Listado!G:G,ROW()))</f>
        <v/>
      </c>
      <c r="U1550" s="17" t="str">
        <f>IF(INDEX(Listado!F:F,ROW())="","",INDEX(Listado!F:F,ROW()))</f>
        <v/>
      </c>
      <c r="V1550" s="17">
        <f>IF(COUNTA(INDEX(Listado!B:B,ROW()):INDEX(Listado!F:F,ROW()))&gt;0,1,0)</f>
        <v/>
      </c>
      <c r="W1550" s="17" t="str">
        <f>IF(INDEX(Listado!L:L,ROW())="","",INDEX(Listado!L:L,ROW()))</f>
        <v/>
      </c>
      <c r="X1550" s="17">
        <f>IF(N1550="","",IF(INDEX(Listado!$M:$M,N1550)="No","No","Sí"))</f>
        <v/>
      </c>
    </row>
    <row r="1551" spans="2:24" ht="14.25">
      <c r="N1551" s="17" t="str">
        <f>IF(V1551=0,"",IFERROR(LOOKUP(2,1/(INDEX(Listado!A:A,2):INDEX(Listado!A:A,ROW())&lt;&gt;""),ROW(INDEX(Listado!A:A,2):INDEX(Listado!A:A,ROW()))),""))</f>
        <v/>
      </c>
      <c r="O1551" s="17" t="str">
        <f>IFERROR(IF(N1551="","",IF(INDEX(Listado!M:M,N1551)="No",IF(INDEX(Listado!N:N,N1551)=0,"",INDEX(Listado!N:N,N1551)),IF(INDEX(Listado!I:I,N1551)=0,"",INDEX(Listado!I:I,N1551)))),"")</f>
        <v/>
      </c>
      <c r="P1551" s="17">
        <f t="shared" ca="1" si="73"/>
        <v/>
      </c>
      <c r="Q1551" s="17">
        <f>IFERROR(IF(AND(N1551&lt;&gt;"",ISNUMBER(O1551),O1551&gt;0,O1551&gt;=TODAY()-90),1,0),0)</f>
        <v/>
      </c>
      <c r="R1551" s="17" t="str">
        <f t="shared" si="75"/>
        <v/>
      </c>
      <c r="S1551" s="17" t="str">
        <f>IF(INDEX(Listado!A:A,ROW())="","",INDEX(Listado!A:A,ROW()))</f>
        <v/>
      </c>
      <c r="T1551" s="17" t="str">
        <f ca="1">IF(INDEX(Listado!G:G,ROW())="","",INDEX(Listado!G:G,ROW()))</f>
        <v/>
      </c>
      <c r="U1551" s="17" t="str">
        <f>IF(INDEX(Listado!F:F,ROW())="","",INDEX(Listado!F:F,ROW()))</f>
        <v/>
      </c>
      <c r="V1551" s="17">
        <f>IF(COUNTA(INDEX(Listado!B:B,ROW()):INDEX(Listado!F:F,ROW()))&gt;0,1,0)</f>
        <v/>
      </c>
      <c r="W1551" s="17" t="str">
        <f>IF(INDEX(Listado!L:L,ROW())="","",INDEX(Listado!L:L,ROW()))</f>
        <v/>
      </c>
      <c r="X1551" s="17">
        <f>IF(N1551="","",IF(INDEX(Listado!$M:$M,N1551)="No","No","Sí"))</f>
        <v/>
      </c>
    </row>
    <row r="1552" spans="2:24" ht="14.25">
      <c r="N1552" s="17" t="str">
        <f>IF(V1552=0,"",IFERROR(LOOKUP(2,1/(INDEX(Listado!A:A,2):INDEX(Listado!A:A,ROW())&lt;&gt;""),ROW(INDEX(Listado!A:A,2):INDEX(Listado!A:A,ROW()))),""))</f>
        <v/>
      </c>
      <c r="O1552" s="17" t="str">
        <f>IFERROR(IF(N1552="","",IF(INDEX(Listado!M:M,N1552)="No",IF(INDEX(Listado!N:N,N1552)=0,"",INDEX(Listado!N:N,N1552)),IF(INDEX(Listado!I:I,N1552)=0,"",INDEX(Listado!I:I,N1552)))),"")</f>
        <v/>
      </c>
      <c r="P1552" s="17">
        <f t="shared" ca="1" si="73"/>
        <v/>
      </c>
      <c r="Q1552" s="17">
        <f>IFERROR(IF(AND(N1552&lt;&gt;"",ISNUMBER(O1552),O1552&gt;0,O1552&gt;=TODAY()-90),1,0),0)</f>
        <v/>
      </c>
      <c r="R1552" s="17" t="str">
        <f t="shared" si="75"/>
        <v/>
      </c>
      <c r="S1552" s="17" t="str">
        <f>IF(INDEX(Listado!A:A,ROW())="","",INDEX(Listado!A:A,ROW()))</f>
        <v/>
      </c>
      <c r="T1552" s="17" t="str">
        <f ca="1">IF(INDEX(Listado!G:G,ROW())="","",INDEX(Listado!G:G,ROW()))</f>
        <v/>
      </c>
      <c r="U1552" s="17" t="str">
        <f>IF(INDEX(Listado!F:F,ROW())="","",INDEX(Listado!F:F,ROW()))</f>
        <v/>
      </c>
      <c r="V1552" s="17">
        <f>IF(COUNTA(INDEX(Listado!B:B,ROW()):INDEX(Listado!F:F,ROW()))&gt;0,1,0)</f>
        <v/>
      </c>
      <c r="W1552" s="17" t="str">
        <f>IF(INDEX(Listado!L:L,ROW())="","",INDEX(Listado!L:L,ROW()))</f>
        <v/>
      </c>
      <c r="X1552" s="17">
        <f>IF(N1552="","",IF(INDEX(Listado!$M:$M,N1552)="No","No","Sí"))</f>
        <v/>
      </c>
    </row>
    <row r="1553" spans="2:24" ht="14.25">
      <c r="N1553" s="17" t="str">
        <f>IF(V1553=0,"",IFERROR(LOOKUP(2,1/(INDEX(Listado!A:A,2):INDEX(Listado!A:A,ROW())&lt;&gt;""),ROW(INDEX(Listado!A:A,2):INDEX(Listado!A:A,ROW()))),""))</f>
        <v/>
      </c>
      <c r="O1553" s="17" t="str">
        <f>IFERROR(IF(N1553="","",IF(INDEX(Listado!M:M,N1553)="No",IF(INDEX(Listado!N:N,N1553)=0,"",INDEX(Listado!N:N,N1553)),IF(INDEX(Listado!I:I,N1553)=0,"",INDEX(Listado!I:I,N1553)))),"")</f>
        <v/>
      </c>
      <c r="P1553" s="17">
        <f t="shared" ca="1" si="73"/>
        <v/>
      </c>
      <c r="Q1553" s="17">
        <f>IFERROR(IF(AND(N1553&lt;&gt;"",ISNUMBER(O1553),O1553&gt;0,O1553&gt;=TODAY()-90),1,0),0)</f>
        <v/>
      </c>
      <c r="R1553" s="17" t="str">
        <f t="shared" si="75"/>
        <v/>
      </c>
      <c r="S1553" s="17" t="str">
        <f>IF(INDEX(Listado!A:A,ROW())="","",INDEX(Listado!A:A,ROW()))</f>
        <v/>
      </c>
      <c r="T1553" s="17" t="str">
        <f ca="1">IF(INDEX(Listado!G:G,ROW())="","",INDEX(Listado!G:G,ROW()))</f>
        <v/>
      </c>
      <c r="U1553" s="17" t="str">
        <f>IF(INDEX(Listado!F:F,ROW())="","",INDEX(Listado!F:F,ROW()))</f>
        <v/>
      </c>
      <c r="V1553" s="17">
        <f>IF(COUNTA(INDEX(Listado!B:B,ROW()):INDEX(Listado!F:F,ROW()))&gt;0,1,0)</f>
        <v/>
      </c>
      <c r="W1553" s="17" t="str">
        <f>IF(INDEX(Listado!L:L,ROW())="","",INDEX(Listado!L:L,ROW()))</f>
        <v/>
      </c>
      <c r="X1553" s="17">
        <f>IF(N1553="","",IF(INDEX(Listado!$M:$M,N1553)="No","No","Sí"))</f>
        <v/>
      </c>
    </row>
    <row r="1554" spans="2:24" ht="14.25">
      <c r="N1554" s="17" t="str">
        <f>IF(V1554=0,"",IFERROR(LOOKUP(2,1/(INDEX(Listado!A:A,2):INDEX(Listado!A:A,ROW())&lt;&gt;""),ROW(INDEX(Listado!A:A,2):INDEX(Listado!A:A,ROW()))),""))</f>
        <v/>
      </c>
      <c r="O1554" s="17" t="str">
        <f>IFERROR(IF(N1554="","",IF(INDEX(Listado!M:M,N1554)="No",IF(INDEX(Listado!N:N,N1554)=0,"",INDEX(Listado!N:N,N1554)),IF(INDEX(Listado!I:I,N1554)=0,"",INDEX(Listado!I:I,N1554)))),"")</f>
        <v/>
      </c>
      <c r="P1554" s="17">
        <f t="shared" ca="1" si="73"/>
        <v/>
      </c>
      <c r="Q1554" s="17">
        <f>IFERROR(IF(AND(N1554&lt;&gt;"",ISNUMBER(O1554),O1554&gt;0,O1554&gt;=TODAY()-90),1,0),0)</f>
        <v/>
      </c>
      <c r="R1554" s="17" t="str">
        <f t="shared" si="75"/>
        <v/>
      </c>
      <c r="S1554" s="17" t="str">
        <f>IF(INDEX(Listado!A:A,ROW())="","",INDEX(Listado!A:A,ROW()))</f>
        <v/>
      </c>
      <c r="T1554" s="17" t="str">
        <f ca="1">IF(INDEX(Listado!G:G,ROW())="","",INDEX(Listado!G:G,ROW()))</f>
        <v/>
      </c>
      <c r="U1554" s="17" t="str">
        <f>IF(INDEX(Listado!F:F,ROW())="","",INDEX(Listado!F:F,ROW()))</f>
        <v/>
      </c>
      <c r="V1554" s="17">
        <f>IF(COUNTA(INDEX(Listado!B:B,ROW()):INDEX(Listado!F:F,ROW()))&gt;0,1,0)</f>
        <v/>
      </c>
      <c r="W1554" s="17" t="str">
        <f>IF(INDEX(Listado!L:L,ROW())="","",INDEX(Listado!L:L,ROW()))</f>
        <v/>
      </c>
      <c r="X1554" s="17">
        <f>IF(N1554="","",IF(INDEX(Listado!$M:$M,N1554)="No","No","Sí"))</f>
        <v/>
      </c>
    </row>
    <row r="1555" spans="2:24" ht="14.25">
      <c r="N1555" s="17" t="str">
        <f>IF(V1555=0,"",IFERROR(LOOKUP(2,1/(INDEX(Listado!A:A,2):INDEX(Listado!A:A,ROW())&lt;&gt;""),ROW(INDEX(Listado!A:A,2):INDEX(Listado!A:A,ROW()))),""))</f>
        <v/>
      </c>
      <c r="O1555" s="17" t="str">
        <f>IFERROR(IF(N1555="","",IF(INDEX(Listado!M:M,N1555)="No",IF(INDEX(Listado!N:N,N1555)=0,"",INDEX(Listado!N:N,N1555)),IF(INDEX(Listado!I:I,N1555)=0,"",INDEX(Listado!I:I,N1555)))),"")</f>
        <v/>
      </c>
      <c r="P1555" s="17">
        <f t="shared" ca="1" si="73"/>
        <v/>
      </c>
      <c r="Q1555" s="17">
        <f>IFERROR(IF(AND(N1555&lt;&gt;"",ISNUMBER(O1555),O1555&gt;0,O1555&gt;=TODAY()-90),1,0),0)</f>
        <v/>
      </c>
      <c r="R1555" s="17" t="str">
        <f t="shared" si="75"/>
        <v/>
      </c>
      <c r="S1555" s="17" t="str">
        <f>IF(INDEX(Listado!A:A,ROW())="","",INDEX(Listado!A:A,ROW()))</f>
        <v/>
      </c>
      <c r="T1555" s="17" t="str">
        <f ca="1">IF(INDEX(Listado!G:G,ROW())="","",INDEX(Listado!G:G,ROW()))</f>
        <v/>
      </c>
      <c r="U1555" s="17" t="str">
        <f>IF(INDEX(Listado!F:F,ROW())="","",INDEX(Listado!F:F,ROW()))</f>
        <v/>
      </c>
      <c r="V1555" s="17">
        <f>IF(COUNTA(INDEX(Listado!B:B,ROW()):INDEX(Listado!F:F,ROW()))&gt;0,1,0)</f>
        <v/>
      </c>
      <c r="W1555" s="17" t="str">
        <f>IF(INDEX(Listado!L:L,ROW())="","",INDEX(Listado!L:L,ROW()))</f>
        <v/>
      </c>
      <c r="X1555" s="17">
        <f>IF(N1555="","",IF(INDEX(Listado!$M:$M,N1555)="No","No","Sí"))</f>
        <v/>
      </c>
    </row>
    <row r="1556" spans="2:24" ht="14.25">
      <c r="N1556" s="17" t="str">
        <f>IF(V1556=0,"",IFERROR(LOOKUP(2,1/(INDEX(Listado!A:A,2):INDEX(Listado!A:A,ROW())&lt;&gt;""),ROW(INDEX(Listado!A:A,2):INDEX(Listado!A:A,ROW()))),""))</f>
        <v/>
      </c>
      <c r="O1556" s="17" t="str">
        <f>IFERROR(IF(N1556="","",IF(INDEX(Listado!M:M,N1556)="No",IF(INDEX(Listado!N:N,N1556)=0,"",INDEX(Listado!N:N,N1556)),IF(INDEX(Listado!I:I,N1556)=0,"",INDEX(Listado!I:I,N1556)))),"")</f>
        <v/>
      </c>
      <c r="P1556" s="17">
        <f t="shared" ca="1" si="73"/>
        <v/>
      </c>
      <c r="Q1556" s="17">
        <f>IFERROR(IF(AND(N1556&lt;&gt;"",ISNUMBER(O1556),O1556&gt;0,O1556&gt;=TODAY()-90),1,0),0)</f>
        <v/>
      </c>
      <c r="R1556" s="17" t="str">
        <f t="shared" si="75"/>
        <v/>
      </c>
      <c r="S1556" s="17" t="str">
        <f>IF(INDEX(Listado!A:A,ROW())="","",INDEX(Listado!A:A,ROW()))</f>
        <v/>
      </c>
      <c r="T1556" s="17" t="str">
        <f ca="1">IF(INDEX(Listado!G:G,ROW())="","",INDEX(Listado!G:G,ROW()))</f>
        <v/>
      </c>
      <c r="U1556" s="17" t="str">
        <f>IF(INDEX(Listado!F:F,ROW())="","",INDEX(Listado!F:F,ROW()))</f>
        <v/>
      </c>
      <c r="V1556" s="17">
        <f>IF(COUNTA(INDEX(Listado!B:B,ROW()):INDEX(Listado!F:F,ROW()))&gt;0,1,0)</f>
        <v/>
      </c>
      <c r="W1556" s="17" t="str">
        <f>IF(INDEX(Listado!L:L,ROW())="","",INDEX(Listado!L:L,ROW()))</f>
        <v/>
      </c>
      <c r="X1556" s="17">
        <f>IF(N1556="","",IF(INDEX(Listado!$M:$M,N1556)="No","No","Sí"))</f>
        <v/>
      </c>
    </row>
    <row r="1557" spans="2:24" ht="14.25">
      <c r="N1557" s="17" t="str">
        <f>IF(V1557=0,"",IFERROR(LOOKUP(2,1/(INDEX(Listado!A:A,2):INDEX(Listado!A:A,ROW())&lt;&gt;""),ROW(INDEX(Listado!A:A,2):INDEX(Listado!A:A,ROW()))),""))</f>
        <v/>
      </c>
      <c r="O1557" s="17" t="str">
        <f>IFERROR(IF(N1557="","",IF(INDEX(Listado!M:M,N1557)="No",IF(INDEX(Listado!N:N,N1557)=0,"",INDEX(Listado!N:N,N1557)),IF(INDEX(Listado!I:I,N1557)=0,"",INDEX(Listado!I:I,N1557)))),"")</f>
        <v/>
      </c>
      <c r="P1557" s="17">
        <f t="shared" ca="1" si="73"/>
        <v/>
      </c>
      <c r="Q1557" s="17">
        <f>IFERROR(IF(AND(N1557&lt;&gt;"",ISNUMBER(O1557),O1557&gt;0,O1557&gt;=TODAY()-90),1,0),0)</f>
        <v/>
      </c>
      <c r="R1557" s="17" t="str">
        <f t="shared" si="75"/>
        <v/>
      </c>
      <c r="S1557" s="17" t="str">
        <f>IF(INDEX(Listado!A:A,ROW())="","",INDEX(Listado!A:A,ROW()))</f>
        <v/>
      </c>
      <c r="T1557" s="17" t="str">
        <f ca="1">IF(INDEX(Listado!G:G,ROW())="","",INDEX(Listado!G:G,ROW()))</f>
        <v/>
      </c>
      <c r="U1557" s="17" t="str">
        <f>IF(INDEX(Listado!F:F,ROW())="","",INDEX(Listado!F:F,ROW()))</f>
        <v/>
      </c>
      <c r="V1557" s="17">
        <f>IF(COUNTA(INDEX(Listado!B:B,ROW()):INDEX(Listado!F:F,ROW()))&gt;0,1,0)</f>
        <v/>
      </c>
      <c r="W1557" s="17" t="str">
        <f>IF(INDEX(Listado!L:L,ROW())="","",INDEX(Listado!L:L,ROW()))</f>
        <v/>
      </c>
      <c r="X1557" s="17">
        <f>IF(N1557="","",IF(INDEX(Listado!$M:$M,N1557)="No","No","Sí"))</f>
        <v/>
      </c>
    </row>
    <row r="1558" spans="2:24" ht="14.25">
      <c r="N1558" s="17" t="str">
        <f>IF(V1558=0,"",IFERROR(LOOKUP(2,1/(INDEX(Listado!A:A,2):INDEX(Listado!A:A,ROW())&lt;&gt;""),ROW(INDEX(Listado!A:A,2):INDEX(Listado!A:A,ROW()))),""))</f>
        <v/>
      </c>
      <c r="O1558" s="17" t="str">
        <f>IFERROR(IF(N1558="","",IF(INDEX(Listado!M:M,N1558)="No",IF(INDEX(Listado!N:N,N1558)=0,"",INDEX(Listado!N:N,N1558)),IF(INDEX(Listado!I:I,N1558)=0,"",INDEX(Listado!I:I,N1558)))),"")</f>
        <v/>
      </c>
      <c r="P1558" s="17">
        <f t="shared" ca="1" si="73"/>
        <v/>
      </c>
      <c r="Q1558" s="17">
        <f>IFERROR(IF(AND(N1558&lt;&gt;"",ISNUMBER(O1558),O1558&gt;0,O1558&gt;=TODAY()-90),1,0),0)</f>
        <v/>
      </c>
      <c r="R1558" s="17" t="str">
        <f t="shared" si="75"/>
        <v/>
      </c>
      <c r="S1558" s="17" t="str">
        <f>IF(INDEX(Listado!A:A,ROW())="","",INDEX(Listado!A:A,ROW()))</f>
        <v/>
      </c>
      <c r="T1558" s="17" t="str">
        <f ca="1">IF(INDEX(Listado!G:G,ROW())="","",INDEX(Listado!G:G,ROW()))</f>
        <v/>
      </c>
      <c r="U1558" s="17" t="str">
        <f>IF(INDEX(Listado!F:F,ROW())="","",INDEX(Listado!F:F,ROW()))</f>
        <v/>
      </c>
      <c r="V1558" s="17">
        <f>IF(COUNTA(INDEX(Listado!B:B,ROW()):INDEX(Listado!F:F,ROW()))&gt;0,1,0)</f>
        <v/>
      </c>
      <c r="W1558" s="17" t="str">
        <f>IF(INDEX(Listado!L:L,ROW())="","",INDEX(Listado!L:L,ROW()))</f>
        <v/>
      </c>
      <c r="X1558" s="17">
        <f>IF(N1558="","",IF(INDEX(Listado!$M:$M,N1558)="No","No","Sí"))</f>
        <v/>
      </c>
    </row>
    <row r="1559" spans="2:24" ht="14.25">
      <c r="N1559" s="17" t="str">
        <f>IF(V1559=0,"",IFERROR(LOOKUP(2,1/(INDEX(Listado!A:A,2):INDEX(Listado!A:A,ROW())&lt;&gt;""),ROW(INDEX(Listado!A:A,2):INDEX(Listado!A:A,ROW()))),""))</f>
        <v/>
      </c>
      <c r="O1559" s="17" t="str">
        <f>IFERROR(IF(N1559="","",IF(INDEX(Listado!M:M,N1559)="No",IF(INDEX(Listado!N:N,N1559)=0,"",INDEX(Listado!N:N,N1559)),IF(INDEX(Listado!I:I,N1559)=0,"",INDEX(Listado!I:I,N1559)))),"")</f>
        <v/>
      </c>
      <c r="P1559" s="17">
        <f t="shared" ca="1" si="73"/>
        <v/>
      </c>
      <c r="Q1559" s="17">
        <f>IFERROR(IF(AND(N1559&lt;&gt;"",ISNUMBER(O1559),O1559&gt;0,O1559&gt;=TODAY()-90),1,0),0)</f>
        <v/>
      </c>
      <c r="R1559" s="17" t="str">
        <f t="shared" si="75"/>
        <v/>
      </c>
      <c r="S1559" s="17" t="str">
        <f>IF(INDEX(Listado!A:A,ROW())="","",INDEX(Listado!A:A,ROW()))</f>
        <v/>
      </c>
      <c r="T1559" s="17" t="str">
        <f ca="1">IF(INDEX(Listado!G:G,ROW())="","",INDEX(Listado!G:G,ROW()))</f>
        <v/>
      </c>
      <c r="U1559" s="17" t="str">
        <f>IF(INDEX(Listado!F:F,ROW())="","",INDEX(Listado!F:F,ROW()))</f>
        <v/>
      </c>
      <c r="V1559" s="17">
        <f>IF(COUNTA(INDEX(Listado!B:B,ROW()):INDEX(Listado!F:F,ROW()))&gt;0,1,0)</f>
        <v/>
      </c>
      <c r="W1559" s="17" t="str">
        <f>IF(INDEX(Listado!L:L,ROW())="","",INDEX(Listado!L:L,ROW()))</f>
        <v/>
      </c>
      <c r="X1559" s="17">
        <f>IF(N1559="","",IF(INDEX(Listado!$M:$M,N1559)="No","No","Sí"))</f>
        <v/>
      </c>
    </row>
    <row r="1560" spans="2:24" ht="14.25">
      <c r="N1560" s="17" t="str">
        <f>IF(V1560=0,"",IFERROR(LOOKUP(2,1/(INDEX(Listado!A:A,2):INDEX(Listado!A:A,ROW())&lt;&gt;""),ROW(INDEX(Listado!A:A,2):INDEX(Listado!A:A,ROW()))),""))</f>
        <v/>
      </c>
      <c r="O1560" s="17" t="str">
        <f>IFERROR(IF(N1560="","",IF(INDEX(Listado!M:M,N1560)="No",IF(INDEX(Listado!N:N,N1560)=0,"",INDEX(Listado!N:N,N1560)),IF(INDEX(Listado!I:I,N1560)=0,"",INDEX(Listado!I:I,N1560)))),"")</f>
        <v/>
      </c>
      <c r="P1560" s="17">
        <f t="shared" ca="1" si="73"/>
        <v/>
      </c>
      <c r="Q1560" s="17">
        <f>IFERROR(IF(AND(N1560&lt;&gt;"",ISNUMBER(O1560),O1560&gt;0,O1560&gt;=TODAY()-90),1,0),0)</f>
        <v/>
      </c>
      <c r="R1560" s="17" t="str">
        <f t="shared" si="75"/>
        <v/>
      </c>
      <c r="S1560" s="17" t="str">
        <f>IF(INDEX(Listado!A:A,ROW())="","",INDEX(Listado!A:A,ROW()))</f>
        <v/>
      </c>
      <c r="T1560" s="17" t="str">
        <f ca="1">IF(INDEX(Listado!G:G,ROW())="","",INDEX(Listado!G:G,ROW()))</f>
        <v/>
      </c>
      <c r="U1560" s="17" t="str">
        <f>IF(INDEX(Listado!F:F,ROW())="","",INDEX(Listado!F:F,ROW()))</f>
        <v/>
      </c>
      <c r="V1560" s="17">
        <f>IF(COUNTA(INDEX(Listado!B:B,ROW()):INDEX(Listado!F:F,ROW()))&gt;0,1,0)</f>
        <v/>
      </c>
      <c r="W1560" s="17" t="str">
        <f>IF(INDEX(Listado!L:L,ROW())="","",INDEX(Listado!L:L,ROW()))</f>
        <v/>
      </c>
      <c r="X1560" s="17">
        <f>IF(N1560="","",IF(INDEX(Listado!$M:$M,N1560)="No","No","Sí"))</f>
        <v/>
      </c>
    </row>
    <row r="1561" spans="2:24" ht="14.25">
      <c r="N1561" s="17" t="str">
        <f>IF(V1561=0,"",IFERROR(LOOKUP(2,1/(INDEX(Listado!A:A,2):INDEX(Listado!A:A,ROW())&lt;&gt;""),ROW(INDEX(Listado!A:A,2):INDEX(Listado!A:A,ROW()))),""))</f>
        <v/>
      </c>
      <c r="O1561" s="17" t="str">
        <f>IFERROR(IF(N1561="","",IF(INDEX(Listado!M:M,N1561)="No",IF(INDEX(Listado!N:N,N1561)=0,"",INDEX(Listado!N:N,N1561)),IF(INDEX(Listado!I:I,N1561)=0,"",INDEX(Listado!I:I,N1561)))),"")</f>
        <v/>
      </c>
      <c r="P1561" s="17">
        <f t="shared" ca="1" si="73"/>
        <v/>
      </c>
      <c r="Q1561" s="17">
        <f>IFERROR(IF(AND(N1561&lt;&gt;"",ISNUMBER(O1561),O1561&gt;0,O1561&gt;=TODAY()-90),1,0),0)</f>
        <v/>
      </c>
      <c r="R1561" s="17" t="str">
        <f t="shared" si="75"/>
        <v/>
      </c>
      <c r="S1561" s="17" t="str">
        <f>IF(INDEX(Listado!A:A,ROW())="","",INDEX(Listado!A:A,ROW()))</f>
        <v/>
      </c>
      <c r="T1561" s="17" t="str">
        <f ca="1">IF(INDEX(Listado!G:G,ROW())="","",INDEX(Listado!G:G,ROW()))</f>
        <v/>
      </c>
      <c r="U1561" s="17" t="str">
        <f>IF(INDEX(Listado!F:F,ROW())="","",INDEX(Listado!F:F,ROW()))</f>
        <v/>
      </c>
      <c r="V1561" s="17">
        <f>IF(COUNTA(INDEX(Listado!B:B,ROW()):INDEX(Listado!F:F,ROW()))&gt;0,1,0)</f>
        <v/>
      </c>
      <c r="W1561" s="17" t="str">
        <f>IF(INDEX(Listado!L:L,ROW())="","",INDEX(Listado!L:L,ROW()))</f>
        <v/>
      </c>
      <c r="X1561" s="17">
        <f>IF(N1561="","",IF(INDEX(Listado!$M:$M,N1561)="No","No","Sí"))</f>
        <v/>
      </c>
    </row>
    <row r="1562" spans="2:24" ht="14.25">
      <c r="N1562" s="17" t="str">
        <f>IF(V1562=0,"",IFERROR(LOOKUP(2,1/(INDEX(Listado!A:A,2):INDEX(Listado!A:A,ROW())&lt;&gt;""),ROW(INDEX(Listado!A:A,2):INDEX(Listado!A:A,ROW()))),""))</f>
        <v/>
      </c>
      <c r="O1562" s="17" t="str">
        <f>IFERROR(IF(N1562="","",IF(INDEX(Listado!M:M,N1562)="No",IF(INDEX(Listado!N:N,N1562)=0,"",INDEX(Listado!N:N,N1562)),IF(INDEX(Listado!I:I,N1562)=0,"",INDEX(Listado!I:I,N1562)))),"")</f>
        <v/>
      </c>
      <c r="P1562" s="17">
        <f t="shared" ca="1" si="73"/>
        <v/>
      </c>
      <c r="Q1562" s="17">
        <f>IFERROR(IF(AND(N1562&lt;&gt;"",ISNUMBER(O1562),O1562&gt;0,O1562&gt;=TODAY()-90),1,0),0)</f>
        <v/>
      </c>
      <c r="R1562" s="17" t="str">
        <f t="shared" si="75"/>
        <v/>
      </c>
      <c r="S1562" s="17" t="str">
        <f>IF(INDEX(Listado!A:A,ROW())="","",INDEX(Listado!A:A,ROW()))</f>
        <v/>
      </c>
      <c r="T1562" s="17" t="str">
        <f ca="1">IF(INDEX(Listado!G:G,ROW())="","",INDEX(Listado!G:G,ROW()))</f>
        <v/>
      </c>
      <c r="U1562" s="17" t="str">
        <f>IF(INDEX(Listado!F:F,ROW())="","",INDEX(Listado!F:F,ROW()))</f>
        <v/>
      </c>
      <c r="V1562" s="17">
        <f>IF(COUNTA(INDEX(Listado!B:B,ROW()):INDEX(Listado!F:F,ROW()))&gt;0,1,0)</f>
        <v/>
      </c>
      <c r="W1562" s="17" t="str">
        <f>IF(INDEX(Listado!L:L,ROW())="","",INDEX(Listado!L:L,ROW()))</f>
        <v/>
      </c>
      <c r="X1562" s="17">
        <f>IF(N1562="","",IF(INDEX(Listado!$M:$M,N1562)="No","No","Sí"))</f>
        <v/>
      </c>
    </row>
    <row r="1563" spans="2:24" ht="14.25">
      <c r="N1563" s="17" t="str">
        <f>IF(V1563=0,"",IFERROR(LOOKUP(2,1/(INDEX(Listado!A:A,2):INDEX(Listado!A:A,ROW())&lt;&gt;""),ROW(INDEX(Listado!A:A,2):INDEX(Listado!A:A,ROW()))),""))</f>
        <v/>
      </c>
      <c r="O1563" s="17" t="str">
        <f>IFERROR(IF(N1563="","",IF(INDEX(Listado!M:M,N1563)="No",IF(INDEX(Listado!N:N,N1563)=0,"",INDEX(Listado!N:N,N1563)),IF(INDEX(Listado!I:I,N1563)=0,"",INDEX(Listado!I:I,N1563)))),"")</f>
        <v/>
      </c>
      <c r="P1563" s="17">
        <f t="shared" ca="1" si="73"/>
        <v/>
      </c>
      <c r="Q1563" s="17">
        <f>IFERROR(IF(AND(N1563&lt;&gt;"",ISNUMBER(O1563),O1563&gt;0,O1563&gt;=TODAY()-90),1,0),0)</f>
        <v/>
      </c>
      <c r="R1563" s="17" t="str">
        <f t="shared" si="75"/>
        <v/>
      </c>
      <c r="S1563" s="17" t="str">
        <f>IF(INDEX(Listado!A:A,ROW())="","",INDEX(Listado!A:A,ROW()))</f>
        <v/>
      </c>
      <c r="T1563" s="17" t="str">
        <f ca="1">IF(INDEX(Listado!G:G,ROW())="","",INDEX(Listado!G:G,ROW()))</f>
        <v/>
      </c>
      <c r="U1563" s="17" t="str">
        <f>IF(INDEX(Listado!F:F,ROW())="","",INDEX(Listado!F:F,ROW()))</f>
        <v/>
      </c>
      <c r="V1563" s="17">
        <f>IF(COUNTA(INDEX(Listado!B:B,ROW()):INDEX(Listado!F:F,ROW()))&gt;0,1,0)</f>
        <v/>
      </c>
      <c r="W1563" s="17" t="str">
        <f>IF(INDEX(Listado!L:L,ROW())="","",INDEX(Listado!L:L,ROW()))</f>
        <v/>
      </c>
      <c r="X1563" s="17">
        <f>IF(N1563="","",IF(INDEX(Listado!$M:$M,N1563)="No","No","Sí"))</f>
        <v/>
      </c>
    </row>
    <row r="1564" spans="2:24" ht="14.25">
      <c r="N1564" s="17" t="str">
        <f>IF(V1564=0,"",IFERROR(LOOKUP(2,1/(INDEX(Listado!A:A,2):INDEX(Listado!A:A,ROW())&lt;&gt;""),ROW(INDEX(Listado!A:A,2):INDEX(Listado!A:A,ROW()))),""))</f>
        <v/>
      </c>
      <c r="O1564" s="17" t="str">
        <f>IFERROR(IF(N1564="","",IF(INDEX(Listado!M:M,N1564)="No",IF(INDEX(Listado!N:N,N1564)=0,"",INDEX(Listado!N:N,N1564)),IF(INDEX(Listado!I:I,N1564)=0,"",INDEX(Listado!I:I,N1564)))),"")</f>
        <v/>
      </c>
      <c r="P1564" s="17">
        <f t="shared" ca="1" si="73"/>
        <v/>
      </c>
      <c r="Q1564" s="17">
        <f>IFERROR(IF(AND(N1564&lt;&gt;"",ISNUMBER(O1564),O1564&gt;0,O1564&gt;=TODAY()-90),1,0),0)</f>
        <v/>
      </c>
      <c r="R1564" s="17" t="str">
        <f t="shared" si="75"/>
        <v/>
      </c>
      <c r="S1564" s="17" t="str">
        <f>IF(INDEX(Listado!A:A,ROW())="","",INDEX(Listado!A:A,ROW()))</f>
        <v/>
      </c>
      <c r="T1564" s="17" t="str">
        <f ca="1">IF(INDEX(Listado!G:G,ROW())="","",INDEX(Listado!G:G,ROW()))</f>
        <v/>
      </c>
      <c r="U1564" s="17" t="str">
        <f>IF(INDEX(Listado!F:F,ROW())="","",INDEX(Listado!F:F,ROW()))</f>
        <v/>
      </c>
      <c r="V1564" s="17">
        <f>IF(COUNTA(INDEX(Listado!B:B,ROW()):INDEX(Listado!F:F,ROW()))&gt;0,1,0)</f>
        <v/>
      </c>
      <c r="W1564" s="17" t="str">
        <f>IF(INDEX(Listado!L:L,ROW())="","",INDEX(Listado!L:L,ROW()))</f>
        <v/>
      </c>
      <c r="X1564" s="17">
        <f>IF(N1564="","",IF(INDEX(Listado!$M:$M,N1564)="No","No","Sí"))</f>
        <v/>
      </c>
    </row>
    <row r="1565" spans="2:24" ht="14.25">
      <c r="N1565" s="17" t="str">
        <f>IF(V1565=0,"",IFERROR(LOOKUP(2,1/(INDEX(Listado!A:A,2):INDEX(Listado!A:A,ROW())&lt;&gt;""),ROW(INDEX(Listado!A:A,2):INDEX(Listado!A:A,ROW()))),""))</f>
        <v/>
      </c>
      <c r="O1565" s="17" t="str">
        <f>IFERROR(IF(N1565="","",IF(INDEX(Listado!M:M,N1565)="No",IF(INDEX(Listado!N:N,N1565)=0,"",INDEX(Listado!N:N,N1565)),IF(INDEX(Listado!I:I,N1565)=0,"",INDEX(Listado!I:I,N1565)))),"")</f>
        <v/>
      </c>
      <c r="P1565" s="17">
        <f t="shared" ca="1" si="73"/>
        <v/>
      </c>
      <c r="Q1565" s="17">
        <f>IFERROR(IF(AND(N1565&lt;&gt;"",ISNUMBER(O1565),O1565&gt;0,O1565&gt;=TODAY()-90),1,0),0)</f>
        <v/>
      </c>
      <c r="R1565" s="17" t="str">
        <f t="shared" si="75"/>
        <v/>
      </c>
      <c r="S1565" s="17" t="str">
        <f>IF(INDEX(Listado!A:A,ROW())="","",INDEX(Listado!A:A,ROW()))</f>
        <v/>
      </c>
      <c r="T1565" s="17" t="str">
        <f ca="1">IF(INDEX(Listado!G:G,ROW())="","",INDEX(Listado!G:G,ROW()))</f>
        <v/>
      </c>
      <c r="U1565" s="17" t="str">
        <f>IF(INDEX(Listado!F:F,ROW())="","",INDEX(Listado!F:F,ROW()))</f>
        <v/>
      </c>
      <c r="V1565" s="17">
        <f>IF(COUNTA(INDEX(Listado!B:B,ROW()):INDEX(Listado!F:F,ROW()))&gt;0,1,0)</f>
        <v/>
      </c>
      <c r="W1565" s="17" t="str">
        <f>IF(INDEX(Listado!L:L,ROW())="","",INDEX(Listado!L:L,ROW()))</f>
        <v/>
      </c>
      <c r="X1565" s="17">
        <f>IF(N1565="","",IF(INDEX(Listado!$M:$M,N1565)="No","No","Sí"))</f>
        <v/>
      </c>
    </row>
    <row r="1566" spans="2:24" ht="14.25">
      <c r="N1566" s="17" t="str">
        <f>IF(V1566=0,"",IFERROR(LOOKUP(2,1/(INDEX(Listado!A:A,2):INDEX(Listado!A:A,ROW())&lt;&gt;""),ROW(INDEX(Listado!A:A,2):INDEX(Listado!A:A,ROW()))),""))</f>
        <v/>
      </c>
      <c r="O1566" s="17" t="str">
        <f>IFERROR(IF(N1566="","",IF(INDEX(Listado!M:M,N1566)="No",IF(INDEX(Listado!N:N,N1566)=0,"",INDEX(Listado!N:N,N1566)),IF(INDEX(Listado!I:I,N1566)=0,"",INDEX(Listado!I:I,N1566)))),"")</f>
        <v/>
      </c>
      <c r="P1566" s="17">
        <f t="shared" ca="1" si="73"/>
        <v/>
      </c>
      <c r="Q1566" s="17">
        <f>IFERROR(IF(AND(N1566&lt;&gt;"",ISNUMBER(O1566),O1566&gt;0,O1566&gt;=TODAY()-90),1,0),0)</f>
        <v/>
      </c>
      <c r="R1566" s="17" t="str">
        <f t="shared" si="75"/>
        <v/>
      </c>
      <c r="S1566" s="17" t="str">
        <f>IF(INDEX(Listado!A:A,ROW())="","",INDEX(Listado!A:A,ROW()))</f>
        <v/>
      </c>
      <c r="T1566" s="17" t="str">
        <f ca="1">IF(INDEX(Listado!G:G,ROW())="","",INDEX(Listado!G:G,ROW()))</f>
        <v/>
      </c>
      <c r="U1566" s="17" t="str">
        <f>IF(INDEX(Listado!F:F,ROW())="","",INDEX(Listado!F:F,ROW()))</f>
        <v/>
      </c>
      <c r="V1566" s="17">
        <f>IF(COUNTA(INDEX(Listado!B:B,ROW()):INDEX(Listado!F:F,ROW()))&gt;0,1,0)</f>
        <v/>
      </c>
      <c r="W1566" s="17" t="str">
        <f>IF(INDEX(Listado!L:L,ROW())="","",INDEX(Listado!L:L,ROW()))</f>
        <v/>
      </c>
      <c r="X1566" s="17">
        <f>IF(N1566="","",IF(INDEX(Listado!$M:$M,N1566)="No","No","Sí"))</f>
        <v/>
      </c>
    </row>
    <row r="1567" spans="2:24" ht="14.25">
      <c r="N1567" s="17" t="str">
        <f>IF(V1567=0,"",IFERROR(LOOKUP(2,1/(INDEX(Listado!A:A,2):INDEX(Listado!A:A,ROW())&lt;&gt;""),ROW(INDEX(Listado!A:A,2):INDEX(Listado!A:A,ROW()))),""))</f>
        <v/>
      </c>
      <c r="O1567" s="17" t="str">
        <f>IFERROR(IF(N1567="","",IF(INDEX(Listado!M:M,N1567)="No",IF(INDEX(Listado!N:N,N1567)=0,"",INDEX(Listado!N:N,N1567)),IF(INDEX(Listado!I:I,N1567)=0,"",INDEX(Listado!I:I,N1567)))),"")</f>
        <v/>
      </c>
      <c r="P1567" s="17">
        <f t="shared" ca="1" si="73"/>
        <v/>
      </c>
      <c r="Q1567" s="17">
        <f>IFERROR(IF(AND(N1567&lt;&gt;"",ISNUMBER(O1567),O1567&gt;0,O1567&gt;=TODAY()-90),1,0),0)</f>
        <v/>
      </c>
      <c r="R1567" s="17" t="str">
        <f t="shared" si="75"/>
        <v/>
      </c>
      <c r="S1567" s="17" t="str">
        <f>IF(INDEX(Listado!A:A,ROW())="","",INDEX(Listado!A:A,ROW()))</f>
        <v/>
      </c>
      <c r="T1567" s="17" t="str">
        <f ca="1">IF(INDEX(Listado!G:G,ROW())="","",INDEX(Listado!G:G,ROW()))</f>
        <v/>
      </c>
      <c r="U1567" s="17" t="str">
        <f>IF(INDEX(Listado!F:F,ROW())="","",INDEX(Listado!F:F,ROW()))</f>
        <v/>
      </c>
      <c r="V1567" s="17">
        <f>IF(COUNTA(INDEX(Listado!B:B,ROW()):INDEX(Listado!F:F,ROW()))&gt;0,1,0)</f>
        <v/>
      </c>
      <c r="W1567" s="17" t="str">
        <f>IF(INDEX(Listado!L:L,ROW())="","",INDEX(Listado!L:L,ROW()))</f>
        <v/>
      </c>
      <c r="X1567" s="17">
        <f>IF(N1567="","",IF(INDEX(Listado!$M:$M,N1567)="No","No","Sí"))</f>
        <v/>
      </c>
    </row>
    <row r="1568" spans="2:24" ht="14.25">
      <c r="N1568" s="17" t="str">
        <f>IF(V1568=0,"",IFERROR(LOOKUP(2,1/(INDEX(Listado!A:A,2):INDEX(Listado!A:A,ROW())&lt;&gt;""),ROW(INDEX(Listado!A:A,2):INDEX(Listado!A:A,ROW()))),""))</f>
        <v/>
      </c>
      <c r="O1568" s="17" t="str">
        <f>IFERROR(IF(N1568="","",IF(INDEX(Listado!M:M,N1568)="No",IF(INDEX(Listado!N:N,N1568)=0,"",INDEX(Listado!N:N,N1568)),IF(INDEX(Listado!I:I,N1568)=0,"",INDEX(Listado!I:I,N1568)))),"")</f>
        <v/>
      </c>
      <c r="P1568" s="17">
        <f t="shared" ca="1" si="73"/>
        <v/>
      </c>
      <c r="Q1568" s="17">
        <f>IFERROR(IF(AND(N1568&lt;&gt;"",ISNUMBER(O1568),O1568&gt;0,O1568&gt;=TODAY()-90),1,0),0)</f>
        <v/>
      </c>
      <c r="R1568" s="17" t="str">
        <f t="shared" si="75"/>
        <v/>
      </c>
      <c r="S1568" s="17" t="str">
        <f>IF(INDEX(Listado!A:A,ROW())="","",INDEX(Listado!A:A,ROW()))</f>
        <v/>
      </c>
      <c r="T1568" s="17" t="str">
        <f ca="1">IF(INDEX(Listado!G:G,ROW())="","",INDEX(Listado!G:G,ROW()))</f>
        <v/>
      </c>
      <c r="U1568" s="17" t="str">
        <f>IF(INDEX(Listado!F:F,ROW())="","",INDEX(Listado!F:F,ROW()))</f>
        <v/>
      </c>
      <c r="V1568" s="17">
        <f>IF(COUNTA(INDEX(Listado!B:B,ROW()):INDEX(Listado!F:F,ROW()))&gt;0,1,0)</f>
        <v/>
      </c>
      <c r="W1568" s="17" t="str">
        <f>IF(INDEX(Listado!L:L,ROW())="","",INDEX(Listado!L:L,ROW()))</f>
        <v/>
      </c>
      <c r="X1568" s="17">
        <f>IF(N1568="","",IF(INDEX(Listado!$M:$M,N1568)="No","No","Sí"))</f>
        <v/>
      </c>
    </row>
    <row r="1569" spans="2:24" ht="14.25">
      <c r="N1569" s="17" t="str">
        <f>IF(V1569=0,"",IFERROR(LOOKUP(2,1/(INDEX(Listado!A:A,2):INDEX(Listado!A:A,ROW())&lt;&gt;""),ROW(INDEX(Listado!A:A,2):INDEX(Listado!A:A,ROW()))),""))</f>
        <v/>
      </c>
      <c r="O1569" s="17" t="str">
        <f>IFERROR(IF(N1569="","",IF(INDEX(Listado!M:M,N1569)="No",IF(INDEX(Listado!N:N,N1569)=0,"",INDEX(Listado!N:N,N1569)),IF(INDEX(Listado!I:I,N1569)=0,"",INDEX(Listado!I:I,N1569)))),"")</f>
        <v/>
      </c>
      <c r="P1569" s="17">
        <f t="shared" ca="1" si="73"/>
        <v/>
      </c>
      <c r="Q1569" s="17">
        <f>IFERROR(IF(AND(N1569&lt;&gt;"",ISNUMBER(O1569),O1569&gt;0,O1569&gt;=TODAY()-90),1,0),0)</f>
        <v/>
      </c>
      <c r="R1569" s="17" t="str">
        <f t="shared" si="75"/>
        <v/>
      </c>
      <c r="S1569" s="17" t="str">
        <f>IF(INDEX(Listado!A:A,ROW())="","",INDEX(Listado!A:A,ROW()))</f>
        <v/>
      </c>
      <c r="T1569" s="17" t="str">
        <f ca="1">IF(INDEX(Listado!G:G,ROW())="","",INDEX(Listado!G:G,ROW()))</f>
        <v/>
      </c>
      <c r="U1569" s="17" t="str">
        <f>IF(INDEX(Listado!F:F,ROW())="","",INDEX(Listado!F:F,ROW()))</f>
        <v/>
      </c>
      <c r="V1569" s="17">
        <f>IF(COUNTA(INDEX(Listado!B:B,ROW()):INDEX(Listado!F:F,ROW()))&gt;0,1,0)</f>
        <v/>
      </c>
      <c r="W1569" s="17" t="str">
        <f>IF(INDEX(Listado!L:L,ROW())="","",INDEX(Listado!L:L,ROW()))</f>
        <v/>
      </c>
      <c r="X1569" s="17">
        <f>IF(N1569="","",IF(INDEX(Listado!$M:$M,N1569)="No","No","Sí"))</f>
        <v/>
      </c>
    </row>
    <row r="1570" spans="2:24" ht="14.25">
      <c r="N1570" s="17" t="str">
        <f>IF(V1570=0,"",IFERROR(LOOKUP(2,1/(INDEX(Listado!A:A,2):INDEX(Listado!A:A,ROW())&lt;&gt;""),ROW(INDEX(Listado!A:A,2):INDEX(Listado!A:A,ROW()))),""))</f>
        <v/>
      </c>
      <c r="O1570" s="17" t="str">
        <f>IFERROR(IF(N1570="","",IF(INDEX(Listado!M:M,N1570)="No",IF(INDEX(Listado!N:N,N1570)=0,"",INDEX(Listado!N:N,N1570)),IF(INDEX(Listado!I:I,N1570)=0,"",INDEX(Listado!I:I,N1570)))),"")</f>
        <v/>
      </c>
      <c r="P1570" s="17">
        <f t="shared" ca="1" si="73"/>
        <v/>
      </c>
      <c r="Q1570" s="17">
        <f>IFERROR(IF(AND(N1570&lt;&gt;"",ISNUMBER(O1570),O1570&gt;0,O1570&gt;=TODAY()-90),1,0),0)</f>
        <v/>
      </c>
      <c r="R1570" s="17" t="str">
        <f t="shared" si="75"/>
        <v/>
      </c>
      <c r="S1570" s="17" t="str">
        <f>IF(INDEX(Listado!A:A,ROW())="","",INDEX(Listado!A:A,ROW()))</f>
        <v/>
      </c>
      <c r="T1570" s="17" t="str">
        <f ca="1">IF(INDEX(Listado!G:G,ROW())="","",INDEX(Listado!G:G,ROW()))</f>
        <v/>
      </c>
      <c r="U1570" s="17" t="str">
        <f>IF(INDEX(Listado!F:F,ROW())="","",INDEX(Listado!F:F,ROW()))</f>
        <v/>
      </c>
      <c r="V1570" s="17">
        <f>IF(COUNTA(INDEX(Listado!B:B,ROW()):INDEX(Listado!F:F,ROW()))&gt;0,1,0)</f>
        <v/>
      </c>
      <c r="W1570" s="17" t="str">
        <f>IF(INDEX(Listado!L:L,ROW())="","",INDEX(Listado!L:L,ROW()))</f>
        <v/>
      </c>
      <c r="X1570" s="17">
        <f>IF(N1570="","",IF(INDEX(Listado!$M:$M,N1570)="No","No","Sí"))</f>
        <v/>
      </c>
    </row>
    <row r="1571" spans="2:24" ht="14.25">
      <c r="N1571" s="17" t="str">
        <f>IF(V1571=0,"",IFERROR(LOOKUP(2,1/(INDEX(Listado!A:A,2):INDEX(Listado!A:A,ROW())&lt;&gt;""),ROW(INDEX(Listado!A:A,2):INDEX(Listado!A:A,ROW()))),""))</f>
        <v/>
      </c>
      <c r="O1571" s="17" t="str">
        <f>IFERROR(IF(N1571="","",IF(INDEX(Listado!M:M,N1571)="No",IF(INDEX(Listado!N:N,N1571)=0,"",INDEX(Listado!N:N,N1571)),IF(INDEX(Listado!I:I,N1571)=0,"",INDEX(Listado!I:I,N1571)))),"")</f>
        <v/>
      </c>
      <c r="P1571" s="17">
        <f t="shared" ca="1" si="73"/>
        <v/>
      </c>
      <c r="Q1571" s="17">
        <f>IFERROR(IF(AND(N1571&lt;&gt;"",ISNUMBER(O1571),O1571&gt;0,O1571&gt;=TODAY()-90),1,0),0)</f>
        <v/>
      </c>
      <c r="R1571" s="17" t="str">
        <f t="shared" si="75"/>
        <v/>
      </c>
      <c r="S1571" s="17" t="str">
        <f>IF(INDEX(Listado!A:A,ROW())="","",INDEX(Listado!A:A,ROW()))</f>
        <v/>
      </c>
      <c r="T1571" s="17" t="str">
        <f ca="1">IF(INDEX(Listado!G:G,ROW())="","",INDEX(Listado!G:G,ROW()))</f>
        <v/>
      </c>
      <c r="U1571" s="17" t="str">
        <f>IF(INDEX(Listado!F:F,ROW())="","",INDEX(Listado!F:F,ROW()))</f>
        <v/>
      </c>
      <c r="V1571" s="17">
        <f>IF(COUNTA(INDEX(Listado!B:B,ROW()):INDEX(Listado!F:F,ROW()))&gt;0,1,0)</f>
        <v/>
      </c>
      <c r="W1571" s="17" t="str">
        <f>IF(INDEX(Listado!L:L,ROW())="","",INDEX(Listado!L:L,ROW()))</f>
        <v/>
      </c>
      <c r="X1571" s="17">
        <f>IF(N1571="","",IF(INDEX(Listado!$M:$M,N1571)="No","No","Sí"))</f>
        <v/>
      </c>
    </row>
    <row r="1572" spans="2:24" ht="14.25">
      <c r="N1572" s="17" t="str">
        <f>IF(V1572=0,"",IFERROR(LOOKUP(2,1/(INDEX(Listado!A:A,2):INDEX(Listado!A:A,ROW())&lt;&gt;""),ROW(INDEX(Listado!A:A,2):INDEX(Listado!A:A,ROW()))),""))</f>
        <v/>
      </c>
      <c r="O1572" s="17" t="str">
        <f>IFERROR(IF(N1572="","",IF(INDEX(Listado!M:M,N1572)="No",IF(INDEX(Listado!N:N,N1572)=0,"",INDEX(Listado!N:N,N1572)),IF(INDEX(Listado!I:I,N1572)=0,"",INDEX(Listado!I:I,N1572)))),"")</f>
        <v/>
      </c>
      <c r="P1572" s="17">
        <f t="shared" ca="1" si="73"/>
        <v/>
      </c>
      <c r="Q1572" s="17">
        <f>IFERROR(IF(AND(N1572&lt;&gt;"",ISNUMBER(O1572),O1572&gt;0,O1572&gt;=TODAY()-90),1,0),0)</f>
        <v/>
      </c>
      <c r="R1572" s="17" t="str">
        <f t="shared" si="75"/>
        <v/>
      </c>
      <c r="S1572" s="17" t="str">
        <f>IF(INDEX(Listado!A:A,ROW())="","",INDEX(Listado!A:A,ROW()))</f>
        <v/>
      </c>
      <c r="T1572" s="17" t="str">
        <f ca="1">IF(INDEX(Listado!G:G,ROW())="","",INDEX(Listado!G:G,ROW()))</f>
        <v/>
      </c>
      <c r="U1572" s="17" t="str">
        <f>IF(INDEX(Listado!F:F,ROW())="","",INDEX(Listado!F:F,ROW()))</f>
        <v/>
      </c>
      <c r="V1572" s="17">
        <f>IF(COUNTA(INDEX(Listado!B:B,ROW()):INDEX(Listado!F:F,ROW()))&gt;0,1,0)</f>
        <v/>
      </c>
      <c r="W1572" s="17" t="str">
        <f>IF(INDEX(Listado!L:L,ROW())="","",INDEX(Listado!L:L,ROW()))</f>
        <v/>
      </c>
      <c r="X1572" s="17">
        <f>IF(N1572="","",IF(INDEX(Listado!$M:$M,N1572)="No","No","Sí"))</f>
        <v/>
      </c>
    </row>
    <row r="1573" spans="2:24" ht="14.25">
      <c r="N1573" s="17" t="str">
        <f>IF(V1573=0,"",IFERROR(LOOKUP(2,1/(INDEX(Listado!A:A,2):INDEX(Listado!A:A,ROW())&lt;&gt;""),ROW(INDEX(Listado!A:A,2):INDEX(Listado!A:A,ROW()))),""))</f>
        <v/>
      </c>
      <c r="O1573" s="17" t="str">
        <f>IFERROR(IF(N1573="","",IF(INDEX(Listado!M:M,N1573)="No",IF(INDEX(Listado!N:N,N1573)=0,"",INDEX(Listado!N:N,N1573)),IF(INDEX(Listado!I:I,N1573)=0,"",INDEX(Listado!I:I,N1573)))),"")</f>
        <v/>
      </c>
      <c r="P1573" s="17">
        <f t="shared" ca="1" si="73"/>
        <v/>
      </c>
      <c r="Q1573" s="17">
        <f>IFERROR(IF(AND(N1573&lt;&gt;"",ISNUMBER(O1573),O1573&gt;0,O1573&gt;=TODAY()-90),1,0),0)</f>
        <v/>
      </c>
      <c r="R1573" s="17" t="str">
        <f t="shared" si="75"/>
        <v/>
      </c>
      <c r="S1573" s="17" t="str">
        <f>IF(INDEX(Listado!A:A,ROW())="","",INDEX(Listado!A:A,ROW()))</f>
        <v/>
      </c>
      <c r="T1573" s="17" t="str">
        <f ca="1">IF(INDEX(Listado!G:G,ROW())="","",INDEX(Listado!G:G,ROW()))</f>
        <v/>
      </c>
      <c r="U1573" s="17" t="str">
        <f>IF(INDEX(Listado!F:F,ROW())="","",INDEX(Listado!F:F,ROW()))</f>
        <v/>
      </c>
      <c r="V1573" s="17">
        <f>IF(COUNTA(INDEX(Listado!B:B,ROW()):INDEX(Listado!F:F,ROW()))&gt;0,1,0)</f>
        <v/>
      </c>
      <c r="W1573" s="17" t="str">
        <f>IF(INDEX(Listado!L:L,ROW())="","",INDEX(Listado!L:L,ROW()))</f>
        <v/>
      </c>
      <c r="X1573" s="17">
        <f>IF(N1573="","",IF(INDEX(Listado!$M:$M,N1573)="No","No","Sí"))</f>
        <v/>
      </c>
    </row>
    <row r="1574" spans="2:24" ht="14.25">
      <c r="N1574" s="17" t="str">
        <f>IF(V1574=0,"",IFERROR(LOOKUP(2,1/(INDEX(Listado!A:A,2):INDEX(Listado!A:A,ROW())&lt;&gt;""),ROW(INDEX(Listado!A:A,2):INDEX(Listado!A:A,ROW()))),""))</f>
        <v/>
      </c>
      <c r="O1574" s="17" t="str">
        <f>IFERROR(IF(N1574="","",IF(INDEX(Listado!M:M,N1574)="No",IF(INDEX(Listado!N:N,N1574)=0,"",INDEX(Listado!N:N,N1574)),IF(INDEX(Listado!I:I,N1574)=0,"",INDEX(Listado!I:I,N1574)))),"")</f>
        <v/>
      </c>
      <c r="P1574" s="17">
        <f t="shared" ca="1" si="73"/>
        <v/>
      </c>
      <c r="Q1574" s="17">
        <f>IFERROR(IF(AND(N1574&lt;&gt;"",ISNUMBER(O1574),O1574&gt;0,O1574&gt;=TODAY()-90),1,0),0)</f>
        <v/>
      </c>
      <c r="R1574" s="17" t="str">
        <f t="shared" si="75"/>
        <v/>
      </c>
      <c r="S1574" s="17" t="str">
        <f>IF(INDEX(Listado!A:A,ROW())="","",INDEX(Listado!A:A,ROW()))</f>
        <v/>
      </c>
      <c r="T1574" s="17" t="str">
        <f ca="1">IF(INDEX(Listado!G:G,ROW())="","",INDEX(Listado!G:G,ROW()))</f>
        <v/>
      </c>
      <c r="U1574" s="17" t="str">
        <f>IF(INDEX(Listado!F:F,ROW())="","",INDEX(Listado!F:F,ROW()))</f>
        <v/>
      </c>
      <c r="V1574" s="17">
        <f>IF(COUNTA(INDEX(Listado!B:B,ROW()):INDEX(Listado!F:F,ROW()))&gt;0,1,0)</f>
        <v/>
      </c>
      <c r="W1574" s="17" t="str">
        <f>IF(INDEX(Listado!L:L,ROW())="","",INDEX(Listado!L:L,ROW()))</f>
        <v/>
      </c>
      <c r="X1574" s="17">
        <f>IF(N1574="","",IF(INDEX(Listado!$M:$M,N1574)="No","No","Sí"))</f>
        <v/>
      </c>
    </row>
    <row r="1575" spans="2:24" ht="14.25">
      <c r="N1575" s="17" t="str">
        <f>IF(V1575=0,"",IFERROR(LOOKUP(2,1/(INDEX(Listado!A:A,2):INDEX(Listado!A:A,ROW())&lt;&gt;""),ROW(INDEX(Listado!A:A,2):INDEX(Listado!A:A,ROW()))),""))</f>
        <v/>
      </c>
      <c r="O1575" s="17" t="str">
        <f>IFERROR(IF(N1575="","",IF(INDEX(Listado!M:M,N1575)="No",IF(INDEX(Listado!N:N,N1575)=0,"",INDEX(Listado!N:N,N1575)),IF(INDEX(Listado!I:I,N1575)=0,"",INDEX(Listado!I:I,N1575)))),"")</f>
        <v/>
      </c>
      <c r="P1575" s="17">
        <f t="shared" ca="1" si="73"/>
        <v/>
      </c>
      <c r="Q1575" s="17">
        <f>IFERROR(IF(AND(N1575&lt;&gt;"",ISNUMBER(O1575),O1575&gt;0,O1575&gt;=TODAY()-90),1,0),0)</f>
        <v/>
      </c>
      <c r="R1575" s="17" t="str">
        <f t="shared" si="75"/>
        <v/>
      </c>
      <c r="S1575" s="17" t="str">
        <f>IF(INDEX(Listado!A:A,ROW())="","",INDEX(Listado!A:A,ROW()))</f>
        <v/>
      </c>
      <c r="T1575" s="17" t="str">
        <f ca="1">IF(INDEX(Listado!G:G,ROW())="","",INDEX(Listado!G:G,ROW()))</f>
        <v/>
      </c>
      <c r="U1575" s="17" t="str">
        <f>IF(INDEX(Listado!F:F,ROW())="","",INDEX(Listado!F:F,ROW()))</f>
        <v/>
      </c>
      <c r="V1575" s="17">
        <f>IF(COUNTA(INDEX(Listado!B:B,ROW()):INDEX(Listado!F:F,ROW()))&gt;0,1,0)</f>
        <v/>
      </c>
      <c r="W1575" s="17" t="str">
        <f>IF(INDEX(Listado!L:L,ROW())="","",INDEX(Listado!L:L,ROW()))</f>
        <v/>
      </c>
      <c r="X1575" s="17">
        <f>IF(N1575="","",IF(INDEX(Listado!$M:$M,N1575)="No","No","Sí"))</f>
        <v/>
      </c>
    </row>
    <row r="1576" spans="2:24" ht="14.25">
      <c r="N1576" s="17" t="str">
        <f>IF(V1576=0,"",IFERROR(LOOKUP(2,1/(INDEX(Listado!A:A,2):INDEX(Listado!A:A,ROW())&lt;&gt;""),ROW(INDEX(Listado!A:A,2):INDEX(Listado!A:A,ROW()))),""))</f>
        <v/>
      </c>
      <c r="O1576" s="17" t="str">
        <f>IFERROR(IF(N1576="","",IF(INDEX(Listado!M:M,N1576)="No",IF(INDEX(Listado!N:N,N1576)=0,"",INDEX(Listado!N:N,N1576)),IF(INDEX(Listado!I:I,N1576)=0,"",INDEX(Listado!I:I,N1576)))),"")</f>
        <v/>
      </c>
      <c r="P1576" s="17">
        <f t="shared" ca="1" si="73"/>
        <v/>
      </c>
      <c r="Q1576" s="17">
        <f>IFERROR(IF(AND(N1576&lt;&gt;"",ISNUMBER(O1576),O1576&gt;0,O1576&gt;=TODAY()-90),1,0),0)</f>
        <v/>
      </c>
      <c r="R1576" s="17" t="str">
        <f t="shared" si="75"/>
        <v/>
      </c>
      <c r="S1576" s="17" t="str">
        <f>IF(INDEX(Listado!A:A,ROW())="","",INDEX(Listado!A:A,ROW()))</f>
        <v/>
      </c>
      <c r="T1576" s="17" t="str">
        <f ca="1">IF(INDEX(Listado!G:G,ROW())="","",INDEX(Listado!G:G,ROW()))</f>
        <v/>
      </c>
      <c r="U1576" s="17" t="str">
        <f>IF(INDEX(Listado!F:F,ROW())="","",INDEX(Listado!F:F,ROW()))</f>
        <v/>
      </c>
      <c r="V1576" s="17">
        <f>IF(COUNTA(INDEX(Listado!B:B,ROW()):INDEX(Listado!F:F,ROW()))&gt;0,1,0)</f>
        <v/>
      </c>
      <c r="W1576" s="17" t="str">
        <f>IF(INDEX(Listado!L:L,ROW())="","",INDEX(Listado!L:L,ROW()))</f>
        <v/>
      </c>
      <c r="X1576" s="17">
        <f>IF(N1576="","",IF(INDEX(Listado!$M:$M,N1576)="No","No","Sí"))</f>
        <v/>
      </c>
    </row>
    <row r="1577" spans="2:24" ht="14.25">
      <c r="N1577" s="17" t="str">
        <f>IF(V1577=0,"",IFERROR(LOOKUP(2,1/(INDEX(Listado!A:A,2):INDEX(Listado!A:A,ROW())&lt;&gt;""),ROW(INDEX(Listado!A:A,2):INDEX(Listado!A:A,ROW()))),""))</f>
        <v/>
      </c>
      <c r="O1577" s="17" t="str">
        <f>IFERROR(IF(N1577="","",IF(INDEX(Listado!M:M,N1577)="No",IF(INDEX(Listado!N:N,N1577)=0,"",INDEX(Listado!N:N,N1577)),IF(INDEX(Listado!I:I,N1577)=0,"",INDEX(Listado!I:I,N1577)))),"")</f>
        <v/>
      </c>
      <c r="P1577" s="17">
        <f t="shared" ca="1" si="73"/>
        <v/>
      </c>
      <c r="Q1577" s="17">
        <f>IFERROR(IF(AND(N1577&lt;&gt;"",ISNUMBER(O1577),O1577&gt;0,O1577&gt;=TODAY()-90),1,0),0)</f>
        <v/>
      </c>
      <c r="R1577" s="17" t="str">
        <f t="shared" si="75"/>
        <v/>
      </c>
      <c r="S1577" s="17" t="str">
        <f>IF(INDEX(Listado!A:A,ROW())="","",INDEX(Listado!A:A,ROW()))</f>
        <v/>
      </c>
      <c r="T1577" s="17" t="str">
        <f ca="1">IF(INDEX(Listado!G:G,ROW())="","",INDEX(Listado!G:G,ROW()))</f>
        <v/>
      </c>
      <c r="U1577" s="17" t="str">
        <f>IF(INDEX(Listado!F:F,ROW())="","",INDEX(Listado!F:F,ROW()))</f>
        <v/>
      </c>
      <c r="V1577" s="17">
        <f>IF(COUNTA(INDEX(Listado!B:B,ROW()):INDEX(Listado!F:F,ROW()))&gt;0,1,0)</f>
        <v/>
      </c>
      <c r="W1577" s="17" t="str">
        <f>IF(INDEX(Listado!L:L,ROW())="","",INDEX(Listado!L:L,ROW()))</f>
        <v/>
      </c>
      <c r="X1577" s="17">
        <f>IF(N1577="","",IF(INDEX(Listado!$M:$M,N1577)="No","No","Sí"))</f>
        <v/>
      </c>
    </row>
    <row r="1578" spans="2:24" ht="14.25">
      <c r="N1578" s="17" t="str">
        <f>IF(V1578=0,"",IFERROR(LOOKUP(2,1/(INDEX(Listado!A:A,2):INDEX(Listado!A:A,ROW())&lt;&gt;""),ROW(INDEX(Listado!A:A,2):INDEX(Listado!A:A,ROW()))),""))</f>
        <v/>
      </c>
      <c r="O1578" s="17" t="str">
        <f>IFERROR(IF(N1578="","",IF(INDEX(Listado!M:M,N1578)="No",IF(INDEX(Listado!N:N,N1578)=0,"",INDEX(Listado!N:N,N1578)),IF(INDEX(Listado!I:I,N1578)=0,"",INDEX(Listado!I:I,N1578)))),"")</f>
        <v/>
      </c>
      <c r="P1578" s="17">
        <f t="shared" ca="1" si="73"/>
        <v/>
      </c>
      <c r="Q1578" s="17">
        <f>IFERROR(IF(AND(N1578&lt;&gt;"",ISNUMBER(O1578),O1578&gt;0,O1578&gt;=TODAY()-90),1,0),0)</f>
        <v/>
      </c>
      <c r="R1578" s="17" t="str">
        <f t="shared" si="75"/>
        <v/>
      </c>
      <c r="S1578" s="17" t="str">
        <f>IF(INDEX(Listado!A:A,ROW())="","",INDEX(Listado!A:A,ROW()))</f>
        <v/>
      </c>
      <c r="T1578" s="17" t="str">
        <f ca="1">IF(INDEX(Listado!G:G,ROW())="","",INDEX(Listado!G:G,ROW()))</f>
        <v/>
      </c>
      <c r="U1578" s="17" t="str">
        <f>IF(INDEX(Listado!F:F,ROW())="","",INDEX(Listado!F:F,ROW()))</f>
        <v/>
      </c>
      <c r="V1578" s="17">
        <f>IF(COUNTA(INDEX(Listado!B:B,ROW()):INDEX(Listado!F:F,ROW()))&gt;0,1,0)</f>
        <v/>
      </c>
      <c r="W1578" s="17" t="str">
        <f>IF(INDEX(Listado!L:L,ROW())="","",INDEX(Listado!L:L,ROW()))</f>
        <v/>
      </c>
      <c r="X1578" s="17">
        <f>IF(N1578="","",IF(INDEX(Listado!$M:$M,N1578)="No","No","Sí"))</f>
        <v/>
      </c>
    </row>
    <row r="1579" spans="2:24" ht="14.25">
      <c r="N1579" s="17" t="str">
        <f>IF(V1579=0,"",IFERROR(LOOKUP(2,1/(INDEX(Listado!A:A,2):INDEX(Listado!A:A,ROW())&lt;&gt;""),ROW(INDEX(Listado!A:A,2):INDEX(Listado!A:A,ROW()))),""))</f>
        <v/>
      </c>
      <c r="O1579" s="17" t="str">
        <f>IFERROR(IF(N1579="","",IF(INDEX(Listado!M:M,N1579)="No",IF(INDEX(Listado!N:N,N1579)=0,"",INDEX(Listado!N:N,N1579)),IF(INDEX(Listado!I:I,N1579)=0,"",INDEX(Listado!I:I,N1579)))),"")</f>
        <v/>
      </c>
      <c r="P1579" s="17">
        <f t="shared" ca="1" si="73"/>
        <v/>
      </c>
      <c r="Q1579" s="17">
        <f>IFERROR(IF(AND(N1579&lt;&gt;"",ISNUMBER(O1579),O1579&gt;0,O1579&gt;=TODAY()-90),1,0),0)</f>
        <v/>
      </c>
      <c r="R1579" s="17" t="str">
        <f t="shared" si="75"/>
        <v/>
      </c>
      <c r="S1579" s="17" t="str">
        <f>IF(INDEX(Listado!A:A,ROW())="","",INDEX(Listado!A:A,ROW()))</f>
        <v/>
      </c>
      <c r="T1579" s="17" t="str">
        <f ca="1">IF(INDEX(Listado!G:G,ROW())="","",INDEX(Listado!G:G,ROW()))</f>
        <v/>
      </c>
      <c r="U1579" s="17" t="str">
        <f>IF(INDEX(Listado!F:F,ROW())="","",INDEX(Listado!F:F,ROW()))</f>
        <v/>
      </c>
      <c r="V1579" s="17">
        <f>IF(COUNTA(INDEX(Listado!B:B,ROW()):INDEX(Listado!F:F,ROW()))&gt;0,1,0)</f>
        <v/>
      </c>
      <c r="W1579" s="17" t="str">
        <f>IF(INDEX(Listado!L:L,ROW())="","",INDEX(Listado!L:L,ROW()))</f>
        <v/>
      </c>
      <c r="X1579" s="17">
        <f>IF(N1579="","",IF(INDEX(Listado!$M:$M,N1579)="No","No","Sí"))</f>
        <v/>
      </c>
    </row>
    <row r="1580" spans="2:24" ht="14.25">
      <c r="N1580" s="17" t="str">
        <f>IF(V1580=0,"",IFERROR(LOOKUP(2,1/(INDEX(Listado!A:A,2):INDEX(Listado!A:A,ROW())&lt;&gt;""),ROW(INDEX(Listado!A:A,2):INDEX(Listado!A:A,ROW()))),""))</f>
        <v/>
      </c>
      <c r="O1580" s="17" t="str">
        <f>IFERROR(IF(N1580="","",IF(INDEX(Listado!M:M,N1580)="No",IF(INDEX(Listado!N:N,N1580)=0,"",INDEX(Listado!N:N,N1580)),IF(INDEX(Listado!I:I,N1580)=0,"",INDEX(Listado!I:I,N1580)))),"")</f>
        <v/>
      </c>
      <c r="P1580" s="17">
        <f t="shared" ca="1" si="73"/>
        <v/>
      </c>
      <c r="Q1580" s="17">
        <f>IFERROR(IF(AND(N1580&lt;&gt;"",ISNUMBER(O1580),O1580&gt;0,O1580&gt;=TODAY()-90),1,0),0)</f>
        <v/>
      </c>
      <c r="R1580" s="17" t="str">
        <f t="shared" si="75"/>
        <v/>
      </c>
      <c r="S1580" s="17" t="str">
        <f>IF(INDEX(Listado!A:A,ROW())="","",INDEX(Listado!A:A,ROW()))</f>
        <v/>
      </c>
      <c r="T1580" s="17" t="str">
        <f ca="1">IF(INDEX(Listado!G:G,ROW())="","",INDEX(Listado!G:G,ROW()))</f>
        <v/>
      </c>
      <c r="U1580" s="17" t="str">
        <f>IF(INDEX(Listado!F:F,ROW())="","",INDEX(Listado!F:F,ROW()))</f>
        <v/>
      </c>
      <c r="V1580" s="17">
        <f>IF(COUNTA(INDEX(Listado!B:B,ROW()):INDEX(Listado!F:F,ROW()))&gt;0,1,0)</f>
        <v/>
      </c>
      <c r="W1580" s="17" t="str">
        <f>IF(INDEX(Listado!L:L,ROW())="","",INDEX(Listado!L:L,ROW()))</f>
        <v/>
      </c>
      <c r="X1580" s="17">
        <f>IF(N1580="","",IF(INDEX(Listado!$M:$M,N1580)="No","No","Sí"))</f>
        <v/>
      </c>
    </row>
    <row r="1581" spans="2:24" ht="14.25">
      <c r="N1581" s="17" t="str">
        <f>IF(V1581=0,"",IFERROR(LOOKUP(2,1/(INDEX(Listado!A:A,2):INDEX(Listado!A:A,ROW())&lt;&gt;""),ROW(INDEX(Listado!A:A,2):INDEX(Listado!A:A,ROW()))),""))</f>
        <v/>
      </c>
      <c r="O1581" s="17" t="str">
        <f>IFERROR(IF(N1581="","",IF(INDEX(Listado!M:M,N1581)="No",IF(INDEX(Listado!N:N,N1581)=0,"",INDEX(Listado!N:N,N1581)),IF(INDEX(Listado!I:I,N1581)=0,"",INDEX(Listado!I:I,N1581)))),"")</f>
        <v/>
      </c>
      <c r="P1581" s="17">
        <f t="shared" ca="1" si="73"/>
        <v/>
      </c>
      <c r="Q1581" s="17">
        <f>IFERROR(IF(AND(N1581&lt;&gt;"",ISNUMBER(O1581),O1581&gt;0,O1581&gt;=TODAY()-90),1,0),0)</f>
        <v/>
      </c>
      <c r="R1581" s="17" t="str">
        <f t="shared" si="75"/>
        <v/>
      </c>
      <c r="S1581" s="17" t="str">
        <f>IF(INDEX(Listado!A:A,ROW())="","",INDEX(Listado!A:A,ROW()))</f>
        <v/>
      </c>
      <c r="T1581" s="17" t="str">
        <f ca="1">IF(INDEX(Listado!G:G,ROW())="","",INDEX(Listado!G:G,ROW()))</f>
        <v/>
      </c>
      <c r="U1581" s="17" t="str">
        <f>IF(INDEX(Listado!F:F,ROW())="","",INDEX(Listado!F:F,ROW()))</f>
        <v/>
      </c>
      <c r="V1581" s="17">
        <f>IF(COUNTA(INDEX(Listado!B:B,ROW()):INDEX(Listado!F:F,ROW()))&gt;0,1,0)</f>
        <v/>
      </c>
      <c r="W1581" s="17" t="str">
        <f>IF(INDEX(Listado!L:L,ROW())="","",INDEX(Listado!L:L,ROW()))</f>
        <v/>
      </c>
      <c r="X1581" s="17">
        <f>IF(N1581="","",IF(INDEX(Listado!$M:$M,N1581)="No","No","Sí"))</f>
        <v/>
      </c>
    </row>
    <row r="1582" spans="2:24" ht="14.25">
      <c r="N1582" s="17" t="str">
        <f>IF(V1582=0,"",IFERROR(LOOKUP(2,1/(INDEX(Listado!A:A,2):INDEX(Listado!A:A,ROW())&lt;&gt;""),ROW(INDEX(Listado!A:A,2):INDEX(Listado!A:A,ROW()))),""))</f>
        <v/>
      </c>
      <c r="O1582" s="17" t="str">
        <f>IFERROR(IF(N1582="","",IF(INDEX(Listado!M:M,N1582)="No",IF(INDEX(Listado!N:N,N1582)=0,"",INDEX(Listado!N:N,N1582)),IF(INDEX(Listado!I:I,N1582)=0,"",INDEX(Listado!I:I,N1582)))),"")</f>
        <v/>
      </c>
      <c r="P1582" s="17">
        <f t="shared" ca="1" si="73"/>
        <v/>
      </c>
      <c r="Q1582" s="17">
        <f>IFERROR(IF(AND(N1582&lt;&gt;"",ISNUMBER(O1582),O1582&gt;0,O1582&gt;=TODAY()-90),1,0),0)</f>
        <v/>
      </c>
      <c r="R1582" s="17" t="str">
        <f t="shared" si="75"/>
        <v/>
      </c>
      <c r="S1582" s="17" t="str">
        <f>IF(INDEX(Listado!A:A,ROW())="","",INDEX(Listado!A:A,ROW()))</f>
        <v/>
      </c>
      <c r="T1582" s="17" t="str">
        <f ca="1">IF(INDEX(Listado!G:G,ROW())="","",INDEX(Listado!G:G,ROW()))</f>
        <v/>
      </c>
      <c r="U1582" s="17" t="str">
        <f>IF(INDEX(Listado!F:F,ROW())="","",INDEX(Listado!F:F,ROW()))</f>
        <v/>
      </c>
      <c r="V1582" s="17">
        <f>IF(COUNTA(INDEX(Listado!B:B,ROW()):INDEX(Listado!F:F,ROW()))&gt;0,1,0)</f>
        <v/>
      </c>
      <c r="W1582" s="17" t="str">
        <f>IF(INDEX(Listado!L:L,ROW())="","",INDEX(Listado!L:L,ROW()))</f>
        <v/>
      </c>
      <c r="X1582" s="17">
        <f>IF(N1582="","",IF(INDEX(Listado!$M:$M,N1582)="No","No","Sí"))</f>
        <v/>
      </c>
    </row>
    <row r="1583" spans="2:24" ht="14.25">
      <c r="N1583" s="17" t="str">
        <f>IF(V1583=0,"",IFERROR(LOOKUP(2,1/(INDEX(Listado!A:A,2):INDEX(Listado!A:A,ROW())&lt;&gt;""),ROW(INDEX(Listado!A:A,2):INDEX(Listado!A:A,ROW()))),""))</f>
        <v/>
      </c>
      <c r="O1583" s="17" t="str">
        <f>IFERROR(IF(N1583="","",IF(INDEX(Listado!M:M,N1583)="No",IF(INDEX(Listado!N:N,N1583)=0,"",INDEX(Listado!N:N,N1583)),IF(INDEX(Listado!I:I,N1583)=0,"",INDEX(Listado!I:I,N1583)))),"")</f>
        <v/>
      </c>
      <c r="P1583" s="17">
        <f t="shared" ca="1" si="73"/>
        <v/>
      </c>
      <c r="Q1583" s="17">
        <f>IFERROR(IF(AND(N1583&lt;&gt;"",ISNUMBER(O1583),O1583&gt;0,O1583&gt;=TODAY()-90),1,0),0)</f>
        <v/>
      </c>
      <c r="R1583" s="17" t="str">
        <f t="shared" si="75"/>
        <v/>
      </c>
      <c r="S1583" s="17" t="str">
        <f>IF(INDEX(Listado!A:A,ROW())="","",INDEX(Listado!A:A,ROW()))</f>
        <v/>
      </c>
      <c r="T1583" s="17" t="str">
        <f ca="1">IF(INDEX(Listado!G:G,ROW())="","",INDEX(Listado!G:G,ROW()))</f>
        <v/>
      </c>
      <c r="U1583" s="17" t="str">
        <f>IF(INDEX(Listado!F:F,ROW())="","",INDEX(Listado!F:F,ROW()))</f>
        <v/>
      </c>
      <c r="V1583" s="17">
        <f>IF(COUNTA(INDEX(Listado!B:B,ROW()):INDEX(Listado!F:F,ROW()))&gt;0,1,0)</f>
        <v/>
      </c>
      <c r="W1583" s="17" t="str">
        <f>IF(INDEX(Listado!L:L,ROW())="","",INDEX(Listado!L:L,ROW()))</f>
        <v/>
      </c>
      <c r="X1583" s="17">
        <f>IF(N1583="","",IF(INDEX(Listado!$M:$M,N1583)="No","No","Sí"))</f>
        <v/>
      </c>
    </row>
    <row r="1584" spans="2:24" ht="14.25">
      <c r="N1584" s="17" t="str">
        <f>IF(V1584=0,"",IFERROR(LOOKUP(2,1/(INDEX(Listado!A:A,2):INDEX(Listado!A:A,ROW())&lt;&gt;""),ROW(INDEX(Listado!A:A,2):INDEX(Listado!A:A,ROW()))),""))</f>
        <v/>
      </c>
      <c r="O1584" s="17" t="str">
        <f>IFERROR(IF(N1584="","",IF(INDEX(Listado!M:M,N1584)="No",IF(INDEX(Listado!N:N,N1584)=0,"",INDEX(Listado!N:N,N1584)),IF(INDEX(Listado!I:I,N1584)=0,"",INDEX(Listado!I:I,N1584)))),"")</f>
        <v/>
      </c>
      <c r="P1584" s="17">
        <f t="shared" ca="1" si="73"/>
        <v/>
      </c>
      <c r="Q1584" s="17">
        <f>IFERROR(IF(AND(N1584&lt;&gt;"",ISNUMBER(O1584),O1584&gt;0,O1584&gt;=TODAY()-90),1,0),0)</f>
        <v/>
      </c>
      <c r="R1584" s="17" t="str">
        <f t="shared" si="75"/>
        <v/>
      </c>
      <c r="S1584" s="17" t="str">
        <f>IF(INDEX(Listado!A:A,ROW())="","",INDEX(Listado!A:A,ROW()))</f>
        <v/>
      </c>
      <c r="T1584" s="17" t="str">
        <f ca="1">IF(INDEX(Listado!G:G,ROW())="","",INDEX(Listado!G:G,ROW()))</f>
        <v/>
      </c>
      <c r="U1584" s="17" t="str">
        <f>IF(INDEX(Listado!F:F,ROW())="","",INDEX(Listado!F:F,ROW()))</f>
        <v/>
      </c>
      <c r="V1584" s="17">
        <f>IF(COUNTA(INDEX(Listado!B:B,ROW()):INDEX(Listado!F:F,ROW()))&gt;0,1,0)</f>
        <v/>
      </c>
      <c r="W1584" s="17" t="str">
        <f>IF(INDEX(Listado!L:L,ROW())="","",INDEX(Listado!L:L,ROW()))</f>
        <v/>
      </c>
      <c r="X1584" s="17">
        <f>IF(N1584="","",IF(INDEX(Listado!$M:$M,N1584)="No","No","Sí"))</f>
        <v/>
      </c>
    </row>
    <row r="1585" spans="2:24" ht="14.25">
      <c r="N1585" s="17" t="str">
        <f>IF(V1585=0,"",IFERROR(LOOKUP(2,1/(INDEX(Listado!A:A,2):INDEX(Listado!A:A,ROW())&lt;&gt;""),ROW(INDEX(Listado!A:A,2):INDEX(Listado!A:A,ROW()))),""))</f>
        <v/>
      </c>
      <c r="O1585" s="17" t="str">
        <f>IFERROR(IF(N1585="","",IF(INDEX(Listado!M:M,N1585)="No",IF(INDEX(Listado!N:N,N1585)=0,"",INDEX(Listado!N:N,N1585)),IF(INDEX(Listado!I:I,N1585)=0,"",INDEX(Listado!I:I,N1585)))),"")</f>
        <v/>
      </c>
      <c r="P1585" s="17">
        <f t="shared" ca="1" si="73"/>
        <v/>
      </c>
      <c r="Q1585" s="17">
        <f>IFERROR(IF(AND(N1585&lt;&gt;"",ISNUMBER(O1585),O1585&gt;0,O1585&gt;=TODAY()-90),1,0),0)</f>
        <v/>
      </c>
      <c r="R1585" s="17" t="str">
        <f t="shared" si="75"/>
        <v/>
      </c>
      <c r="S1585" s="17" t="str">
        <f>IF(INDEX(Listado!A:A,ROW())="","",INDEX(Listado!A:A,ROW()))</f>
        <v/>
      </c>
      <c r="T1585" s="17" t="str">
        <f ca="1">IF(INDEX(Listado!G:G,ROW())="","",INDEX(Listado!G:G,ROW()))</f>
        <v/>
      </c>
      <c r="U1585" s="17" t="str">
        <f>IF(INDEX(Listado!F:F,ROW())="","",INDEX(Listado!F:F,ROW()))</f>
        <v/>
      </c>
      <c r="V1585" s="17">
        <f>IF(COUNTA(INDEX(Listado!B:B,ROW()):INDEX(Listado!F:F,ROW()))&gt;0,1,0)</f>
        <v/>
      </c>
      <c r="W1585" s="17" t="str">
        <f>IF(INDEX(Listado!L:L,ROW())="","",INDEX(Listado!L:L,ROW()))</f>
        <v/>
      </c>
      <c r="X1585" s="17">
        <f>IF(N1585="","",IF(INDEX(Listado!$M:$M,N1585)="No","No","Sí"))</f>
        <v/>
      </c>
    </row>
    <row r="1586" spans="2:24" ht="14.25">
      <c r="N1586" s="17" t="str">
        <f>IF(V1586=0,"",IFERROR(LOOKUP(2,1/(INDEX(Listado!A:A,2):INDEX(Listado!A:A,ROW())&lt;&gt;""),ROW(INDEX(Listado!A:A,2):INDEX(Listado!A:A,ROW()))),""))</f>
        <v/>
      </c>
      <c r="O1586" s="17" t="str">
        <f>IFERROR(IF(N1586="","",IF(INDEX(Listado!M:M,N1586)="No",IF(INDEX(Listado!N:N,N1586)=0,"",INDEX(Listado!N:N,N1586)),IF(INDEX(Listado!I:I,N1586)=0,"",INDEX(Listado!I:I,N1586)))),"")</f>
        <v/>
      </c>
      <c r="P1586" s="17">
        <f t="shared" ca="1" si="73"/>
        <v/>
      </c>
      <c r="Q1586" s="17">
        <f>IFERROR(IF(AND(N1586&lt;&gt;"",ISNUMBER(O1586),O1586&gt;0,O1586&gt;=TODAY()-90),1,0),0)</f>
        <v/>
      </c>
      <c r="R1586" s="17" t="str">
        <f t="shared" si="75"/>
        <v/>
      </c>
      <c r="S1586" s="17" t="str">
        <f>IF(INDEX(Listado!A:A,ROW())="","",INDEX(Listado!A:A,ROW()))</f>
        <v/>
      </c>
      <c r="T1586" s="17" t="str">
        <f ca="1">IF(INDEX(Listado!G:G,ROW())="","",INDEX(Listado!G:G,ROW()))</f>
        <v/>
      </c>
      <c r="U1586" s="17" t="str">
        <f>IF(INDEX(Listado!F:F,ROW())="","",INDEX(Listado!F:F,ROW()))</f>
        <v/>
      </c>
      <c r="V1586" s="17">
        <f>IF(COUNTA(INDEX(Listado!B:B,ROW()):INDEX(Listado!F:F,ROW()))&gt;0,1,0)</f>
        <v/>
      </c>
      <c r="W1586" s="17" t="str">
        <f>IF(INDEX(Listado!L:L,ROW())="","",INDEX(Listado!L:L,ROW()))</f>
        <v/>
      </c>
      <c r="X1586" s="17">
        <f>IF(N1586="","",IF(INDEX(Listado!$M:$M,N1586)="No","No","Sí"))</f>
        <v/>
      </c>
    </row>
    <row r="1587" spans="2:24" ht="14.25">
      <c r="N1587" s="17" t="str">
        <f>IF(V1587=0,"",IFERROR(LOOKUP(2,1/(INDEX(Listado!A:A,2):INDEX(Listado!A:A,ROW())&lt;&gt;""),ROW(INDEX(Listado!A:A,2):INDEX(Listado!A:A,ROW()))),""))</f>
        <v/>
      </c>
      <c r="O1587" s="17" t="str">
        <f>IFERROR(IF(N1587="","",IF(INDEX(Listado!M:M,N1587)="No",IF(INDEX(Listado!N:N,N1587)=0,"",INDEX(Listado!N:N,N1587)),IF(INDEX(Listado!I:I,N1587)=0,"",INDEX(Listado!I:I,N1587)))),"")</f>
        <v/>
      </c>
      <c r="P1587" s="17">
        <f t="shared" ca="1" si="73"/>
        <v/>
      </c>
      <c r="Q1587" s="17">
        <f>IFERROR(IF(AND(N1587&lt;&gt;"",ISNUMBER(O1587),O1587&gt;0,O1587&gt;=TODAY()-90),1,0),0)</f>
        <v/>
      </c>
      <c r="R1587" s="17" t="str">
        <f t="shared" si="75"/>
        <v/>
      </c>
      <c r="S1587" s="17" t="str">
        <f>IF(INDEX(Listado!A:A,ROW())="","",INDEX(Listado!A:A,ROW()))</f>
        <v/>
      </c>
      <c r="T1587" s="17" t="str">
        <f ca="1">IF(INDEX(Listado!G:G,ROW())="","",INDEX(Listado!G:G,ROW()))</f>
        <v/>
      </c>
      <c r="U1587" s="17" t="str">
        <f>IF(INDEX(Listado!F:F,ROW())="","",INDEX(Listado!F:F,ROW()))</f>
        <v/>
      </c>
      <c r="V1587" s="17">
        <f>IF(COUNTA(INDEX(Listado!B:B,ROW()):INDEX(Listado!F:F,ROW()))&gt;0,1,0)</f>
        <v/>
      </c>
      <c r="W1587" s="17" t="str">
        <f>IF(INDEX(Listado!L:L,ROW())="","",INDEX(Listado!L:L,ROW()))</f>
        <v/>
      </c>
      <c r="X1587" s="17">
        <f>IF(N1587="","",IF(INDEX(Listado!$M:$M,N1587)="No","No","Sí"))</f>
        <v/>
      </c>
    </row>
    <row r="1588" spans="2:24" ht="14.25">
      <c r="N1588" s="17" t="str">
        <f>IF(V1588=0,"",IFERROR(LOOKUP(2,1/(INDEX(Listado!A:A,2):INDEX(Listado!A:A,ROW())&lt;&gt;""),ROW(INDEX(Listado!A:A,2):INDEX(Listado!A:A,ROW()))),""))</f>
        <v/>
      </c>
      <c r="O1588" s="17" t="str">
        <f>IFERROR(IF(N1588="","",IF(INDEX(Listado!M:M,N1588)="No",IF(INDEX(Listado!N:N,N1588)=0,"",INDEX(Listado!N:N,N1588)),IF(INDEX(Listado!I:I,N1588)=0,"",INDEX(Listado!I:I,N1588)))),"")</f>
        <v/>
      </c>
      <c r="P1588" s="17">
        <f t="shared" ca="1" si="73"/>
        <v/>
      </c>
      <c r="Q1588" s="17">
        <f>IFERROR(IF(AND(N1588&lt;&gt;"",ISNUMBER(O1588),O1588&gt;0,O1588&gt;=TODAY()-90),1,0),0)</f>
        <v/>
      </c>
      <c r="R1588" s="17" t="str">
        <f t="shared" si="75"/>
        <v/>
      </c>
      <c r="S1588" s="17" t="str">
        <f>IF(INDEX(Listado!A:A,ROW())="","",INDEX(Listado!A:A,ROW()))</f>
        <v/>
      </c>
      <c r="T1588" s="17" t="str">
        <f ca="1">IF(INDEX(Listado!G:G,ROW())="","",INDEX(Listado!G:G,ROW()))</f>
        <v/>
      </c>
      <c r="U1588" s="17" t="str">
        <f>IF(INDEX(Listado!F:F,ROW())="","",INDEX(Listado!F:F,ROW()))</f>
        <v/>
      </c>
      <c r="V1588" s="17">
        <f>IF(COUNTA(INDEX(Listado!B:B,ROW()):INDEX(Listado!F:F,ROW()))&gt;0,1,0)</f>
        <v/>
      </c>
      <c r="W1588" s="17" t="str">
        <f>IF(INDEX(Listado!L:L,ROW())="","",INDEX(Listado!L:L,ROW()))</f>
        <v/>
      </c>
      <c r="X1588" s="17">
        <f>IF(N1588="","",IF(INDEX(Listado!$M:$M,N1588)="No","No","Sí"))</f>
        <v/>
      </c>
    </row>
    <row r="1589" spans="2:24" ht="14.25">
      <c r="N1589" s="17" t="str">
        <f>IF(V1589=0,"",IFERROR(LOOKUP(2,1/(INDEX(Listado!A:A,2):INDEX(Listado!A:A,ROW())&lt;&gt;""),ROW(INDEX(Listado!A:A,2):INDEX(Listado!A:A,ROW()))),""))</f>
        <v/>
      </c>
      <c r="O1589" s="17" t="str">
        <f>IFERROR(IF(N1589="","",IF(INDEX(Listado!M:M,N1589)="No",IF(INDEX(Listado!N:N,N1589)=0,"",INDEX(Listado!N:N,N1589)),IF(INDEX(Listado!I:I,N1589)=0,"",INDEX(Listado!I:I,N1589)))),"")</f>
        <v/>
      </c>
      <c r="P1589" s="17">
        <f t="shared" ca="1" si="73"/>
        <v/>
      </c>
      <c r="Q1589" s="17">
        <f>IFERROR(IF(AND(N1589&lt;&gt;"",ISNUMBER(O1589),O1589&gt;0,O1589&gt;=TODAY()-90),1,0),0)</f>
        <v/>
      </c>
      <c r="R1589" s="17" t="str">
        <f t="shared" si="75"/>
        <v/>
      </c>
      <c r="S1589" s="17" t="str">
        <f>IF(INDEX(Listado!A:A,ROW())="","",INDEX(Listado!A:A,ROW()))</f>
        <v/>
      </c>
      <c r="T1589" s="17" t="str">
        <f ca="1">IF(INDEX(Listado!G:G,ROW())="","",INDEX(Listado!G:G,ROW()))</f>
        <v/>
      </c>
      <c r="U1589" s="17" t="str">
        <f>IF(INDEX(Listado!F:F,ROW())="","",INDEX(Listado!F:F,ROW()))</f>
        <v/>
      </c>
      <c r="V1589" s="17">
        <f>IF(COUNTA(INDEX(Listado!B:B,ROW()):INDEX(Listado!F:F,ROW()))&gt;0,1,0)</f>
        <v/>
      </c>
      <c r="W1589" s="17" t="str">
        <f>IF(INDEX(Listado!L:L,ROW())="","",INDEX(Listado!L:L,ROW()))</f>
        <v/>
      </c>
      <c r="X1589" s="17">
        <f>IF(N1589="","",IF(INDEX(Listado!$M:$M,N1589)="No","No","Sí"))</f>
        <v/>
      </c>
    </row>
    <row r="1590" spans="2:24" ht="14.25">
      <c r="N1590" s="17" t="str">
        <f>IF(V1590=0,"",IFERROR(LOOKUP(2,1/(INDEX(Listado!A:A,2):INDEX(Listado!A:A,ROW())&lt;&gt;""),ROW(INDEX(Listado!A:A,2):INDEX(Listado!A:A,ROW()))),""))</f>
        <v/>
      </c>
      <c r="O1590" s="17" t="str">
        <f>IFERROR(IF(N1590="","",IF(INDEX(Listado!M:M,N1590)="No",IF(INDEX(Listado!N:N,N1590)=0,"",INDEX(Listado!N:N,N1590)),IF(INDEX(Listado!I:I,N1590)=0,"",INDEX(Listado!I:I,N1590)))),"")</f>
        <v/>
      </c>
      <c r="P1590" s="17">
        <f t="shared" ca="1" si="73"/>
        <v/>
      </c>
      <c r="Q1590" s="17">
        <f>IFERROR(IF(AND(N1590&lt;&gt;"",ISNUMBER(O1590),O1590&gt;0,O1590&gt;=TODAY()-90),1,0),0)</f>
        <v/>
      </c>
      <c r="R1590" s="17" t="str">
        <f t="shared" si="75"/>
        <v/>
      </c>
      <c r="S1590" s="17" t="str">
        <f>IF(INDEX(Listado!A:A,ROW())="","",INDEX(Listado!A:A,ROW()))</f>
        <v/>
      </c>
      <c r="T1590" s="17" t="str">
        <f ca="1">IF(INDEX(Listado!G:G,ROW())="","",INDEX(Listado!G:G,ROW()))</f>
        <v/>
      </c>
      <c r="U1590" s="17" t="str">
        <f>IF(INDEX(Listado!F:F,ROW())="","",INDEX(Listado!F:F,ROW()))</f>
        <v/>
      </c>
      <c r="V1590" s="17">
        <f>IF(COUNTA(INDEX(Listado!B:B,ROW()):INDEX(Listado!F:F,ROW()))&gt;0,1,0)</f>
        <v/>
      </c>
      <c r="W1590" s="17" t="str">
        <f>IF(INDEX(Listado!L:L,ROW())="","",INDEX(Listado!L:L,ROW()))</f>
        <v/>
      </c>
      <c r="X1590" s="17">
        <f>IF(N1590="","",IF(INDEX(Listado!$M:$M,N1590)="No","No","Sí"))</f>
        <v/>
      </c>
    </row>
    <row r="1591" spans="2:24" ht="14.25">
      <c r="N1591" s="17" t="str">
        <f>IF(V1591=0,"",IFERROR(LOOKUP(2,1/(INDEX(Listado!A:A,2):INDEX(Listado!A:A,ROW())&lt;&gt;""),ROW(INDEX(Listado!A:A,2):INDEX(Listado!A:A,ROW()))),""))</f>
        <v/>
      </c>
      <c r="O1591" s="17" t="str">
        <f>IFERROR(IF(N1591="","",IF(INDEX(Listado!M:M,N1591)="No",IF(INDEX(Listado!N:N,N1591)=0,"",INDEX(Listado!N:N,N1591)),IF(INDEX(Listado!I:I,N1591)=0,"",INDEX(Listado!I:I,N1591)))),"")</f>
        <v/>
      </c>
      <c r="P1591" s="17">
        <f t="shared" ca="1" si="73"/>
        <v/>
      </c>
      <c r="Q1591" s="17">
        <f>IFERROR(IF(AND(N1591&lt;&gt;"",ISNUMBER(O1591),O1591&gt;0,O1591&gt;=TODAY()-90),1,0),0)</f>
        <v/>
      </c>
      <c r="R1591" s="17" t="str">
        <f t="shared" si="75"/>
        <v/>
      </c>
      <c r="S1591" s="17" t="str">
        <f>IF(INDEX(Listado!A:A,ROW())="","",INDEX(Listado!A:A,ROW()))</f>
        <v/>
      </c>
      <c r="T1591" s="17" t="str">
        <f ca="1">IF(INDEX(Listado!G:G,ROW())="","",INDEX(Listado!G:G,ROW()))</f>
        <v/>
      </c>
      <c r="U1591" s="17" t="str">
        <f>IF(INDEX(Listado!F:F,ROW())="","",INDEX(Listado!F:F,ROW()))</f>
        <v/>
      </c>
      <c r="V1591" s="17">
        <f>IF(COUNTA(INDEX(Listado!B:B,ROW()):INDEX(Listado!F:F,ROW()))&gt;0,1,0)</f>
        <v/>
      </c>
      <c r="W1591" s="17" t="str">
        <f>IF(INDEX(Listado!L:L,ROW())="","",INDEX(Listado!L:L,ROW()))</f>
        <v/>
      </c>
      <c r="X1591" s="17">
        <f>IF(N1591="","",IF(INDEX(Listado!$M:$M,N1591)="No","No","Sí"))</f>
        <v/>
      </c>
    </row>
    <row r="1592" spans="2:24" ht="14.25">
      <c r="N1592" s="17" t="str">
        <f>IF(V1592=0,"",IFERROR(LOOKUP(2,1/(INDEX(Listado!A:A,2):INDEX(Listado!A:A,ROW())&lt;&gt;""),ROW(INDEX(Listado!A:A,2):INDEX(Listado!A:A,ROW()))),""))</f>
        <v/>
      </c>
      <c r="O1592" s="17" t="str">
        <f>IFERROR(IF(N1592="","",IF(INDEX(Listado!M:M,N1592)="No",IF(INDEX(Listado!N:N,N1592)=0,"",INDEX(Listado!N:N,N1592)),IF(INDEX(Listado!I:I,N1592)=0,"",INDEX(Listado!I:I,N1592)))),"")</f>
        <v/>
      </c>
      <c r="P1592" s="17">
        <f t="shared" ca="1" si="73"/>
        <v/>
      </c>
      <c r="Q1592" s="17">
        <f>IFERROR(IF(AND(N1592&lt;&gt;"",ISNUMBER(O1592),O1592&gt;0,O1592&gt;=TODAY()-90),1,0),0)</f>
        <v/>
      </c>
      <c r="R1592" s="17" t="str">
        <f t="shared" si="75"/>
        <v/>
      </c>
      <c r="S1592" s="17" t="str">
        <f>IF(INDEX(Listado!A:A,ROW())="","",INDEX(Listado!A:A,ROW()))</f>
        <v/>
      </c>
      <c r="T1592" s="17" t="str">
        <f ca="1">IF(INDEX(Listado!G:G,ROW())="","",INDEX(Listado!G:G,ROW()))</f>
        <v/>
      </c>
      <c r="U1592" s="17" t="str">
        <f>IF(INDEX(Listado!F:F,ROW())="","",INDEX(Listado!F:F,ROW()))</f>
        <v/>
      </c>
      <c r="V1592" s="17">
        <f>IF(COUNTA(INDEX(Listado!B:B,ROW()):INDEX(Listado!F:F,ROW()))&gt;0,1,0)</f>
        <v/>
      </c>
      <c r="W1592" s="17" t="str">
        <f>IF(INDEX(Listado!L:L,ROW())="","",INDEX(Listado!L:L,ROW()))</f>
        <v/>
      </c>
      <c r="X1592" s="17">
        <f>IF(N1592="","",IF(INDEX(Listado!$M:$M,N1592)="No","No","Sí"))</f>
        <v/>
      </c>
    </row>
    <row r="1593" spans="2:24" ht="14.25">
      <c r="N1593" s="17" t="str">
        <f>IF(V1593=0,"",IFERROR(LOOKUP(2,1/(INDEX(Listado!A:A,2):INDEX(Listado!A:A,ROW())&lt;&gt;""),ROW(INDEX(Listado!A:A,2):INDEX(Listado!A:A,ROW()))),""))</f>
        <v/>
      </c>
      <c r="O1593" s="17" t="str">
        <f>IFERROR(IF(N1593="","",IF(INDEX(Listado!M:M,N1593)="No",IF(INDEX(Listado!N:N,N1593)=0,"",INDEX(Listado!N:N,N1593)),IF(INDEX(Listado!I:I,N1593)=0,"",INDEX(Listado!I:I,N1593)))),"")</f>
        <v/>
      </c>
      <c r="P1593" s="17">
        <f t="shared" ca="1" si="73"/>
        <v/>
      </c>
      <c r="Q1593" s="17">
        <f>IFERROR(IF(AND(N1593&lt;&gt;"",ISNUMBER(O1593),O1593&gt;0,O1593&gt;=TODAY()-90),1,0),0)</f>
        <v/>
      </c>
      <c r="R1593" s="17" t="str">
        <f t="shared" si="75"/>
        <v/>
      </c>
      <c r="S1593" s="17" t="str">
        <f>IF(INDEX(Listado!A:A,ROW())="","",INDEX(Listado!A:A,ROW()))</f>
        <v/>
      </c>
      <c r="T1593" s="17" t="str">
        <f ca="1">IF(INDEX(Listado!G:G,ROW())="","",INDEX(Listado!G:G,ROW()))</f>
        <v/>
      </c>
      <c r="U1593" s="17" t="str">
        <f>IF(INDEX(Listado!F:F,ROW())="","",INDEX(Listado!F:F,ROW()))</f>
        <v/>
      </c>
      <c r="V1593" s="17">
        <f>IF(COUNTA(INDEX(Listado!B:B,ROW()):INDEX(Listado!F:F,ROW()))&gt;0,1,0)</f>
        <v/>
      </c>
      <c r="W1593" s="17" t="str">
        <f>IF(INDEX(Listado!L:L,ROW())="","",INDEX(Listado!L:L,ROW()))</f>
        <v/>
      </c>
      <c r="X1593" s="17">
        <f>IF(N1593="","",IF(INDEX(Listado!$M:$M,N1593)="No","No","Sí"))</f>
        <v/>
      </c>
    </row>
    <row r="1594" spans="2:24" ht="14.25">
      <c r="N1594" s="17" t="str">
        <f>IF(V1594=0,"",IFERROR(LOOKUP(2,1/(INDEX(Listado!A:A,2):INDEX(Listado!A:A,ROW())&lt;&gt;""),ROW(INDEX(Listado!A:A,2):INDEX(Listado!A:A,ROW()))),""))</f>
        <v/>
      </c>
      <c r="O1594" s="17" t="str">
        <f>IFERROR(IF(N1594="","",IF(INDEX(Listado!M:M,N1594)="No",IF(INDEX(Listado!N:N,N1594)=0,"",INDEX(Listado!N:N,N1594)),IF(INDEX(Listado!I:I,N1594)=0,"",INDEX(Listado!I:I,N1594)))),"")</f>
        <v/>
      </c>
      <c r="P1594" s="17">
        <f t="shared" ca="1" si="73"/>
        <v/>
      </c>
      <c r="Q1594" s="17">
        <f>IFERROR(IF(AND(N1594&lt;&gt;"",ISNUMBER(O1594),O1594&gt;0,O1594&gt;=TODAY()-90),1,0),0)</f>
        <v/>
      </c>
      <c r="R1594" s="17" t="str">
        <f t="shared" si="75"/>
        <v/>
      </c>
      <c r="S1594" s="17" t="str">
        <f>IF(INDEX(Listado!A:A,ROW())="","",INDEX(Listado!A:A,ROW()))</f>
        <v/>
      </c>
      <c r="T1594" s="17" t="str">
        <f ca="1">IF(INDEX(Listado!G:G,ROW())="","",INDEX(Listado!G:G,ROW()))</f>
        <v/>
      </c>
      <c r="U1594" s="17" t="str">
        <f>IF(INDEX(Listado!F:F,ROW())="","",INDEX(Listado!F:F,ROW()))</f>
        <v/>
      </c>
      <c r="V1594" s="17">
        <f>IF(COUNTA(INDEX(Listado!B:B,ROW()):INDEX(Listado!F:F,ROW()))&gt;0,1,0)</f>
        <v/>
      </c>
      <c r="W1594" s="17" t="str">
        <f>IF(INDEX(Listado!L:L,ROW())="","",INDEX(Listado!L:L,ROW()))</f>
        <v/>
      </c>
      <c r="X1594" s="17">
        <f>IF(N1594="","",IF(INDEX(Listado!$M:$M,N1594)="No","No","Sí"))</f>
        <v/>
      </c>
    </row>
    <row r="1595" spans="2:24" ht="14.25">
      <c r="N1595" s="17" t="str">
        <f>IF(V1595=0,"",IFERROR(LOOKUP(2,1/(INDEX(Listado!A:A,2):INDEX(Listado!A:A,ROW())&lt;&gt;""),ROW(INDEX(Listado!A:A,2):INDEX(Listado!A:A,ROW()))),""))</f>
        <v/>
      </c>
      <c r="O1595" s="17" t="str">
        <f>IFERROR(IF(N1595="","",IF(INDEX(Listado!M:M,N1595)="No",IF(INDEX(Listado!N:N,N1595)=0,"",INDEX(Listado!N:N,N1595)),IF(INDEX(Listado!I:I,N1595)=0,"",INDEX(Listado!I:I,N1595)))),"")</f>
        <v/>
      </c>
      <c r="P1595" s="17">
        <f t="shared" ca="1" si="73"/>
        <v/>
      </c>
      <c r="Q1595" s="17">
        <f>IFERROR(IF(AND(N1595&lt;&gt;"",ISNUMBER(O1595),O1595&gt;0,O1595&gt;=TODAY()-90),1,0),0)</f>
        <v/>
      </c>
      <c r="R1595" s="17" t="str">
        <f t="shared" si="75"/>
        <v/>
      </c>
      <c r="S1595" s="17" t="str">
        <f>IF(INDEX(Listado!A:A,ROW())="","",INDEX(Listado!A:A,ROW()))</f>
        <v/>
      </c>
      <c r="T1595" s="17" t="str">
        <f ca="1">IF(INDEX(Listado!G:G,ROW())="","",INDEX(Listado!G:G,ROW()))</f>
        <v/>
      </c>
      <c r="U1595" s="17" t="str">
        <f>IF(INDEX(Listado!F:F,ROW())="","",INDEX(Listado!F:F,ROW()))</f>
        <v/>
      </c>
      <c r="V1595" s="17">
        <f>IF(COUNTA(INDEX(Listado!B:B,ROW()):INDEX(Listado!F:F,ROW()))&gt;0,1,0)</f>
        <v/>
      </c>
      <c r="W1595" s="17" t="str">
        <f>IF(INDEX(Listado!L:L,ROW())="","",INDEX(Listado!L:L,ROW()))</f>
        <v/>
      </c>
      <c r="X1595" s="17">
        <f>IF(N1595="","",IF(INDEX(Listado!$M:$M,N1595)="No","No","Sí"))</f>
        <v/>
      </c>
    </row>
    <row r="1596" spans="2:24" ht="14.25">
      <c r="N1596" s="17" t="str">
        <f>IF(V1596=0,"",IFERROR(LOOKUP(2,1/(INDEX(Listado!A:A,2):INDEX(Listado!A:A,ROW())&lt;&gt;""),ROW(INDEX(Listado!A:A,2):INDEX(Listado!A:A,ROW()))),""))</f>
        <v/>
      </c>
      <c r="O1596" s="17" t="str">
        <f>IFERROR(IF(N1596="","",IF(INDEX(Listado!M:M,N1596)="No",IF(INDEX(Listado!N:N,N1596)=0,"",INDEX(Listado!N:N,N1596)),IF(INDEX(Listado!I:I,N1596)=0,"",INDEX(Listado!I:I,N1596)))),"")</f>
        <v/>
      </c>
      <c r="P1596" s="17">
        <f t="shared" ca="1" si="73"/>
        <v/>
      </c>
      <c r="Q1596" s="17">
        <f>IFERROR(IF(AND(N1596&lt;&gt;"",ISNUMBER(O1596),O1596&gt;0,O1596&gt;=TODAY()-90),1,0),0)</f>
        <v/>
      </c>
      <c r="R1596" s="17" t="str">
        <f t="shared" si="75"/>
        <v/>
      </c>
      <c r="S1596" s="17" t="str">
        <f>IF(INDEX(Listado!A:A,ROW())="","",INDEX(Listado!A:A,ROW()))</f>
        <v/>
      </c>
      <c r="T1596" s="17" t="str">
        <f ca="1">IF(INDEX(Listado!G:G,ROW())="","",INDEX(Listado!G:G,ROW()))</f>
        <v/>
      </c>
      <c r="U1596" s="17" t="str">
        <f>IF(INDEX(Listado!F:F,ROW())="","",INDEX(Listado!F:F,ROW()))</f>
        <v/>
      </c>
      <c r="V1596" s="17">
        <f>IF(COUNTA(INDEX(Listado!B:B,ROW()):INDEX(Listado!F:F,ROW()))&gt;0,1,0)</f>
        <v/>
      </c>
      <c r="W1596" s="17" t="str">
        <f>IF(INDEX(Listado!L:L,ROW())="","",INDEX(Listado!L:L,ROW()))</f>
        <v/>
      </c>
      <c r="X1596" s="17">
        <f>IF(N1596="","",IF(INDEX(Listado!$M:$M,N1596)="No","No","Sí"))</f>
        <v/>
      </c>
    </row>
    <row r="1597" spans="2:24" ht="14.25">
      <c r="N1597" s="17" t="str">
        <f>IF(V1597=0,"",IFERROR(LOOKUP(2,1/(INDEX(Listado!A:A,2):INDEX(Listado!A:A,ROW())&lt;&gt;""),ROW(INDEX(Listado!A:A,2):INDEX(Listado!A:A,ROW()))),""))</f>
        <v/>
      </c>
      <c r="O1597" s="17" t="str">
        <f>IFERROR(IF(N1597="","",IF(INDEX(Listado!M:M,N1597)="No",IF(INDEX(Listado!N:N,N1597)=0,"",INDEX(Listado!N:N,N1597)),IF(INDEX(Listado!I:I,N1597)=0,"",INDEX(Listado!I:I,N1597)))),"")</f>
        <v/>
      </c>
      <c r="P1597" s="17">
        <f t="shared" ca="1" si="73"/>
        <v/>
      </c>
      <c r="Q1597" s="17">
        <f>IFERROR(IF(AND(N1597&lt;&gt;"",ISNUMBER(O1597),O1597&gt;0,O1597&gt;=TODAY()-90),1,0),0)</f>
        <v/>
      </c>
      <c r="R1597" s="17" t="str">
        <f t="shared" si="75"/>
        <v/>
      </c>
      <c r="S1597" s="17" t="str">
        <f>IF(INDEX(Listado!A:A,ROW())="","",INDEX(Listado!A:A,ROW()))</f>
        <v/>
      </c>
      <c r="T1597" s="17" t="str">
        <f ca="1">IF(INDEX(Listado!G:G,ROW())="","",INDEX(Listado!G:G,ROW()))</f>
        <v/>
      </c>
      <c r="U1597" s="17" t="str">
        <f>IF(INDEX(Listado!F:F,ROW())="","",INDEX(Listado!F:F,ROW()))</f>
        <v/>
      </c>
      <c r="V1597" s="17">
        <f>IF(COUNTA(INDEX(Listado!B:B,ROW()):INDEX(Listado!F:F,ROW()))&gt;0,1,0)</f>
        <v/>
      </c>
      <c r="W1597" s="17" t="str">
        <f>IF(INDEX(Listado!L:L,ROW())="","",INDEX(Listado!L:L,ROW()))</f>
        <v/>
      </c>
      <c r="X1597" s="17">
        <f>IF(N1597="","",IF(INDEX(Listado!$M:$M,N1597)="No","No","Sí"))</f>
        <v/>
      </c>
    </row>
    <row r="1598" spans="2:24" ht="14.25">
      <c r="N1598" s="17" t="str">
        <f>IF(V1598=0,"",IFERROR(LOOKUP(2,1/(INDEX(Listado!A:A,2):INDEX(Listado!A:A,ROW())&lt;&gt;""),ROW(INDEX(Listado!A:A,2):INDEX(Listado!A:A,ROW()))),""))</f>
        <v/>
      </c>
      <c r="O1598" s="17" t="str">
        <f>IFERROR(IF(N1598="","",IF(INDEX(Listado!M:M,N1598)="No",IF(INDEX(Listado!N:N,N1598)=0,"",INDEX(Listado!N:N,N1598)),IF(INDEX(Listado!I:I,N1598)=0,"",INDEX(Listado!I:I,N1598)))),"")</f>
        <v/>
      </c>
      <c r="P1598" s="17">
        <f t="shared" ca="1" si="73"/>
        <v/>
      </c>
      <c r="Q1598" s="17">
        <f>IFERROR(IF(AND(N1598&lt;&gt;"",ISNUMBER(O1598),O1598&gt;0,O1598&gt;=TODAY()-90),1,0),0)</f>
        <v/>
      </c>
      <c r="R1598" s="17" t="str">
        <f t="shared" si="75"/>
        <v/>
      </c>
      <c r="S1598" s="17" t="str">
        <f>IF(INDEX(Listado!A:A,ROW())="","",INDEX(Listado!A:A,ROW()))</f>
        <v/>
      </c>
      <c r="T1598" s="17" t="str">
        <f ca="1">IF(INDEX(Listado!G:G,ROW())="","",INDEX(Listado!G:G,ROW()))</f>
        <v/>
      </c>
      <c r="U1598" s="17" t="str">
        <f>IF(INDEX(Listado!F:F,ROW())="","",INDEX(Listado!F:F,ROW()))</f>
        <v/>
      </c>
      <c r="V1598" s="17">
        <f>IF(COUNTA(INDEX(Listado!B:B,ROW()):INDEX(Listado!F:F,ROW()))&gt;0,1,0)</f>
        <v/>
      </c>
      <c r="W1598" s="17" t="str">
        <f>IF(INDEX(Listado!L:L,ROW())="","",INDEX(Listado!L:L,ROW()))</f>
        <v/>
      </c>
      <c r="X1598" s="17">
        <f>IF(N1598="","",IF(INDEX(Listado!$M:$M,N1598)="No","No","Sí"))</f>
        <v/>
      </c>
    </row>
    <row r="1599" spans="2:24" ht="14.25">
      <c r="N1599" s="17" t="str">
        <f>IF(V1599=0,"",IFERROR(LOOKUP(2,1/(INDEX(Listado!A:A,2):INDEX(Listado!A:A,ROW())&lt;&gt;""),ROW(INDEX(Listado!A:A,2):INDEX(Listado!A:A,ROW()))),""))</f>
        <v/>
      </c>
      <c r="O1599" s="17" t="str">
        <f>IFERROR(IF(N1599="","",IF(INDEX(Listado!M:M,N1599)="No",IF(INDEX(Listado!N:N,N1599)=0,"",INDEX(Listado!N:N,N1599)),IF(INDEX(Listado!I:I,N1599)=0,"",INDEX(Listado!I:I,N1599)))),"")</f>
        <v/>
      </c>
      <c r="P1599" s="17">
        <f t="shared" ca="1" si="73"/>
        <v/>
      </c>
      <c r="Q1599" s="17">
        <f>IFERROR(IF(AND(N1599&lt;&gt;"",ISNUMBER(O1599),O1599&gt;0,O1599&gt;=TODAY()-90),1,0),0)</f>
        <v/>
      </c>
      <c r="R1599" s="17" t="str">
        <f t="shared" si="75"/>
        <v/>
      </c>
      <c r="S1599" s="17" t="str">
        <f>IF(INDEX(Listado!A:A,ROW())="","",INDEX(Listado!A:A,ROW()))</f>
        <v/>
      </c>
      <c r="T1599" s="17" t="str">
        <f ca="1">IF(INDEX(Listado!G:G,ROW())="","",INDEX(Listado!G:G,ROW()))</f>
        <v/>
      </c>
      <c r="U1599" s="17" t="str">
        <f>IF(INDEX(Listado!F:F,ROW())="","",INDEX(Listado!F:F,ROW()))</f>
        <v/>
      </c>
      <c r="V1599" s="17">
        <f>IF(COUNTA(INDEX(Listado!B:B,ROW()):INDEX(Listado!F:F,ROW()))&gt;0,1,0)</f>
        <v/>
      </c>
      <c r="W1599" s="17" t="str">
        <f>IF(INDEX(Listado!L:L,ROW())="","",INDEX(Listado!L:L,ROW()))</f>
        <v/>
      </c>
      <c r="X1599" s="17">
        <f>IF(N1599="","",IF(INDEX(Listado!$M:$M,N1599)="No","No","Sí"))</f>
        <v/>
      </c>
    </row>
    <row r="1600" spans="2:24" ht="14.25">
      <c r="N1600" s="17" t="str">
        <f>IF(V1600=0,"",IFERROR(LOOKUP(2,1/(INDEX(Listado!A:A,2):INDEX(Listado!A:A,ROW())&lt;&gt;""),ROW(INDEX(Listado!A:A,2):INDEX(Listado!A:A,ROW()))),""))</f>
        <v/>
      </c>
      <c r="O1600" s="17" t="str">
        <f>IFERROR(IF(N1600="","",IF(INDEX(Listado!M:M,N1600)="No",IF(INDEX(Listado!N:N,N1600)=0,"",INDEX(Listado!N:N,N1600)),IF(INDEX(Listado!I:I,N1600)=0,"",INDEX(Listado!I:I,N1600)))),"")</f>
        <v/>
      </c>
      <c r="P1600" s="17">
        <f t="shared" ca="1" si="73"/>
        <v/>
      </c>
      <c r="Q1600" s="17">
        <f>IFERROR(IF(AND(N1600&lt;&gt;"",ISNUMBER(O1600),O1600&gt;0,O1600&gt;=TODAY()-90),1,0),0)</f>
        <v/>
      </c>
      <c r="R1600" s="17" t="str">
        <f t="shared" si="75"/>
        <v/>
      </c>
      <c r="S1600" s="17" t="str">
        <f>IF(INDEX(Listado!A:A,ROW())="","",INDEX(Listado!A:A,ROW()))</f>
        <v/>
      </c>
      <c r="T1600" s="17" t="str">
        <f ca="1">IF(INDEX(Listado!G:G,ROW())="","",INDEX(Listado!G:G,ROW()))</f>
        <v/>
      </c>
      <c r="U1600" s="17" t="str">
        <f>IF(INDEX(Listado!F:F,ROW())="","",INDEX(Listado!F:F,ROW()))</f>
        <v/>
      </c>
      <c r="V1600" s="17">
        <f>IF(COUNTA(INDEX(Listado!B:B,ROW()):INDEX(Listado!F:F,ROW()))&gt;0,1,0)</f>
        <v/>
      </c>
      <c r="W1600" s="17" t="str">
        <f>IF(INDEX(Listado!L:L,ROW())="","",INDEX(Listado!L:L,ROW()))</f>
        <v/>
      </c>
      <c r="X1600" s="17">
        <f>IF(N1600="","",IF(INDEX(Listado!$M:$M,N1600)="No","No","Sí"))</f>
        <v/>
      </c>
    </row>
    <row r="1601" spans="2:24" ht="14.25">
      <c r="N1601" s="17" t="str">
        <f>IF(V1601=0,"",IFERROR(LOOKUP(2,1/(INDEX(Listado!A:A,2):INDEX(Listado!A:A,ROW())&lt;&gt;""),ROW(INDEX(Listado!A:A,2):INDEX(Listado!A:A,ROW()))),""))</f>
        <v/>
      </c>
      <c r="O1601" s="17" t="str">
        <f>IFERROR(IF(N1601="","",IF(INDEX(Listado!M:M,N1601)="No",IF(INDEX(Listado!N:N,N1601)=0,"",INDEX(Listado!N:N,N1601)),IF(INDEX(Listado!I:I,N1601)=0,"",INDEX(Listado!I:I,N1601)))),"")</f>
        <v/>
      </c>
      <c r="P1601" s="17">
        <f t="shared" ca="1" si="73"/>
        <v/>
      </c>
      <c r="Q1601" s="17">
        <f>IFERROR(IF(AND(N1601&lt;&gt;"",ISNUMBER(O1601),O1601&gt;0,O1601&gt;=TODAY()-90),1,0),0)</f>
        <v/>
      </c>
      <c r="R1601" s="17" t="str">
        <f t="shared" si="75"/>
        <v/>
      </c>
      <c r="S1601" s="17" t="str">
        <f>IF(INDEX(Listado!A:A,ROW())="","",INDEX(Listado!A:A,ROW()))</f>
        <v/>
      </c>
      <c r="T1601" s="17" t="str">
        <f ca="1">IF(INDEX(Listado!G:G,ROW())="","",INDEX(Listado!G:G,ROW()))</f>
        <v/>
      </c>
      <c r="U1601" s="17" t="str">
        <f>IF(INDEX(Listado!F:F,ROW())="","",INDEX(Listado!F:F,ROW()))</f>
        <v/>
      </c>
      <c r="V1601" s="17">
        <f>IF(COUNTA(INDEX(Listado!B:B,ROW()):INDEX(Listado!F:F,ROW()))&gt;0,1,0)</f>
        <v/>
      </c>
      <c r="W1601" s="17" t="str">
        <f>IF(INDEX(Listado!L:L,ROW())="","",INDEX(Listado!L:L,ROW()))</f>
        <v/>
      </c>
      <c r="X1601" s="17">
        <f>IF(N1601="","",IF(INDEX(Listado!$M:$M,N1601)="No","No","Sí"))</f>
        <v/>
      </c>
    </row>
    <row r="1602" spans="2:24" ht="14.25">
      <c r="N1602" s="17" t="str">
        <f>IF(V1602=0,"",IFERROR(LOOKUP(2,1/(INDEX(Listado!A:A,2):INDEX(Listado!A:A,ROW())&lt;&gt;""),ROW(INDEX(Listado!A:A,2):INDEX(Listado!A:A,ROW()))),""))</f>
        <v/>
      </c>
      <c r="O1602" s="17" t="str">
        <f>IFERROR(IF(N1602="","",IF(INDEX(Listado!M:M,N1602)="No",IF(INDEX(Listado!N:N,N1602)=0,"",INDEX(Listado!N:N,N1602)),IF(INDEX(Listado!I:I,N1602)=0,"",INDEX(Listado!I:I,N1602)))),"")</f>
        <v/>
      </c>
      <c r="P1602" s="17">
        <f t="shared" ref="P1602:P1665" ca="1" si="76">IF(W1602="",0,IFERROR(IF(AND(ISNUMBER(W1602),W1602=INT(W1602),ISNUMBER(O1602),O1602&gt;0,W1602&gt;=TODAY(),W1602&lt;=O1602+90),0,1),1))</f>
        <v/>
      </c>
      <c r="Q1602" s="17">
        <f>IFERROR(IF(AND(N1602&lt;&gt;"",ISNUMBER(O1602),O1602&gt;0,O1602&gt;=TODAY()-90),1,0),0)</f>
        <v/>
      </c>
      <c r="R1602" s="17" t="str">
        <f t="shared" ref="R1602:R1665" si="78">IF(S1602="","",COUNTIFS($N$2:$N$2999,ROW(),$Q$2:$Q$2999,1))</f>
        <v/>
      </c>
      <c r="S1602" s="17" t="str">
        <f>IF(INDEX(Listado!A:A,ROW())="","",INDEX(Listado!A:A,ROW()))</f>
        <v/>
      </c>
      <c r="T1602" s="17" t="str">
        <f ca="1">IF(INDEX(Listado!G:G,ROW())="","",INDEX(Listado!G:G,ROW()))</f>
        <v/>
      </c>
      <c r="U1602" s="17" t="str">
        <f>IF(INDEX(Listado!F:F,ROW())="","",INDEX(Listado!F:F,ROW()))</f>
        <v/>
      </c>
      <c r="V1602" s="17">
        <f>IF(COUNTA(INDEX(Listado!B:B,ROW()):INDEX(Listado!F:F,ROW()))&gt;0,1,0)</f>
        <v/>
      </c>
      <c r="W1602" s="17" t="str">
        <f>IF(INDEX(Listado!L:L,ROW())="","",INDEX(Listado!L:L,ROW()))</f>
        <v/>
      </c>
      <c r="X1602" s="17">
        <f>IF(N1602="","",IF(INDEX(Listado!$M:$M,N1602)="No","No","Sí"))</f>
        <v/>
      </c>
    </row>
    <row r="1603" spans="2:24" ht="14.25">
      <c r="N1603" s="17" t="str">
        <f>IF(V1603=0,"",IFERROR(LOOKUP(2,1/(INDEX(Listado!A:A,2):INDEX(Listado!A:A,ROW())&lt;&gt;""),ROW(INDEX(Listado!A:A,2):INDEX(Listado!A:A,ROW()))),""))</f>
        <v/>
      </c>
      <c r="O1603" s="17" t="str">
        <f>IFERROR(IF(N1603="","",IF(INDEX(Listado!M:M,N1603)="No",IF(INDEX(Listado!N:N,N1603)=0,"",INDEX(Listado!N:N,N1603)),IF(INDEX(Listado!I:I,N1603)=0,"",INDEX(Listado!I:I,N1603)))),"")</f>
        <v/>
      </c>
      <c r="P1603" s="17">
        <f t="shared" ca="1" si="76"/>
        <v/>
      </c>
      <c r="Q1603" s="17">
        <f>IFERROR(IF(AND(N1603&lt;&gt;"",ISNUMBER(O1603),O1603&gt;0,O1603&gt;=TODAY()-90),1,0),0)</f>
        <v/>
      </c>
      <c r="R1603" s="17" t="str">
        <f t="shared" si="78"/>
        <v/>
      </c>
      <c r="S1603" s="17" t="str">
        <f>IF(INDEX(Listado!A:A,ROW())="","",INDEX(Listado!A:A,ROW()))</f>
        <v/>
      </c>
      <c r="T1603" s="17" t="str">
        <f ca="1">IF(INDEX(Listado!G:G,ROW())="","",INDEX(Listado!G:G,ROW()))</f>
        <v/>
      </c>
      <c r="U1603" s="17" t="str">
        <f>IF(INDEX(Listado!F:F,ROW())="","",INDEX(Listado!F:F,ROW()))</f>
        <v/>
      </c>
      <c r="V1603" s="17">
        <f>IF(COUNTA(INDEX(Listado!B:B,ROW()):INDEX(Listado!F:F,ROW()))&gt;0,1,0)</f>
        <v/>
      </c>
      <c r="W1603" s="17" t="str">
        <f>IF(INDEX(Listado!L:L,ROW())="","",INDEX(Listado!L:L,ROW()))</f>
        <v/>
      </c>
      <c r="X1603" s="17">
        <f>IF(N1603="","",IF(INDEX(Listado!$M:$M,N1603)="No","No","Sí"))</f>
        <v/>
      </c>
    </row>
    <row r="1604" spans="2:24" ht="14.25">
      <c r="N1604" s="17" t="str">
        <f>IF(V1604=0,"",IFERROR(LOOKUP(2,1/(INDEX(Listado!A:A,2):INDEX(Listado!A:A,ROW())&lt;&gt;""),ROW(INDEX(Listado!A:A,2):INDEX(Listado!A:A,ROW()))),""))</f>
        <v/>
      </c>
      <c r="O1604" s="17" t="str">
        <f>IFERROR(IF(N1604="","",IF(INDEX(Listado!M:M,N1604)="No",IF(INDEX(Listado!N:N,N1604)=0,"",INDEX(Listado!N:N,N1604)),IF(INDEX(Listado!I:I,N1604)=0,"",INDEX(Listado!I:I,N1604)))),"")</f>
        <v/>
      </c>
      <c r="P1604" s="17">
        <f t="shared" ca="1" si="76"/>
        <v/>
      </c>
      <c r="Q1604" s="17">
        <f>IFERROR(IF(AND(N1604&lt;&gt;"",ISNUMBER(O1604),O1604&gt;0,O1604&gt;=TODAY()-90),1,0),0)</f>
        <v/>
      </c>
      <c r="R1604" s="17" t="str">
        <f t="shared" si="78"/>
        <v/>
      </c>
      <c r="S1604" s="17" t="str">
        <f>IF(INDEX(Listado!A:A,ROW())="","",INDEX(Listado!A:A,ROW()))</f>
        <v/>
      </c>
      <c r="T1604" s="17" t="str">
        <f ca="1">IF(INDEX(Listado!G:G,ROW())="","",INDEX(Listado!G:G,ROW()))</f>
        <v/>
      </c>
      <c r="U1604" s="17" t="str">
        <f>IF(INDEX(Listado!F:F,ROW())="","",INDEX(Listado!F:F,ROW()))</f>
        <v/>
      </c>
      <c r="V1604" s="17">
        <f>IF(COUNTA(INDEX(Listado!B:B,ROW()):INDEX(Listado!F:F,ROW()))&gt;0,1,0)</f>
        <v/>
      </c>
      <c r="W1604" s="17" t="str">
        <f>IF(INDEX(Listado!L:L,ROW())="","",INDEX(Listado!L:L,ROW()))</f>
        <v/>
      </c>
      <c r="X1604" s="17">
        <f>IF(N1604="","",IF(INDEX(Listado!$M:$M,N1604)="No","No","Sí"))</f>
        <v/>
      </c>
    </row>
    <row r="1605" spans="2:24" ht="14.25">
      <c r="N1605" s="17" t="str">
        <f>IF(V1605=0,"",IFERROR(LOOKUP(2,1/(INDEX(Listado!A:A,2):INDEX(Listado!A:A,ROW())&lt;&gt;""),ROW(INDEX(Listado!A:A,2):INDEX(Listado!A:A,ROW()))),""))</f>
        <v/>
      </c>
      <c r="O1605" s="17" t="str">
        <f>IFERROR(IF(N1605="","",IF(INDEX(Listado!M:M,N1605)="No",IF(INDEX(Listado!N:N,N1605)=0,"",INDEX(Listado!N:N,N1605)),IF(INDEX(Listado!I:I,N1605)=0,"",INDEX(Listado!I:I,N1605)))),"")</f>
        <v/>
      </c>
      <c r="P1605" s="17">
        <f t="shared" ca="1" si="76"/>
        <v/>
      </c>
      <c r="Q1605" s="17">
        <f>IFERROR(IF(AND(N1605&lt;&gt;"",ISNUMBER(O1605),O1605&gt;0,O1605&gt;=TODAY()-90),1,0),0)</f>
        <v/>
      </c>
      <c r="R1605" s="17" t="str">
        <f t="shared" si="78"/>
        <v/>
      </c>
      <c r="S1605" s="17" t="str">
        <f>IF(INDEX(Listado!A:A,ROW())="","",INDEX(Listado!A:A,ROW()))</f>
        <v/>
      </c>
      <c r="T1605" s="17" t="str">
        <f ca="1">IF(INDEX(Listado!G:G,ROW())="","",INDEX(Listado!G:G,ROW()))</f>
        <v/>
      </c>
      <c r="U1605" s="17" t="str">
        <f>IF(INDEX(Listado!F:F,ROW())="","",INDEX(Listado!F:F,ROW()))</f>
        <v/>
      </c>
      <c r="V1605" s="17">
        <f>IF(COUNTA(INDEX(Listado!B:B,ROW()):INDEX(Listado!F:F,ROW()))&gt;0,1,0)</f>
        <v/>
      </c>
      <c r="W1605" s="17" t="str">
        <f>IF(INDEX(Listado!L:L,ROW())="","",INDEX(Listado!L:L,ROW()))</f>
        <v/>
      </c>
      <c r="X1605" s="17">
        <f>IF(N1605="","",IF(INDEX(Listado!$M:$M,N1605)="No","No","Sí"))</f>
        <v/>
      </c>
    </row>
    <row r="1606" spans="2:24" ht="14.25">
      <c r="N1606" s="17" t="str">
        <f>IF(V1606=0,"",IFERROR(LOOKUP(2,1/(INDEX(Listado!A:A,2):INDEX(Listado!A:A,ROW())&lt;&gt;""),ROW(INDEX(Listado!A:A,2):INDEX(Listado!A:A,ROW()))),""))</f>
        <v/>
      </c>
      <c r="O1606" s="17" t="str">
        <f>IFERROR(IF(N1606="","",IF(INDEX(Listado!M:M,N1606)="No",IF(INDEX(Listado!N:N,N1606)=0,"",INDEX(Listado!N:N,N1606)),IF(INDEX(Listado!I:I,N1606)=0,"",INDEX(Listado!I:I,N1606)))),"")</f>
        <v/>
      </c>
      <c r="P1606" s="17">
        <f t="shared" ca="1" si="76"/>
        <v/>
      </c>
      <c r="Q1606" s="17">
        <f>IFERROR(IF(AND(N1606&lt;&gt;"",ISNUMBER(O1606),O1606&gt;0,O1606&gt;=TODAY()-90),1,0),0)</f>
        <v/>
      </c>
      <c r="R1606" s="17" t="str">
        <f t="shared" si="78"/>
        <v/>
      </c>
      <c r="S1606" s="17" t="str">
        <f>IF(INDEX(Listado!A:A,ROW())="","",INDEX(Listado!A:A,ROW()))</f>
        <v/>
      </c>
      <c r="T1606" s="17" t="str">
        <f ca="1">IF(INDEX(Listado!G:G,ROW())="","",INDEX(Listado!G:G,ROW()))</f>
        <v/>
      </c>
      <c r="U1606" s="17" t="str">
        <f>IF(INDEX(Listado!F:F,ROW())="","",INDEX(Listado!F:F,ROW()))</f>
        <v/>
      </c>
      <c r="V1606" s="17">
        <f>IF(COUNTA(INDEX(Listado!B:B,ROW()):INDEX(Listado!F:F,ROW()))&gt;0,1,0)</f>
        <v/>
      </c>
      <c r="W1606" s="17" t="str">
        <f>IF(INDEX(Listado!L:L,ROW())="","",INDEX(Listado!L:L,ROW()))</f>
        <v/>
      </c>
      <c r="X1606" s="17">
        <f>IF(N1606="","",IF(INDEX(Listado!$M:$M,N1606)="No","No","Sí"))</f>
        <v/>
      </c>
    </row>
    <row r="1607" spans="2:24" ht="14.25">
      <c r="N1607" s="17" t="str">
        <f>IF(V1607=0,"",IFERROR(LOOKUP(2,1/(INDEX(Listado!A:A,2):INDEX(Listado!A:A,ROW())&lt;&gt;""),ROW(INDEX(Listado!A:A,2):INDEX(Listado!A:A,ROW()))),""))</f>
        <v/>
      </c>
      <c r="O1607" s="17" t="str">
        <f>IFERROR(IF(N1607="","",IF(INDEX(Listado!M:M,N1607)="No",IF(INDEX(Listado!N:N,N1607)=0,"",INDEX(Listado!N:N,N1607)),IF(INDEX(Listado!I:I,N1607)=0,"",INDEX(Listado!I:I,N1607)))),"")</f>
        <v/>
      </c>
      <c r="P1607" s="17">
        <f t="shared" ca="1" si="76"/>
        <v/>
      </c>
      <c r="Q1607" s="17">
        <f>IFERROR(IF(AND(N1607&lt;&gt;"",ISNUMBER(O1607),O1607&gt;0,O1607&gt;=TODAY()-90),1,0),0)</f>
        <v/>
      </c>
      <c r="R1607" s="17" t="str">
        <f t="shared" si="78"/>
        <v/>
      </c>
      <c r="S1607" s="17" t="str">
        <f>IF(INDEX(Listado!A:A,ROW())="","",INDEX(Listado!A:A,ROW()))</f>
        <v/>
      </c>
      <c r="T1607" s="17" t="str">
        <f ca="1">IF(INDEX(Listado!G:G,ROW())="","",INDEX(Listado!G:G,ROW()))</f>
        <v/>
      </c>
      <c r="U1607" s="17" t="str">
        <f>IF(INDEX(Listado!F:F,ROW())="","",INDEX(Listado!F:F,ROW()))</f>
        <v/>
      </c>
      <c r="V1607" s="17">
        <f>IF(COUNTA(INDEX(Listado!B:B,ROW()):INDEX(Listado!F:F,ROW()))&gt;0,1,0)</f>
        <v/>
      </c>
      <c r="W1607" s="17" t="str">
        <f>IF(INDEX(Listado!L:L,ROW())="","",INDEX(Listado!L:L,ROW()))</f>
        <v/>
      </c>
      <c r="X1607" s="17">
        <f>IF(N1607="","",IF(INDEX(Listado!$M:$M,N1607)="No","No","Sí"))</f>
        <v/>
      </c>
    </row>
    <row r="1608" spans="2:24" ht="14.25">
      <c r="N1608" s="17" t="str">
        <f>IF(V1608=0,"",IFERROR(LOOKUP(2,1/(INDEX(Listado!A:A,2):INDEX(Listado!A:A,ROW())&lt;&gt;""),ROW(INDEX(Listado!A:A,2):INDEX(Listado!A:A,ROW()))),""))</f>
        <v/>
      </c>
      <c r="O1608" s="17" t="str">
        <f>IFERROR(IF(N1608="","",IF(INDEX(Listado!M:M,N1608)="No",IF(INDEX(Listado!N:N,N1608)=0,"",INDEX(Listado!N:N,N1608)),IF(INDEX(Listado!I:I,N1608)=0,"",INDEX(Listado!I:I,N1608)))),"")</f>
        <v/>
      </c>
      <c r="P1608" s="17">
        <f t="shared" ca="1" si="76"/>
        <v/>
      </c>
      <c r="Q1608" s="17">
        <f>IFERROR(IF(AND(N1608&lt;&gt;"",ISNUMBER(O1608),O1608&gt;0,O1608&gt;=TODAY()-90),1,0),0)</f>
        <v/>
      </c>
      <c r="R1608" s="17" t="str">
        <f t="shared" si="78"/>
        <v/>
      </c>
      <c r="S1608" s="17" t="str">
        <f>IF(INDEX(Listado!A:A,ROW())="","",INDEX(Listado!A:A,ROW()))</f>
        <v/>
      </c>
      <c r="T1608" s="17" t="str">
        <f ca="1">IF(INDEX(Listado!G:G,ROW())="","",INDEX(Listado!G:G,ROW()))</f>
        <v/>
      </c>
      <c r="U1608" s="17" t="str">
        <f>IF(INDEX(Listado!F:F,ROW())="","",INDEX(Listado!F:F,ROW()))</f>
        <v/>
      </c>
      <c r="V1608" s="17">
        <f>IF(COUNTA(INDEX(Listado!B:B,ROW()):INDEX(Listado!F:F,ROW()))&gt;0,1,0)</f>
        <v/>
      </c>
      <c r="W1608" s="17" t="str">
        <f>IF(INDEX(Listado!L:L,ROW())="","",INDEX(Listado!L:L,ROW()))</f>
        <v/>
      </c>
      <c r="X1608" s="17">
        <f>IF(N1608="","",IF(INDEX(Listado!$M:$M,N1608)="No","No","Sí"))</f>
        <v/>
      </c>
    </row>
    <row r="1609" spans="2:24" ht="14.25">
      <c r="N1609" s="17" t="str">
        <f>IF(V1609=0,"",IFERROR(LOOKUP(2,1/(INDEX(Listado!A:A,2):INDEX(Listado!A:A,ROW())&lt;&gt;""),ROW(INDEX(Listado!A:A,2):INDEX(Listado!A:A,ROW()))),""))</f>
        <v/>
      </c>
      <c r="O1609" s="17" t="str">
        <f>IFERROR(IF(N1609="","",IF(INDEX(Listado!M:M,N1609)="No",IF(INDEX(Listado!N:N,N1609)=0,"",INDEX(Listado!N:N,N1609)),IF(INDEX(Listado!I:I,N1609)=0,"",INDEX(Listado!I:I,N1609)))),"")</f>
        <v/>
      </c>
      <c r="P1609" s="17">
        <f t="shared" ca="1" si="76"/>
        <v/>
      </c>
      <c r="Q1609" s="17">
        <f>IFERROR(IF(AND(N1609&lt;&gt;"",ISNUMBER(O1609),O1609&gt;0,O1609&gt;=TODAY()-90),1,0),0)</f>
        <v/>
      </c>
      <c r="R1609" s="17" t="str">
        <f t="shared" si="78"/>
        <v/>
      </c>
      <c r="S1609" s="17" t="str">
        <f>IF(INDEX(Listado!A:A,ROW())="","",INDEX(Listado!A:A,ROW()))</f>
        <v/>
      </c>
      <c r="T1609" s="17" t="str">
        <f ca="1">IF(INDEX(Listado!G:G,ROW())="","",INDEX(Listado!G:G,ROW()))</f>
        <v/>
      </c>
      <c r="U1609" s="17" t="str">
        <f>IF(INDEX(Listado!F:F,ROW())="","",INDEX(Listado!F:F,ROW()))</f>
        <v/>
      </c>
      <c r="V1609" s="17">
        <f>IF(COUNTA(INDEX(Listado!B:B,ROW()):INDEX(Listado!F:F,ROW()))&gt;0,1,0)</f>
        <v/>
      </c>
      <c r="W1609" s="17" t="str">
        <f>IF(INDEX(Listado!L:L,ROW())="","",INDEX(Listado!L:L,ROW()))</f>
        <v/>
      </c>
      <c r="X1609" s="17">
        <f>IF(N1609="","",IF(INDEX(Listado!$M:$M,N1609)="No","No","Sí"))</f>
        <v/>
      </c>
    </row>
    <row r="1610" spans="2:24" ht="14.25">
      <c r="N1610" s="17" t="str">
        <f>IF(V1610=0,"",IFERROR(LOOKUP(2,1/(INDEX(Listado!A:A,2):INDEX(Listado!A:A,ROW())&lt;&gt;""),ROW(INDEX(Listado!A:A,2):INDEX(Listado!A:A,ROW()))),""))</f>
        <v/>
      </c>
      <c r="O1610" s="17" t="str">
        <f>IFERROR(IF(N1610="","",IF(INDEX(Listado!M:M,N1610)="No",IF(INDEX(Listado!N:N,N1610)=0,"",INDEX(Listado!N:N,N1610)),IF(INDEX(Listado!I:I,N1610)=0,"",INDEX(Listado!I:I,N1610)))),"")</f>
        <v/>
      </c>
      <c r="P1610" s="17">
        <f t="shared" ca="1" si="76"/>
        <v/>
      </c>
      <c r="Q1610" s="17">
        <f>IFERROR(IF(AND(N1610&lt;&gt;"",ISNUMBER(O1610),O1610&gt;0,O1610&gt;=TODAY()-90),1,0),0)</f>
        <v/>
      </c>
      <c r="R1610" s="17" t="str">
        <f t="shared" si="78"/>
        <v/>
      </c>
      <c r="S1610" s="17" t="str">
        <f>IF(INDEX(Listado!A:A,ROW())="","",INDEX(Listado!A:A,ROW()))</f>
        <v/>
      </c>
      <c r="T1610" s="17" t="str">
        <f ca="1">IF(INDEX(Listado!G:G,ROW())="","",INDEX(Listado!G:G,ROW()))</f>
        <v/>
      </c>
      <c r="U1610" s="17" t="str">
        <f>IF(INDEX(Listado!F:F,ROW())="","",INDEX(Listado!F:F,ROW()))</f>
        <v/>
      </c>
      <c r="V1610" s="17">
        <f>IF(COUNTA(INDEX(Listado!B:B,ROW()):INDEX(Listado!F:F,ROW()))&gt;0,1,0)</f>
        <v/>
      </c>
      <c r="W1610" s="17" t="str">
        <f>IF(INDEX(Listado!L:L,ROW())="","",INDEX(Listado!L:L,ROW()))</f>
        <v/>
      </c>
      <c r="X1610" s="17">
        <f>IF(N1610="","",IF(INDEX(Listado!$M:$M,N1610)="No","No","Sí"))</f>
        <v/>
      </c>
    </row>
    <row r="1611" spans="2:24" ht="14.25">
      <c r="N1611" s="17" t="str">
        <f>IF(V1611=0,"",IFERROR(LOOKUP(2,1/(INDEX(Listado!A:A,2):INDEX(Listado!A:A,ROW())&lt;&gt;""),ROW(INDEX(Listado!A:A,2):INDEX(Listado!A:A,ROW()))),""))</f>
        <v/>
      </c>
      <c r="O1611" s="17" t="str">
        <f>IFERROR(IF(N1611="","",IF(INDEX(Listado!M:M,N1611)="No",IF(INDEX(Listado!N:N,N1611)=0,"",INDEX(Listado!N:N,N1611)),IF(INDEX(Listado!I:I,N1611)=0,"",INDEX(Listado!I:I,N1611)))),"")</f>
        <v/>
      </c>
      <c r="P1611" s="17">
        <f t="shared" ca="1" si="76"/>
        <v/>
      </c>
      <c r="Q1611" s="17">
        <f>IFERROR(IF(AND(N1611&lt;&gt;"",ISNUMBER(O1611),O1611&gt;0,O1611&gt;=TODAY()-90),1,0),0)</f>
        <v/>
      </c>
      <c r="R1611" s="17" t="str">
        <f t="shared" si="78"/>
        <v/>
      </c>
      <c r="S1611" s="17" t="str">
        <f>IF(INDEX(Listado!A:A,ROW())="","",INDEX(Listado!A:A,ROW()))</f>
        <v/>
      </c>
      <c r="T1611" s="17" t="str">
        <f ca="1">IF(INDEX(Listado!G:G,ROW())="","",INDEX(Listado!G:G,ROW()))</f>
        <v/>
      </c>
      <c r="U1611" s="17" t="str">
        <f>IF(INDEX(Listado!F:F,ROW())="","",INDEX(Listado!F:F,ROW()))</f>
        <v/>
      </c>
      <c r="V1611" s="17">
        <f>IF(COUNTA(INDEX(Listado!B:B,ROW()):INDEX(Listado!F:F,ROW()))&gt;0,1,0)</f>
        <v/>
      </c>
      <c r="W1611" s="17" t="str">
        <f>IF(INDEX(Listado!L:L,ROW())="","",INDEX(Listado!L:L,ROW()))</f>
        <v/>
      </c>
      <c r="X1611" s="17">
        <f>IF(N1611="","",IF(INDEX(Listado!$M:$M,N1611)="No","No","Sí"))</f>
        <v/>
      </c>
    </row>
    <row r="1612" spans="2:24" ht="14.25">
      <c r="N1612" s="17" t="str">
        <f>IF(V1612=0,"",IFERROR(LOOKUP(2,1/(INDEX(Listado!A:A,2):INDEX(Listado!A:A,ROW())&lt;&gt;""),ROW(INDEX(Listado!A:A,2):INDEX(Listado!A:A,ROW()))),""))</f>
        <v/>
      </c>
      <c r="O1612" s="17" t="str">
        <f>IFERROR(IF(N1612="","",IF(INDEX(Listado!M:M,N1612)="No",IF(INDEX(Listado!N:N,N1612)=0,"",INDEX(Listado!N:N,N1612)),IF(INDEX(Listado!I:I,N1612)=0,"",INDEX(Listado!I:I,N1612)))),"")</f>
        <v/>
      </c>
      <c r="P1612" s="17">
        <f t="shared" ca="1" si="76"/>
        <v/>
      </c>
      <c r="Q1612" s="17">
        <f>IFERROR(IF(AND(N1612&lt;&gt;"",ISNUMBER(O1612),O1612&gt;0,O1612&gt;=TODAY()-90),1,0),0)</f>
        <v/>
      </c>
      <c r="R1612" s="17" t="str">
        <f t="shared" si="78"/>
        <v/>
      </c>
      <c r="S1612" s="17" t="str">
        <f>IF(INDEX(Listado!A:A,ROW())="","",INDEX(Listado!A:A,ROW()))</f>
        <v/>
      </c>
      <c r="T1612" s="17" t="str">
        <f ca="1">IF(INDEX(Listado!G:G,ROW())="","",INDEX(Listado!G:G,ROW()))</f>
        <v/>
      </c>
      <c r="U1612" s="17" t="str">
        <f>IF(INDEX(Listado!F:F,ROW())="","",INDEX(Listado!F:F,ROW()))</f>
        <v/>
      </c>
      <c r="V1612" s="17">
        <f>IF(COUNTA(INDEX(Listado!B:B,ROW()):INDEX(Listado!F:F,ROW()))&gt;0,1,0)</f>
        <v/>
      </c>
      <c r="W1612" s="17" t="str">
        <f>IF(INDEX(Listado!L:L,ROW())="","",INDEX(Listado!L:L,ROW()))</f>
        <v/>
      </c>
      <c r="X1612" s="17">
        <f>IF(N1612="","",IF(INDEX(Listado!$M:$M,N1612)="No","No","Sí"))</f>
        <v/>
      </c>
    </row>
    <row r="1613" spans="2:24" ht="14.25">
      <c r="N1613" s="17" t="str">
        <f>IF(V1613=0,"",IFERROR(LOOKUP(2,1/(INDEX(Listado!A:A,2):INDEX(Listado!A:A,ROW())&lt;&gt;""),ROW(INDEX(Listado!A:A,2):INDEX(Listado!A:A,ROW()))),""))</f>
        <v/>
      </c>
      <c r="O1613" s="17" t="str">
        <f>IFERROR(IF(N1613="","",IF(INDEX(Listado!M:M,N1613)="No",IF(INDEX(Listado!N:N,N1613)=0,"",INDEX(Listado!N:N,N1613)),IF(INDEX(Listado!I:I,N1613)=0,"",INDEX(Listado!I:I,N1613)))),"")</f>
        <v/>
      </c>
      <c r="P1613" s="17">
        <f t="shared" ca="1" si="76"/>
        <v/>
      </c>
      <c r="Q1613" s="17">
        <f>IFERROR(IF(AND(N1613&lt;&gt;"",ISNUMBER(O1613),O1613&gt;0,O1613&gt;=TODAY()-90),1,0),0)</f>
        <v/>
      </c>
      <c r="R1613" s="17" t="str">
        <f t="shared" si="78"/>
        <v/>
      </c>
      <c r="S1613" s="17" t="str">
        <f>IF(INDEX(Listado!A:A,ROW())="","",INDEX(Listado!A:A,ROW()))</f>
        <v/>
      </c>
      <c r="T1613" s="17" t="str">
        <f ca="1">IF(INDEX(Listado!G:G,ROW())="","",INDEX(Listado!G:G,ROW()))</f>
        <v/>
      </c>
      <c r="U1613" s="17" t="str">
        <f>IF(INDEX(Listado!F:F,ROW())="","",INDEX(Listado!F:F,ROW()))</f>
        <v/>
      </c>
      <c r="V1613" s="17">
        <f>IF(COUNTA(INDEX(Listado!B:B,ROW()):INDEX(Listado!F:F,ROW()))&gt;0,1,0)</f>
        <v/>
      </c>
      <c r="W1613" s="17" t="str">
        <f>IF(INDEX(Listado!L:L,ROW())="","",INDEX(Listado!L:L,ROW()))</f>
        <v/>
      </c>
      <c r="X1613" s="17">
        <f>IF(N1613="","",IF(INDEX(Listado!$M:$M,N1613)="No","No","Sí"))</f>
        <v/>
      </c>
    </row>
    <row r="1614" spans="2:24" ht="14.25">
      <c r="N1614" s="17" t="str">
        <f>IF(V1614=0,"",IFERROR(LOOKUP(2,1/(INDEX(Listado!A:A,2):INDEX(Listado!A:A,ROW())&lt;&gt;""),ROW(INDEX(Listado!A:A,2):INDEX(Listado!A:A,ROW()))),""))</f>
        <v/>
      </c>
      <c r="O1614" s="17" t="str">
        <f>IFERROR(IF(N1614="","",IF(INDEX(Listado!M:M,N1614)="No",IF(INDEX(Listado!N:N,N1614)=0,"",INDEX(Listado!N:N,N1614)),IF(INDEX(Listado!I:I,N1614)=0,"",INDEX(Listado!I:I,N1614)))),"")</f>
        <v/>
      </c>
      <c r="P1614" s="17">
        <f t="shared" ca="1" si="76"/>
        <v/>
      </c>
      <c r="Q1614" s="17">
        <f>IFERROR(IF(AND(N1614&lt;&gt;"",ISNUMBER(O1614),O1614&gt;0,O1614&gt;=TODAY()-90),1,0),0)</f>
        <v/>
      </c>
      <c r="R1614" s="17" t="str">
        <f t="shared" si="78"/>
        <v/>
      </c>
      <c r="S1614" s="17" t="str">
        <f>IF(INDEX(Listado!A:A,ROW())="","",INDEX(Listado!A:A,ROW()))</f>
        <v/>
      </c>
      <c r="T1614" s="17" t="str">
        <f ca="1">IF(INDEX(Listado!G:G,ROW())="","",INDEX(Listado!G:G,ROW()))</f>
        <v/>
      </c>
      <c r="U1614" s="17" t="str">
        <f>IF(INDEX(Listado!F:F,ROW())="","",INDEX(Listado!F:F,ROW()))</f>
        <v/>
      </c>
      <c r="V1614" s="17">
        <f>IF(COUNTA(INDEX(Listado!B:B,ROW()):INDEX(Listado!F:F,ROW()))&gt;0,1,0)</f>
        <v/>
      </c>
      <c r="W1614" s="17" t="str">
        <f>IF(INDEX(Listado!L:L,ROW())="","",INDEX(Listado!L:L,ROW()))</f>
        <v/>
      </c>
      <c r="X1614" s="17">
        <f>IF(N1614="","",IF(INDEX(Listado!$M:$M,N1614)="No","No","Sí"))</f>
        <v/>
      </c>
    </row>
    <row r="1615" spans="2:24" ht="14.25">
      <c r="N1615" s="17" t="str">
        <f>IF(V1615=0,"",IFERROR(LOOKUP(2,1/(INDEX(Listado!A:A,2):INDEX(Listado!A:A,ROW())&lt;&gt;""),ROW(INDEX(Listado!A:A,2):INDEX(Listado!A:A,ROW()))),""))</f>
        <v/>
      </c>
      <c r="O1615" s="17" t="str">
        <f>IFERROR(IF(N1615="","",IF(INDEX(Listado!M:M,N1615)="No",IF(INDEX(Listado!N:N,N1615)=0,"",INDEX(Listado!N:N,N1615)),IF(INDEX(Listado!I:I,N1615)=0,"",INDEX(Listado!I:I,N1615)))),"")</f>
        <v/>
      </c>
      <c r="P1615" s="17">
        <f t="shared" ca="1" si="76"/>
        <v/>
      </c>
      <c r="Q1615" s="17">
        <f>IFERROR(IF(AND(N1615&lt;&gt;"",ISNUMBER(O1615),O1615&gt;0,O1615&gt;=TODAY()-90),1,0),0)</f>
        <v/>
      </c>
      <c r="R1615" s="17" t="str">
        <f t="shared" si="78"/>
        <v/>
      </c>
      <c r="S1615" s="17" t="str">
        <f>IF(INDEX(Listado!A:A,ROW())="","",INDEX(Listado!A:A,ROW()))</f>
        <v/>
      </c>
      <c r="T1615" s="17" t="str">
        <f ca="1">IF(INDEX(Listado!G:G,ROW())="","",INDEX(Listado!G:G,ROW()))</f>
        <v/>
      </c>
      <c r="U1615" s="17" t="str">
        <f>IF(INDEX(Listado!F:F,ROW())="","",INDEX(Listado!F:F,ROW()))</f>
        <v/>
      </c>
      <c r="V1615" s="17">
        <f>IF(COUNTA(INDEX(Listado!B:B,ROW()):INDEX(Listado!F:F,ROW()))&gt;0,1,0)</f>
        <v/>
      </c>
      <c r="W1615" s="17" t="str">
        <f>IF(INDEX(Listado!L:L,ROW())="","",INDEX(Listado!L:L,ROW()))</f>
        <v/>
      </c>
      <c r="X1615" s="17">
        <f>IF(N1615="","",IF(INDEX(Listado!$M:$M,N1615)="No","No","Sí"))</f>
        <v/>
      </c>
    </row>
    <row r="1616" spans="2:24" ht="14.25">
      <c r="N1616" s="17" t="str">
        <f>IF(V1616=0,"",IFERROR(LOOKUP(2,1/(INDEX(Listado!A:A,2):INDEX(Listado!A:A,ROW())&lt;&gt;""),ROW(INDEX(Listado!A:A,2):INDEX(Listado!A:A,ROW()))),""))</f>
        <v/>
      </c>
      <c r="O1616" s="17" t="str">
        <f>IFERROR(IF(N1616="","",IF(INDEX(Listado!M:M,N1616)="No",IF(INDEX(Listado!N:N,N1616)=0,"",INDEX(Listado!N:N,N1616)),IF(INDEX(Listado!I:I,N1616)=0,"",INDEX(Listado!I:I,N1616)))),"")</f>
        <v/>
      </c>
      <c r="P1616" s="17">
        <f t="shared" ca="1" si="76"/>
        <v/>
      </c>
      <c r="Q1616" s="17">
        <f>IFERROR(IF(AND(N1616&lt;&gt;"",ISNUMBER(O1616),O1616&gt;0,O1616&gt;=TODAY()-90),1,0),0)</f>
        <v/>
      </c>
      <c r="R1616" s="17" t="str">
        <f t="shared" si="78"/>
        <v/>
      </c>
      <c r="S1616" s="17" t="str">
        <f>IF(INDEX(Listado!A:A,ROW())="","",INDEX(Listado!A:A,ROW()))</f>
        <v/>
      </c>
      <c r="T1616" s="17" t="str">
        <f ca="1">IF(INDEX(Listado!G:G,ROW())="","",INDEX(Listado!G:G,ROW()))</f>
        <v/>
      </c>
      <c r="U1616" s="17" t="str">
        <f>IF(INDEX(Listado!F:F,ROW())="","",INDEX(Listado!F:F,ROW()))</f>
        <v/>
      </c>
      <c r="V1616" s="17">
        <f>IF(COUNTA(INDEX(Listado!B:B,ROW()):INDEX(Listado!F:F,ROW()))&gt;0,1,0)</f>
        <v/>
      </c>
      <c r="W1616" s="17" t="str">
        <f>IF(INDEX(Listado!L:L,ROW())="","",INDEX(Listado!L:L,ROW()))</f>
        <v/>
      </c>
      <c r="X1616" s="17">
        <f>IF(N1616="","",IF(INDEX(Listado!$M:$M,N1616)="No","No","Sí"))</f>
        <v/>
      </c>
    </row>
    <row r="1617" spans="2:24" ht="14.25">
      <c r="N1617" s="17" t="str">
        <f>IF(V1617=0,"",IFERROR(LOOKUP(2,1/(INDEX(Listado!A:A,2):INDEX(Listado!A:A,ROW())&lt;&gt;""),ROW(INDEX(Listado!A:A,2):INDEX(Listado!A:A,ROW()))),""))</f>
        <v/>
      </c>
      <c r="O1617" s="17" t="str">
        <f>IFERROR(IF(N1617="","",IF(INDEX(Listado!M:M,N1617)="No",IF(INDEX(Listado!N:N,N1617)=0,"",INDEX(Listado!N:N,N1617)),IF(INDEX(Listado!I:I,N1617)=0,"",INDEX(Listado!I:I,N1617)))),"")</f>
        <v/>
      </c>
      <c r="P1617" s="17">
        <f t="shared" ca="1" si="76"/>
        <v/>
      </c>
      <c r="Q1617" s="17">
        <f>IFERROR(IF(AND(N1617&lt;&gt;"",ISNUMBER(O1617),O1617&gt;0,O1617&gt;=TODAY()-90),1,0),0)</f>
        <v/>
      </c>
      <c r="R1617" s="17" t="str">
        <f t="shared" si="78"/>
        <v/>
      </c>
      <c r="S1617" s="17" t="str">
        <f>IF(INDEX(Listado!A:A,ROW())="","",INDEX(Listado!A:A,ROW()))</f>
        <v/>
      </c>
      <c r="T1617" s="17" t="str">
        <f ca="1">IF(INDEX(Listado!G:G,ROW())="","",INDEX(Listado!G:G,ROW()))</f>
        <v/>
      </c>
      <c r="U1617" s="17" t="str">
        <f>IF(INDEX(Listado!F:F,ROW())="","",INDEX(Listado!F:F,ROW()))</f>
        <v/>
      </c>
      <c r="V1617" s="17">
        <f>IF(COUNTA(INDEX(Listado!B:B,ROW()):INDEX(Listado!F:F,ROW()))&gt;0,1,0)</f>
        <v/>
      </c>
      <c r="W1617" s="17" t="str">
        <f>IF(INDEX(Listado!L:L,ROW())="","",INDEX(Listado!L:L,ROW()))</f>
        <v/>
      </c>
      <c r="X1617" s="17">
        <f>IF(N1617="","",IF(INDEX(Listado!$M:$M,N1617)="No","No","Sí"))</f>
        <v/>
      </c>
    </row>
    <row r="1618" spans="2:24" ht="14.25">
      <c r="N1618" s="17" t="str">
        <f>IF(V1618=0,"",IFERROR(LOOKUP(2,1/(INDEX(Listado!A:A,2):INDEX(Listado!A:A,ROW())&lt;&gt;""),ROW(INDEX(Listado!A:A,2):INDEX(Listado!A:A,ROW()))),""))</f>
        <v/>
      </c>
      <c r="O1618" s="17" t="str">
        <f>IFERROR(IF(N1618="","",IF(INDEX(Listado!M:M,N1618)="No",IF(INDEX(Listado!N:N,N1618)=0,"",INDEX(Listado!N:N,N1618)),IF(INDEX(Listado!I:I,N1618)=0,"",INDEX(Listado!I:I,N1618)))),"")</f>
        <v/>
      </c>
      <c r="P1618" s="17">
        <f t="shared" ca="1" si="76"/>
        <v/>
      </c>
      <c r="Q1618" s="17">
        <f>IFERROR(IF(AND(N1618&lt;&gt;"",ISNUMBER(O1618),O1618&gt;0,O1618&gt;=TODAY()-90),1,0),0)</f>
        <v/>
      </c>
      <c r="R1618" s="17" t="str">
        <f t="shared" si="78"/>
        <v/>
      </c>
      <c r="S1618" s="17" t="str">
        <f>IF(INDEX(Listado!A:A,ROW())="","",INDEX(Listado!A:A,ROW()))</f>
        <v/>
      </c>
      <c r="T1618" s="17" t="str">
        <f ca="1">IF(INDEX(Listado!G:G,ROW())="","",INDEX(Listado!G:G,ROW()))</f>
        <v/>
      </c>
      <c r="U1618" s="17" t="str">
        <f>IF(INDEX(Listado!F:F,ROW())="","",INDEX(Listado!F:F,ROW()))</f>
        <v/>
      </c>
      <c r="V1618" s="17">
        <f>IF(COUNTA(INDEX(Listado!B:B,ROW()):INDEX(Listado!F:F,ROW()))&gt;0,1,0)</f>
        <v/>
      </c>
      <c r="W1618" s="17" t="str">
        <f>IF(INDEX(Listado!L:L,ROW())="","",INDEX(Listado!L:L,ROW()))</f>
        <v/>
      </c>
      <c r="X1618" s="17">
        <f>IF(N1618="","",IF(INDEX(Listado!$M:$M,N1618)="No","No","Sí"))</f>
        <v/>
      </c>
    </row>
    <row r="1619" spans="2:24" ht="14.25">
      <c r="N1619" s="17" t="str">
        <f>IF(V1619=0,"",IFERROR(LOOKUP(2,1/(INDEX(Listado!A:A,2):INDEX(Listado!A:A,ROW())&lt;&gt;""),ROW(INDEX(Listado!A:A,2):INDEX(Listado!A:A,ROW()))),""))</f>
        <v/>
      </c>
      <c r="O1619" s="17" t="str">
        <f>IFERROR(IF(N1619="","",IF(INDEX(Listado!M:M,N1619)="No",IF(INDEX(Listado!N:N,N1619)=0,"",INDEX(Listado!N:N,N1619)),IF(INDEX(Listado!I:I,N1619)=0,"",INDEX(Listado!I:I,N1619)))),"")</f>
        <v/>
      </c>
      <c r="P1619" s="17">
        <f t="shared" ca="1" si="76"/>
        <v/>
      </c>
      <c r="Q1619" s="17">
        <f>IFERROR(IF(AND(N1619&lt;&gt;"",ISNUMBER(O1619),O1619&gt;0,O1619&gt;=TODAY()-90),1,0),0)</f>
        <v/>
      </c>
      <c r="R1619" s="17" t="str">
        <f t="shared" si="78"/>
        <v/>
      </c>
      <c r="S1619" s="17" t="str">
        <f>IF(INDEX(Listado!A:A,ROW())="","",INDEX(Listado!A:A,ROW()))</f>
        <v/>
      </c>
      <c r="T1619" s="17" t="str">
        <f ca="1">IF(INDEX(Listado!G:G,ROW())="","",INDEX(Listado!G:G,ROW()))</f>
        <v/>
      </c>
      <c r="U1619" s="17" t="str">
        <f>IF(INDEX(Listado!F:F,ROW())="","",INDEX(Listado!F:F,ROW()))</f>
        <v/>
      </c>
      <c r="V1619" s="17">
        <f>IF(COUNTA(INDEX(Listado!B:B,ROW()):INDEX(Listado!F:F,ROW()))&gt;0,1,0)</f>
        <v/>
      </c>
      <c r="W1619" s="17" t="str">
        <f>IF(INDEX(Listado!L:L,ROW())="","",INDEX(Listado!L:L,ROW()))</f>
        <v/>
      </c>
      <c r="X1619" s="17">
        <f>IF(N1619="","",IF(INDEX(Listado!$M:$M,N1619)="No","No","Sí"))</f>
        <v/>
      </c>
    </row>
    <row r="1620" spans="2:24" ht="14.25">
      <c r="N1620" s="17" t="str">
        <f>IF(V1620=0,"",IFERROR(LOOKUP(2,1/(INDEX(Listado!A:A,2):INDEX(Listado!A:A,ROW())&lt;&gt;""),ROW(INDEX(Listado!A:A,2):INDEX(Listado!A:A,ROW()))),""))</f>
        <v/>
      </c>
      <c r="O1620" s="17" t="str">
        <f>IFERROR(IF(N1620="","",IF(INDEX(Listado!M:M,N1620)="No",IF(INDEX(Listado!N:N,N1620)=0,"",INDEX(Listado!N:N,N1620)),IF(INDEX(Listado!I:I,N1620)=0,"",INDEX(Listado!I:I,N1620)))),"")</f>
        <v/>
      </c>
      <c r="P1620" s="17">
        <f t="shared" ca="1" si="76"/>
        <v/>
      </c>
      <c r="Q1620" s="17">
        <f>IFERROR(IF(AND(N1620&lt;&gt;"",ISNUMBER(O1620),O1620&gt;0,O1620&gt;=TODAY()-90),1,0),0)</f>
        <v/>
      </c>
      <c r="R1620" s="17" t="str">
        <f t="shared" si="78"/>
        <v/>
      </c>
      <c r="S1620" s="17" t="str">
        <f>IF(INDEX(Listado!A:A,ROW())="","",INDEX(Listado!A:A,ROW()))</f>
        <v/>
      </c>
      <c r="T1620" s="17" t="str">
        <f ca="1">IF(INDEX(Listado!G:G,ROW())="","",INDEX(Listado!G:G,ROW()))</f>
        <v/>
      </c>
      <c r="U1620" s="17" t="str">
        <f>IF(INDEX(Listado!F:F,ROW())="","",INDEX(Listado!F:F,ROW()))</f>
        <v/>
      </c>
      <c r="V1620" s="17">
        <f>IF(COUNTA(INDEX(Listado!B:B,ROW()):INDEX(Listado!F:F,ROW()))&gt;0,1,0)</f>
        <v/>
      </c>
      <c r="W1620" s="17" t="str">
        <f>IF(INDEX(Listado!L:L,ROW())="","",INDEX(Listado!L:L,ROW()))</f>
        <v/>
      </c>
      <c r="X1620" s="17">
        <f>IF(N1620="","",IF(INDEX(Listado!$M:$M,N1620)="No","No","Sí"))</f>
        <v/>
      </c>
    </row>
    <row r="1621" spans="2:24" ht="14.25">
      <c r="N1621" s="17" t="str">
        <f>IF(V1621=0,"",IFERROR(LOOKUP(2,1/(INDEX(Listado!A:A,2):INDEX(Listado!A:A,ROW())&lt;&gt;""),ROW(INDEX(Listado!A:A,2):INDEX(Listado!A:A,ROW()))),""))</f>
        <v/>
      </c>
      <c r="O1621" s="17" t="str">
        <f>IFERROR(IF(N1621="","",IF(INDEX(Listado!M:M,N1621)="No",IF(INDEX(Listado!N:N,N1621)=0,"",INDEX(Listado!N:N,N1621)),IF(INDEX(Listado!I:I,N1621)=0,"",INDEX(Listado!I:I,N1621)))),"")</f>
        <v/>
      </c>
      <c r="P1621" s="17">
        <f t="shared" ca="1" si="76"/>
        <v/>
      </c>
      <c r="Q1621" s="17">
        <f>IFERROR(IF(AND(N1621&lt;&gt;"",ISNUMBER(O1621),O1621&gt;0,O1621&gt;=TODAY()-90),1,0),0)</f>
        <v/>
      </c>
      <c r="R1621" s="17" t="str">
        <f t="shared" si="78"/>
        <v/>
      </c>
      <c r="S1621" s="17" t="str">
        <f>IF(INDEX(Listado!A:A,ROW())="","",INDEX(Listado!A:A,ROW()))</f>
        <v/>
      </c>
      <c r="T1621" s="17" t="str">
        <f ca="1">IF(INDEX(Listado!G:G,ROW())="","",INDEX(Listado!G:G,ROW()))</f>
        <v/>
      </c>
      <c r="U1621" s="17" t="str">
        <f>IF(INDEX(Listado!F:F,ROW())="","",INDEX(Listado!F:F,ROW()))</f>
        <v/>
      </c>
      <c r="V1621" s="17">
        <f>IF(COUNTA(INDEX(Listado!B:B,ROW()):INDEX(Listado!F:F,ROW()))&gt;0,1,0)</f>
        <v/>
      </c>
      <c r="W1621" s="17" t="str">
        <f>IF(INDEX(Listado!L:L,ROW())="","",INDEX(Listado!L:L,ROW()))</f>
        <v/>
      </c>
      <c r="X1621" s="17">
        <f>IF(N1621="","",IF(INDEX(Listado!$M:$M,N1621)="No","No","Sí"))</f>
        <v/>
      </c>
    </row>
    <row r="1622" spans="2:24" ht="14.25">
      <c r="N1622" s="17" t="str">
        <f>IF(V1622=0,"",IFERROR(LOOKUP(2,1/(INDEX(Listado!A:A,2):INDEX(Listado!A:A,ROW())&lt;&gt;""),ROW(INDEX(Listado!A:A,2):INDEX(Listado!A:A,ROW()))),""))</f>
        <v/>
      </c>
      <c r="O1622" s="17" t="str">
        <f>IFERROR(IF(N1622="","",IF(INDEX(Listado!M:M,N1622)="No",IF(INDEX(Listado!N:N,N1622)=0,"",INDEX(Listado!N:N,N1622)),IF(INDEX(Listado!I:I,N1622)=0,"",INDEX(Listado!I:I,N1622)))),"")</f>
        <v/>
      </c>
      <c r="P1622" s="17">
        <f t="shared" ca="1" si="76"/>
        <v/>
      </c>
      <c r="Q1622" s="17">
        <f>IFERROR(IF(AND(N1622&lt;&gt;"",ISNUMBER(O1622),O1622&gt;0,O1622&gt;=TODAY()-90),1,0),0)</f>
        <v/>
      </c>
      <c r="R1622" s="17" t="str">
        <f t="shared" si="78"/>
        <v/>
      </c>
      <c r="S1622" s="17" t="str">
        <f>IF(INDEX(Listado!A:A,ROW())="","",INDEX(Listado!A:A,ROW()))</f>
        <v/>
      </c>
      <c r="T1622" s="17" t="str">
        <f ca="1">IF(INDEX(Listado!G:G,ROW())="","",INDEX(Listado!G:G,ROW()))</f>
        <v/>
      </c>
      <c r="U1622" s="17" t="str">
        <f>IF(INDEX(Listado!F:F,ROW())="","",INDEX(Listado!F:F,ROW()))</f>
        <v/>
      </c>
      <c r="V1622" s="17">
        <f>IF(COUNTA(INDEX(Listado!B:B,ROW()):INDEX(Listado!F:F,ROW()))&gt;0,1,0)</f>
        <v/>
      </c>
      <c r="W1622" s="17" t="str">
        <f>IF(INDEX(Listado!L:L,ROW())="","",INDEX(Listado!L:L,ROW()))</f>
        <v/>
      </c>
      <c r="X1622" s="17">
        <f>IF(N1622="","",IF(INDEX(Listado!$M:$M,N1622)="No","No","Sí"))</f>
        <v/>
      </c>
    </row>
    <row r="1623" spans="2:24" ht="14.25">
      <c r="N1623" s="17" t="str">
        <f>IF(V1623=0,"",IFERROR(LOOKUP(2,1/(INDEX(Listado!A:A,2):INDEX(Listado!A:A,ROW())&lt;&gt;""),ROW(INDEX(Listado!A:A,2):INDEX(Listado!A:A,ROW()))),""))</f>
        <v/>
      </c>
      <c r="O1623" s="17" t="str">
        <f>IFERROR(IF(N1623="","",IF(INDEX(Listado!M:M,N1623)="No",IF(INDEX(Listado!N:N,N1623)=0,"",INDEX(Listado!N:N,N1623)),IF(INDEX(Listado!I:I,N1623)=0,"",INDEX(Listado!I:I,N1623)))),"")</f>
        <v/>
      </c>
      <c r="P1623" s="17">
        <f t="shared" ca="1" si="76"/>
        <v/>
      </c>
      <c r="Q1623" s="17">
        <f>IFERROR(IF(AND(N1623&lt;&gt;"",ISNUMBER(O1623),O1623&gt;0,O1623&gt;=TODAY()-90),1,0),0)</f>
        <v/>
      </c>
      <c r="R1623" s="17" t="str">
        <f t="shared" si="78"/>
        <v/>
      </c>
      <c r="S1623" s="17" t="str">
        <f>IF(INDEX(Listado!A:A,ROW())="","",INDEX(Listado!A:A,ROW()))</f>
        <v/>
      </c>
      <c r="T1623" s="17" t="str">
        <f ca="1">IF(INDEX(Listado!G:G,ROW())="","",INDEX(Listado!G:G,ROW()))</f>
        <v/>
      </c>
      <c r="U1623" s="17" t="str">
        <f>IF(INDEX(Listado!F:F,ROW())="","",INDEX(Listado!F:F,ROW()))</f>
        <v/>
      </c>
      <c r="V1623" s="17">
        <f>IF(COUNTA(INDEX(Listado!B:B,ROW()):INDEX(Listado!F:F,ROW()))&gt;0,1,0)</f>
        <v/>
      </c>
      <c r="W1623" s="17" t="str">
        <f>IF(INDEX(Listado!L:L,ROW())="","",INDEX(Listado!L:L,ROW()))</f>
        <v/>
      </c>
      <c r="X1623" s="17">
        <f>IF(N1623="","",IF(INDEX(Listado!$M:$M,N1623)="No","No","Sí"))</f>
        <v/>
      </c>
    </row>
    <row r="1624" spans="2:24" ht="14.25">
      <c r="N1624" s="17" t="str">
        <f>IF(V1624=0,"",IFERROR(LOOKUP(2,1/(INDEX(Listado!A:A,2):INDEX(Listado!A:A,ROW())&lt;&gt;""),ROW(INDEX(Listado!A:A,2):INDEX(Listado!A:A,ROW()))),""))</f>
        <v/>
      </c>
      <c r="O1624" s="17" t="str">
        <f>IFERROR(IF(N1624="","",IF(INDEX(Listado!M:M,N1624)="No",IF(INDEX(Listado!N:N,N1624)=0,"",INDEX(Listado!N:N,N1624)),IF(INDEX(Listado!I:I,N1624)=0,"",INDEX(Listado!I:I,N1624)))),"")</f>
        <v/>
      </c>
      <c r="P1624" s="17">
        <f t="shared" ca="1" si="76"/>
        <v/>
      </c>
      <c r="Q1624" s="17">
        <f>IFERROR(IF(AND(N1624&lt;&gt;"",ISNUMBER(O1624),O1624&gt;0,O1624&gt;=TODAY()-90),1,0),0)</f>
        <v/>
      </c>
      <c r="R1624" s="17" t="str">
        <f t="shared" si="78"/>
        <v/>
      </c>
      <c r="S1624" s="17" t="str">
        <f>IF(INDEX(Listado!A:A,ROW())="","",INDEX(Listado!A:A,ROW()))</f>
        <v/>
      </c>
      <c r="T1624" s="17" t="str">
        <f ca="1">IF(INDEX(Listado!G:G,ROW())="","",INDEX(Listado!G:G,ROW()))</f>
        <v/>
      </c>
      <c r="U1624" s="17" t="str">
        <f>IF(INDEX(Listado!F:F,ROW())="","",INDEX(Listado!F:F,ROW()))</f>
        <v/>
      </c>
      <c r="V1624" s="17">
        <f>IF(COUNTA(INDEX(Listado!B:B,ROW()):INDEX(Listado!F:F,ROW()))&gt;0,1,0)</f>
        <v/>
      </c>
      <c r="W1624" s="17" t="str">
        <f>IF(INDEX(Listado!L:L,ROW())="","",INDEX(Listado!L:L,ROW()))</f>
        <v/>
      </c>
      <c r="X1624" s="17">
        <f>IF(N1624="","",IF(INDEX(Listado!$M:$M,N1624)="No","No","Sí"))</f>
        <v/>
      </c>
    </row>
    <row r="1625" spans="2:24" ht="14.25">
      <c r="N1625" s="17" t="str">
        <f>IF(V1625=0,"",IFERROR(LOOKUP(2,1/(INDEX(Listado!A:A,2):INDEX(Listado!A:A,ROW())&lt;&gt;""),ROW(INDEX(Listado!A:A,2):INDEX(Listado!A:A,ROW()))),""))</f>
        <v/>
      </c>
      <c r="O1625" s="17" t="str">
        <f>IFERROR(IF(N1625="","",IF(INDEX(Listado!M:M,N1625)="No",IF(INDEX(Listado!N:N,N1625)=0,"",INDEX(Listado!N:N,N1625)),IF(INDEX(Listado!I:I,N1625)=0,"",INDEX(Listado!I:I,N1625)))),"")</f>
        <v/>
      </c>
      <c r="P1625" s="17">
        <f t="shared" ca="1" si="76"/>
        <v/>
      </c>
      <c r="Q1625" s="17">
        <f>IFERROR(IF(AND(N1625&lt;&gt;"",ISNUMBER(O1625),O1625&gt;0,O1625&gt;=TODAY()-90),1,0),0)</f>
        <v/>
      </c>
      <c r="R1625" s="17" t="str">
        <f t="shared" si="78"/>
        <v/>
      </c>
      <c r="S1625" s="17" t="str">
        <f>IF(INDEX(Listado!A:A,ROW())="","",INDEX(Listado!A:A,ROW()))</f>
        <v/>
      </c>
      <c r="T1625" s="17" t="str">
        <f ca="1">IF(INDEX(Listado!G:G,ROW())="","",INDEX(Listado!G:G,ROW()))</f>
        <v/>
      </c>
      <c r="U1625" s="17" t="str">
        <f>IF(INDEX(Listado!F:F,ROW())="","",INDEX(Listado!F:F,ROW()))</f>
        <v/>
      </c>
      <c r="V1625" s="17">
        <f>IF(COUNTA(INDEX(Listado!B:B,ROW()):INDEX(Listado!F:F,ROW()))&gt;0,1,0)</f>
        <v/>
      </c>
      <c r="W1625" s="17" t="str">
        <f>IF(INDEX(Listado!L:L,ROW())="","",INDEX(Listado!L:L,ROW()))</f>
        <v/>
      </c>
      <c r="X1625" s="17">
        <f>IF(N1625="","",IF(INDEX(Listado!$M:$M,N1625)="No","No","Sí"))</f>
        <v/>
      </c>
    </row>
    <row r="1626" spans="2:24" ht="14.25">
      <c r="N1626" s="17" t="str">
        <f>IF(V1626=0,"",IFERROR(LOOKUP(2,1/(INDEX(Listado!A:A,2):INDEX(Listado!A:A,ROW())&lt;&gt;""),ROW(INDEX(Listado!A:A,2):INDEX(Listado!A:A,ROW()))),""))</f>
        <v/>
      </c>
      <c r="O1626" s="17" t="str">
        <f>IFERROR(IF(N1626="","",IF(INDEX(Listado!M:M,N1626)="No",IF(INDEX(Listado!N:N,N1626)=0,"",INDEX(Listado!N:N,N1626)),IF(INDEX(Listado!I:I,N1626)=0,"",INDEX(Listado!I:I,N1626)))),"")</f>
        <v/>
      </c>
      <c r="P1626" s="17">
        <f t="shared" ca="1" si="76"/>
        <v/>
      </c>
      <c r="Q1626" s="17">
        <f>IFERROR(IF(AND(N1626&lt;&gt;"",ISNUMBER(O1626),O1626&gt;0,O1626&gt;=TODAY()-90),1,0),0)</f>
        <v/>
      </c>
      <c r="R1626" s="17" t="str">
        <f t="shared" si="78"/>
        <v/>
      </c>
      <c r="S1626" s="17" t="str">
        <f>IF(INDEX(Listado!A:A,ROW())="","",INDEX(Listado!A:A,ROW()))</f>
        <v/>
      </c>
      <c r="T1626" s="17" t="str">
        <f ca="1">IF(INDEX(Listado!G:G,ROW())="","",INDEX(Listado!G:G,ROW()))</f>
        <v/>
      </c>
      <c r="U1626" s="17" t="str">
        <f>IF(INDEX(Listado!F:F,ROW())="","",INDEX(Listado!F:F,ROW()))</f>
        <v/>
      </c>
      <c r="V1626" s="17">
        <f>IF(COUNTA(INDEX(Listado!B:B,ROW()):INDEX(Listado!F:F,ROW()))&gt;0,1,0)</f>
        <v/>
      </c>
      <c r="W1626" s="17" t="str">
        <f>IF(INDEX(Listado!L:L,ROW())="","",INDEX(Listado!L:L,ROW()))</f>
        <v/>
      </c>
      <c r="X1626" s="17">
        <f>IF(N1626="","",IF(INDEX(Listado!$M:$M,N1626)="No","No","Sí"))</f>
        <v/>
      </c>
    </row>
    <row r="1627" spans="2:24" ht="14.25">
      <c r="N1627" s="17" t="str">
        <f>IF(V1627=0,"",IFERROR(LOOKUP(2,1/(INDEX(Listado!A:A,2):INDEX(Listado!A:A,ROW())&lt;&gt;""),ROW(INDEX(Listado!A:A,2):INDEX(Listado!A:A,ROW()))),""))</f>
        <v/>
      </c>
      <c r="O1627" s="17" t="str">
        <f>IFERROR(IF(N1627="","",IF(INDEX(Listado!M:M,N1627)="No",IF(INDEX(Listado!N:N,N1627)=0,"",INDEX(Listado!N:N,N1627)),IF(INDEX(Listado!I:I,N1627)=0,"",INDEX(Listado!I:I,N1627)))),"")</f>
        <v/>
      </c>
      <c r="P1627" s="17">
        <f t="shared" ca="1" si="76"/>
        <v/>
      </c>
      <c r="Q1627" s="17">
        <f>IFERROR(IF(AND(N1627&lt;&gt;"",ISNUMBER(O1627),O1627&gt;0,O1627&gt;=TODAY()-90),1,0),0)</f>
        <v/>
      </c>
      <c r="R1627" s="17" t="str">
        <f t="shared" si="78"/>
        <v/>
      </c>
      <c r="S1627" s="17" t="str">
        <f>IF(INDEX(Listado!A:A,ROW())="","",INDEX(Listado!A:A,ROW()))</f>
        <v/>
      </c>
      <c r="T1627" s="17" t="str">
        <f ca="1">IF(INDEX(Listado!G:G,ROW())="","",INDEX(Listado!G:G,ROW()))</f>
        <v/>
      </c>
      <c r="U1627" s="17" t="str">
        <f>IF(INDEX(Listado!F:F,ROW())="","",INDEX(Listado!F:F,ROW()))</f>
        <v/>
      </c>
      <c r="V1627" s="17">
        <f>IF(COUNTA(INDEX(Listado!B:B,ROW()):INDEX(Listado!F:F,ROW()))&gt;0,1,0)</f>
        <v/>
      </c>
      <c r="W1627" s="17" t="str">
        <f>IF(INDEX(Listado!L:L,ROW())="","",INDEX(Listado!L:L,ROW()))</f>
        <v/>
      </c>
      <c r="X1627" s="17">
        <f>IF(N1627="","",IF(INDEX(Listado!$M:$M,N1627)="No","No","Sí"))</f>
        <v/>
      </c>
    </row>
    <row r="1628" spans="2:24" ht="14.25">
      <c r="N1628" s="17" t="str">
        <f>IF(V1628=0,"",IFERROR(LOOKUP(2,1/(INDEX(Listado!A:A,2):INDEX(Listado!A:A,ROW())&lt;&gt;""),ROW(INDEX(Listado!A:A,2):INDEX(Listado!A:A,ROW()))),""))</f>
        <v/>
      </c>
      <c r="O1628" s="17" t="str">
        <f>IFERROR(IF(N1628="","",IF(INDEX(Listado!M:M,N1628)="No",IF(INDEX(Listado!N:N,N1628)=0,"",INDEX(Listado!N:N,N1628)),IF(INDEX(Listado!I:I,N1628)=0,"",INDEX(Listado!I:I,N1628)))),"")</f>
        <v/>
      </c>
      <c r="P1628" s="17">
        <f t="shared" ca="1" si="76"/>
        <v/>
      </c>
      <c r="Q1628" s="17">
        <f>IFERROR(IF(AND(N1628&lt;&gt;"",ISNUMBER(O1628),O1628&gt;0,O1628&gt;=TODAY()-90),1,0),0)</f>
        <v/>
      </c>
      <c r="R1628" s="17" t="str">
        <f t="shared" si="78"/>
        <v/>
      </c>
      <c r="S1628" s="17" t="str">
        <f>IF(INDEX(Listado!A:A,ROW())="","",INDEX(Listado!A:A,ROW()))</f>
        <v/>
      </c>
      <c r="T1628" s="17" t="str">
        <f ca="1">IF(INDEX(Listado!G:G,ROW())="","",INDEX(Listado!G:G,ROW()))</f>
        <v/>
      </c>
      <c r="U1628" s="17" t="str">
        <f>IF(INDEX(Listado!F:F,ROW())="","",INDEX(Listado!F:F,ROW()))</f>
        <v/>
      </c>
      <c r="V1628" s="17">
        <f>IF(COUNTA(INDEX(Listado!B:B,ROW()):INDEX(Listado!F:F,ROW()))&gt;0,1,0)</f>
        <v/>
      </c>
      <c r="W1628" s="17" t="str">
        <f>IF(INDEX(Listado!L:L,ROW())="","",INDEX(Listado!L:L,ROW()))</f>
        <v/>
      </c>
      <c r="X1628" s="17">
        <f>IF(N1628="","",IF(INDEX(Listado!$M:$M,N1628)="No","No","Sí"))</f>
        <v/>
      </c>
    </row>
    <row r="1629" spans="2:24" ht="14.25">
      <c r="N1629" s="17" t="str">
        <f>IF(V1629=0,"",IFERROR(LOOKUP(2,1/(INDEX(Listado!A:A,2):INDEX(Listado!A:A,ROW())&lt;&gt;""),ROW(INDEX(Listado!A:A,2):INDEX(Listado!A:A,ROW()))),""))</f>
        <v/>
      </c>
      <c r="O1629" s="17" t="str">
        <f>IFERROR(IF(N1629="","",IF(INDEX(Listado!M:M,N1629)="No",IF(INDEX(Listado!N:N,N1629)=0,"",INDEX(Listado!N:N,N1629)),IF(INDEX(Listado!I:I,N1629)=0,"",INDEX(Listado!I:I,N1629)))),"")</f>
        <v/>
      </c>
      <c r="P1629" s="17">
        <f t="shared" ca="1" si="76"/>
        <v/>
      </c>
      <c r="Q1629" s="17">
        <f>IFERROR(IF(AND(N1629&lt;&gt;"",ISNUMBER(O1629),O1629&gt;0,O1629&gt;=TODAY()-90),1,0),0)</f>
        <v/>
      </c>
      <c r="R1629" s="17" t="str">
        <f t="shared" si="78"/>
        <v/>
      </c>
      <c r="S1629" s="17" t="str">
        <f>IF(INDEX(Listado!A:A,ROW())="","",INDEX(Listado!A:A,ROW()))</f>
        <v/>
      </c>
      <c r="T1629" s="17" t="str">
        <f ca="1">IF(INDEX(Listado!G:G,ROW())="","",INDEX(Listado!G:G,ROW()))</f>
        <v/>
      </c>
      <c r="U1629" s="17" t="str">
        <f>IF(INDEX(Listado!F:F,ROW())="","",INDEX(Listado!F:F,ROW()))</f>
        <v/>
      </c>
      <c r="V1629" s="17">
        <f>IF(COUNTA(INDEX(Listado!B:B,ROW()):INDEX(Listado!F:F,ROW()))&gt;0,1,0)</f>
        <v/>
      </c>
      <c r="W1629" s="17" t="str">
        <f>IF(INDEX(Listado!L:L,ROW())="","",INDEX(Listado!L:L,ROW()))</f>
        <v/>
      </c>
      <c r="X1629" s="17">
        <f>IF(N1629="","",IF(INDEX(Listado!$M:$M,N1629)="No","No","Sí"))</f>
        <v/>
      </c>
    </row>
    <row r="1630" spans="2:24" ht="14.25">
      <c r="N1630" s="17" t="str">
        <f>IF(V1630=0,"",IFERROR(LOOKUP(2,1/(INDEX(Listado!A:A,2):INDEX(Listado!A:A,ROW())&lt;&gt;""),ROW(INDEX(Listado!A:A,2):INDEX(Listado!A:A,ROW()))),""))</f>
        <v/>
      </c>
      <c r="O1630" s="17" t="str">
        <f>IFERROR(IF(N1630="","",IF(INDEX(Listado!M:M,N1630)="No",IF(INDEX(Listado!N:N,N1630)=0,"",INDEX(Listado!N:N,N1630)),IF(INDEX(Listado!I:I,N1630)=0,"",INDEX(Listado!I:I,N1630)))),"")</f>
        <v/>
      </c>
      <c r="P1630" s="17">
        <f t="shared" ca="1" si="76"/>
        <v/>
      </c>
      <c r="Q1630" s="17">
        <f>IFERROR(IF(AND(N1630&lt;&gt;"",ISNUMBER(O1630),O1630&gt;0,O1630&gt;=TODAY()-90),1,0),0)</f>
        <v/>
      </c>
      <c r="R1630" s="17" t="str">
        <f t="shared" si="78"/>
        <v/>
      </c>
      <c r="S1630" s="17" t="str">
        <f>IF(INDEX(Listado!A:A,ROW())="","",INDEX(Listado!A:A,ROW()))</f>
        <v/>
      </c>
      <c r="T1630" s="17" t="str">
        <f ca="1">IF(INDEX(Listado!G:G,ROW())="","",INDEX(Listado!G:G,ROW()))</f>
        <v/>
      </c>
      <c r="U1630" s="17" t="str">
        <f>IF(INDEX(Listado!F:F,ROW())="","",INDEX(Listado!F:F,ROW()))</f>
        <v/>
      </c>
      <c r="V1630" s="17">
        <f>IF(COUNTA(INDEX(Listado!B:B,ROW()):INDEX(Listado!F:F,ROW()))&gt;0,1,0)</f>
        <v/>
      </c>
      <c r="W1630" s="17" t="str">
        <f>IF(INDEX(Listado!L:L,ROW())="","",INDEX(Listado!L:L,ROW()))</f>
        <v/>
      </c>
      <c r="X1630" s="17">
        <f>IF(N1630="","",IF(INDEX(Listado!$M:$M,N1630)="No","No","Sí"))</f>
        <v/>
      </c>
    </row>
    <row r="1631" spans="2:24" ht="14.25">
      <c r="N1631" s="17" t="str">
        <f>IF(V1631=0,"",IFERROR(LOOKUP(2,1/(INDEX(Listado!A:A,2):INDEX(Listado!A:A,ROW())&lt;&gt;""),ROW(INDEX(Listado!A:A,2):INDEX(Listado!A:A,ROW()))),""))</f>
        <v/>
      </c>
      <c r="O1631" s="17" t="str">
        <f>IFERROR(IF(N1631="","",IF(INDEX(Listado!M:M,N1631)="No",IF(INDEX(Listado!N:N,N1631)=0,"",INDEX(Listado!N:N,N1631)),IF(INDEX(Listado!I:I,N1631)=0,"",INDEX(Listado!I:I,N1631)))),"")</f>
        <v/>
      </c>
      <c r="P1631" s="17">
        <f t="shared" ca="1" si="76"/>
        <v/>
      </c>
      <c r="Q1631" s="17">
        <f>IFERROR(IF(AND(N1631&lt;&gt;"",ISNUMBER(O1631),O1631&gt;0,O1631&gt;=TODAY()-90),1,0),0)</f>
        <v/>
      </c>
      <c r="R1631" s="17" t="str">
        <f t="shared" si="78"/>
        <v/>
      </c>
      <c r="S1631" s="17" t="str">
        <f>IF(INDEX(Listado!A:A,ROW())="","",INDEX(Listado!A:A,ROW()))</f>
        <v/>
      </c>
      <c r="T1631" s="17" t="str">
        <f ca="1">IF(INDEX(Listado!G:G,ROW())="","",INDEX(Listado!G:G,ROW()))</f>
        <v/>
      </c>
      <c r="U1631" s="17" t="str">
        <f>IF(INDEX(Listado!F:F,ROW())="","",INDEX(Listado!F:F,ROW()))</f>
        <v/>
      </c>
      <c r="V1631" s="17">
        <f>IF(COUNTA(INDEX(Listado!B:B,ROW()):INDEX(Listado!F:F,ROW()))&gt;0,1,0)</f>
        <v/>
      </c>
      <c r="W1631" s="17" t="str">
        <f>IF(INDEX(Listado!L:L,ROW())="","",INDEX(Listado!L:L,ROW()))</f>
        <v/>
      </c>
      <c r="X1631" s="17">
        <f>IF(N1631="","",IF(INDEX(Listado!$M:$M,N1631)="No","No","Sí"))</f>
        <v/>
      </c>
    </row>
    <row r="1632" spans="2:24" ht="14.25">
      <c r="N1632" s="17" t="str">
        <f>IF(V1632=0,"",IFERROR(LOOKUP(2,1/(INDEX(Listado!A:A,2):INDEX(Listado!A:A,ROW())&lt;&gt;""),ROW(INDEX(Listado!A:A,2):INDEX(Listado!A:A,ROW()))),""))</f>
        <v/>
      </c>
      <c r="O1632" s="17" t="str">
        <f>IFERROR(IF(N1632="","",IF(INDEX(Listado!M:M,N1632)="No",IF(INDEX(Listado!N:N,N1632)=0,"",INDEX(Listado!N:N,N1632)),IF(INDEX(Listado!I:I,N1632)=0,"",INDEX(Listado!I:I,N1632)))),"")</f>
        <v/>
      </c>
      <c r="P1632" s="17">
        <f t="shared" ca="1" si="76"/>
        <v/>
      </c>
      <c r="Q1632" s="17">
        <f>IFERROR(IF(AND(N1632&lt;&gt;"",ISNUMBER(O1632),O1632&gt;0,O1632&gt;=TODAY()-90),1,0),0)</f>
        <v/>
      </c>
      <c r="R1632" s="17" t="str">
        <f t="shared" si="78"/>
        <v/>
      </c>
      <c r="S1632" s="17" t="str">
        <f>IF(INDEX(Listado!A:A,ROW())="","",INDEX(Listado!A:A,ROW()))</f>
        <v/>
      </c>
      <c r="T1632" s="17" t="str">
        <f ca="1">IF(INDEX(Listado!G:G,ROW())="","",INDEX(Listado!G:G,ROW()))</f>
        <v/>
      </c>
      <c r="U1632" s="17" t="str">
        <f>IF(INDEX(Listado!F:F,ROW())="","",INDEX(Listado!F:F,ROW()))</f>
        <v/>
      </c>
      <c r="V1632" s="17">
        <f>IF(COUNTA(INDEX(Listado!B:B,ROW()):INDEX(Listado!F:F,ROW()))&gt;0,1,0)</f>
        <v/>
      </c>
      <c r="W1632" s="17" t="str">
        <f>IF(INDEX(Listado!L:L,ROW())="","",INDEX(Listado!L:L,ROW()))</f>
        <v/>
      </c>
      <c r="X1632" s="17">
        <f>IF(N1632="","",IF(INDEX(Listado!$M:$M,N1632)="No","No","Sí"))</f>
        <v/>
      </c>
    </row>
    <row r="1633" spans="2:24" ht="14.25">
      <c r="N1633" s="17" t="str">
        <f>IF(V1633=0,"",IFERROR(LOOKUP(2,1/(INDEX(Listado!A:A,2):INDEX(Listado!A:A,ROW())&lt;&gt;""),ROW(INDEX(Listado!A:A,2):INDEX(Listado!A:A,ROW()))),""))</f>
        <v/>
      </c>
      <c r="O1633" s="17" t="str">
        <f>IFERROR(IF(N1633="","",IF(INDEX(Listado!M:M,N1633)="No",IF(INDEX(Listado!N:N,N1633)=0,"",INDEX(Listado!N:N,N1633)),IF(INDEX(Listado!I:I,N1633)=0,"",INDEX(Listado!I:I,N1633)))),"")</f>
        <v/>
      </c>
      <c r="P1633" s="17">
        <f t="shared" ca="1" si="76"/>
        <v/>
      </c>
      <c r="Q1633" s="17">
        <f>IFERROR(IF(AND(N1633&lt;&gt;"",ISNUMBER(O1633),O1633&gt;0,O1633&gt;=TODAY()-90),1,0),0)</f>
        <v/>
      </c>
      <c r="R1633" s="17" t="str">
        <f t="shared" si="78"/>
        <v/>
      </c>
      <c r="S1633" s="17" t="str">
        <f>IF(INDEX(Listado!A:A,ROW())="","",INDEX(Listado!A:A,ROW()))</f>
        <v/>
      </c>
      <c r="T1633" s="17" t="str">
        <f ca="1">IF(INDEX(Listado!G:G,ROW())="","",INDEX(Listado!G:G,ROW()))</f>
        <v/>
      </c>
      <c r="U1633" s="17" t="str">
        <f>IF(INDEX(Listado!F:F,ROW())="","",INDEX(Listado!F:F,ROW()))</f>
        <v/>
      </c>
      <c r="V1633" s="17">
        <f>IF(COUNTA(INDEX(Listado!B:B,ROW()):INDEX(Listado!F:F,ROW()))&gt;0,1,0)</f>
        <v/>
      </c>
      <c r="W1633" s="17" t="str">
        <f>IF(INDEX(Listado!L:L,ROW())="","",INDEX(Listado!L:L,ROW()))</f>
        <v/>
      </c>
      <c r="X1633" s="17">
        <f>IF(N1633="","",IF(INDEX(Listado!$M:$M,N1633)="No","No","Sí"))</f>
        <v/>
      </c>
    </row>
    <row r="1634" spans="2:24" ht="14.25">
      <c r="N1634" s="17" t="str">
        <f>IF(V1634=0,"",IFERROR(LOOKUP(2,1/(INDEX(Listado!A:A,2):INDEX(Listado!A:A,ROW())&lt;&gt;""),ROW(INDEX(Listado!A:A,2):INDEX(Listado!A:A,ROW()))),""))</f>
        <v/>
      </c>
      <c r="O1634" s="17" t="str">
        <f>IFERROR(IF(N1634="","",IF(INDEX(Listado!M:M,N1634)="No",IF(INDEX(Listado!N:N,N1634)=0,"",INDEX(Listado!N:N,N1634)),IF(INDEX(Listado!I:I,N1634)=0,"",INDEX(Listado!I:I,N1634)))),"")</f>
        <v/>
      </c>
      <c r="P1634" s="17">
        <f t="shared" ca="1" si="76"/>
        <v/>
      </c>
      <c r="Q1634" s="17">
        <f>IFERROR(IF(AND(N1634&lt;&gt;"",ISNUMBER(O1634),O1634&gt;0,O1634&gt;=TODAY()-90),1,0),0)</f>
        <v/>
      </c>
      <c r="R1634" s="17" t="str">
        <f t="shared" si="78"/>
        <v/>
      </c>
      <c r="S1634" s="17" t="str">
        <f>IF(INDEX(Listado!A:A,ROW())="","",INDEX(Listado!A:A,ROW()))</f>
        <v/>
      </c>
      <c r="T1634" s="17" t="str">
        <f ca="1">IF(INDEX(Listado!G:G,ROW())="","",INDEX(Listado!G:G,ROW()))</f>
        <v/>
      </c>
      <c r="U1634" s="17" t="str">
        <f>IF(INDEX(Listado!F:F,ROW())="","",INDEX(Listado!F:F,ROW()))</f>
        <v/>
      </c>
      <c r="V1634" s="17">
        <f>IF(COUNTA(INDEX(Listado!B:B,ROW()):INDEX(Listado!F:F,ROW()))&gt;0,1,0)</f>
        <v/>
      </c>
      <c r="W1634" s="17" t="str">
        <f>IF(INDEX(Listado!L:L,ROW())="","",INDEX(Listado!L:L,ROW()))</f>
        <v/>
      </c>
      <c r="X1634" s="17">
        <f>IF(N1634="","",IF(INDEX(Listado!$M:$M,N1634)="No","No","Sí"))</f>
        <v/>
      </c>
    </row>
    <row r="1635" spans="2:24" ht="14.25">
      <c r="N1635" s="17" t="str">
        <f>IF(V1635=0,"",IFERROR(LOOKUP(2,1/(INDEX(Listado!A:A,2):INDEX(Listado!A:A,ROW())&lt;&gt;""),ROW(INDEX(Listado!A:A,2):INDEX(Listado!A:A,ROW()))),""))</f>
        <v/>
      </c>
      <c r="O1635" s="17" t="str">
        <f>IFERROR(IF(N1635="","",IF(INDEX(Listado!M:M,N1635)="No",IF(INDEX(Listado!N:N,N1635)=0,"",INDEX(Listado!N:N,N1635)),IF(INDEX(Listado!I:I,N1635)=0,"",INDEX(Listado!I:I,N1635)))),"")</f>
        <v/>
      </c>
      <c r="P1635" s="17">
        <f t="shared" ca="1" si="76"/>
        <v/>
      </c>
      <c r="Q1635" s="17">
        <f>IFERROR(IF(AND(N1635&lt;&gt;"",ISNUMBER(O1635),O1635&gt;0,O1635&gt;=TODAY()-90),1,0),0)</f>
        <v/>
      </c>
      <c r="R1635" s="17" t="str">
        <f t="shared" si="78"/>
        <v/>
      </c>
      <c r="S1635" s="17" t="str">
        <f>IF(INDEX(Listado!A:A,ROW())="","",INDEX(Listado!A:A,ROW()))</f>
        <v/>
      </c>
      <c r="T1635" s="17" t="str">
        <f ca="1">IF(INDEX(Listado!G:G,ROW())="","",INDEX(Listado!G:G,ROW()))</f>
        <v/>
      </c>
      <c r="U1635" s="17" t="str">
        <f>IF(INDEX(Listado!F:F,ROW())="","",INDEX(Listado!F:F,ROW()))</f>
        <v/>
      </c>
      <c r="V1635" s="17">
        <f>IF(COUNTA(INDEX(Listado!B:B,ROW()):INDEX(Listado!F:F,ROW()))&gt;0,1,0)</f>
        <v/>
      </c>
      <c r="W1635" s="17" t="str">
        <f>IF(INDEX(Listado!L:L,ROW())="","",INDEX(Listado!L:L,ROW()))</f>
        <v/>
      </c>
      <c r="X1635" s="17">
        <f>IF(N1635="","",IF(INDEX(Listado!$M:$M,N1635)="No","No","Sí"))</f>
        <v/>
      </c>
    </row>
    <row r="1636" spans="2:24" ht="14.25">
      <c r="N1636" s="17" t="str">
        <f>IF(V1636=0,"",IFERROR(LOOKUP(2,1/(INDEX(Listado!A:A,2):INDEX(Listado!A:A,ROW())&lt;&gt;""),ROW(INDEX(Listado!A:A,2):INDEX(Listado!A:A,ROW()))),""))</f>
        <v/>
      </c>
      <c r="O1636" s="17" t="str">
        <f>IFERROR(IF(N1636="","",IF(INDEX(Listado!M:M,N1636)="No",IF(INDEX(Listado!N:N,N1636)=0,"",INDEX(Listado!N:N,N1636)),IF(INDEX(Listado!I:I,N1636)=0,"",INDEX(Listado!I:I,N1636)))),"")</f>
        <v/>
      </c>
      <c r="P1636" s="17">
        <f t="shared" ca="1" si="76"/>
        <v/>
      </c>
      <c r="Q1636" s="17">
        <f>IFERROR(IF(AND(N1636&lt;&gt;"",ISNUMBER(O1636),O1636&gt;0,O1636&gt;=TODAY()-90),1,0),0)</f>
        <v/>
      </c>
      <c r="R1636" s="17" t="str">
        <f t="shared" si="78"/>
        <v/>
      </c>
      <c r="S1636" s="17" t="str">
        <f>IF(INDEX(Listado!A:A,ROW())="","",INDEX(Listado!A:A,ROW()))</f>
        <v/>
      </c>
      <c r="T1636" s="17" t="str">
        <f ca="1">IF(INDEX(Listado!G:G,ROW())="","",INDEX(Listado!G:G,ROW()))</f>
        <v/>
      </c>
      <c r="U1636" s="17" t="str">
        <f>IF(INDEX(Listado!F:F,ROW())="","",INDEX(Listado!F:F,ROW()))</f>
        <v/>
      </c>
      <c r="V1636" s="17">
        <f>IF(COUNTA(INDEX(Listado!B:B,ROW()):INDEX(Listado!F:F,ROW()))&gt;0,1,0)</f>
        <v/>
      </c>
      <c r="W1636" s="17" t="str">
        <f>IF(INDEX(Listado!L:L,ROW())="","",INDEX(Listado!L:L,ROW()))</f>
        <v/>
      </c>
      <c r="X1636" s="17">
        <f>IF(N1636="","",IF(INDEX(Listado!$M:$M,N1636)="No","No","Sí"))</f>
        <v/>
      </c>
    </row>
    <row r="1637" spans="2:24" ht="14.25">
      <c r="N1637" s="17" t="str">
        <f>IF(V1637=0,"",IFERROR(LOOKUP(2,1/(INDEX(Listado!A:A,2):INDEX(Listado!A:A,ROW())&lt;&gt;""),ROW(INDEX(Listado!A:A,2):INDEX(Listado!A:A,ROW()))),""))</f>
        <v/>
      </c>
      <c r="O1637" s="17" t="str">
        <f>IFERROR(IF(N1637="","",IF(INDEX(Listado!M:M,N1637)="No",IF(INDEX(Listado!N:N,N1637)=0,"",INDEX(Listado!N:N,N1637)),IF(INDEX(Listado!I:I,N1637)=0,"",INDEX(Listado!I:I,N1637)))),"")</f>
        <v/>
      </c>
      <c r="P1637" s="17">
        <f t="shared" ca="1" si="76"/>
        <v/>
      </c>
      <c r="Q1637" s="17">
        <f>IFERROR(IF(AND(N1637&lt;&gt;"",ISNUMBER(O1637),O1637&gt;0,O1637&gt;=TODAY()-90),1,0),0)</f>
        <v/>
      </c>
      <c r="R1637" s="17" t="str">
        <f t="shared" si="78"/>
        <v/>
      </c>
      <c r="S1637" s="17" t="str">
        <f>IF(INDEX(Listado!A:A,ROW())="","",INDEX(Listado!A:A,ROW()))</f>
        <v/>
      </c>
      <c r="T1637" s="17" t="str">
        <f ca="1">IF(INDEX(Listado!G:G,ROW())="","",INDEX(Listado!G:G,ROW()))</f>
        <v/>
      </c>
      <c r="U1637" s="17" t="str">
        <f>IF(INDEX(Listado!F:F,ROW())="","",INDEX(Listado!F:F,ROW()))</f>
        <v/>
      </c>
      <c r="V1637" s="17">
        <f>IF(COUNTA(INDEX(Listado!B:B,ROW()):INDEX(Listado!F:F,ROW()))&gt;0,1,0)</f>
        <v/>
      </c>
      <c r="W1637" s="17" t="str">
        <f>IF(INDEX(Listado!L:L,ROW())="","",INDEX(Listado!L:L,ROW()))</f>
        <v/>
      </c>
      <c r="X1637" s="17">
        <f>IF(N1637="","",IF(INDEX(Listado!$M:$M,N1637)="No","No","Sí"))</f>
        <v/>
      </c>
    </row>
    <row r="1638" spans="2:24" ht="14.25">
      <c r="N1638" s="17" t="str">
        <f>IF(V1638=0,"",IFERROR(LOOKUP(2,1/(INDEX(Listado!A:A,2):INDEX(Listado!A:A,ROW())&lt;&gt;""),ROW(INDEX(Listado!A:A,2):INDEX(Listado!A:A,ROW()))),""))</f>
        <v/>
      </c>
      <c r="O1638" s="17" t="str">
        <f>IFERROR(IF(N1638="","",IF(INDEX(Listado!M:M,N1638)="No",IF(INDEX(Listado!N:N,N1638)=0,"",INDEX(Listado!N:N,N1638)),IF(INDEX(Listado!I:I,N1638)=0,"",INDEX(Listado!I:I,N1638)))),"")</f>
        <v/>
      </c>
      <c r="P1638" s="17">
        <f t="shared" ca="1" si="76"/>
        <v/>
      </c>
      <c r="Q1638" s="17">
        <f>IFERROR(IF(AND(N1638&lt;&gt;"",ISNUMBER(O1638),O1638&gt;0,O1638&gt;=TODAY()-90),1,0),0)</f>
        <v/>
      </c>
      <c r="R1638" s="17" t="str">
        <f t="shared" si="78"/>
        <v/>
      </c>
      <c r="S1638" s="17" t="str">
        <f>IF(INDEX(Listado!A:A,ROW())="","",INDEX(Listado!A:A,ROW()))</f>
        <v/>
      </c>
      <c r="T1638" s="17" t="str">
        <f ca="1">IF(INDEX(Listado!G:G,ROW())="","",INDEX(Listado!G:G,ROW()))</f>
        <v/>
      </c>
      <c r="U1638" s="17" t="str">
        <f>IF(INDEX(Listado!F:F,ROW())="","",INDEX(Listado!F:F,ROW()))</f>
        <v/>
      </c>
      <c r="V1638" s="17">
        <f>IF(COUNTA(INDEX(Listado!B:B,ROW()):INDEX(Listado!F:F,ROW()))&gt;0,1,0)</f>
        <v/>
      </c>
      <c r="W1638" s="17" t="str">
        <f>IF(INDEX(Listado!L:L,ROW())="","",INDEX(Listado!L:L,ROW()))</f>
        <v/>
      </c>
      <c r="X1638" s="17">
        <f>IF(N1638="","",IF(INDEX(Listado!$M:$M,N1638)="No","No","Sí"))</f>
        <v/>
      </c>
    </row>
    <row r="1639" spans="2:24" ht="14.25">
      <c r="N1639" s="17" t="str">
        <f>IF(V1639=0,"",IFERROR(LOOKUP(2,1/(INDEX(Listado!A:A,2):INDEX(Listado!A:A,ROW())&lt;&gt;""),ROW(INDEX(Listado!A:A,2):INDEX(Listado!A:A,ROW()))),""))</f>
        <v/>
      </c>
      <c r="O1639" s="17" t="str">
        <f>IFERROR(IF(N1639="","",IF(INDEX(Listado!M:M,N1639)="No",IF(INDEX(Listado!N:N,N1639)=0,"",INDEX(Listado!N:N,N1639)),IF(INDEX(Listado!I:I,N1639)=0,"",INDEX(Listado!I:I,N1639)))),"")</f>
        <v/>
      </c>
      <c r="P1639" s="17">
        <f t="shared" ca="1" si="76"/>
        <v/>
      </c>
      <c r="Q1639" s="17">
        <f>IFERROR(IF(AND(N1639&lt;&gt;"",ISNUMBER(O1639),O1639&gt;0,O1639&gt;=TODAY()-90),1,0),0)</f>
        <v/>
      </c>
      <c r="R1639" s="17" t="str">
        <f t="shared" si="78"/>
        <v/>
      </c>
      <c r="S1639" s="17" t="str">
        <f>IF(INDEX(Listado!A:A,ROW())="","",INDEX(Listado!A:A,ROW()))</f>
        <v/>
      </c>
      <c r="T1639" s="17" t="str">
        <f ca="1">IF(INDEX(Listado!G:G,ROW())="","",INDEX(Listado!G:G,ROW()))</f>
        <v/>
      </c>
      <c r="U1639" s="17" t="str">
        <f>IF(INDEX(Listado!F:F,ROW())="","",INDEX(Listado!F:F,ROW()))</f>
        <v/>
      </c>
      <c r="V1639" s="17">
        <f>IF(COUNTA(INDEX(Listado!B:B,ROW()):INDEX(Listado!F:F,ROW()))&gt;0,1,0)</f>
        <v/>
      </c>
      <c r="W1639" s="17" t="str">
        <f>IF(INDEX(Listado!L:L,ROW())="","",INDEX(Listado!L:L,ROW()))</f>
        <v/>
      </c>
      <c r="X1639" s="17">
        <f>IF(N1639="","",IF(INDEX(Listado!$M:$M,N1639)="No","No","Sí"))</f>
        <v/>
      </c>
    </row>
    <row r="1640" spans="2:24" ht="14.25">
      <c r="N1640" s="17" t="str">
        <f>IF(V1640=0,"",IFERROR(LOOKUP(2,1/(INDEX(Listado!A:A,2):INDEX(Listado!A:A,ROW())&lt;&gt;""),ROW(INDEX(Listado!A:A,2):INDEX(Listado!A:A,ROW()))),""))</f>
        <v/>
      </c>
      <c r="O1640" s="17" t="str">
        <f>IFERROR(IF(N1640="","",IF(INDEX(Listado!M:M,N1640)="No",IF(INDEX(Listado!N:N,N1640)=0,"",INDEX(Listado!N:N,N1640)),IF(INDEX(Listado!I:I,N1640)=0,"",INDEX(Listado!I:I,N1640)))),"")</f>
        <v/>
      </c>
      <c r="P1640" s="17">
        <f t="shared" ca="1" si="76"/>
        <v/>
      </c>
      <c r="Q1640" s="17">
        <f>IFERROR(IF(AND(N1640&lt;&gt;"",ISNUMBER(O1640),O1640&gt;0,O1640&gt;=TODAY()-90),1,0),0)</f>
        <v/>
      </c>
      <c r="R1640" s="17" t="str">
        <f t="shared" si="78"/>
        <v/>
      </c>
      <c r="S1640" s="17" t="str">
        <f>IF(INDEX(Listado!A:A,ROW())="","",INDEX(Listado!A:A,ROW()))</f>
        <v/>
      </c>
      <c r="T1640" s="17" t="str">
        <f ca="1">IF(INDEX(Listado!G:G,ROW())="","",INDEX(Listado!G:G,ROW()))</f>
        <v/>
      </c>
      <c r="U1640" s="17" t="str">
        <f>IF(INDEX(Listado!F:F,ROW())="","",INDEX(Listado!F:F,ROW()))</f>
        <v/>
      </c>
      <c r="V1640" s="17">
        <f>IF(COUNTA(INDEX(Listado!B:B,ROW()):INDEX(Listado!F:F,ROW()))&gt;0,1,0)</f>
        <v/>
      </c>
      <c r="W1640" s="17" t="str">
        <f>IF(INDEX(Listado!L:L,ROW())="","",INDEX(Listado!L:L,ROW()))</f>
        <v/>
      </c>
      <c r="X1640" s="17">
        <f>IF(N1640="","",IF(INDEX(Listado!$M:$M,N1640)="No","No","Sí"))</f>
        <v/>
      </c>
    </row>
    <row r="1641" spans="2:24" ht="14.25">
      <c r="N1641" s="17" t="str">
        <f>IF(V1641=0,"",IFERROR(LOOKUP(2,1/(INDEX(Listado!A:A,2):INDEX(Listado!A:A,ROW())&lt;&gt;""),ROW(INDEX(Listado!A:A,2):INDEX(Listado!A:A,ROW()))),""))</f>
        <v/>
      </c>
      <c r="O1641" s="17" t="str">
        <f>IFERROR(IF(N1641="","",IF(INDEX(Listado!M:M,N1641)="No",IF(INDEX(Listado!N:N,N1641)=0,"",INDEX(Listado!N:N,N1641)),IF(INDEX(Listado!I:I,N1641)=0,"",INDEX(Listado!I:I,N1641)))),"")</f>
        <v/>
      </c>
      <c r="P1641" s="17">
        <f t="shared" ca="1" si="76"/>
        <v/>
      </c>
      <c r="Q1641" s="17">
        <f>IFERROR(IF(AND(N1641&lt;&gt;"",ISNUMBER(O1641),O1641&gt;0,O1641&gt;=TODAY()-90),1,0),0)</f>
        <v/>
      </c>
      <c r="R1641" s="17" t="str">
        <f t="shared" si="78"/>
        <v/>
      </c>
      <c r="S1641" s="17" t="str">
        <f>IF(INDEX(Listado!A:A,ROW())="","",INDEX(Listado!A:A,ROW()))</f>
        <v/>
      </c>
      <c r="T1641" s="17" t="str">
        <f ca="1">IF(INDEX(Listado!G:G,ROW())="","",INDEX(Listado!G:G,ROW()))</f>
        <v/>
      </c>
      <c r="U1641" s="17" t="str">
        <f>IF(INDEX(Listado!F:F,ROW())="","",INDEX(Listado!F:F,ROW()))</f>
        <v/>
      </c>
      <c r="V1641" s="17">
        <f>IF(COUNTA(INDEX(Listado!B:B,ROW()):INDEX(Listado!F:F,ROW()))&gt;0,1,0)</f>
        <v/>
      </c>
      <c r="W1641" s="17" t="str">
        <f>IF(INDEX(Listado!L:L,ROW())="","",INDEX(Listado!L:L,ROW()))</f>
        <v/>
      </c>
      <c r="X1641" s="17">
        <f>IF(N1641="","",IF(INDEX(Listado!$M:$M,N1641)="No","No","Sí"))</f>
        <v/>
      </c>
    </row>
    <row r="1642" spans="2:24" ht="14.25">
      <c r="N1642" s="17" t="str">
        <f>IF(V1642=0,"",IFERROR(LOOKUP(2,1/(INDEX(Listado!A:A,2):INDEX(Listado!A:A,ROW())&lt;&gt;""),ROW(INDEX(Listado!A:A,2):INDEX(Listado!A:A,ROW()))),""))</f>
        <v/>
      </c>
      <c r="O1642" s="17" t="str">
        <f>IFERROR(IF(N1642="","",IF(INDEX(Listado!M:M,N1642)="No",IF(INDEX(Listado!N:N,N1642)=0,"",INDEX(Listado!N:N,N1642)),IF(INDEX(Listado!I:I,N1642)=0,"",INDEX(Listado!I:I,N1642)))),"")</f>
        <v/>
      </c>
      <c r="P1642" s="17">
        <f t="shared" ca="1" si="76"/>
        <v/>
      </c>
      <c r="Q1642" s="17">
        <f>IFERROR(IF(AND(N1642&lt;&gt;"",ISNUMBER(O1642),O1642&gt;0,O1642&gt;=TODAY()-90),1,0),0)</f>
        <v/>
      </c>
      <c r="R1642" s="17" t="str">
        <f t="shared" si="78"/>
        <v/>
      </c>
      <c r="S1642" s="17" t="str">
        <f>IF(INDEX(Listado!A:A,ROW())="","",INDEX(Listado!A:A,ROW()))</f>
        <v/>
      </c>
      <c r="T1642" s="17" t="str">
        <f ca="1">IF(INDEX(Listado!G:G,ROW())="","",INDEX(Listado!G:G,ROW()))</f>
        <v/>
      </c>
      <c r="U1642" s="17" t="str">
        <f>IF(INDEX(Listado!F:F,ROW())="","",INDEX(Listado!F:F,ROW()))</f>
        <v/>
      </c>
      <c r="V1642" s="17">
        <f>IF(COUNTA(INDEX(Listado!B:B,ROW()):INDEX(Listado!F:F,ROW()))&gt;0,1,0)</f>
        <v/>
      </c>
      <c r="W1642" s="17" t="str">
        <f>IF(INDEX(Listado!L:L,ROW())="","",INDEX(Listado!L:L,ROW()))</f>
        <v/>
      </c>
      <c r="X1642" s="17">
        <f>IF(N1642="","",IF(INDEX(Listado!$M:$M,N1642)="No","No","Sí"))</f>
        <v/>
      </c>
    </row>
    <row r="1643" spans="2:24" ht="14.25">
      <c r="N1643" s="17" t="str">
        <f>IF(V1643=0,"",IFERROR(LOOKUP(2,1/(INDEX(Listado!A:A,2):INDEX(Listado!A:A,ROW())&lt;&gt;""),ROW(INDEX(Listado!A:A,2):INDEX(Listado!A:A,ROW()))),""))</f>
        <v/>
      </c>
      <c r="O1643" s="17" t="str">
        <f>IFERROR(IF(N1643="","",IF(INDEX(Listado!M:M,N1643)="No",IF(INDEX(Listado!N:N,N1643)=0,"",INDEX(Listado!N:N,N1643)),IF(INDEX(Listado!I:I,N1643)=0,"",INDEX(Listado!I:I,N1643)))),"")</f>
        <v/>
      </c>
      <c r="P1643" s="17">
        <f t="shared" ca="1" si="76"/>
        <v/>
      </c>
      <c r="Q1643" s="17">
        <f>IFERROR(IF(AND(N1643&lt;&gt;"",ISNUMBER(O1643),O1643&gt;0,O1643&gt;=TODAY()-90),1,0),0)</f>
        <v/>
      </c>
      <c r="R1643" s="17" t="str">
        <f t="shared" si="78"/>
        <v/>
      </c>
      <c r="S1643" s="17" t="str">
        <f>IF(INDEX(Listado!A:A,ROW())="","",INDEX(Listado!A:A,ROW()))</f>
        <v/>
      </c>
      <c r="T1643" s="17" t="str">
        <f ca="1">IF(INDEX(Listado!G:G,ROW())="","",INDEX(Listado!G:G,ROW()))</f>
        <v/>
      </c>
      <c r="U1643" s="17" t="str">
        <f>IF(INDEX(Listado!F:F,ROW())="","",INDEX(Listado!F:F,ROW()))</f>
        <v/>
      </c>
      <c r="V1643" s="17">
        <f>IF(COUNTA(INDEX(Listado!B:B,ROW()):INDEX(Listado!F:F,ROW()))&gt;0,1,0)</f>
        <v/>
      </c>
      <c r="W1643" s="17" t="str">
        <f>IF(INDEX(Listado!L:L,ROW())="","",INDEX(Listado!L:L,ROW()))</f>
        <v/>
      </c>
      <c r="X1643" s="17">
        <f>IF(N1643="","",IF(INDEX(Listado!$M:$M,N1643)="No","No","Sí"))</f>
        <v/>
      </c>
    </row>
    <row r="1644" spans="2:24" ht="14.25">
      <c r="N1644" s="17" t="str">
        <f>IF(V1644=0,"",IFERROR(LOOKUP(2,1/(INDEX(Listado!A:A,2):INDEX(Listado!A:A,ROW())&lt;&gt;""),ROW(INDEX(Listado!A:A,2):INDEX(Listado!A:A,ROW()))),""))</f>
        <v/>
      </c>
      <c r="O1644" s="17" t="str">
        <f>IFERROR(IF(N1644="","",IF(INDEX(Listado!M:M,N1644)="No",IF(INDEX(Listado!N:N,N1644)=0,"",INDEX(Listado!N:N,N1644)),IF(INDEX(Listado!I:I,N1644)=0,"",INDEX(Listado!I:I,N1644)))),"")</f>
        <v/>
      </c>
      <c r="P1644" s="17">
        <f t="shared" ca="1" si="76"/>
        <v/>
      </c>
      <c r="Q1644" s="17">
        <f>IFERROR(IF(AND(N1644&lt;&gt;"",ISNUMBER(O1644),O1644&gt;0,O1644&gt;=TODAY()-90),1,0),0)</f>
        <v/>
      </c>
      <c r="R1644" s="17" t="str">
        <f t="shared" si="78"/>
        <v/>
      </c>
      <c r="S1644" s="17" t="str">
        <f>IF(INDEX(Listado!A:A,ROW())="","",INDEX(Listado!A:A,ROW()))</f>
        <v/>
      </c>
      <c r="T1644" s="17" t="str">
        <f ca="1">IF(INDEX(Listado!G:G,ROW())="","",INDEX(Listado!G:G,ROW()))</f>
        <v/>
      </c>
      <c r="U1644" s="17" t="str">
        <f>IF(INDEX(Listado!F:F,ROW())="","",INDEX(Listado!F:F,ROW()))</f>
        <v/>
      </c>
      <c r="V1644" s="17">
        <f>IF(COUNTA(INDEX(Listado!B:B,ROW()):INDEX(Listado!F:F,ROW()))&gt;0,1,0)</f>
        <v/>
      </c>
      <c r="W1644" s="17" t="str">
        <f>IF(INDEX(Listado!L:L,ROW())="","",INDEX(Listado!L:L,ROW()))</f>
        <v/>
      </c>
      <c r="X1644" s="17">
        <f>IF(N1644="","",IF(INDEX(Listado!$M:$M,N1644)="No","No","Sí"))</f>
        <v/>
      </c>
    </row>
    <row r="1645" spans="2:24" ht="14.25">
      <c r="N1645" s="17" t="str">
        <f>IF(V1645=0,"",IFERROR(LOOKUP(2,1/(INDEX(Listado!A:A,2):INDEX(Listado!A:A,ROW())&lt;&gt;""),ROW(INDEX(Listado!A:A,2):INDEX(Listado!A:A,ROW()))),""))</f>
        <v/>
      </c>
      <c r="O1645" s="17" t="str">
        <f>IFERROR(IF(N1645="","",IF(INDEX(Listado!M:M,N1645)="No",IF(INDEX(Listado!N:N,N1645)=0,"",INDEX(Listado!N:N,N1645)),IF(INDEX(Listado!I:I,N1645)=0,"",INDEX(Listado!I:I,N1645)))),"")</f>
        <v/>
      </c>
      <c r="P1645" s="17">
        <f t="shared" ca="1" si="76"/>
        <v/>
      </c>
      <c r="Q1645" s="17">
        <f>IFERROR(IF(AND(N1645&lt;&gt;"",ISNUMBER(O1645),O1645&gt;0,O1645&gt;=TODAY()-90),1,0),0)</f>
        <v/>
      </c>
      <c r="R1645" s="17" t="str">
        <f t="shared" si="78"/>
        <v/>
      </c>
      <c r="S1645" s="17" t="str">
        <f>IF(INDEX(Listado!A:A,ROW())="","",INDEX(Listado!A:A,ROW()))</f>
        <v/>
      </c>
      <c r="T1645" s="17" t="str">
        <f ca="1">IF(INDEX(Listado!G:G,ROW())="","",INDEX(Listado!G:G,ROW()))</f>
        <v/>
      </c>
      <c r="U1645" s="17" t="str">
        <f>IF(INDEX(Listado!F:F,ROW())="","",INDEX(Listado!F:F,ROW()))</f>
        <v/>
      </c>
      <c r="V1645" s="17">
        <f>IF(COUNTA(INDEX(Listado!B:B,ROW()):INDEX(Listado!F:F,ROW()))&gt;0,1,0)</f>
        <v/>
      </c>
      <c r="W1645" s="17" t="str">
        <f>IF(INDEX(Listado!L:L,ROW())="","",INDEX(Listado!L:L,ROW()))</f>
        <v/>
      </c>
      <c r="X1645" s="17">
        <f>IF(N1645="","",IF(INDEX(Listado!$M:$M,N1645)="No","No","Sí"))</f>
        <v/>
      </c>
    </row>
    <row r="1646" spans="2:24" ht="14.25">
      <c r="N1646" s="17" t="str">
        <f>IF(V1646=0,"",IFERROR(LOOKUP(2,1/(INDEX(Listado!A:A,2):INDEX(Listado!A:A,ROW())&lt;&gt;""),ROW(INDEX(Listado!A:A,2):INDEX(Listado!A:A,ROW()))),""))</f>
        <v/>
      </c>
      <c r="O1646" s="17" t="str">
        <f>IFERROR(IF(N1646="","",IF(INDEX(Listado!M:M,N1646)="No",IF(INDEX(Listado!N:N,N1646)=0,"",INDEX(Listado!N:N,N1646)),IF(INDEX(Listado!I:I,N1646)=0,"",INDEX(Listado!I:I,N1646)))),"")</f>
        <v/>
      </c>
      <c r="P1646" s="17">
        <f t="shared" ca="1" si="76"/>
        <v/>
      </c>
      <c r="Q1646" s="17">
        <f>IFERROR(IF(AND(N1646&lt;&gt;"",ISNUMBER(O1646),O1646&gt;0,O1646&gt;=TODAY()-90),1,0),0)</f>
        <v/>
      </c>
      <c r="R1646" s="17" t="str">
        <f t="shared" si="78"/>
        <v/>
      </c>
      <c r="S1646" s="17" t="str">
        <f>IF(INDEX(Listado!A:A,ROW())="","",INDEX(Listado!A:A,ROW()))</f>
        <v/>
      </c>
      <c r="T1646" s="17" t="str">
        <f ca="1">IF(INDEX(Listado!G:G,ROW())="","",INDEX(Listado!G:G,ROW()))</f>
        <v/>
      </c>
      <c r="U1646" s="17" t="str">
        <f>IF(INDEX(Listado!F:F,ROW())="","",INDEX(Listado!F:F,ROW()))</f>
        <v/>
      </c>
      <c r="V1646" s="17">
        <f>IF(COUNTA(INDEX(Listado!B:B,ROW()):INDEX(Listado!F:F,ROW()))&gt;0,1,0)</f>
        <v/>
      </c>
      <c r="W1646" s="17" t="str">
        <f>IF(INDEX(Listado!L:L,ROW())="","",INDEX(Listado!L:L,ROW()))</f>
        <v/>
      </c>
      <c r="X1646" s="17">
        <f>IF(N1646="","",IF(INDEX(Listado!$M:$M,N1646)="No","No","Sí"))</f>
        <v/>
      </c>
    </row>
    <row r="1647" spans="2:24" ht="14.25">
      <c r="N1647" s="17" t="str">
        <f>IF(V1647=0,"",IFERROR(LOOKUP(2,1/(INDEX(Listado!A:A,2):INDEX(Listado!A:A,ROW())&lt;&gt;""),ROW(INDEX(Listado!A:A,2):INDEX(Listado!A:A,ROW()))),""))</f>
        <v/>
      </c>
      <c r="O1647" s="17" t="str">
        <f>IFERROR(IF(N1647="","",IF(INDEX(Listado!M:M,N1647)="No",IF(INDEX(Listado!N:N,N1647)=0,"",INDEX(Listado!N:N,N1647)),IF(INDEX(Listado!I:I,N1647)=0,"",INDEX(Listado!I:I,N1647)))),"")</f>
        <v/>
      </c>
      <c r="P1647" s="17">
        <f t="shared" ca="1" si="76"/>
        <v/>
      </c>
      <c r="Q1647" s="17">
        <f>IFERROR(IF(AND(N1647&lt;&gt;"",ISNUMBER(O1647),O1647&gt;0,O1647&gt;=TODAY()-90),1,0),0)</f>
        <v/>
      </c>
      <c r="R1647" s="17" t="str">
        <f t="shared" si="78"/>
        <v/>
      </c>
      <c r="S1647" s="17" t="str">
        <f>IF(INDEX(Listado!A:A,ROW())="","",INDEX(Listado!A:A,ROW()))</f>
        <v/>
      </c>
      <c r="T1647" s="17" t="str">
        <f ca="1">IF(INDEX(Listado!G:G,ROW())="","",INDEX(Listado!G:G,ROW()))</f>
        <v/>
      </c>
      <c r="U1647" s="17" t="str">
        <f>IF(INDEX(Listado!F:F,ROW())="","",INDEX(Listado!F:F,ROW()))</f>
        <v/>
      </c>
      <c r="V1647" s="17">
        <f>IF(COUNTA(INDEX(Listado!B:B,ROW()):INDEX(Listado!F:F,ROW()))&gt;0,1,0)</f>
        <v/>
      </c>
      <c r="W1647" s="17" t="str">
        <f>IF(INDEX(Listado!L:L,ROW())="","",INDEX(Listado!L:L,ROW()))</f>
        <v/>
      </c>
      <c r="X1647" s="17">
        <f>IF(N1647="","",IF(INDEX(Listado!$M:$M,N1647)="No","No","Sí"))</f>
        <v/>
      </c>
    </row>
    <row r="1648" spans="2:24" ht="14.25">
      <c r="N1648" s="17" t="str">
        <f>IF(V1648=0,"",IFERROR(LOOKUP(2,1/(INDEX(Listado!A:A,2):INDEX(Listado!A:A,ROW())&lt;&gt;""),ROW(INDEX(Listado!A:A,2):INDEX(Listado!A:A,ROW()))),""))</f>
        <v/>
      </c>
      <c r="O1648" s="17" t="str">
        <f>IFERROR(IF(N1648="","",IF(INDEX(Listado!M:M,N1648)="No",IF(INDEX(Listado!N:N,N1648)=0,"",INDEX(Listado!N:N,N1648)),IF(INDEX(Listado!I:I,N1648)=0,"",INDEX(Listado!I:I,N1648)))),"")</f>
        <v/>
      </c>
      <c r="P1648" s="17">
        <f t="shared" ca="1" si="76"/>
        <v/>
      </c>
      <c r="Q1648" s="17">
        <f>IFERROR(IF(AND(N1648&lt;&gt;"",ISNUMBER(O1648),O1648&gt;0,O1648&gt;=TODAY()-90),1,0),0)</f>
        <v/>
      </c>
      <c r="R1648" s="17" t="str">
        <f t="shared" si="78"/>
        <v/>
      </c>
      <c r="S1648" s="17" t="str">
        <f>IF(INDEX(Listado!A:A,ROW())="","",INDEX(Listado!A:A,ROW()))</f>
        <v/>
      </c>
      <c r="T1648" s="17" t="str">
        <f ca="1">IF(INDEX(Listado!G:G,ROW())="","",INDEX(Listado!G:G,ROW()))</f>
        <v/>
      </c>
      <c r="U1648" s="17" t="str">
        <f>IF(INDEX(Listado!F:F,ROW())="","",INDEX(Listado!F:F,ROW()))</f>
        <v/>
      </c>
      <c r="V1648" s="17">
        <f>IF(COUNTA(INDEX(Listado!B:B,ROW()):INDEX(Listado!F:F,ROW()))&gt;0,1,0)</f>
        <v/>
      </c>
      <c r="W1648" s="17" t="str">
        <f>IF(INDEX(Listado!L:L,ROW())="","",INDEX(Listado!L:L,ROW()))</f>
        <v/>
      </c>
      <c r="X1648" s="17">
        <f>IF(N1648="","",IF(INDEX(Listado!$M:$M,N1648)="No","No","Sí"))</f>
        <v/>
      </c>
    </row>
    <row r="1649" spans="2:24" ht="14.25">
      <c r="N1649" s="17" t="str">
        <f>IF(V1649=0,"",IFERROR(LOOKUP(2,1/(INDEX(Listado!A:A,2):INDEX(Listado!A:A,ROW())&lt;&gt;""),ROW(INDEX(Listado!A:A,2):INDEX(Listado!A:A,ROW()))),""))</f>
        <v/>
      </c>
      <c r="O1649" s="17" t="str">
        <f>IFERROR(IF(N1649="","",IF(INDEX(Listado!M:M,N1649)="No",IF(INDEX(Listado!N:N,N1649)=0,"",INDEX(Listado!N:N,N1649)),IF(INDEX(Listado!I:I,N1649)=0,"",INDEX(Listado!I:I,N1649)))),"")</f>
        <v/>
      </c>
      <c r="P1649" s="17">
        <f t="shared" ca="1" si="76"/>
        <v/>
      </c>
      <c r="Q1649" s="17">
        <f>IFERROR(IF(AND(N1649&lt;&gt;"",ISNUMBER(O1649),O1649&gt;0,O1649&gt;=TODAY()-90),1,0),0)</f>
        <v/>
      </c>
      <c r="R1649" s="17" t="str">
        <f t="shared" si="78"/>
        <v/>
      </c>
      <c r="S1649" s="17" t="str">
        <f>IF(INDEX(Listado!A:A,ROW())="","",INDEX(Listado!A:A,ROW()))</f>
        <v/>
      </c>
      <c r="T1649" s="17" t="str">
        <f ca="1">IF(INDEX(Listado!G:G,ROW())="","",INDEX(Listado!G:G,ROW()))</f>
        <v/>
      </c>
      <c r="U1649" s="17" t="str">
        <f>IF(INDEX(Listado!F:F,ROW())="","",INDEX(Listado!F:F,ROW()))</f>
        <v/>
      </c>
      <c r="V1649" s="17">
        <f>IF(COUNTA(INDEX(Listado!B:B,ROW()):INDEX(Listado!F:F,ROW()))&gt;0,1,0)</f>
        <v/>
      </c>
      <c r="W1649" s="17" t="str">
        <f>IF(INDEX(Listado!L:L,ROW())="","",INDEX(Listado!L:L,ROW()))</f>
        <v/>
      </c>
      <c r="X1649" s="17">
        <f>IF(N1649="","",IF(INDEX(Listado!$M:$M,N1649)="No","No","Sí"))</f>
        <v/>
      </c>
    </row>
    <row r="1650" spans="2:24" ht="14.25">
      <c r="N1650" s="17" t="str">
        <f>IF(V1650=0,"",IFERROR(LOOKUP(2,1/(INDEX(Listado!A:A,2):INDEX(Listado!A:A,ROW())&lt;&gt;""),ROW(INDEX(Listado!A:A,2):INDEX(Listado!A:A,ROW()))),""))</f>
        <v/>
      </c>
      <c r="O1650" s="17" t="str">
        <f>IFERROR(IF(N1650="","",IF(INDEX(Listado!M:M,N1650)="No",IF(INDEX(Listado!N:N,N1650)=0,"",INDEX(Listado!N:N,N1650)),IF(INDEX(Listado!I:I,N1650)=0,"",INDEX(Listado!I:I,N1650)))),"")</f>
        <v/>
      </c>
      <c r="P1650" s="17">
        <f t="shared" ca="1" si="76"/>
        <v/>
      </c>
      <c r="Q1650" s="17">
        <f>IFERROR(IF(AND(N1650&lt;&gt;"",ISNUMBER(O1650),O1650&gt;0,O1650&gt;=TODAY()-90),1,0),0)</f>
        <v/>
      </c>
      <c r="R1650" s="17" t="str">
        <f t="shared" si="78"/>
        <v/>
      </c>
      <c r="S1650" s="17" t="str">
        <f>IF(INDEX(Listado!A:A,ROW())="","",INDEX(Listado!A:A,ROW()))</f>
        <v/>
      </c>
      <c r="T1650" s="17" t="str">
        <f ca="1">IF(INDEX(Listado!G:G,ROW())="","",INDEX(Listado!G:G,ROW()))</f>
        <v/>
      </c>
      <c r="U1650" s="17" t="str">
        <f>IF(INDEX(Listado!F:F,ROW())="","",INDEX(Listado!F:F,ROW()))</f>
        <v/>
      </c>
      <c r="V1650" s="17">
        <f>IF(COUNTA(INDEX(Listado!B:B,ROW()):INDEX(Listado!F:F,ROW()))&gt;0,1,0)</f>
        <v/>
      </c>
      <c r="W1650" s="17" t="str">
        <f>IF(INDEX(Listado!L:L,ROW())="","",INDEX(Listado!L:L,ROW()))</f>
        <v/>
      </c>
      <c r="X1650" s="17">
        <f>IF(N1650="","",IF(INDEX(Listado!$M:$M,N1650)="No","No","Sí"))</f>
        <v/>
      </c>
    </row>
    <row r="1651" spans="2:24" ht="14.25">
      <c r="N1651" s="17" t="str">
        <f>IF(V1651=0,"",IFERROR(LOOKUP(2,1/(INDEX(Listado!A:A,2):INDEX(Listado!A:A,ROW())&lt;&gt;""),ROW(INDEX(Listado!A:A,2):INDEX(Listado!A:A,ROW()))),""))</f>
        <v/>
      </c>
      <c r="O1651" s="17" t="str">
        <f>IFERROR(IF(N1651="","",IF(INDEX(Listado!M:M,N1651)="No",IF(INDEX(Listado!N:N,N1651)=0,"",INDEX(Listado!N:N,N1651)),IF(INDEX(Listado!I:I,N1651)=0,"",INDEX(Listado!I:I,N1651)))),"")</f>
        <v/>
      </c>
      <c r="P1651" s="17">
        <f t="shared" ca="1" si="76"/>
        <v/>
      </c>
      <c r="Q1651" s="17">
        <f>IFERROR(IF(AND(N1651&lt;&gt;"",ISNUMBER(O1651),O1651&gt;0,O1651&gt;=TODAY()-90),1,0),0)</f>
        <v/>
      </c>
      <c r="R1651" s="17" t="str">
        <f t="shared" si="78"/>
        <v/>
      </c>
      <c r="S1651" s="17" t="str">
        <f>IF(INDEX(Listado!A:A,ROW())="","",INDEX(Listado!A:A,ROW()))</f>
        <v/>
      </c>
      <c r="T1651" s="17" t="str">
        <f ca="1">IF(INDEX(Listado!G:G,ROW())="","",INDEX(Listado!G:G,ROW()))</f>
        <v/>
      </c>
      <c r="U1651" s="17" t="str">
        <f>IF(INDEX(Listado!F:F,ROW())="","",INDEX(Listado!F:F,ROW()))</f>
        <v/>
      </c>
      <c r="V1651" s="17">
        <f>IF(COUNTA(INDEX(Listado!B:B,ROW()):INDEX(Listado!F:F,ROW()))&gt;0,1,0)</f>
        <v/>
      </c>
      <c r="W1651" s="17" t="str">
        <f>IF(INDEX(Listado!L:L,ROW())="","",INDEX(Listado!L:L,ROW()))</f>
        <v/>
      </c>
      <c r="X1651" s="17">
        <f>IF(N1651="","",IF(INDEX(Listado!$M:$M,N1651)="No","No","Sí"))</f>
        <v/>
      </c>
    </row>
    <row r="1652" spans="2:24" ht="14.25">
      <c r="N1652" s="17" t="str">
        <f>IF(V1652=0,"",IFERROR(LOOKUP(2,1/(INDEX(Listado!A:A,2):INDEX(Listado!A:A,ROW())&lt;&gt;""),ROW(INDEX(Listado!A:A,2):INDEX(Listado!A:A,ROW()))),""))</f>
        <v/>
      </c>
      <c r="O1652" s="17" t="str">
        <f>IFERROR(IF(N1652="","",IF(INDEX(Listado!M:M,N1652)="No",IF(INDEX(Listado!N:N,N1652)=0,"",INDEX(Listado!N:N,N1652)),IF(INDEX(Listado!I:I,N1652)=0,"",INDEX(Listado!I:I,N1652)))),"")</f>
        <v/>
      </c>
      <c r="P1652" s="17">
        <f t="shared" ca="1" si="76"/>
        <v/>
      </c>
      <c r="Q1652" s="17">
        <f>IFERROR(IF(AND(N1652&lt;&gt;"",ISNUMBER(O1652),O1652&gt;0,O1652&gt;=TODAY()-90),1,0),0)</f>
        <v/>
      </c>
      <c r="R1652" s="17" t="str">
        <f t="shared" si="78"/>
        <v/>
      </c>
      <c r="S1652" s="17" t="str">
        <f>IF(INDEX(Listado!A:A,ROW())="","",INDEX(Listado!A:A,ROW()))</f>
        <v/>
      </c>
      <c r="T1652" s="17" t="str">
        <f ca="1">IF(INDEX(Listado!G:G,ROW())="","",INDEX(Listado!G:G,ROW()))</f>
        <v/>
      </c>
      <c r="U1652" s="17" t="str">
        <f>IF(INDEX(Listado!F:F,ROW())="","",INDEX(Listado!F:F,ROW()))</f>
        <v/>
      </c>
      <c r="V1652" s="17">
        <f>IF(COUNTA(INDEX(Listado!B:B,ROW()):INDEX(Listado!F:F,ROW()))&gt;0,1,0)</f>
        <v/>
      </c>
      <c r="W1652" s="17" t="str">
        <f>IF(INDEX(Listado!L:L,ROW())="","",INDEX(Listado!L:L,ROW()))</f>
        <v/>
      </c>
      <c r="X1652" s="17">
        <f>IF(N1652="","",IF(INDEX(Listado!$M:$M,N1652)="No","No","Sí"))</f>
        <v/>
      </c>
    </row>
    <row r="1653" spans="2:24" ht="14.25">
      <c r="N1653" s="17" t="str">
        <f>IF(V1653=0,"",IFERROR(LOOKUP(2,1/(INDEX(Listado!A:A,2):INDEX(Listado!A:A,ROW())&lt;&gt;""),ROW(INDEX(Listado!A:A,2):INDEX(Listado!A:A,ROW()))),""))</f>
        <v/>
      </c>
      <c r="O1653" s="17" t="str">
        <f>IFERROR(IF(N1653="","",IF(INDEX(Listado!M:M,N1653)="No",IF(INDEX(Listado!N:N,N1653)=0,"",INDEX(Listado!N:N,N1653)),IF(INDEX(Listado!I:I,N1653)=0,"",INDEX(Listado!I:I,N1653)))),"")</f>
        <v/>
      </c>
      <c r="P1653" s="17">
        <f t="shared" ca="1" si="76"/>
        <v/>
      </c>
      <c r="Q1653" s="17">
        <f>IFERROR(IF(AND(N1653&lt;&gt;"",ISNUMBER(O1653),O1653&gt;0,O1653&gt;=TODAY()-90),1,0),0)</f>
        <v/>
      </c>
      <c r="R1653" s="17" t="str">
        <f t="shared" si="78"/>
        <v/>
      </c>
      <c r="S1653" s="17" t="str">
        <f>IF(INDEX(Listado!A:A,ROW())="","",INDEX(Listado!A:A,ROW()))</f>
        <v/>
      </c>
      <c r="T1653" s="17" t="str">
        <f ca="1">IF(INDEX(Listado!G:G,ROW())="","",INDEX(Listado!G:G,ROW()))</f>
        <v/>
      </c>
      <c r="U1653" s="17" t="str">
        <f>IF(INDEX(Listado!F:F,ROW())="","",INDEX(Listado!F:F,ROW()))</f>
        <v/>
      </c>
      <c r="V1653" s="17">
        <f>IF(COUNTA(INDEX(Listado!B:B,ROW()):INDEX(Listado!F:F,ROW()))&gt;0,1,0)</f>
        <v/>
      </c>
      <c r="W1653" s="17" t="str">
        <f>IF(INDEX(Listado!L:L,ROW())="","",INDEX(Listado!L:L,ROW()))</f>
        <v/>
      </c>
      <c r="X1653" s="17">
        <f>IF(N1653="","",IF(INDEX(Listado!$M:$M,N1653)="No","No","Sí"))</f>
        <v/>
      </c>
    </row>
    <row r="1654" spans="2:24" ht="14.25">
      <c r="N1654" s="17" t="str">
        <f>IF(V1654=0,"",IFERROR(LOOKUP(2,1/(INDEX(Listado!A:A,2):INDEX(Listado!A:A,ROW())&lt;&gt;""),ROW(INDEX(Listado!A:A,2):INDEX(Listado!A:A,ROW()))),""))</f>
        <v/>
      </c>
      <c r="O1654" s="17" t="str">
        <f>IFERROR(IF(N1654="","",IF(INDEX(Listado!M:M,N1654)="No",IF(INDEX(Listado!N:N,N1654)=0,"",INDEX(Listado!N:N,N1654)),IF(INDEX(Listado!I:I,N1654)=0,"",INDEX(Listado!I:I,N1654)))),"")</f>
        <v/>
      </c>
      <c r="P1654" s="17">
        <f t="shared" ca="1" si="76"/>
        <v/>
      </c>
      <c r="Q1654" s="17">
        <f>IFERROR(IF(AND(N1654&lt;&gt;"",ISNUMBER(O1654),O1654&gt;0,O1654&gt;=TODAY()-90),1,0),0)</f>
        <v/>
      </c>
      <c r="R1654" s="17" t="str">
        <f t="shared" si="78"/>
        <v/>
      </c>
      <c r="S1654" s="17" t="str">
        <f>IF(INDEX(Listado!A:A,ROW())="","",INDEX(Listado!A:A,ROW()))</f>
        <v/>
      </c>
      <c r="T1654" s="17" t="str">
        <f ca="1">IF(INDEX(Listado!G:G,ROW())="","",INDEX(Listado!G:G,ROW()))</f>
        <v/>
      </c>
      <c r="U1654" s="17" t="str">
        <f>IF(INDEX(Listado!F:F,ROW())="","",INDEX(Listado!F:F,ROW()))</f>
        <v/>
      </c>
      <c r="V1654" s="17">
        <f>IF(COUNTA(INDEX(Listado!B:B,ROW()):INDEX(Listado!F:F,ROW()))&gt;0,1,0)</f>
        <v/>
      </c>
      <c r="W1654" s="17" t="str">
        <f>IF(INDEX(Listado!L:L,ROW())="","",INDEX(Listado!L:L,ROW()))</f>
        <v/>
      </c>
      <c r="X1654" s="17">
        <f>IF(N1654="","",IF(INDEX(Listado!$M:$M,N1654)="No","No","Sí"))</f>
        <v/>
      </c>
    </row>
    <row r="1655" spans="2:24" ht="14.25">
      <c r="N1655" s="17" t="str">
        <f>IF(V1655=0,"",IFERROR(LOOKUP(2,1/(INDEX(Listado!A:A,2):INDEX(Listado!A:A,ROW())&lt;&gt;""),ROW(INDEX(Listado!A:A,2):INDEX(Listado!A:A,ROW()))),""))</f>
        <v/>
      </c>
      <c r="O1655" s="17" t="str">
        <f>IFERROR(IF(N1655="","",IF(INDEX(Listado!M:M,N1655)="No",IF(INDEX(Listado!N:N,N1655)=0,"",INDEX(Listado!N:N,N1655)),IF(INDEX(Listado!I:I,N1655)=0,"",INDEX(Listado!I:I,N1655)))),"")</f>
        <v/>
      </c>
      <c r="P1655" s="17">
        <f t="shared" ca="1" si="76"/>
        <v/>
      </c>
      <c r="Q1655" s="17">
        <f>IFERROR(IF(AND(N1655&lt;&gt;"",ISNUMBER(O1655),O1655&gt;0,O1655&gt;=TODAY()-90),1,0),0)</f>
        <v/>
      </c>
      <c r="R1655" s="17" t="str">
        <f t="shared" si="78"/>
        <v/>
      </c>
      <c r="S1655" s="17" t="str">
        <f>IF(INDEX(Listado!A:A,ROW())="","",INDEX(Listado!A:A,ROW()))</f>
        <v/>
      </c>
      <c r="T1655" s="17" t="str">
        <f ca="1">IF(INDEX(Listado!G:G,ROW())="","",INDEX(Listado!G:G,ROW()))</f>
        <v/>
      </c>
      <c r="U1655" s="17" t="str">
        <f>IF(INDEX(Listado!F:F,ROW())="","",INDEX(Listado!F:F,ROW()))</f>
        <v/>
      </c>
      <c r="V1655" s="17">
        <f>IF(COUNTA(INDEX(Listado!B:B,ROW()):INDEX(Listado!F:F,ROW()))&gt;0,1,0)</f>
        <v/>
      </c>
      <c r="W1655" s="17" t="str">
        <f>IF(INDEX(Listado!L:L,ROW())="","",INDEX(Listado!L:L,ROW()))</f>
        <v/>
      </c>
      <c r="X1655" s="17">
        <f>IF(N1655="","",IF(INDEX(Listado!$M:$M,N1655)="No","No","Sí"))</f>
        <v/>
      </c>
    </row>
    <row r="1656" spans="2:24" ht="14.25">
      <c r="N1656" s="17" t="str">
        <f>IF(V1656=0,"",IFERROR(LOOKUP(2,1/(INDEX(Listado!A:A,2):INDEX(Listado!A:A,ROW())&lt;&gt;""),ROW(INDEX(Listado!A:A,2):INDEX(Listado!A:A,ROW()))),""))</f>
        <v/>
      </c>
      <c r="O1656" s="17" t="str">
        <f>IFERROR(IF(N1656="","",IF(INDEX(Listado!M:M,N1656)="No",IF(INDEX(Listado!N:N,N1656)=0,"",INDEX(Listado!N:N,N1656)),IF(INDEX(Listado!I:I,N1656)=0,"",INDEX(Listado!I:I,N1656)))),"")</f>
        <v/>
      </c>
      <c r="P1656" s="17">
        <f t="shared" ca="1" si="76"/>
        <v/>
      </c>
      <c r="Q1656" s="17">
        <f>IFERROR(IF(AND(N1656&lt;&gt;"",ISNUMBER(O1656),O1656&gt;0,O1656&gt;=TODAY()-90),1,0),0)</f>
        <v/>
      </c>
      <c r="R1656" s="17" t="str">
        <f t="shared" si="78"/>
        <v/>
      </c>
      <c r="S1656" s="17" t="str">
        <f>IF(INDEX(Listado!A:A,ROW())="","",INDEX(Listado!A:A,ROW()))</f>
        <v/>
      </c>
      <c r="T1656" s="17" t="str">
        <f ca="1">IF(INDEX(Listado!G:G,ROW())="","",INDEX(Listado!G:G,ROW()))</f>
        <v/>
      </c>
      <c r="U1656" s="17" t="str">
        <f>IF(INDEX(Listado!F:F,ROW())="","",INDEX(Listado!F:F,ROW()))</f>
        <v/>
      </c>
      <c r="V1656" s="17">
        <f>IF(COUNTA(INDEX(Listado!B:B,ROW()):INDEX(Listado!F:F,ROW()))&gt;0,1,0)</f>
        <v/>
      </c>
      <c r="W1656" s="17" t="str">
        <f>IF(INDEX(Listado!L:L,ROW())="","",INDEX(Listado!L:L,ROW()))</f>
        <v/>
      </c>
      <c r="X1656" s="17">
        <f>IF(N1656="","",IF(INDEX(Listado!$M:$M,N1656)="No","No","Sí"))</f>
        <v/>
      </c>
    </row>
    <row r="1657" spans="2:24" ht="14.25">
      <c r="N1657" s="17" t="str">
        <f>IF(V1657=0,"",IFERROR(LOOKUP(2,1/(INDEX(Listado!A:A,2):INDEX(Listado!A:A,ROW())&lt;&gt;""),ROW(INDEX(Listado!A:A,2):INDEX(Listado!A:A,ROW()))),""))</f>
        <v/>
      </c>
      <c r="O1657" s="17" t="str">
        <f>IFERROR(IF(N1657="","",IF(INDEX(Listado!M:M,N1657)="No",IF(INDEX(Listado!N:N,N1657)=0,"",INDEX(Listado!N:N,N1657)),IF(INDEX(Listado!I:I,N1657)=0,"",INDEX(Listado!I:I,N1657)))),"")</f>
        <v/>
      </c>
      <c r="P1657" s="17">
        <f t="shared" ca="1" si="76"/>
        <v/>
      </c>
      <c r="Q1657" s="17">
        <f>IFERROR(IF(AND(N1657&lt;&gt;"",ISNUMBER(O1657),O1657&gt;0,O1657&gt;=TODAY()-90),1,0),0)</f>
        <v/>
      </c>
      <c r="R1657" s="17" t="str">
        <f t="shared" si="78"/>
        <v/>
      </c>
      <c r="S1657" s="17" t="str">
        <f>IF(INDEX(Listado!A:A,ROW())="","",INDEX(Listado!A:A,ROW()))</f>
        <v/>
      </c>
      <c r="T1657" s="17" t="str">
        <f ca="1">IF(INDEX(Listado!G:G,ROW())="","",INDEX(Listado!G:G,ROW()))</f>
        <v/>
      </c>
      <c r="U1657" s="17" t="str">
        <f>IF(INDEX(Listado!F:F,ROW())="","",INDEX(Listado!F:F,ROW()))</f>
        <v/>
      </c>
      <c r="V1657" s="17">
        <f>IF(COUNTA(INDEX(Listado!B:B,ROW()):INDEX(Listado!F:F,ROW()))&gt;0,1,0)</f>
        <v/>
      </c>
      <c r="W1657" s="17" t="str">
        <f>IF(INDEX(Listado!L:L,ROW())="","",INDEX(Listado!L:L,ROW()))</f>
        <v/>
      </c>
      <c r="X1657" s="17">
        <f>IF(N1657="","",IF(INDEX(Listado!$M:$M,N1657)="No","No","Sí"))</f>
        <v/>
      </c>
    </row>
    <row r="1658" spans="2:24" ht="14.25">
      <c r="N1658" s="17" t="str">
        <f>IF(V1658=0,"",IFERROR(LOOKUP(2,1/(INDEX(Listado!A:A,2):INDEX(Listado!A:A,ROW())&lt;&gt;""),ROW(INDEX(Listado!A:A,2):INDEX(Listado!A:A,ROW()))),""))</f>
        <v/>
      </c>
      <c r="O1658" s="17" t="str">
        <f>IFERROR(IF(N1658="","",IF(INDEX(Listado!M:M,N1658)="No",IF(INDEX(Listado!N:N,N1658)=0,"",INDEX(Listado!N:N,N1658)),IF(INDEX(Listado!I:I,N1658)=0,"",INDEX(Listado!I:I,N1658)))),"")</f>
        <v/>
      </c>
      <c r="P1658" s="17">
        <f t="shared" ca="1" si="76"/>
        <v/>
      </c>
      <c r="Q1658" s="17">
        <f>IFERROR(IF(AND(N1658&lt;&gt;"",ISNUMBER(O1658),O1658&gt;0,O1658&gt;=TODAY()-90),1,0),0)</f>
        <v/>
      </c>
      <c r="R1658" s="17" t="str">
        <f t="shared" si="78"/>
        <v/>
      </c>
      <c r="S1658" s="17" t="str">
        <f>IF(INDEX(Listado!A:A,ROW())="","",INDEX(Listado!A:A,ROW()))</f>
        <v/>
      </c>
      <c r="T1658" s="17" t="str">
        <f ca="1">IF(INDEX(Listado!G:G,ROW())="","",INDEX(Listado!G:G,ROW()))</f>
        <v/>
      </c>
      <c r="U1658" s="17" t="str">
        <f>IF(INDEX(Listado!F:F,ROW())="","",INDEX(Listado!F:F,ROW()))</f>
        <v/>
      </c>
      <c r="V1658" s="17">
        <f>IF(COUNTA(INDEX(Listado!B:B,ROW()):INDEX(Listado!F:F,ROW()))&gt;0,1,0)</f>
        <v/>
      </c>
      <c r="W1658" s="17" t="str">
        <f>IF(INDEX(Listado!L:L,ROW())="","",INDEX(Listado!L:L,ROW()))</f>
        <v/>
      </c>
      <c r="X1658" s="17">
        <f>IF(N1658="","",IF(INDEX(Listado!$M:$M,N1658)="No","No","Sí"))</f>
        <v/>
      </c>
    </row>
    <row r="1659" spans="2:24" ht="14.25">
      <c r="N1659" s="17" t="str">
        <f>IF(V1659=0,"",IFERROR(LOOKUP(2,1/(INDEX(Listado!A:A,2):INDEX(Listado!A:A,ROW())&lt;&gt;""),ROW(INDEX(Listado!A:A,2):INDEX(Listado!A:A,ROW()))),""))</f>
        <v/>
      </c>
      <c r="O1659" s="17" t="str">
        <f>IFERROR(IF(N1659="","",IF(INDEX(Listado!M:M,N1659)="No",IF(INDEX(Listado!N:N,N1659)=0,"",INDEX(Listado!N:N,N1659)),IF(INDEX(Listado!I:I,N1659)=0,"",INDEX(Listado!I:I,N1659)))),"")</f>
        <v/>
      </c>
      <c r="P1659" s="17">
        <f t="shared" ca="1" si="76"/>
        <v/>
      </c>
      <c r="Q1659" s="17">
        <f>IFERROR(IF(AND(N1659&lt;&gt;"",ISNUMBER(O1659),O1659&gt;0,O1659&gt;=TODAY()-90),1,0),0)</f>
        <v/>
      </c>
      <c r="R1659" s="17" t="str">
        <f t="shared" si="78"/>
        <v/>
      </c>
      <c r="S1659" s="17" t="str">
        <f>IF(INDEX(Listado!A:A,ROW())="","",INDEX(Listado!A:A,ROW()))</f>
        <v/>
      </c>
      <c r="T1659" s="17" t="str">
        <f ca="1">IF(INDEX(Listado!G:G,ROW())="","",INDEX(Listado!G:G,ROW()))</f>
        <v/>
      </c>
      <c r="U1659" s="17" t="str">
        <f>IF(INDEX(Listado!F:F,ROW())="","",INDEX(Listado!F:F,ROW()))</f>
        <v/>
      </c>
      <c r="V1659" s="17">
        <f>IF(COUNTA(INDEX(Listado!B:B,ROW()):INDEX(Listado!F:F,ROW()))&gt;0,1,0)</f>
        <v/>
      </c>
      <c r="W1659" s="17" t="str">
        <f>IF(INDEX(Listado!L:L,ROW())="","",INDEX(Listado!L:L,ROW()))</f>
        <v/>
      </c>
      <c r="X1659" s="17">
        <f>IF(N1659="","",IF(INDEX(Listado!$M:$M,N1659)="No","No","Sí"))</f>
        <v/>
      </c>
    </row>
    <row r="1660" spans="2:24" ht="14.25">
      <c r="N1660" s="17" t="str">
        <f>IF(V1660=0,"",IFERROR(LOOKUP(2,1/(INDEX(Listado!A:A,2):INDEX(Listado!A:A,ROW())&lt;&gt;""),ROW(INDEX(Listado!A:A,2):INDEX(Listado!A:A,ROW()))),""))</f>
        <v/>
      </c>
      <c r="O1660" s="17" t="str">
        <f>IFERROR(IF(N1660="","",IF(INDEX(Listado!M:M,N1660)="No",IF(INDEX(Listado!N:N,N1660)=0,"",INDEX(Listado!N:N,N1660)),IF(INDEX(Listado!I:I,N1660)=0,"",INDEX(Listado!I:I,N1660)))),"")</f>
        <v/>
      </c>
      <c r="P1660" s="17">
        <f t="shared" ca="1" si="76"/>
        <v/>
      </c>
      <c r="Q1660" s="17">
        <f>IFERROR(IF(AND(N1660&lt;&gt;"",ISNUMBER(O1660),O1660&gt;0,O1660&gt;=TODAY()-90),1,0),0)</f>
        <v/>
      </c>
      <c r="R1660" s="17" t="str">
        <f t="shared" si="78"/>
        <v/>
      </c>
      <c r="S1660" s="17" t="str">
        <f>IF(INDEX(Listado!A:A,ROW())="","",INDEX(Listado!A:A,ROW()))</f>
        <v/>
      </c>
      <c r="T1660" s="17" t="str">
        <f ca="1">IF(INDEX(Listado!G:G,ROW())="","",INDEX(Listado!G:G,ROW()))</f>
        <v/>
      </c>
      <c r="U1660" s="17" t="str">
        <f>IF(INDEX(Listado!F:F,ROW())="","",INDEX(Listado!F:F,ROW()))</f>
        <v/>
      </c>
      <c r="V1660" s="17">
        <f>IF(COUNTA(INDEX(Listado!B:B,ROW()):INDEX(Listado!F:F,ROW()))&gt;0,1,0)</f>
        <v/>
      </c>
      <c r="W1660" s="17" t="str">
        <f>IF(INDEX(Listado!L:L,ROW())="","",INDEX(Listado!L:L,ROW()))</f>
        <v/>
      </c>
      <c r="X1660" s="17">
        <f>IF(N1660="","",IF(INDEX(Listado!$M:$M,N1660)="No","No","Sí"))</f>
        <v/>
      </c>
    </row>
    <row r="1661" spans="2:24" ht="14.25">
      <c r="N1661" s="17" t="str">
        <f>IF(V1661=0,"",IFERROR(LOOKUP(2,1/(INDEX(Listado!A:A,2):INDEX(Listado!A:A,ROW())&lt;&gt;""),ROW(INDEX(Listado!A:A,2):INDEX(Listado!A:A,ROW()))),""))</f>
        <v/>
      </c>
      <c r="O1661" s="17" t="str">
        <f>IFERROR(IF(N1661="","",IF(INDEX(Listado!M:M,N1661)="No",IF(INDEX(Listado!N:N,N1661)=0,"",INDEX(Listado!N:N,N1661)),IF(INDEX(Listado!I:I,N1661)=0,"",INDEX(Listado!I:I,N1661)))),"")</f>
        <v/>
      </c>
      <c r="P1661" s="17">
        <f t="shared" ca="1" si="76"/>
        <v/>
      </c>
      <c r="Q1661" s="17">
        <f>IFERROR(IF(AND(N1661&lt;&gt;"",ISNUMBER(O1661),O1661&gt;0,O1661&gt;=TODAY()-90),1,0),0)</f>
        <v/>
      </c>
      <c r="R1661" s="17" t="str">
        <f t="shared" si="78"/>
        <v/>
      </c>
      <c r="S1661" s="17" t="str">
        <f>IF(INDEX(Listado!A:A,ROW())="","",INDEX(Listado!A:A,ROW()))</f>
        <v/>
      </c>
      <c r="T1661" s="17" t="str">
        <f ca="1">IF(INDEX(Listado!G:G,ROW())="","",INDEX(Listado!G:G,ROW()))</f>
        <v/>
      </c>
      <c r="U1661" s="17" t="str">
        <f>IF(INDEX(Listado!F:F,ROW())="","",INDEX(Listado!F:F,ROW()))</f>
        <v/>
      </c>
      <c r="V1661" s="17">
        <f>IF(COUNTA(INDEX(Listado!B:B,ROW()):INDEX(Listado!F:F,ROW()))&gt;0,1,0)</f>
        <v/>
      </c>
      <c r="W1661" s="17" t="str">
        <f>IF(INDEX(Listado!L:L,ROW())="","",INDEX(Listado!L:L,ROW()))</f>
        <v/>
      </c>
      <c r="X1661" s="17">
        <f>IF(N1661="","",IF(INDEX(Listado!$M:$M,N1661)="No","No","Sí"))</f>
        <v/>
      </c>
    </row>
    <row r="1662" spans="2:24" ht="14.25">
      <c r="N1662" s="17" t="str">
        <f>IF(V1662=0,"",IFERROR(LOOKUP(2,1/(INDEX(Listado!A:A,2):INDEX(Listado!A:A,ROW())&lt;&gt;""),ROW(INDEX(Listado!A:A,2):INDEX(Listado!A:A,ROW()))),""))</f>
        <v/>
      </c>
      <c r="O1662" s="17" t="str">
        <f>IFERROR(IF(N1662="","",IF(INDEX(Listado!M:M,N1662)="No",IF(INDEX(Listado!N:N,N1662)=0,"",INDEX(Listado!N:N,N1662)),IF(INDEX(Listado!I:I,N1662)=0,"",INDEX(Listado!I:I,N1662)))),"")</f>
        <v/>
      </c>
      <c r="P1662" s="17">
        <f t="shared" ca="1" si="76"/>
        <v/>
      </c>
      <c r="Q1662" s="17">
        <f>IFERROR(IF(AND(N1662&lt;&gt;"",ISNUMBER(O1662),O1662&gt;0,O1662&gt;=TODAY()-90),1,0),0)</f>
        <v/>
      </c>
      <c r="R1662" s="17" t="str">
        <f t="shared" si="78"/>
        <v/>
      </c>
      <c r="S1662" s="17" t="str">
        <f>IF(INDEX(Listado!A:A,ROW())="","",INDEX(Listado!A:A,ROW()))</f>
        <v/>
      </c>
      <c r="T1662" s="17" t="str">
        <f ca="1">IF(INDEX(Listado!G:G,ROW())="","",INDEX(Listado!G:G,ROW()))</f>
        <v/>
      </c>
      <c r="U1662" s="17" t="str">
        <f>IF(INDEX(Listado!F:F,ROW())="","",INDEX(Listado!F:F,ROW()))</f>
        <v/>
      </c>
      <c r="V1662" s="17">
        <f>IF(COUNTA(INDEX(Listado!B:B,ROW()):INDEX(Listado!F:F,ROW()))&gt;0,1,0)</f>
        <v/>
      </c>
      <c r="W1662" s="17" t="str">
        <f>IF(INDEX(Listado!L:L,ROW())="","",INDEX(Listado!L:L,ROW()))</f>
        <v/>
      </c>
      <c r="X1662" s="17">
        <f>IF(N1662="","",IF(INDEX(Listado!$M:$M,N1662)="No","No","Sí"))</f>
        <v/>
      </c>
    </row>
    <row r="1663" spans="2:24" ht="14.25">
      <c r="N1663" s="17" t="str">
        <f>IF(V1663=0,"",IFERROR(LOOKUP(2,1/(INDEX(Listado!A:A,2):INDEX(Listado!A:A,ROW())&lt;&gt;""),ROW(INDEX(Listado!A:A,2):INDEX(Listado!A:A,ROW()))),""))</f>
        <v/>
      </c>
      <c r="O1663" s="17" t="str">
        <f>IFERROR(IF(N1663="","",IF(INDEX(Listado!M:M,N1663)="No",IF(INDEX(Listado!N:N,N1663)=0,"",INDEX(Listado!N:N,N1663)),IF(INDEX(Listado!I:I,N1663)=0,"",INDEX(Listado!I:I,N1663)))),"")</f>
        <v/>
      </c>
      <c r="P1663" s="17">
        <f t="shared" ca="1" si="76"/>
        <v/>
      </c>
      <c r="Q1663" s="17">
        <f>IFERROR(IF(AND(N1663&lt;&gt;"",ISNUMBER(O1663),O1663&gt;0,O1663&gt;=TODAY()-90),1,0),0)</f>
        <v/>
      </c>
      <c r="R1663" s="17" t="str">
        <f t="shared" si="78"/>
        <v/>
      </c>
      <c r="S1663" s="17" t="str">
        <f>IF(INDEX(Listado!A:A,ROW())="","",INDEX(Listado!A:A,ROW()))</f>
        <v/>
      </c>
      <c r="T1663" s="17" t="str">
        <f ca="1">IF(INDEX(Listado!G:G,ROW())="","",INDEX(Listado!G:G,ROW()))</f>
        <v/>
      </c>
      <c r="U1663" s="17" t="str">
        <f>IF(INDEX(Listado!F:F,ROW())="","",INDEX(Listado!F:F,ROW()))</f>
        <v/>
      </c>
      <c r="V1663" s="17">
        <f>IF(COUNTA(INDEX(Listado!B:B,ROW()):INDEX(Listado!F:F,ROW()))&gt;0,1,0)</f>
        <v/>
      </c>
      <c r="W1663" s="17" t="str">
        <f>IF(INDEX(Listado!L:L,ROW())="","",INDEX(Listado!L:L,ROW()))</f>
        <v/>
      </c>
      <c r="X1663" s="17">
        <f>IF(N1663="","",IF(INDEX(Listado!$M:$M,N1663)="No","No","Sí"))</f>
        <v/>
      </c>
    </row>
    <row r="1664" spans="2:24" ht="14.25">
      <c r="N1664" s="17" t="str">
        <f>IF(V1664=0,"",IFERROR(LOOKUP(2,1/(INDEX(Listado!A:A,2):INDEX(Listado!A:A,ROW())&lt;&gt;""),ROW(INDEX(Listado!A:A,2):INDEX(Listado!A:A,ROW()))),""))</f>
        <v/>
      </c>
      <c r="O1664" s="17" t="str">
        <f>IFERROR(IF(N1664="","",IF(INDEX(Listado!M:M,N1664)="No",IF(INDEX(Listado!N:N,N1664)=0,"",INDEX(Listado!N:N,N1664)),IF(INDEX(Listado!I:I,N1664)=0,"",INDEX(Listado!I:I,N1664)))),"")</f>
        <v/>
      </c>
      <c r="P1664" s="17">
        <f t="shared" ca="1" si="76"/>
        <v/>
      </c>
      <c r="Q1664" s="17">
        <f>IFERROR(IF(AND(N1664&lt;&gt;"",ISNUMBER(O1664),O1664&gt;0,O1664&gt;=TODAY()-90),1,0),0)</f>
        <v/>
      </c>
      <c r="R1664" s="17" t="str">
        <f t="shared" si="78"/>
        <v/>
      </c>
      <c r="S1664" s="17" t="str">
        <f>IF(INDEX(Listado!A:A,ROW())="","",INDEX(Listado!A:A,ROW()))</f>
        <v/>
      </c>
      <c r="T1664" s="17" t="str">
        <f ca="1">IF(INDEX(Listado!G:G,ROW())="","",INDEX(Listado!G:G,ROW()))</f>
        <v/>
      </c>
      <c r="U1664" s="17" t="str">
        <f>IF(INDEX(Listado!F:F,ROW())="","",INDEX(Listado!F:F,ROW()))</f>
        <v/>
      </c>
      <c r="V1664" s="17">
        <f>IF(COUNTA(INDEX(Listado!B:B,ROW()):INDEX(Listado!F:F,ROW()))&gt;0,1,0)</f>
        <v/>
      </c>
      <c r="W1664" s="17" t="str">
        <f>IF(INDEX(Listado!L:L,ROW())="","",INDEX(Listado!L:L,ROW()))</f>
        <v/>
      </c>
      <c r="X1664" s="17">
        <f>IF(N1664="","",IF(INDEX(Listado!$M:$M,N1664)="No","No","Sí"))</f>
        <v/>
      </c>
    </row>
    <row r="1665" spans="2:24" ht="14.25">
      <c r="N1665" s="17" t="str">
        <f>IF(V1665=0,"",IFERROR(LOOKUP(2,1/(INDEX(Listado!A:A,2):INDEX(Listado!A:A,ROW())&lt;&gt;""),ROW(INDEX(Listado!A:A,2):INDEX(Listado!A:A,ROW()))),""))</f>
        <v/>
      </c>
      <c r="O1665" s="17" t="str">
        <f>IFERROR(IF(N1665="","",IF(INDEX(Listado!M:M,N1665)="No",IF(INDEX(Listado!N:N,N1665)=0,"",INDEX(Listado!N:N,N1665)),IF(INDEX(Listado!I:I,N1665)=0,"",INDEX(Listado!I:I,N1665)))),"")</f>
        <v/>
      </c>
      <c r="P1665" s="17">
        <f t="shared" ca="1" si="76"/>
        <v/>
      </c>
      <c r="Q1665" s="17">
        <f>IFERROR(IF(AND(N1665&lt;&gt;"",ISNUMBER(O1665),O1665&gt;0,O1665&gt;=TODAY()-90),1,0),0)</f>
        <v/>
      </c>
      <c r="R1665" s="17" t="str">
        <f t="shared" si="78"/>
        <v/>
      </c>
      <c r="S1665" s="17" t="str">
        <f>IF(INDEX(Listado!A:A,ROW())="","",INDEX(Listado!A:A,ROW()))</f>
        <v/>
      </c>
      <c r="T1665" s="17" t="str">
        <f ca="1">IF(INDEX(Listado!G:G,ROW())="","",INDEX(Listado!G:G,ROW()))</f>
        <v/>
      </c>
      <c r="U1665" s="17" t="str">
        <f>IF(INDEX(Listado!F:F,ROW())="","",INDEX(Listado!F:F,ROW()))</f>
        <v/>
      </c>
      <c r="V1665" s="17">
        <f>IF(COUNTA(INDEX(Listado!B:B,ROW()):INDEX(Listado!F:F,ROW()))&gt;0,1,0)</f>
        <v/>
      </c>
      <c r="W1665" s="17" t="str">
        <f>IF(INDEX(Listado!L:L,ROW())="","",INDEX(Listado!L:L,ROW()))</f>
        <v/>
      </c>
      <c r="X1665" s="17">
        <f>IF(N1665="","",IF(INDEX(Listado!$M:$M,N1665)="No","No","Sí"))</f>
        <v/>
      </c>
    </row>
    <row r="1666" spans="2:24" ht="14.25">
      <c r="N1666" s="17" t="str">
        <f>IF(V1666=0,"",IFERROR(LOOKUP(2,1/(INDEX(Listado!A:A,2):INDEX(Listado!A:A,ROW())&lt;&gt;""),ROW(INDEX(Listado!A:A,2):INDEX(Listado!A:A,ROW()))),""))</f>
        <v/>
      </c>
      <c r="O1666" s="17" t="str">
        <f>IFERROR(IF(N1666="","",IF(INDEX(Listado!M:M,N1666)="No",IF(INDEX(Listado!N:N,N1666)=0,"",INDEX(Listado!N:N,N1666)),IF(INDEX(Listado!I:I,N1666)=0,"",INDEX(Listado!I:I,N1666)))),"")</f>
        <v/>
      </c>
      <c r="P1666" s="17">
        <f t="shared" ref="P1666:P1729" ca="1" si="79">IF(W1666="",0,IFERROR(IF(AND(ISNUMBER(W1666),W1666=INT(W1666),ISNUMBER(O1666),O1666&gt;0,W1666&gt;=TODAY(),W1666&lt;=O1666+90),0,1),1))</f>
        <v/>
      </c>
      <c r="Q1666" s="17">
        <f>IFERROR(IF(AND(N1666&lt;&gt;"",ISNUMBER(O1666),O1666&gt;0,O1666&gt;=TODAY()-90),1,0),0)</f>
        <v/>
      </c>
      <c r="R1666" s="17" t="str">
        <f t="shared" ref="R1666:R1729" si="81">IF(S1666="","",COUNTIFS($N$2:$N$2999,ROW(),$Q$2:$Q$2999,1))</f>
        <v/>
      </c>
      <c r="S1666" s="17" t="str">
        <f>IF(INDEX(Listado!A:A,ROW())="","",INDEX(Listado!A:A,ROW()))</f>
        <v/>
      </c>
      <c r="T1666" s="17" t="str">
        <f ca="1">IF(INDEX(Listado!G:G,ROW())="","",INDEX(Listado!G:G,ROW()))</f>
        <v/>
      </c>
      <c r="U1666" s="17" t="str">
        <f>IF(INDEX(Listado!F:F,ROW())="","",INDEX(Listado!F:F,ROW()))</f>
        <v/>
      </c>
      <c r="V1666" s="17">
        <f>IF(COUNTA(INDEX(Listado!B:B,ROW()):INDEX(Listado!F:F,ROW()))&gt;0,1,0)</f>
        <v/>
      </c>
      <c r="W1666" s="17" t="str">
        <f>IF(INDEX(Listado!L:L,ROW())="","",INDEX(Listado!L:L,ROW()))</f>
        <v/>
      </c>
      <c r="X1666" s="17">
        <f>IF(N1666="","",IF(INDEX(Listado!$M:$M,N1666)="No","No","Sí"))</f>
        <v/>
      </c>
    </row>
    <row r="1667" spans="2:24" ht="14.25">
      <c r="N1667" s="17" t="str">
        <f>IF(V1667=0,"",IFERROR(LOOKUP(2,1/(INDEX(Listado!A:A,2):INDEX(Listado!A:A,ROW())&lt;&gt;""),ROW(INDEX(Listado!A:A,2):INDEX(Listado!A:A,ROW()))),""))</f>
        <v/>
      </c>
      <c r="O1667" s="17" t="str">
        <f>IFERROR(IF(N1667="","",IF(INDEX(Listado!M:M,N1667)="No",IF(INDEX(Listado!N:N,N1667)=0,"",INDEX(Listado!N:N,N1667)),IF(INDEX(Listado!I:I,N1667)=0,"",INDEX(Listado!I:I,N1667)))),"")</f>
        <v/>
      </c>
      <c r="P1667" s="17">
        <f t="shared" ca="1" si="79"/>
        <v/>
      </c>
      <c r="Q1667" s="17">
        <f>IFERROR(IF(AND(N1667&lt;&gt;"",ISNUMBER(O1667),O1667&gt;0,O1667&gt;=TODAY()-90),1,0),0)</f>
        <v/>
      </c>
      <c r="R1667" s="17" t="str">
        <f t="shared" si="81"/>
        <v/>
      </c>
      <c r="S1667" s="17" t="str">
        <f>IF(INDEX(Listado!A:A,ROW())="","",INDEX(Listado!A:A,ROW()))</f>
        <v/>
      </c>
      <c r="T1667" s="17" t="str">
        <f ca="1">IF(INDEX(Listado!G:G,ROW())="","",INDEX(Listado!G:G,ROW()))</f>
        <v/>
      </c>
      <c r="U1667" s="17" t="str">
        <f>IF(INDEX(Listado!F:F,ROW())="","",INDEX(Listado!F:F,ROW()))</f>
        <v/>
      </c>
      <c r="V1667" s="17">
        <f>IF(COUNTA(INDEX(Listado!B:B,ROW()):INDEX(Listado!F:F,ROW()))&gt;0,1,0)</f>
        <v/>
      </c>
      <c r="W1667" s="17" t="str">
        <f>IF(INDEX(Listado!L:L,ROW())="","",INDEX(Listado!L:L,ROW()))</f>
        <v/>
      </c>
      <c r="X1667" s="17">
        <f>IF(N1667="","",IF(INDEX(Listado!$M:$M,N1667)="No","No","Sí"))</f>
        <v/>
      </c>
    </row>
    <row r="1668" spans="2:24" ht="14.25">
      <c r="N1668" s="17" t="str">
        <f>IF(V1668=0,"",IFERROR(LOOKUP(2,1/(INDEX(Listado!A:A,2):INDEX(Listado!A:A,ROW())&lt;&gt;""),ROW(INDEX(Listado!A:A,2):INDEX(Listado!A:A,ROW()))),""))</f>
        <v/>
      </c>
      <c r="O1668" s="17" t="str">
        <f>IFERROR(IF(N1668="","",IF(INDEX(Listado!M:M,N1668)="No",IF(INDEX(Listado!N:N,N1668)=0,"",INDEX(Listado!N:N,N1668)),IF(INDEX(Listado!I:I,N1668)=0,"",INDEX(Listado!I:I,N1668)))),"")</f>
        <v/>
      </c>
      <c r="P1668" s="17">
        <f t="shared" ca="1" si="79"/>
        <v/>
      </c>
      <c r="Q1668" s="17">
        <f>IFERROR(IF(AND(N1668&lt;&gt;"",ISNUMBER(O1668),O1668&gt;0,O1668&gt;=TODAY()-90),1,0),0)</f>
        <v/>
      </c>
      <c r="R1668" s="17" t="str">
        <f t="shared" si="81"/>
        <v/>
      </c>
      <c r="S1668" s="17" t="str">
        <f>IF(INDEX(Listado!A:A,ROW())="","",INDEX(Listado!A:A,ROW()))</f>
        <v/>
      </c>
      <c r="T1668" s="17" t="str">
        <f ca="1">IF(INDEX(Listado!G:G,ROW())="","",INDEX(Listado!G:G,ROW()))</f>
        <v/>
      </c>
      <c r="U1668" s="17" t="str">
        <f>IF(INDEX(Listado!F:F,ROW())="","",INDEX(Listado!F:F,ROW()))</f>
        <v/>
      </c>
      <c r="V1668" s="17">
        <f>IF(COUNTA(INDEX(Listado!B:B,ROW()):INDEX(Listado!F:F,ROW()))&gt;0,1,0)</f>
        <v/>
      </c>
      <c r="W1668" s="17" t="str">
        <f>IF(INDEX(Listado!L:L,ROW())="","",INDEX(Listado!L:L,ROW()))</f>
        <v/>
      </c>
      <c r="X1668" s="17">
        <f>IF(N1668="","",IF(INDEX(Listado!$M:$M,N1668)="No","No","Sí"))</f>
        <v/>
      </c>
    </row>
    <row r="1669" spans="2:24" ht="14.25">
      <c r="N1669" s="17" t="str">
        <f>IF(V1669=0,"",IFERROR(LOOKUP(2,1/(INDEX(Listado!A:A,2):INDEX(Listado!A:A,ROW())&lt;&gt;""),ROW(INDEX(Listado!A:A,2):INDEX(Listado!A:A,ROW()))),""))</f>
        <v/>
      </c>
      <c r="O1669" s="17" t="str">
        <f>IFERROR(IF(N1669="","",IF(INDEX(Listado!M:M,N1669)="No",IF(INDEX(Listado!N:N,N1669)=0,"",INDEX(Listado!N:N,N1669)),IF(INDEX(Listado!I:I,N1669)=0,"",INDEX(Listado!I:I,N1669)))),"")</f>
        <v/>
      </c>
      <c r="P1669" s="17">
        <f t="shared" ca="1" si="79"/>
        <v/>
      </c>
      <c r="Q1669" s="17">
        <f>IFERROR(IF(AND(N1669&lt;&gt;"",ISNUMBER(O1669),O1669&gt;0,O1669&gt;=TODAY()-90),1,0),0)</f>
        <v/>
      </c>
      <c r="R1669" s="17" t="str">
        <f t="shared" si="81"/>
        <v/>
      </c>
      <c r="S1669" s="17" t="str">
        <f>IF(INDEX(Listado!A:A,ROW())="","",INDEX(Listado!A:A,ROW()))</f>
        <v/>
      </c>
      <c r="T1669" s="17" t="str">
        <f ca="1">IF(INDEX(Listado!G:G,ROW())="","",INDEX(Listado!G:G,ROW()))</f>
        <v/>
      </c>
      <c r="U1669" s="17" t="str">
        <f>IF(INDEX(Listado!F:F,ROW())="","",INDEX(Listado!F:F,ROW()))</f>
        <v/>
      </c>
      <c r="V1669" s="17">
        <f>IF(COUNTA(INDEX(Listado!B:B,ROW()):INDEX(Listado!F:F,ROW()))&gt;0,1,0)</f>
        <v/>
      </c>
      <c r="W1669" s="17" t="str">
        <f>IF(INDEX(Listado!L:L,ROW())="","",INDEX(Listado!L:L,ROW()))</f>
        <v/>
      </c>
      <c r="X1669" s="17">
        <f>IF(N1669="","",IF(INDEX(Listado!$M:$M,N1669)="No","No","Sí"))</f>
        <v/>
      </c>
    </row>
    <row r="1670" spans="2:24" ht="14.25">
      <c r="N1670" s="17" t="str">
        <f>IF(V1670=0,"",IFERROR(LOOKUP(2,1/(INDEX(Listado!A:A,2):INDEX(Listado!A:A,ROW())&lt;&gt;""),ROW(INDEX(Listado!A:A,2):INDEX(Listado!A:A,ROW()))),""))</f>
        <v/>
      </c>
      <c r="O1670" s="17" t="str">
        <f>IFERROR(IF(N1670="","",IF(INDEX(Listado!M:M,N1670)="No",IF(INDEX(Listado!N:N,N1670)=0,"",INDEX(Listado!N:N,N1670)),IF(INDEX(Listado!I:I,N1670)=0,"",INDEX(Listado!I:I,N1670)))),"")</f>
        <v/>
      </c>
      <c r="P1670" s="17">
        <f t="shared" ca="1" si="79"/>
        <v/>
      </c>
      <c r="Q1670" s="17">
        <f>IFERROR(IF(AND(N1670&lt;&gt;"",ISNUMBER(O1670),O1670&gt;0,O1670&gt;=TODAY()-90),1,0),0)</f>
        <v/>
      </c>
      <c r="R1670" s="17" t="str">
        <f t="shared" si="81"/>
        <v/>
      </c>
      <c r="S1670" s="17" t="str">
        <f>IF(INDEX(Listado!A:A,ROW())="","",INDEX(Listado!A:A,ROW()))</f>
        <v/>
      </c>
      <c r="T1670" s="17" t="str">
        <f ca="1">IF(INDEX(Listado!G:G,ROW())="","",INDEX(Listado!G:G,ROW()))</f>
        <v/>
      </c>
      <c r="U1670" s="17" t="str">
        <f>IF(INDEX(Listado!F:F,ROW())="","",INDEX(Listado!F:F,ROW()))</f>
        <v/>
      </c>
      <c r="V1670" s="17">
        <f>IF(COUNTA(INDEX(Listado!B:B,ROW()):INDEX(Listado!F:F,ROW()))&gt;0,1,0)</f>
        <v/>
      </c>
      <c r="W1670" s="17" t="str">
        <f>IF(INDEX(Listado!L:L,ROW())="","",INDEX(Listado!L:L,ROW()))</f>
        <v/>
      </c>
      <c r="X1670" s="17">
        <f>IF(N1670="","",IF(INDEX(Listado!$M:$M,N1670)="No","No","Sí"))</f>
        <v/>
      </c>
    </row>
    <row r="1671" spans="2:24" ht="14.25">
      <c r="N1671" s="17" t="str">
        <f>IF(V1671=0,"",IFERROR(LOOKUP(2,1/(INDEX(Listado!A:A,2):INDEX(Listado!A:A,ROW())&lt;&gt;""),ROW(INDEX(Listado!A:A,2):INDEX(Listado!A:A,ROW()))),""))</f>
        <v/>
      </c>
      <c r="O1671" s="17" t="str">
        <f>IFERROR(IF(N1671="","",IF(INDEX(Listado!M:M,N1671)="No",IF(INDEX(Listado!N:N,N1671)=0,"",INDEX(Listado!N:N,N1671)),IF(INDEX(Listado!I:I,N1671)=0,"",INDEX(Listado!I:I,N1671)))),"")</f>
        <v/>
      </c>
      <c r="P1671" s="17">
        <f t="shared" ca="1" si="79"/>
        <v/>
      </c>
      <c r="Q1671" s="17">
        <f>IFERROR(IF(AND(N1671&lt;&gt;"",ISNUMBER(O1671),O1671&gt;0,O1671&gt;=TODAY()-90),1,0),0)</f>
        <v/>
      </c>
      <c r="R1671" s="17" t="str">
        <f t="shared" si="81"/>
        <v/>
      </c>
      <c r="S1671" s="17" t="str">
        <f>IF(INDEX(Listado!A:A,ROW())="","",INDEX(Listado!A:A,ROW()))</f>
        <v/>
      </c>
      <c r="T1671" s="17" t="str">
        <f ca="1">IF(INDEX(Listado!G:G,ROW())="","",INDEX(Listado!G:G,ROW()))</f>
        <v/>
      </c>
      <c r="U1671" s="17" t="str">
        <f>IF(INDEX(Listado!F:F,ROW())="","",INDEX(Listado!F:F,ROW()))</f>
        <v/>
      </c>
      <c r="V1671" s="17">
        <f>IF(COUNTA(INDEX(Listado!B:B,ROW()):INDEX(Listado!F:F,ROW()))&gt;0,1,0)</f>
        <v/>
      </c>
      <c r="W1671" s="17" t="str">
        <f>IF(INDEX(Listado!L:L,ROW())="","",INDEX(Listado!L:L,ROW()))</f>
        <v/>
      </c>
      <c r="X1671" s="17">
        <f>IF(N1671="","",IF(INDEX(Listado!$M:$M,N1671)="No","No","Sí"))</f>
        <v/>
      </c>
    </row>
    <row r="1672" spans="2:24" ht="14.25">
      <c r="N1672" s="17" t="str">
        <f>IF(V1672=0,"",IFERROR(LOOKUP(2,1/(INDEX(Listado!A:A,2):INDEX(Listado!A:A,ROW())&lt;&gt;""),ROW(INDEX(Listado!A:A,2):INDEX(Listado!A:A,ROW()))),""))</f>
        <v/>
      </c>
      <c r="O1672" s="17" t="str">
        <f>IFERROR(IF(N1672="","",IF(INDEX(Listado!M:M,N1672)="No",IF(INDEX(Listado!N:N,N1672)=0,"",INDEX(Listado!N:N,N1672)),IF(INDEX(Listado!I:I,N1672)=0,"",INDEX(Listado!I:I,N1672)))),"")</f>
        <v/>
      </c>
      <c r="P1672" s="17">
        <f t="shared" ca="1" si="79"/>
        <v/>
      </c>
      <c r="Q1672" s="17">
        <f>IFERROR(IF(AND(N1672&lt;&gt;"",ISNUMBER(O1672),O1672&gt;0,O1672&gt;=TODAY()-90),1,0),0)</f>
        <v/>
      </c>
      <c r="R1672" s="17" t="str">
        <f t="shared" si="81"/>
        <v/>
      </c>
      <c r="S1672" s="17" t="str">
        <f>IF(INDEX(Listado!A:A,ROW())="","",INDEX(Listado!A:A,ROW()))</f>
        <v/>
      </c>
      <c r="T1672" s="17" t="str">
        <f ca="1">IF(INDEX(Listado!G:G,ROW())="","",INDEX(Listado!G:G,ROW()))</f>
        <v/>
      </c>
      <c r="U1672" s="17" t="str">
        <f>IF(INDEX(Listado!F:F,ROW())="","",INDEX(Listado!F:F,ROW()))</f>
        <v/>
      </c>
      <c r="V1672" s="17">
        <f>IF(COUNTA(INDEX(Listado!B:B,ROW()):INDEX(Listado!F:F,ROW()))&gt;0,1,0)</f>
        <v/>
      </c>
      <c r="W1672" s="17" t="str">
        <f>IF(INDEX(Listado!L:L,ROW())="","",INDEX(Listado!L:L,ROW()))</f>
        <v/>
      </c>
      <c r="X1672" s="17">
        <f>IF(N1672="","",IF(INDEX(Listado!$M:$M,N1672)="No","No","Sí"))</f>
        <v/>
      </c>
    </row>
    <row r="1673" spans="2:24" ht="14.25">
      <c r="N1673" s="17" t="str">
        <f>IF(V1673=0,"",IFERROR(LOOKUP(2,1/(INDEX(Listado!A:A,2):INDEX(Listado!A:A,ROW())&lt;&gt;""),ROW(INDEX(Listado!A:A,2):INDEX(Listado!A:A,ROW()))),""))</f>
        <v/>
      </c>
      <c r="O1673" s="17" t="str">
        <f>IFERROR(IF(N1673="","",IF(INDEX(Listado!M:M,N1673)="No",IF(INDEX(Listado!N:N,N1673)=0,"",INDEX(Listado!N:N,N1673)),IF(INDEX(Listado!I:I,N1673)=0,"",INDEX(Listado!I:I,N1673)))),"")</f>
        <v/>
      </c>
      <c r="P1673" s="17">
        <f t="shared" ca="1" si="79"/>
        <v/>
      </c>
      <c r="Q1673" s="17">
        <f>IFERROR(IF(AND(N1673&lt;&gt;"",ISNUMBER(O1673),O1673&gt;0,O1673&gt;=TODAY()-90),1,0),0)</f>
        <v/>
      </c>
      <c r="R1673" s="17" t="str">
        <f t="shared" si="81"/>
        <v/>
      </c>
      <c r="S1673" s="17" t="str">
        <f>IF(INDEX(Listado!A:A,ROW())="","",INDEX(Listado!A:A,ROW()))</f>
        <v/>
      </c>
      <c r="T1673" s="17" t="str">
        <f ca="1">IF(INDEX(Listado!G:G,ROW())="","",INDEX(Listado!G:G,ROW()))</f>
        <v/>
      </c>
      <c r="U1673" s="17" t="str">
        <f>IF(INDEX(Listado!F:F,ROW())="","",INDEX(Listado!F:F,ROW()))</f>
        <v/>
      </c>
      <c r="V1673" s="17">
        <f>IF(COUNTA(INDEX(Listado!B:B,ROW()):INDEX(Listado!F:F,ROW()))&gt;0,1,0)</f>
        <v/>
      </c>
      <c r="W1673" s="17" t="str">
        <f>IF(INDEX(Listado!L:L,ROW())="","",INDEX(Listado!L:L,ROW()))</f>
        <v/>
      </c>
      <c r="X1673" s="17">
        <f>IF(N1673="","",IF(INDEX(Listado!$M:$M,N1673)="No","No","Sí"))</f>
        <v/>
      </c>
    </row>
    <row r="1674" spans="2:24" ht="14.25">
      <c r="N1674" s="17" t="str">
        <f>IF(V1674=0,"",IFERROR(LOOKUP(2,1/(INDEX(Listado!A:A,2):INDEX(Listado!A:A,ROW())&lt;&gt;""),ROW(INDEX(Listado!A:A,2):INDEX(Listado!A:A,ROW()))),""))</f>
        <v/>
      </c>
      <c r="O1674" s="17" t="str">
        <f>IFERROR(IF(N1674="","",IF(INDEX(Listado!M:M,N1674)="No",IF(INDEX(Listado!N:N,N1674)=0,"",INDEX(Listado!N:N,N1674)),IF(INDEX(Listado!I:I,N1674)=0,"",INDEX(Listado!I:I,N1674)))),"")</f>
        <v/>
      </c>
      <c r="P1674" s="17">
        <f t="shared" ca="1" si="79"/>
        <v/>
      </c>
      <c r="Q1674" s="17">
        <f>IFERROR(IF(AND(N1674&lt;&gt;"",ISNUMBER(O1674),O1674&gt;0,O1674&gt;=TODAY()-90),1,0),0)</f>
        <v/>
      </c>
      <c r="R1674" s="17" t="str">
        <f t="shared" si="81"/>
        <v/>
      </c>
      <c r="S1674" s="17" t="str">
        <f>IF(INDEX(Listado!A:A,ROW())="","",INDEX(Listado!A:A,ROW()))</f>
        <v/>
      </c>
      <c r="T1674" s="17" t="str">
        <f ca="1">IF(INDEX(Listado!G:G,ROW())="","",INDEX(Listado!G:G,ROW()))</f>
        <v/>
      </c>
      <c r="U1674" s="17" t="str">
        <f>IF(INDEX(Listado!F:F,ROW())="","",INDEX(Listado!F:F,ROW()))</f>
        <v/>
      </c>
      <c r="V1674" s="17">
        <f>IF(COUNTA(INDEX(Listado!B:B,ROW()):INDEX(Listado!F:F,ROW()))&gt;0,1,0)</f>
        <v/>
      </c>
      <c r="W1674" s="17" t="str">
        <f>IF(INDEX(Listado!L:L,ROW())="","",INDEX(Listado!L:L,ROW()))</f>
        <v/>
      </c>
      <c r="X1674" s="17">
        <f>IF(N1674="","",IF(INDEX(Listado!$M:$M,N1674)="No","No","Sí"))</f>
        <v/>
      </c>
    </row>
    <row r="1675" spans="2:24" ht="14.25">
      <c r="N1675" s="17" t="str">
        <f>IF(V1675=0,"",IFERROR(LOOKUP(2,1/(INDEX(Listado!A:A,2):INDEX(Listado!A:A,ROW())&lt;&gt;""),ROW(INDEX(Listado!A:A,2):INDEX(Listado!A:A,ROW()))),""))</f>
        <v/>
      </c>
      <c r="O1675" s="17" t="str">
        <f>IFERROR(IF(N1675="","",IF(INDEX(Listado!M:M,N1675)="No",IF(INDEX(Listado!N:N,N1675)=0,"",INDEX(Listado!N:N,N1675)),IF(INDEX(Listado!I:I,N1675)=0,"",INDEX(Listado!I:I,N1675)))),"")</f>
        <v/>
      </c>
      <c r="P1675" s="17">
        <f t="shared" ca="1" si="79"/>
        <v/>
      </c>
      <c r="Q1675" s="17">
        <f>IFERROR(IF(AND(N1675&lt;&gt;"",ISNUMBER(O1675),O1675&gt;0,O1675&gt;=TODAY()-90),1,0),0)</f>
        <v/>
      </c>
      <c r="R1675" s="17" t="str">
        <f t="shared" si="81"/>
        <v/>
      </c>
      <c r="S1675" s="17" t="str">
        <f>IF(INDEX(Listado!A:A,ROW())="","",INDEX(Listado!A:A,ROW()))</f>
        <v/>
      </c>
      <c r="T1675" s="17" t="str">
        <f ca="1">IF(INDEX(Listado!G:G,ROW())="","",INDEX(Listado!G:G,ROW()))</f>
        <v/>
      </c>
      <c r="U1675" s="17" t="str">
        <f>IF(INDEX(Listado!F:F,ROW())="","",INDEX(Listado!F:F,ROW()))</f>
        <v/>
      </c>
      <c r="V1675" s="17">
        <f>IF(COUNTA(INDEX(Listado!B:B,ROW()):INDEX(Listado!F:F,ROW()))&gt;0,1,0)</f>
        <v/>
      </c>
      <c r="W1675" s="17" t="str">
        <f>IF(INDEX(Listado!L:L,ROW())="","",INDEX(Listado!L:L,ROW()))</f>
        <v/>
      </c>
      <c r="X1675" s="17">
        <f>IF(N1675="","",IF(INDEX(Listado!$M:$M,N1675)="No","No","Sí"))</f>
        <v/>
      </c>
    </row>
    <row r="1676" spans="2:24" ht="14.25">
      <c r="N1676" s="17" t="str">
        <f>IF(V1676=0,"",IFERROR(LOOKUP(2,1/(INDEX(Listado!A:A,2):INDEX(Listado!A:A,ROW())&lt;&gt;""),ROW(INDEX(Listado!A:A,2):INDEX(Listado!A:A,ROW()))),""))</f>
        <v/>
      </c>
      <c r="O1676" s="17" t="str">
        <f>IFERROR(IF(N1676="","",IF(INDEX(Listado!M:M,N1676)="No",IF(INDEX(Listado!N:N,N1676)=0,"",INDEX(Listado!N:N,N1676)),IF(INDEX(Listado!I:I,N1676)=0,"",INDEX(Listado!I:I,N1676)))),"")</f>
        <v/>
      </c>
      <c r="P1676" s="17">
        <f t="shared" ca="1" si="79"/>
        <v/>
      </c>
      <c r="Q1676" s="17">
        <f>IFERROR(IF(AND(N1676&lt;&gt;"",ISNUMBER(O1676),O1676&gt;0,O1676&gt;=TODAY()-90),1,0),0)</f>
        <v/>
      </c>
      <c r="R1676" s="17" t="str">
        <f t="shared" si="81"/>
        <v/>
      </c>
      <c r="S1676" s="17" t="str">
        <f>IF(INDEX(Listado!A:A,ROW())="","",INDEX(Listado!A:A,ROW()))</f>
        <v/>
      </c>
      <c r="T1676" s="17" t="str">
        <f ca="1">IF(INDEX(Listado!G:G,ROW())="","",INDEX(Listado!G:G,ROW()))</f>
        <v/>
      </c>
      <c r="U1676" s="17" t="str">
        <f>IF(INDEX(Listado!F:F,ROW())="","",INDEX(Listado!F:F,ROW()))</f>
        <v/>
      </c>
      <c r="V1676" s="17">
        <f>IF(COUNTA(INDEX(Listado!B:B,ROW()):INDEX(Listado!F:F,ROW()))&gt;0,1,0)</f>
        <v/>
      </c>
      <c r="W1676" s="17" t="str">
        <f>IF(INDEX(Listado!L:L,ROW())="","",INDEX(Listado!L:L,ROW()))</f>
        <v/>
      </c>
      <c r="X1676" s="17">
        <f>IF(N1676="","",IF(INDEX(Listado!$M:$M,N1676)="No","No","Sí"))</f>
        <v/>
      </c>
    </row>
    <row r="1677" spans="2:24" ht="14.25">
      <c r="N1677" s="17" t="str">
        <f>IF(V1677=0,"",IFERROR(LOOKUP(2,1/(INDEX(Listado!A:A,2):INDEX(Listado!A:A,ROW())&lt;&gt;""),ROW(INDEX(Listado!A:A,2):INDEX(Listado!A:A,ROW()))),""))</f>
        <v/>
      </c>
      <c r="O1677" s="17" t="str">
        <f>IFERROR(IF(N1677="","",IF(INDEX(Listado!M:M,N1677)="No",IF(INDEX(Listado!N:N,N1677)=0,"",INDEX(Listado!N:N,N1677)),IF(INDEX(Listado!I:I,N1677)=0,"",INDEX(Listado!I:I,N1677)))),"")</f>
        <v/>
      </c>
      <c r="P1677" s="17">
        <f t="shared" ca="1" si="79"/>
        <v/>
      </c>
      <c r="Q1677" s="17">
        <f>IFERROR(IF(AND(N1677&lt;&gt;"",ISNUMBER(O1677),O1677&gt;0,O1677&gt;=TODAY()-90),1,0),0)</f>
        <v/>
      </c>
      <c r="R1677" s="17" t="str">
        <f t="shared" si="81"/>
        <v/>
      </c>
      <c r="S1677" s="17" t="str">
        <f>IF(INDEX(Listado!A:A,ROW())="","",INDEX(Listado!A:A,ROW()))</f>
        <v/>
      </c>
      <c r="T1677" s="17" t="str">
        <f ca="1">IF(INDEX(Listado!G:G,ROW())="","",INDEX(Listado!G:G,ROW()))</f>
        <v/>
      </c>
      <c r="U1677" s="17" t="str">
        <f>IF(INDEX(Listado!F:F,ROW())="","",INDEX(Listado!F:F,ROW()))</f>
        <v/>
      </c>
      <c r="V1677" s="17">
        <f>IF(COUNTA(INDEX(Listado!B:B,ROW()):INDEX(Listado!F:F,ROW()))&gt;0,1,0)</f>
        <v/>
      </c>
      <c r="W1677" s="17" t="str">
        <f>IF(INDEX(Listado!L:L,ROW())="","",INDEX(Listado!L:L,ROW()))</f>
        <v/>
      </c>
      <c r="X1677" s="17">
        <f>IF(N1677="","",IF(INDEX(Listado!$M:$M,N1677)="No","No","Sí"))</f>
        <v/>
      </c>
    </row>
    <row r="1678" spans="2:24" ht="14.25">
      <c r="N1678" s="17" t="str">
        <f>IF(V1678=0,"",IFERROR(LOOKUP(2,1/(INDEX(Listado!A:A,2):INDEX(Listado!A:A,ROW())&lt;&gt;""),ROW(INDEX(Listado!A:A,2):INDEX(Listado!A:A,ROW()))),""))</f>
        <v/>
      </c>
      <c r="O1678" s="17" t="str">
        <f>IFERROR(IF(N1678="","",IF(INDEX(Listado!M:M,N1678)="No",IF(INDEX(Listado!N:N,N1678)=0,"",INDEX(Listado!N:N,N1678)),IF(INDEX(Listado!I:I,N1678)=0,"",INDEX(Listado!I:I,N1678)))),"")</f>
        <v/>
      </c>
      <c r="P1678" s="17">
        <f t="shared" ca="1" si="79"/>
        <v/>
      </c>
      <c r="Q1678" s="17">
        <f>IFERROR(IF(AND(N1678&lt;&gt;"",ISNUMBER(O1678),O1678&gt;0,O1678&gt;=TODAY()-90),1,0),0)</f>
        <v/>
      </c>
      <c r="R1678" s="17" t="str">
        <f t="shared" si="81"/>
        <v/>
      </c>
      <c r="S1678" s="17" t="str">
        <f>IF(INDEX(Listado!A:A,ROW())="","",INDEX(Listado!A:A,ROW()))</f>
        <v/>
      </c>
      <c r="T1678" s="17" t="str">
        <f ca="1">IF(INDEX(Listado!G:G,ROW())="","",INDEX(Listado!G:G,ROW()))</f>
        <v/>
      </c>
      <c r="U1678" s="17" t="str">
        <f>IF(INDEX(Listado!F:F,ROW())="","",INDEX(Listado!F:F,ROW()))</f>
        <v/>
      </c>
      <c r="V1678" s="17">
        <f>IF(COUNTA(INDEX(Listado!B:B,ROW()):INDEX(Listado!F:F,ROW()))&gt;0,1,0)</f>
        <v/>
      </c>
      <c r="W1678" s="17" t="str">
        <f>IF(INDEX(Listado!L:L,ROW())="","",INDEX(Listado!L:L,ROW()))</f>
        <v/>
      </c>
      <c r="X1678" s="17">
        <f>IF(N1678="","",IF(INDEX(Listado!$M:$M,N1678)="No","No","Sí"))</f>
        <v/>
      </c>
    </row>
    <row r="1679" spans="2:24" ht="14.25">
      <c r="N1679" s="17" t="str">
        <f>IF(V1679=0,"",IFERROR(LOOKUP(2,1/(INDEX(Listado!A:A,2):INDEX(Listado!A:A,ROW())&lt;&gt;""),ROW(INDEX(Listado!A:A,2):INDEX(Listado!A:A,ROW()))),""))</f>
        <v/>
      </c>
      <c r="O1679" s="17" t="str">
        <f>IFERROR(IF(N1679="","",IF(INDEX(Listado!M:M,N1679)="No",IF(INDEX(Listado!N:N,N1679)=0,"",INDEX(Listado!N:N,N1679)),IF(INDEX(Listado!I:I,N1679)=0,"",INDEX(Listado!I:I,N1679)))),"")</f>
        <v/>
      </c>
      <c r="P1679" s="17">
        <f t="shared" ca="1" si="79"/>
        <v/>
      </c>
      <c r="Q1679" s="17">
        <f>IFERROR(IF(AND(N1679&lt;&gt;"",ISNUMBER(O1679),O1679&gt;0,O1679&gt;=TODAY()-90),1,0),0)</f>
        <v/>
      </c>
      <c r="R1679" s="17" t="str">
        <f t="shared" si="81"/>
        <v/>
      </c>
      <c r="S1679" s="17" t="str">
        <f>IF(INDEX(Listado!A:A,ROW())="","",INDEX(Listado!A:A,ROW()))</f>
        <v/>
      </c>
      <c r="T1679" s="17" t="str">
        <f ca="1">IF(INDEX(Listado!G:G,ROW())="","",INDEX(Listado!G:G,ROW()))</f>
        <v/>
      </c>
      <c r="U1679" s="17" t="str">
        <f>IF(INDEX(Listado!F:F,ROW())="","",INDEX(Listado!F:F,ROW()))</f>
        <v/>
      </c>
      <c r="V1679" s="17">
        <f>IF(COUNTA(INDEX(Listado!B:B,ROW()):INDEX(Listado!F:F,ROW()))&gt;0,1,0)</f>
        <v/>
      </c>
      <c r="W1679" s="17" t="str">
        <f>IF(INDEX(Listado!L:L,ROW())="","",INDEX(Listado!L:L,ROW()))</f>
        <v/>
      </c>
      <c r="X1679" s="17">
        <f>IF(N1679="","",IF(INDEX(Listado!$M:$M,N1679)="No","No","Sí"))</f>
        <v/>
      </c>
    </row>
    <row r="1680" spans="2:24" ht="14.25">
      <c r="N1680" s="17" t="str">
        <f>IF(V1680=0,"",IFERROR(LOOKUP(2,1/(INDEX(Listado!A:A,2):INDEX(Listado!A:A,ROW())&lt;&gt;""),ROW(INDEX(Listado!A:A,2):INDEX(Listado!A:A,ROW()))),""))</f>
        <v/>
      </c>
      <c r="O1680" s="17" t="str">
        <f>IFERROR(IF(N1680="","",IF(INDEX(Listado!M:M,N1680)="No",IF(INDEX(Listado!N:N,N1680)=0,"",INDEX(Listado!N:N,N1680)),IF(INDEX(Listado!I:I,N1680)=0,"",INDEX(Listado!I:I,N1680)))),"")</f>
        <v/>
      </c>
      <c r="P1680" s="17">
        <f t="shared" ca="1" si="79"/>
        <v/>
      </c>
      <c r="Q1680" s="17">
        <f>IFERROR(IF(AND(N1680&lt;&gt;"",ISNUMBER(O1680),O1680&gt;0,O1680&gt;=TODAY()-90),1,0),0)</f>
        <v/>
      </c>
      <c r="R1680" s="17" t="str">
        <f t="shared" si="81"/>
        <v/>
      </c>
      <c r="S1680" s="17" t="str">
        <f>IF(INDEX(Listado!A:A,ROW())="","",INDEX(Listado!A:A,ROW()))</f>
        <v/>
      </c>
      <c r="T1680" s="17" t="str">
        <f ca="1">IF(INDEX(Listado!G:G,ROW())="","",INDEX(Listado!G:G,ROW()))</f>
        <v/>
      </c>
      <c r="U1680" s="17" t="str">
        <f>IF(INDEX(Listado!F:F,ROW())="","",INDEX(Listado!F:F,ROW()))</f>
        <v/>
      </c>
      <c r="V1680" s="17">
        <f>IF(COUNTA(INDEX(Listado!B:B,ROW()):INDEX(Listado!F:F,ROW()))&gt;0,1,0)</f>
        <v/>
      </c>
      <c r="W1680" s="17" t="str">
        <f>IF(INDEX(Listado!L:L,ROW())="","",INDEX(Listado!L:L,ROW()))</f>
        <v/>
      </c>
      <c r="X1680" s="17">
        <f>IF(N1680="","",IF(INDEX(Listado!$M:$M,N1680)="No","No","Sí"))</f>
        <v/>
      </c>
    </row>
    <row r="1681" spans="2:24" ht="14.25">
      <c r="N1681" s="17" t="str">
        <f>IF(V1681=0,"",IFERROR(LOOKUP(2,1/(INDEX(Listado!A:A,2):INDEX(Listado!A:A,ROW())&lt;&gt;""),ROW(INDEX(Listado!A:A,2):INDEX(Listado!A:A,ROW()))),""))</f>
        <v/>
      </c>
      <c r="O1681" s="17" t="str">
        <f>IFERROR(IF(N1681="","",IF(INDEX(Listado!M:M,N1681)="No",IF(INDEX(Listado!N:N,N1681)=0,"",INDEX(Listado!N:N,N1681)),IF(INDEX(Listado!I:I,N1681)=0,"",INDEX(Listado!I:I,N1681)))),"")</f>
        <v/>
      </c>
      <c r="P1681" s="17">
        <f t="shared" ca="1" si="79"/>
        <v/>
      </c>
      <c r="Q1681" s="17">
        <f>IFERROR(IF(AND(N1681&lt;&gt;"",ISNUMBER(O1681),O1681&gt;0,O1681&gt;=TODAY()-90),1,0),0)</f>
        <v/>
      </c>
      <c r="R1681" s="17" t="str">
        <f t="shared" si="81"/>
        <v/>
      </c>
      <c r="S1681" s="17" t="str">
        <f>IF(INDEX(Listado!A:A,ROW())="","",INDEX(Listado!A:A,ROW()))</f>
        <v/>
      </c>
      <c r="T1681" s="17" t="str">
        <f ca="1">IF(INDEX(Listado!G:G,ROW())="","",INDEX(Listado!G:G,ROW()))</f>
        <v/>
      </c>
      <c r="U1681" s="17" t="str">
        <f>IF(INDEX(Listado!F:F,ROW())="","",INDEX(Listado!F:F,ROW()))</f>
        <v/>
      </c>
      <c r="V1681" s="17">
        <f>IF(COUNTA(INDEX(Listado!B:B,ROW()):INDEX(Listado!F:F,ROW()))&gt;0,1,0)</f>
        <v/>
      </c>
      <c r="W1681" s="17" t="str">
        <f>IF(INDEX(Listado!L:L,ROW())="","",INDEX(Listado!L:L,ROW()))</f>
        <v/>
      </c>
      <c r="X1681" s="17">
        <f>IF(N1681="","",IF(INDEX(Listado!$M:$M,N1681)="No","No","Sí"))</f>
        <v/>
      </c>
    </row>
    <row r="1682" spans="2:24" ht="14.25">
      <c r="N1682" s="17" t="str">
        <f>IF(V1682=0,"",IFERROR(LOOKUP(2,1/(INDEX(Listado!A:A,2):INDEX(Listado!A:A,ROW())&lt;&gt;""),ROW(INDEX(Listado!A:A,2):INDEX(Listado!A:A,ROW()))),""))</f>
        <v/>
      </c>
      <c r="O1682" s="17" t="str">
        <f>IFERROR(IF(N1682="","",IF(INDEX(Listado!M:M,N1682)="No",IF(INDEX(Listado!N:N,N1682)=0,"",INDEX(Listado!N:N,N1682)),IF(INDEX(Listado!I:I,N1682)=0,"",INDEX(Listado!I:I,N1682)))),"")</f>
        <v/>
      </c>
      <c r="P1682" s="17">
        <f t="shared" ca="1" si="79"/>
        <v/>
      </c>
      <c r="Q1682" s="17">
        <f>IFERROR(IF(AND(N1682&lt;&gt;"",ISNUMBER(O1682),O1682&gt;0,O1682&gt;=TODAY()-90),1,0),0)</f>
        <v/>
      </c>
      <c r="R1682" s="17" t="str">
        <f t="shared" si="81"/>
        <v/>
      </c>
      <c r="S1682" s="17" t="str">
        <f>IF(INDEX(Listado!A:A,ROW())="","",INDEX(Listado!A:A,ROW()))</f>
        <v/>
      </c>
      <c r="T1682" s="17" t="str">
        <f ca="1">IF(INDEX(Listado!G:G,ROW())="","",INDEX(Listado!G:G,ROW()))</f>
        <v/>
      </c>
      <c r="U1682" s="17" t="str">
        <f>IF(INDEX(Listado!F:F,ROW())="","",INDEX(Listado!F:F,ROW()))</f>
        <v/>
      </c>
      <c r="V1682" s="17">
        <f>IF(COUNTA(INDEX(Listado!B:B,ROW()):INDEX(Listado!F:F,ROW()))&gt;0,1,0)</f>
        <v/>
      </c>
      <c r="W1682" s="17" t="str">
        <f>IF(INDEX(Listado!L:L,ROW())="","",INDEX(Listado!L:L,ROW()))</f>
        <v/>
      </c>
      <c r="X1682" s="17">
        <f>IF(N1682="","",IF(INDEX(Listado!$M:$M,N1682)="No","No","Sí"))</f>
        <v/>
      </c>
    </row>
    <row r="1683" spans="2:24" ht="14.25">
      <c r="N1683" s="17" t="str">
        <f>IF(V1683=0,"",IFERROR(LOOKUP(2,1/(INDEX(Listado!A:A,2):INDEX(Listado!A:A,ROW())&lt;&gt;""),ROW(INDEX(Listado!A:A,2):INDEX(Listado!A:A,ROW()))),""))</f>
        <v/>
      </c>
      <c r="O1683" s="17" t="str">
        <f>IFERROR(IF(N1683="","",IF(INDEX(Listado!M:M,N1683)="No",IF(INDEX(Listado!N:N,N1683)=0,"",INDEX(Listado!N:N,N1683)),IF(INDEX(Listado!I:I,N1683)=0,"",INDEX(Listado!I:I,N1683)))),"")</f>
        <v/>
      </c>
      <c r="P1683" s="17">
        <f t="shared" ca="1" si="79"/>
        <v/>
      </c>
      <c r="Q1683" s="17">
        <f>IFERROR(IF(AND(N1683&lt;&gt;"",ISNUMBER(O1683),O1683&gt;0,O1683&gt;=TODAY()-90),1,0),0)</f>
        <v/>
      </c>
      <c r="R1683" s="17" t="str">
        <f t="shared" si="81"/>
        <v/>
      </c>
      <c r="S1683" s="17" t="str">
        <f>IF(INDEX(Listado!A:A,ROW())="","",INDEX(Listado!A:A,ROW()))</f>
        <v/>
      </c>
      <c r="T1683" s="17" t="str">
        <f ca="1">IF(INDEX(Listado!G:G,ROW())="","",INDEX(Listado!G:G,ROW()))</f>
        <v/>
      </c>
      <c r="U1683" s="17" t="str">
        <f>IF(INDEX(Listado!F:F,ROW())="","",INDEX(Listado!F:F,ROW()))</f>
        <v/>
      </c>
      <c r="V1683" s="17">
        <f>IF(COUNTA(INDEX(Listado!B:B,ROW()):INDEX(Listado!F:F,ROW()))&gt;0,1,0)</f>
        <v/>
      </c>
      <c r="W1683" s="17" t="str">
        <f>IF(INDEX(Listado!L:L,ROW())="","",INDEX(Listado!L:L,ROW()))</f>
        <v/>
      </c>
      <c r="X1683" s="17">
        <f>IF(N1683="","",IF(INDEX(Listado!$M:$M,N1683)="No","No","Sí"))</f>
        <v/>
      </c>
    </row>
    <row r="1684" spans="2:24" ht="14.25">
      <c r="N1684" s="17" t="str">
        <f>IF(V1684=0,"",IFERROR(LOOKUP(2,1/(INDEX(Listado!A:A,2):INDEX(Listado!A:A,ROW())&lt;&gt;""),ROW(INDEX(Listado!A:A,2):INDEX(Listado!A:A,ROW()))),""))</f>
        <v/>
      </c>
      <c r="O1684" s="17" t="str">
        <f>IFERROR(IF(N1684="","",IF(INDEX(Listado!M:M,N1684)="No",IF(INDEX(Listado!N:N,N1684)=0,"",INDEX(Listado!N:N,N1684)),IF(INDEX(Listado!I:I,N1684)=0,"",INDEX(Listado!I:I,N1684)))),"")</f>
        <v/>
      </c>
      <c r="P1684" s="17">
        <f t="shared" ca="1" si="79"/>
        <v/>
      </c>
      <c r="Q1684" s="17">
        <f>IFERROR(IF(AND(N1684&lt;&gt;"",ISNUMBER(O1684),O1684&gt;0,O1684&gt;=TODAY()-90),1,0),0)</f>
        <v/>
      </c>
      <c r="R1684" s="17" t="str">
        <f t="shared" si="81"/>
        <v/>
      </c>
      <c r="S1684" s="17" t="str">
        <f>IF(INDEX(Listado!A:A,ROW())="","",INDEX(Listado!A:A,ROW()))</f>
        <v/>
      </c>
      <c r="T1684" s="17" t="str">
        <f ca="1">IF(INDEX(Listado!G:G,ROW())="","",INDEX(Listado!G:G,ROW()))</f>
        <v/>
      </c>
      <c r="U1684" s="17" t="str">
        <f>IF(INDEX(Listado!F:F,ROW())="","",INDEX(Listado!F:F,ROW()))</f>
        <v/>
      </c>
      <c r="V1684" s="17">
        <f>IF(COUNTA(INDEX(Listado!B:B,ROW()):INDEX(Listado!F:F,ROW()))&gt;0,1,0)</f>
        <v/>
      </c>
      <c r="W1684" s="17" t="str">
        <f>IF(INDEX(Listado!L:L,ROW())="","",INDEX(Listado!L:L,ROW()))</f>
        <v/>
      </c>
      <c r="X1684" s="17">
        <f>IF(N1684="","",IF(INDEX(Listado!$M:$M,N1684)="No","No","Sí"))</f>
        <v/>
      </c>
    </row>
    <row r="1685" spans="2:24" ht="14.25">
      <c r="N1685" s="17" t="str">
        <f>IF(V1685=0,"",IFERROR(LOOKUP(2,1/(INDEX(Listado!A:A,2):INDEX(Listado!A:A,ROW())&lt;&gt;""),ROW(INDEX(Listado!A:A,2):INDEX(Listado!A:A,ROW()))),""))</f>
        <v/>
      </c>
      <c r="O1685" s="17" t="str">
        <f>IFERROR(IF(N1685="","",IF(INDEX(Listado!M:M,N1685)="No",IF(INDEX(Listado!N:N,N1685)=0,"",INDEX(Listado!N:N,N1685)),IF(INDEX(Listado!I:I,N1685)=0,"",INDEX(Listado!I:I,N1685)))),"")</f>
        <v/>
      </c>
      <c r="P1685" s="17">
        <f t="shared" ca="1" si="79"/>
        <v/>
      </c>
      <c r="Q1685" s="17">
        <f>IFERROR(IF(AND(N1685&lt;&gt;"",ISNUMBER(O1685),O1685&gt;0,O1685&gt;=TODAY()-90),1,0),0)</f>
        <v/>
      </c>
      <c r="R1685" s="17" t="str">
        <f t="shared" si="81"/>
        <v/>
      </c>
      <c r="S1685" s="17" t="str">
        <f>IF(INDEX(Listado!A:A,ROW())="","",INDEX(Listado!A:A,ROW()))</f>
        <v/>
      </c>
      <c r="T1685" s="17" t="str">
        <f ca="1">IF(INDEX(Listado!G:G,ROW())="","",INDEX(Listado!G:G,ROW()))</f>
        <v/>
      </c>
      <c r="U1685" s="17" t="str">
        <f>IF(INDEX(Listado!F:F,ROW())="","",INDEX(Listado!F:F,ROW()))</f>
        <v/>
      </c>
      <c r="V1685" s="17">
        <f>IF(COUNTA(INDEX(Listado!B:B,ROW()):INDEX(Listado!F:F,ROW()))&gt;0,1,0)</f>
        <v/>
      </c>
      <c r="W1685" s="17" t="str">
        <f>IF(INDEX(Listado!L:L,ROW())="","",INDEX(Listado!L:L,ROW()))</f>
        <v/>
      </c>
      <c r="X1685" s="17">
        <f>IF(N1685="","",IF(INDEX(Listado!$M:$M,N1685)="No","No","Sí"))</f>
        <v/>
      </c>
    </row>
    <row r="1686" spans="2:24" ht="14.25">
      <c r="N1686" s="17" t="str">
        <f>IF(V1686=0,"",IFERROR(LOOKUP(2,1/(INDEX(Listado!A:A,2):INDEX(Listado!A:A,ROW())&lt;&gt;""),ROW(INDEX(Listado!A:A,2):INDEX(Listado!A:A,ROW()))),""))</f>
        <v/>
      </c>
      <c r="O1686" s="17" t="str">
        <f>IFERROR(IF(N1686="","",IF(INDEX(Listado!M:M,N1686)="No",IF(INDEX(Listado!N:N,N1686)=0,"",INDEX(Listado!N:N,N1686)),IF(INDEX(Listado!I:I,N1686)=0,"",INDEX(Listado!I:I,N1686)))),"")</f>
        <v/>
      </c>
      <c r="P1686" s="17">
        <f t="shared" ca="1" si="79"/>
        <v/>
      </c>
      <c r="Q1686" s="17">
        <f>IFERROR(IF(AND(N1686&lt;&gt;"",ISNUMBER(O1686),O1686&gt;0,O1686&gt;=TODAY()-90),1,0),0)</f>
        <v/>
      </c>
      <c r="R1686" s="17" t="str">
        <f t="shared" si="81"/>
        <v/>
      </c>
      <c r="S1686" s="17" t="str">
        <f>IF(INDEX(Listado!A:A,ROW())="","",INDEX(Listado!A:A,ROW()))</f>
        <v/>
      </c>
      <c r="T1686" s="17" t="str">
        <f ca="1">IF(INDEX(Listado!G:G,ROW())="","",INDEX(Listado!G:G,ROW()))</f>
        <v/>
      </c>
      <c r="U1686" s="17" t="str">
        <f>IF(INDEX(Listado!F:F,ROW())="","",INDEX(Listado!F:F,ROW()))</f>
        <v/>
      </c>
      <c r="V1686" s="17">
        <f>IF(COUNTA(INDEX(Listado!B:B,ROW()):INDEX(Listado!F:F,ROW()))&gt;0,1,0)</f>
        <v/>
      </c>
      <c r="W1686" s="17" t="str">
        <f>IF(INDEX(Listado!L:L,ROW())="","",INDEX(Listado!L:L,ROW()))</f>
        <v/>
      </c>
      <c r="X1686" s="17">
        <f>IF(N1686="","",IF(INDEX(Listado!$M:$M,N1686)="No","No","Sí"))</f>
        <v/>
      </c>
    </row>
    <row r="1687" spans="2:24" ht="14.25">
      <c r="N1687" s="17" t="str">
        <f>IF(V1687=0,"",IFERROR(LOOKUP(2,1/(INDEX(Listado!A:A,2):INDEX(Listado!A:A,ROW())&lt;&gt;""),ROW(INDEX(Listado!A:A,2):INDEX(Listado!A:A,ROW()))),""))</f>
        <v/>
      </c>
      <c r="O1687" s="17" t="str">
        <f>IFERROR(IF(N1687="","",IF(INDEX(Listado!M:M,N1687)="No",IF(INDEX(Listado!N:N,N1687)=0,"",INDEX(Listado!N:N,N1687)),IF(INDEX(Listado!I:I,N1687)=0,"",INDEX(Listado!I:I,N1687)))),"")</f>
        <v/>
      </c>
      <c r="P1687" s="17">
        <f t="shared" ca="1" si="79"/>
        <v/>
      </c>
      <c r="Q1687" s="17">
        <f>IFERROR(IF(AND(N1687&lt;&gt;"",ISNUMBER(O1687),O1687&gt;0,O1687&gt;=TODAY()-90),1,0),0)</f>
        <v/>
      </c>
      <c r="R1687" s="17" t="str">
        <f t="shared" si="81"/>
        <v/>
      </c>
      <c r="S1687" s="17" t="str">
        <f>IF(INDEX(Listado!A:A,ROW())="","",INDEX(Listado!A:A,ROW()))</f>
        <v/>
      </c>
      <c r="T1687" s="17" t="str">
        <f ca="1">IF(INDEX(Listado!G:G,ROW())="","",INDEX(Listado!G:G,ROW()))</f>
        <v/>
      </c>
      <c r="U1687" s="17" t="str">
        <f>IF(INDEX(Listado!F:F,ROW())="","",INDEX(Listado!F:F,ROW()))</f>
        <v/>
      </c>
      <c r="V1687" s="17">
        <f>IF(COUNTA(INDEX(Listado!B:B,ROW()):INDEX(Listado!F:F,ROW()))&gt;0,1,0)</f>
        <v/>
      </c>
      <c r="W1687" s="17" t="str">
        <f>IF(INDEX(Listado!L:L,ROW())="","",INDEX(Listado!L:L,ROW()))</f>
        <v/>
      </c>
      <c r="X1687" s="17">
        <f>IF(N1687="","",IF(INDEX(Listado!$M:$M,N1687)="No","No","Sí"))</f>
        <v/>
      </c>
    </row>
    <row r="1688" spans="2:24" ht="14.25">
      <c r="N1688" s="17" t="str">
        <f>IF(V1688=0,"",IFERROR(LOOKUP(2,1/(INDEX(Listado!A:A,2):INDEX(Listado!A:A,ROW())&lt;&gt;""),ROW(INDEX(Listado!A:A,2):INDEX(Listado!A:A,ROW()))),""))</f>
        <v/>
      </c>
      <c r="O1688" s="17" t="str">
        <f>IFERROR(IF(N1688="","",IF(INDEX(Listado!M:M,N1688)="No",IF(INDEX(Listado!N:N,N1688)=0,"",INDEX(Listado!N:N,N1688)),IF(INDEX(Listado!I:I,N1688)=0,"",INDEX(Listado!I:I,N1688)))),"")</f>
        <v/>
      </c>
      <c r="P1688" s="17">
        <f t="shared" ca="1" si="79"/>
        <v/>
      </c>
      <c r="Q1688" s="17">
        <f>IFERROR(IF(AND(N1688&lt;&gt;"",ISNUMBER(O1688),O1688&gt;0,O1688&gt;=TODAY()-90),1,0),0)</f>
        <v/>
      </c>
      <c r="R1688" s="17" t="str">
        <f t="shared" si="81"/>
        <v/>
      </c>
      <c r="S1688" s="17" t="str">
        <f>IF(INDEX(Listado!A:A,ROW())="","",INDEX(Listado!A:A,ROW()))</f>
        <v/>
      </c>
      <c r="T1688" s="17" t="str">
        <f ca="1">IF(INDEX(Listado!G:G,ROW())="","",INDEX(Listado!G:G,ROW()))</f>
        <v/>
      </c>
      <c r="U1688" s="17" t="str">
        <f>IF(INDEX(Listado!F:F,ROW())="","",INDEX(Listado!F:F,ROW()))</f>
        <v/>
      </c>
      <c r="V1688" s="17">
        <f>IF(COUNTA(INDEX(Listado!B:B,ROW()):INDEX(Listado!F:F,ROW()))&gt;0,1,0)</f>
        <v/>
      </c>
      <c r="W1688" s="17" t="str">
        <f>IF(INDEX(Listado!L:L,ROW())="","",INDEX(Listado!L:L,ROW()))</f>
        <v/>
      </c>
      <c r="X1688" s="17">
        <f>IF(N1688="","",IF(INDEX(Listado!$M:$M,N1688)="No","No","Sí"))</f>
        <v/>
      </c>
    </row>
    <row r="1689" spans="2:24" ht="14.25">
      <c r="N1689" s="17" t="str">
        <f>IF(V1689=0,"",IFERROR(LOOKUP(2,1/(INDEX(Listado!A:A,2):INDEX(Listado!A:A,ROW())&lt;&gt;""),ROW(INDEX(Listado!A:A,2):INDEX(Listado!A:A,ROW()))),""))</f>
        <v/>
      </c>
      <c r="O1689" s="17" t="str">
        <f>IFERROR(IF(N1689="","",IF(INDEX(Listado!M:M,N1689)="No",IF(INDEX(Listado!N:N,N1689)=0,"",INDEX(Listado!N:N,N1689)),IF(INDEX(Listado!I:I,N1689)=0,"",INDEX(Listado!I:I,N1689)))),"")</f>
        <v/>
      </c>
      <c r="P1689" s="17">
        <f t="shared" ca="1" si="79"/>
        <v/>
      </c>
      <c r="Q1689" s="17">
        <f>IFERROR(IF(AND(N1689&lt;&gt;"",ISNUMBER(O1689),O1689&gt;0,O1689&gt;=TODAY()-90),1,0),0)</f>
        <v/>
      </c>
      <c r="R1689" s="17" t="str">
        <f t="shared" si="81"/>
        <v/>
      </c>
      <c r="S1689" s="17" t="str">
        <f>IF(INDEX(Listado!A:A,ROW())="","",INDEX(Listado!A:A,ROW()))</f>
        <v/>
      </c>
      <c r="T1689" s="17" t="str">
        <f ca="1">IF(INDEX(Listado!G:G,ROW())="","",INDEX(Listado!G:G,ROW()))</f>
        <v/>
      </c>
      <c r="U1689" s="17" t="str">
        <f>IF(INDEX(Listado!F:F,ROW())="","",INDEX(Listado!F:F,ROW()))</f>
        <v/>
      </c>
      <c r="V1689" s="17">
        <f>IF(COUNTA(INDEX(Listado!B:B,ROW()):INDEX(Listado!F:F,ROW()))&gt;0,1,0)</f>
        <v/>
      </c>
      <c r="W1689" s="17" t="str">
        <f>IF(INDEX(Listado!L:L,ROW())="","",INDEX(Listado!L:L,ROW()))</f>
        <v/>
      </c>
      <c r="X1689" s="17">
        <f>IF(N1689="","",IF(INDEX(Listado!$M:$M,N1689)="No","No","Sí"))</f>
        <v/>
      </c>
    </row>
    <row r="1690" spans="2:24" ht="14.25">
      <c r="N1690" s="17" t="str">
        <f>IF(V1690=0,"",IFERROR(LOOKUP(2,1/(INDEX(Listado!A:A,2):INDEX(Listado!A:A,ROW())&lt;&gt;""),ROW(INDEX(Listado!A:A,2):INDEX(Listado!A:A,ROW()))),""))</f>
        <v/>
      </c>
      <c r="O1690" s="17" t="str">
        <f>IFERROR(IF(N1690="","",IF(INDEX(Listado!M:M,N1690)="No",IF(INDEX(Listado!N:N,N1690)=0,"",INDEX(Listado!N:N,N1690)),IF(INDEX(Listado!I:I,N1690)=0,"",INDEX(Listado!I:I,N1690)))),"")</f>
        <v/>
      </c>
      <c r="P1690" s="17">
        <f t="shared" ca="1" si="79"/>
        <v/>
      </c>
      <c r="Q1690" s="17">
        <f>IFERROR(IF(AND(N1690&lt;&gt;"",ISNUMBER(O1690),O1690&gt;0,O1690&gt;=TODAY()-90),1,0),0)</f>
        <v/>
      </c>
      <c r="R1690" s="17" t="str">
        <f t="shared" si="81"/>
        <v/>
      </c>
      <c r="S1690" s="17" t="str">
        <f>IF(INDEX(Listado!A:A,ROW())="","",INDEX(Listado!A:A,ROW()))</f>
        <v/>
      </c>
      <c r="T1690" s="17" t="str">
        <f ca="1">IF(INDEX(Listado!G:G,ROW())="","",INDEX(Listado!G:G,ROW()))</f>
        <v/>
      </c>
      <c r="U1690" s="17" t="str">
        <f>IF(INDEX(Listado!F:F,ROW())="","",INDEX(Listado!F:F,ROW()))</f>
        <v/>
      </c>
      <c r="V1690" s="17">
        <f>IF(COUNTA(INDEX(Listado!B:B,ROW()):INDEX(Listado!F:F,ROW()))&gt;0,1,0)</f>
        <v/>
      </c>
      <c r="W1690" s="17" t="str">
        <f>IF(INDEX(Listado!L:L,ROW())="","",INDEX(Listado!L:L,ROW()))</f>
        <v/>
      </c>
      <c r="X1690" s="17">
        <f>IF(N1690="","",IF(INDEX(Listado!$M:$M,N1690)="No","No","Sí"))</f>
        <v/>
      </c>
    </row>
    <row r="1691" spans="2:24" ht="14.25">
      <c r="N1691" s="17" t="str">
        <f>IF(V1691=0,"",IFERROR(LOOKUP(2,1/(INDEX(Listado!A:A,2):INDEX(Listado!A:A,ROW())&lt;&gt;""),ROW(INDEX(Listado!A:A,2):INDEX(Listado!A:A,ROW()))),""))</f>
        <v/>
      </c>
      <c r="O1691" s="17" t="str">
        <f>IFERROR(IF(N1691="","",IF(INDEX(Listado!M:M,N1691)="No",IF(INDEX(Listado!N:N,N1691)=0,"",INDEX(Listado!N:N,N1691)),IF(INDEX(Listado!I:I,N1691)=0,"",INDEX(Listado!I:I,N1691)))),"")</f>
        <v/>
      </c>
      <c r="P1691" s="17">
        <f t="shared" ca="1" si="79"/>
        <v/>
      </c>
      <c r="Q1691" s="17">
        <f>IFERROR(IF(AND(N1691&lt;&gt;"",ISNUMBER(O1691),O1691&gt;0,O1691&gt;=TODAY()-90),1,0),0)</f>
        <v/>
      </c>
      <c r="R1691" s="17" t="str">
        <f t="shared" si="81"/>
        <v/>
      </c>
      <c r="S1691" s="17" t="str">
        <f>IF(INDEX(Listado!A:A,ROW())="","",INDEX(Listado!A:A,ROW()))</f>
        <v/>
      </c>
      <c r="T1691" s="17" t="str">
        <f ca="1">IF(INDEX(Listado!G:G,ROW())="","",INDEX(Listado!G:G,ROW()))</f>
        <v/>
      </c>
      <c r="U1691" s="17" t="str">
        <f>IF(INDEX(Listado!F:F,ROW())="","",INDEX(Listado!F:F,ROW()))</f>
        <v/>
      </c>
      <c r="V1691" s="17">
        <f>IF(COUNTA(INDEX(Listado!B:B,ROW()):INDEX(Listado!F:F,ROW()))&gt;0,1,0)</f>
        <v/>
      </c>
      <c r="W1691" s="17" t="str">
        <f>IF(INDEX(Listado!L:L,ROW())="","",INDEX(Listado!L:L,ROW()))</f>
        <v/>
      </c>
      <c r="X1691" s="17">
        <f>IF(N1691="","",IF(INDEX(Listado!$M:$M,N1691)="No","No","Sí"))</f>
        <v/>
      </c>
    </row>
    <row r="1692" spans="2:24" ht="14.25">
      <c r="N1692" s="17" t="str">
        <f>IF(V1692=0,"",IFERROR(LOOKUP(2,1/(INDEX(Listado!A:A,2):INDEX(Listado!A:A,ROW())&lt;&gt;""),ROW(INDEX(Listado!A:A,2):INDEX(Listado!A:A,ROW()))),""))</f>
        <v/>
      </c>
      <c r="O1692" s="17" t="str">
        <f>IFERROR(IF(N1692="","",IF(INDEX(Listado!M:M,N1692)="No",IF(INDEX(Listado!N:N,N1692)=0,"",INDEX(Listado!N:N,N1692)),IF(INDEX(Listado!I:I,N1692)=0,"",INDEX(Listado!I:I,N1692)))),"")</f>
        <v/>
      </c>
      <c r="P1692" s="17">
        <f t="shared" ca="1" si="79"/>
        <v/>
      </c>
      <c r="Q1692" s="17">
        <f>IFERROR(IF(AND(N1692&lt;&gt;"",ISNUMBER(O1692),O1692&gt;0,O1692&gt;=TODAY()-90),1,0),0)</f>
        <v/>
      </c>
      <c r="R1692" s="17" t="str">
        <f t="shared" si="81"/>
        <v/>
      </c>
      <c r="S1692" s="17" t="str">
        <f>IF(INDEX(Listado!A:A,ROW())="","",INDEX(Listado!A:A,ROW()))</f>
        <v/>
      </c>
      <c r="T1692" s="17" t="str">
        <f ca="1">IF(INDEX(Listado!G:G,ROW())="","",INDEX(Listado!G:G,ROW()))</f>
        <v/>
      </c>
      <c r="U1692" s="17" t="str">
        <f>IF(INDEX(Listado!F:F,ROW())="","",INDEX(Listado!F:F,ROW()))</f>
        <v/>
      </c>
      <c r="V1692" s="17">
        <f>IF(COUNTA(INDEX(Listado!B:B,ROW()):INDEX(Listado!F:F,ROW()))&gt;0,1,0)</f>
        <v/>
      </c>
      <c r="W1692" s="17" t="str">
        <f>IF(INDEX(Listado!L:L,ROW())="","",INDEX(Listado!L:L,ROW()))</f>
        <v/>
      </c>
      <c r="X1692" s="17">
        <f>IF(N1692="","",IF(INDEX(Listado!$M:$M,N1692)="No","No","Sí"))</f>
        <v/>
      </c>
    </row>
    <row r="1693" spans="2:24" ht="14.25">
      <c r="N1693" s="17" t="str">
        <f>IF(V1693=0,"",IFERROR(LOOKUP(2,1/(INDEX(Listado!A:A,2):INDEX(Listado!A:A,ROW())&lt;&gt;""),ROW(INDEX(Listado!A:A,2):INDEX(Listado!A:A,ROW()))),""))</f>
        <v/>
      </c>
      <c r="O1693" s="17" t="str">
        <f>IFERROR(IF(N1693="","",IF(INDEX(Listado!M:M,N1693)="No",IF(INDEX(Listado!N:N,N1693)=0,"",INDEX(Listado!N:N,N1693)),IF(INDEX(Listado!I:I,N1693)=0,"",INDEX(Listado!I:I,N1693)))),"")</f>
        <v/>
      </c>
      <c r="P1693" s="17">
        <f t="shared" ca="1" si="79"/>
        <v/>
      </c>
      <c r="Q1693" s="17">
        <f>IFERROR(IF(AND(N1693&lt;&gt;"",ISNUMBER(O1693),O1693&gt;0,O1693&gt;=TODAY()-90),1,0),0)</f>
        <v/>
      </c>
      <c r="R1693" s="17" t="str">
        <f t="shared" si="81"/>
        <v/>
      </c>
      <c r="S1693" s="17" t="str">
        <f>IF(INDEX(Listado!A:A,ROW())="","",INDEX(Listado!A:A,ROW()))</f>
        <v/>
      </c>
      <c r="T1693" s="17" t="str">
        <f ca="1">IF(INDEX(Listado!G:G,ROW())="","",INDEX(Listado!G:G,ROW()))</f>
        <v/>
      </c>
      <c r="U1693" s="17" t="str">
        <f>IF(INDEX(Listado!F:F,ROW())="","",INDEX(Listado!F:F,ROW()))</f>
        <v/>
      </c>
      <c r="V1693" s="17">
        <f>IF(COUNTA(INDEX(Listado!B:B,ROW()):INDEX(Listado!F:F,ROW()))&gt;0,1,0)</f>
        <v/>
      </c>
      <c r="W1693" s="17" t="str">
        <f>IF(INDEX(Listado!L:L,ROW())="","",INDEX(Listado!L:L,ROW()))</f>
        <v/>
      </c>
      <c r="X1693" s="17">
        <f>IF(N1693="","",IF(INDEX(Listado!$M:$M,N1693)="No","No","Sí"))</f>
        <v/>
      </c>
    </row>
    <row r="1694" spans="2:24" ht="14.25">
      <c r="N1694" s="17" t="str">
        <f>IF(V1694=0,"",IFERROR(LOOKUP(2,1/(INDEX(Listado!A:A,2):INDEX(Listado!A:A,ROW())&lt;&gt;""),ROW(INDEX(Listado!A:A,2):INDEX(Listado!A:A,ROW()))),""))</f>
        <v/>
      </c>
      <c r="O1694" s="17" t="str">
        <f>IFERROR(IF(N1694="","",IF(INDEX(Listado!M:M,N1694)="No",IF(INDEX(Listado!N:N,N1694)=0,"",INDEX(Listado!N:N,N1694)),IF(INDEX(Listado!I:I,N1694)=0,"",INDEX(Listado!I:I,N1694)))),"")</f>
        <v/>
      </c>
      <c r="P1694" s="17">
        <f t="shared" ca="1" si="79"/>
        <v/>
      </c>
      <c r="Q1694" s="17">
        <f>IFERROR(IF(AND(N1694&lt;&gt;"",ISNUMBER(O1694),O1694&gt;0,O1694&gt;=TODAY()-90),1,0),0)</f>
        <v/>
      </c>
      <c r="R1694" s="17" t="str">
        <f t="shared" si="81"/>
        <v/>
      </c>
      <c r="S1694" s="17" t="str">
        <f>IF(INDEX(Listado!A:A,ROW())="","",INDEX(Listado!A:A,ROW()))</f>
        <v/>
      </c>
      <c r="T1694" s="17" t="str">
        <f ca="1">IF(INDEX(Listado!G:G,ROW())="","",INDEX(Listado!G:G,ROW()))</f>
        <v/>
      </c>
      <c r="U1694" s="17" t="str">
        <f>IF(INDEX(Listado!F:F,ROW())="","",INDEX(Listado!F:F,ROW()))</f>
        <v/>
      </c>
      <c r="V1694" s="17">
        <f>IF(COUNTA(INDEX(Listado!B:B,ROW()):INDEX(Listado!F:F,ROW()))&gt;0,1,0)</f>
        <v/>
      </c>
      <c r="W1694" s="17" t="str">
        <f>IF(INDEX(Listado!L:L,ROW())="","",INDEX(Listado!L:L,ROW()))</f>
        <v/>
      </c>
      <c r="X1694" s="17">
        <f>IF(N1694="","",IF(INDEX(Listado!$M:$M,N1694)="No","No","Sí"))</f>
        <v/>
      </c>
    </row>
    <row r="1695" spans="2:24" ht="14.25">
      <c r="N1695" s="17" t="str">
        <f>IF(V1695=0,"",IFERROR(LOOKUP(2,1/(INDEX(Listado!A:A,2):INDEX(Listado!A:A,ROW())&lt;&gt;""),ROW(INDEX(Listado!A:A,2):INDEX(Listado!A:A,ROW()))),""))</f>
        <v/>
      </c>
      <c r="O1695" s="17" t="str">
        <f>IFERROR(IF(N1695="","",IF(INDEX(Listado!M:M,N1695)="No",IF(INDEX(Listado!N:N,N1695)=0,"",INDEX(Listado!N:N,N1695)),IF(INDEX(Listado!I:I,N1695)=0,"",INDEX(Listado!I:I,N1695)))),"")</f>
        <v/>
      </c>
      <c r="P1695" s="17">
        <f t="shared" ca="1" si="79"/>
        <v/>
      </c>
      <c r="Q1695" s="17">
        <f>IFERROR(IF(AND(N1695&lt;&gt;"",ISNUMBER(O1695),O1695&gt;0,O1695&gt;=TODAY()-90),1,0),0)</f>
        <v/>
      </c>
      <c r="R1695" s="17" t="str">
        <f t="shared" si="81"/>
        <v/>
      </c>
      <c r="S1695" s="17" t="str">
        <f>IF(INDEX(Listado!A:A,ROW())="","",INDEX(Listado!A:A,ROW()))</f>
        <v/>
      </c>
      <c r="T1695" s="17" t="str">
        <f ca="1">IF(INDEX(Listado!G:G,ROW())="","",INDEX(Listado!G:G,ROW()))</f>
        <v/>
      </c>
      <c r="U1695" s="17" t="str">
        <f>IF(INDEX(Listado!F:F,ROW())="","",INDEX(Listado!F:F,ROW()))</f>
        <v/>
      </c>
      <c r="V1695" s="17">
        <f>IF(COUNTA(INDEX(Listado!B:B,ROW()):INDEX(Listado!F:F,ROW()))&gt;0,1,0)</f>
        <v/>
      </c>
      <c r="W1695" s="17" t="str">
        <f>IF(INDEX(Listado!L:L,ROW())="","",INDEX(Listado!L:L,ROW()))</f>
        <v/>
      </c>
      <c r="X1695" s="17">
        <f>IF(N1695="","",IF(INDEX(Listado!$M:$M,N1695)="No","No","Sí"))</f>
        <v/>
      </c>
    </row>
    <row r="1696" spans="2:24" ht="14.25">
      <c r="N1696" s="17" t="str">
        <f>IF(V1696=0,"",IFERROR(LOOKUP(2,1/(INDEX(Listado!A:A,2):INDEX(Listado!A:A,ROW())&lt;&gt;""),ROW(INDEX(Listado!A:A,2):INDEX(Listado!A:A,ROW()))),""))</f>
        <v/>
      </c>
      <c r="O1696" s="17" t="str">
        <f>IFERROR(IF(N1696="","",IF(INDEX(Listado!M:M,N1696)="No",IF(INDEX(Listado!N:N,N1696)=0,"",INDEX(Listado!N:N,N1696)),IF(INDEX(Listado!I:I,N1696)=0,"",INDEX(Listado!I:I,N1696)))),"")</f>
        <v/>
      </c>
      <c r="P1696" s="17">
        <f t="shared" ca="1" si="79"/>
        <v/>
      </c>
      <c r="Q1696" s="17">
        <f>IFERROR(IF(AND(N1696&lt;&gt;"",ISNUMBER(O1696),O1696&gt;0,O1696&gt;=TODAY()-90),1,0),0)</f>
        <v/>
      </c>
      <c r="R1696" s="17" t="str">
        <f t="shared" si="81"/>
        <v/>
      </c>
      <c r="S1696" s="17" t="str">
        <f>IF(INDEX(Listado!A:A,ROW())="","",INDEX(Listado!A:A,ROW()))</f>
        <v/>
      </c>
      <c r="T1696" s="17" t="str">
        <f ca="1">IF(INDEX(Listado!G:G,ROW())="","",INDEX(Listado!G:G,ROW()))</f>
        <v/>
      </c>
      <c r="U1696" s="17" t="str">
        <f>IF(INDEX(Listado!F:F,ROW())="","",INDEX(Listado!F:F,ROW()))</f>
        <v/>
      </c>
      <c r="V1696" s="17">
        <f>IF(COUNTA(INDEX(Listado!B:B,ROW()):INDEX(Listado!F:F,ROW()))&gt;0,1,0)</f>
        <v/>
      </c>
      <c r="W1696" s="17" t="str">
        <f>IF(INDEX(Listado!L:L,ROW())="","",INDEX(Listado!L:L,ROW()))</f>
        <v/>
      </c>
      <c r="X1696" s="17">
        <f>IF(N1696="","",IF(INDEX(Listado!$M:$M,N1696)="No","No","Sí"))</f>
        <v/>
      </c>
    </row>
    <row r="1697" spans="2:24" ht="14.25">
      <c r="N1697" s="17" t="str">
        <f>IF(V1697=0,"",IFERROR(LOOKUP(2,1/(INDEX(Listado!A:A,2):INDEX(Listado!A:A,ROW())&lt;&gt;""),ROW(INDEX(Listado!A:A,2):INDEX(Listado!A:A,ROW()))),""))</f>
        <v/>
      </c>
      <c r="O1697" s="17" t="str">
        <f>IFERROR(IF(N1697="","",IF(INDEX(Listado!M:M,N1697)="No",IF(INDEX(Listado!N:N,N1697)=0,"",INDEX(Listado!N:N,N1697)),IF(INDEX(Listado!I:I,N1697)=0,"",INDEX(Listado!I:I,N1697)))),"")</f>
        <v/>
      </c>
      <c r="P1697" s="17">
        <f t="shared" ca="1" si="79"/>
        <v/>
      </c>
      <c r="Q1697" s="17">
        <f>IFERROR(IF(AND(N1697&lt;&gt;"",ISNUMBER(O1697),O1697&gt;0,O1697&gt;=TODAY()-90),1,0),0)</f>
        <v/>
      </c>
      <c r="R1697" s="17" t="str">
        <f t="shared" si="81"/>
        <v/>
      </c>
      <c r="S1697" s="17" t="str">
        <f>IF(INDEX(Listado!A:A,ROW())="","",INDEX(Listado!A:A,ROW()))</f>
        <v/>
      </c>
      <c r="T1697" s="17" t="str">
        <f ca="1">IF(INDEX(Listado!G:G,ROW())="","",INDEX(Listado!G:G,ROW()))</f>
        <v/>
      </c>
      <c r="U1697" s="17" t="str">
        <f>IF(INDEX(Listado!F:F,ROW())="","",INDEX(Listado!F:F,ROW()))</f>
        <v/>
      </c>
      <c r="V1697" s="17">
        <f>IF(COUNTA(INDEX(Listado!B:B,ROW()):INDEX(Listado!F:F,ROW()))&gt;0,1,0)</f>
        <v/>
      </c>
      <c r="W1697" s="17" t="str">
        <f>IF(INDEX(Listado!L:L,ROW())="","",INDEX(Listado!L:L,ROW()))</f>
        <v/>
      </c>
      <c r="X1697" s="17">
        <f>IF(N1697="","",IF(INDEX(Listado!$M:$M,N1697)="No","No","Sí"))</f>
        <v/>
      </c>
    </row>
    <row r="1698" spans="2:24" ht="14.25">
      <c r="N1698" s="17" t="str">
        <f>IF(V1698=0,"",IFERROR(LOOKUP(2,1/(INDEX(Listado!A:A,2):INDEX(Listado!A:A,ROW())&lt;&gt;""),ROW(INDEX(Listado!A:A,2):INDEX(Listado!A:A,ROW()))),""))</f>
        <v/>
      </c>
      <c r="O1698" s="17" t="str">
        <f>IFERROR(IF(N1698="","",IF(INDEX(Listado!M:M,N1698)="No",IF(INDEX(Listado!N:N,N1698)=0,"",INDEX(Listado!N:N,N1698)),IF(INDEX(Listado!I:I,N1698)=0,"",INDEX(Listado!I:I,N1698)))),"")</f>
        <v/>
      </c>
      <c r="P1698" s="17">
        <f t="shared" ca="1" si="79"/>
        <v/>
      </c>
      <c r="Q1698" s="17">
        <f>IFERROR(IF(AND(N1698&lt;&gt;"",ISNUMBER(O1698),O1698&gt;0,O1698&gt;=TODAY()-90),1,0),0)</f>
        <v/>
      </c>
      <c r="R1698" s="17" t="str">
        <f t="shared" si="81"/>
        <v/>
      </c>
      <c r="S1698" s="17" t="str">
        <f>IF(INDEX(Listado!A:A,ROW())="","",INDEX(Listado!A:A,ROW()))</f>
        <v/>
      </c>
      <c r="T1698" s="17" t="str">
        <f ca="1">IF(INDEX(Listado!G:G,ROW())="","",INDEX(Listado!G:G,ROW()))</f>
        <v/>
      </c>
      <c r="U1698" s="17" t="str">
        <f>IF(INDEX(Listado!F:F,ROW())="","",INDEX(Listado!F:F,ROW()))</f>
        <v/>
      </c>
      <c r="V1698" s="17">
        <f>IF(COUNTA(INDEX(Listado!B:B,ROW()):INDEX(Listado!F:F,ROW()))&gt;0,1,0)</f>
        <v/>
      </c>
      <c r="W1698" s="17" t="str">
        <f>IF(INDEX(Listado!L:L,ROW())="","",INDEX(Listado!L:L,ROW()))</f>
        <v/>
      </c>
      <c r="X1698" s="17">
        <f>IF(N1698="","",IF(INDEX(Listado!$M:$M,N1698)="No","No","Sí"))</f>
        <v/>
      </c>
    </row>
    <row r="1699" spans="2:24" ht="14.25">
      <c r="N1699" s="17" t="str">
        <f>IF(V1699=0,"",IFERROR(LOOKUP(2,1/(INDEX(Listado!A:A,2):INDEX(Listado!A:A,ROW())&lt;&gt;""),ROW(INDEX(Listado!A:A,2):INDEX(Listado!A:A,ROW()))),""))</f>
        <v/>
      </c>
      <c r="O1699" s="17" t="str">
        <f>IFERROR(IF(N1699="","",IF(INDEX(Listado!M:M,N1699)="No",IF(INDEX(Listado!N:N,N1699)=0,"",INDEX(Listado!N:N,N1699)),IF(INDEX(Listado!I:I,N1699)=0,"",INDEX(Listado!I:I,N1699)))),"")</f>
        <v/>
      </c>
      <c r="P1699" s="17">
        <f t="shared" ca="1" si="79"/>
        <v/>
      </c>
      <c r="Q1699" s="17">
        <f>IFERROR(IF(AND(N1699&lt;&gt;"",ISNUMBER(O1699),O1699&gt;0,O1699&gt;=TODAY()-90),1,0),0)</f>
        <v/>
      </c>
      <c r="R1699" s="17" t="str">
        <f t="shared" si="81"/>
        <v/>
      </c>
      <c r="S1699" s="17" t="str">
        <f>IF(INDEX(Listado!A:A,ROW())="","",INDEX(Listado!A:A,ROW()))</f>
        <v/>
      </c>
      <c r="T1699" s="17" t="str">
        <f ca="1">IF(INDEX(Listado!G:G,ROW())="","",INDEX(Listado!G:G,ROW()))</f>
        <v/>
      </c>
      <c r="U1699" s="17" t="str">
        <f>IF(INDEX(Listado!F:F,ROW())="","",INDEX(Listado!F:F,ROW()))</f>
        <v/>
      </c>
      <c r="V1699" s="17">
        <f>IF(COUNTA(INDEX(Listado!B:B,ROW()):INDEX(Listado!F:F,ROW()))&gt;0,1,0)</f>
        <v/>
      </c>
      <c r="W1699" s="17" t="str">
        <f>IF(INDEX(Listado!L:L,ROW())="","",INDEX(Listado!L:L,ROW()))</f>
        <v/>
      </c>
      <c r="X1699" s="17">
        <f>IF(N1699="","",IF(INDEX(Listado!$M:$M,N1699)="No","No","Sí"))</f>
        <v/>
      </c>
    </row>
    <row r="1700" spans="2:24" ht="14.25">
      <c r="N1700" s="17" t="str">
        <f>IF(V1700=0,"",IFERROR(LOOKUP(2,1/(INDEX(Listado!A:A,2):INDEX(Listado!A:A,ROW())&lt;&gt;""),ROW(INDEX(Listado!A:A,2):INDEX(Listado!A:A,ROW()))),""))</f>
        <v/>
      </c>
      <c r="O1700" s="17" t="str">
        <f>IFERROR(IF(N1700="","",IF(INDEX(Listado!M:M,N1700)="No",IF(INDEX(Listado!N:N,N1700)=0,"",INDEX(Listado!N:N,N1700)),IF(INDEX(Listado!I:I,N1700)=0,"",INDEX(Listado!I:I,N1700)))),"")</f>
        <v/>
      </c>
      <c r="P1700" s="17">
        <f t="shared" ca="1" si="79"/>
        <v/>
      </c>
      <c r="Q1700" s="17">
        <f>IFERROR(IF(AND(N1700&lt;&gt;"",ISNUMBER(O1700),O1700&gt;0,O1700&gt;=TODAY()-90),1,0),0)</f>
        <v/>
      </c>
      <c r="R1700" s="17" t="str">
        <f t="shared" si="81"/>
        <v/>
      </c>
      <c r="S1700" s="17" t="str">
        <f>IF(INDEX(Listado!A:A,ROW())="","",INDEX(Listado!A:A,ROW()))</f>
        <v/>
      </c>
      <c r="T1700" s="17" t="str">
        <f ca="1">IF(INDEX(Listado!G:G,ROW())="","",INDEX(Listado!G:G,ROW()))</f>
        <v/>
      </c>
      <c r="U1700" s="17" t="str">
        <f>IF(INDEX(Listado!F:F,ROW())="","",INDEX(Listado!F:F,ROW()))</f>
        <v/>
      </c>
      <c r="V1700" s="17">
        <f>IF(COUNTA(INDEX(Listado!B:B,ROW()):INDEX(Listado!F:F,ROW()))&gt;0,1,0)</f>
        <v/>
      </c>
      <c r="W1700" s="17" t="str">
        <f>IF(INDEX(Listado!L:L,ROW())="","",INDEX(Listado!L:L,ROW()))</f>
        <v/>
      </c>
      <c r="X1700" s="17">
        <f>IF(N1700="","",IF(INDEX(Listado!$M:$M,N1700)="No","No","Sí"))</f>
        <v/>
      </c>
    </row>
    <row r="1701" spans="2:24" ht="14.25">
      <c r="N1701" s="17" t="str">
        <f>IF(V1701=0,"",IFERROR(LOOKUP(2,1/(INDEX(Listado!A:A,2):INDEX(Listado!A:A,ROW())&lt;&gt;""),ROW(INDEX(Listado!A:A,2):INDEX(Listado!A:A,ROW()))),""))</f>
        <v/>
      </c>
      <c r="O1701" s="17" t="str">
        <f>IFERROR(IF(N1701="","",IF(INDEX(Listado!M:M,N1701)="No",IF(INDEX(Listado!N:N,N1701)=0,"",INDEX(Listado!N:N,N1701)),IF(INDEX(Listado!I:I,N1701)=0,"",INDEX(Listado!I:I,N1701)))),"")</f>
        <v/>
      </c>
      <c r="P1701" s="17">
        <f t="shared" ca="1" si="79"/>
        <v/>
      </c>
      <c r="Q1701" s="17">
        <f>IFERROR(IF(AND(N1701&lt;&gt;"",ISNUMBER(O1701),O1701&gt;0,O1701&gt;=TODAY()-90),1,0),0)</f>
        <v/>
      </c>
      <c r="R1701" s="17" t="str">
        <f t="shared" si="81"/>
        <v/>
      </c>
      <c r="S1701" s="17" t="str">
        <f>IF(INDEX(Listado!A:A,ROW())="","",INDEX(Listado!A:A,ROW()))</f>
        <v/>
      </c>
      <c r="T1701" s="17" t="str">
        <f ca="1">IF(INDEX(Listado!G:G,ROW())="","",INDEX(Listado!G:G,ROW()))</f>
        <v/>
      </c>
      <c r="U1701" s="17" t="str">
        <f>IF(INDEX(Listado!F:F,ROW())="","",INDEX(Listado!F:F,ROW()))</f>
        <v/>
      </c>
      <c r="V1701" s="17">
        <f>IF(COUNTA(INDEX(Listado!B:B,ROW()):INDEX(Listado!F:F,ROW()))&gt;0,1,0)</f>
        <v/>
      </c>
      <c r="W1701" s="17" t="str">
        <f>IF(INDEX(Listado!L:L,ROW())="","",INDEX(Listado!L:L,ROW()))</f>
        <v/>
      </c>
      <c r="X1701" s="17">
        <f>IF(N1701="","",IF(INDEX(Listado!$M:$M,N1701)="No","No","Sí"))</f>
        <v/>
      </c>
    </row>
    <row r="1702" spans="2:24" ht="14.25">
      <c r="N1702" s="17" t="str">
        <f>IF(V1702=0,"",IFERROR(LOOKUP(2,1/(INDEX(Listado!A:A,2):INDEX(Listado!A:A,ROW())&lt;&gt;""),ROW(INDEX(Listado!A:A,2):INDEX(Listado!A:A,ROW()))),""))</f>
        <v/>
      </c>
      <c r="O1702" s="17" t="str">
        <f>IFERROR(IF(N1702="","",IF(INDEX(Listado!M:M,N1702)="No",IF(INDEX(Listado!N:N,N1702)=0,"",INDEX(Listado!N:N,N1702)),IF(INDEX(Listado!I:I,N1702)=0,"",INDEX(Listado!I:I,N1702)))),"")</f>
        <v/>
      </c>
      <c r="P1702" s="17">
        <f t="shared" ca="1" si="79"/>
        <v/>
      </c>
      <c r="Q1702" s="17">
        <f>IFERROR(IF(AND(N1702&lt;&gt;"",ISNUMBER(O1702),O1702&gt;0,O1702&gt;=TODAY()-90),1,0),0)</f>
        <v/>
      </c>
      <c r="R1702" s="17" t="str">
        <f t="shared" si="81"/>
        <v/>
      </c>
      <c r="S1702" s="17" t="str">
        <f>IF(INDEX(Listado!A:A,ROW())="","",INDEX(Listado!A:A,ROW()))</f>
        <v/>
      </c>
      <c r="T1702" s="17" t="str">
        <f ca="1">IF(INDEX(Listado!G:G,ROW())="","",INDEX(Listado!G:G,ROW()))</f>
        <v/>
      </c>
      <c r="U1702" s="17" t="str">
        <f>IF(INDEX(Listado!F:F,ROW())="","",INDEX(Listado!F:F,ROW()))</f>
        <v/>
      </c>
      <c r="V1702" s="17">
        <f>IF(COUNTA(INDEX(Listado!B:B,ROW()):INDEX(Listado!F:F,ROW()))&gt;0,1,0)</f>
        <v/>
      </c>
      <c r="W1702" s="17" t="str">
        <f>IF(INDEX(Listado!L:L,ROW())="","",INDEX(Listado!L:L,ROW()))</f>
        <v/>
      </c>
      <c r="X1702" s="17">
        <f>IF(N1702="","",IF(INDEX(Listado!$M:$M,N1702)="No","No","Sí"))</f>
        <v/>
      </c>
    </row>
    <row r="1703" spans="2:24" ht="14.25">
      <c r="N1703" s="17" t="str">
        <f>IF(V1703=0,"",IFERROR(LOOKUP(2,1/(INDEX(Listado!A:A,2):INDEX(Listado!A:A,ROW())&lt;&gt;""),ROW(INDEX(Listado!A:A,2):INDEX(Listado!A:A,ROW()))),""))</f>
        <v/>
      </c>
      <c r="O1703" s="17" t="str">
        <f>IFERROR(IF(N1703="","",IF(INDEX(Listado!M:M,N1703)="No",IF(INDEX(Listado!N:N,N1703)=0,"",INDEX(Listado!N:N,N1703)),IF(INDEX(Listado!I:I,N1703)=0,"",INDEX(Listado!I:I,N1703)))),"")</f>
        <v/>
      </c>
      <c r="P1703" s="17">
        <f t="shared" ca="1" si="79"/>
        <v/>
      </c>
      <c r="Q1703" s="17">
        <f>IFERROR(IF(AND(N1703&lt;&gt;"",ISNUMBER(O1703),O1703&gt;0,O1703&gt;=TODAY()-90),1,0),0)</f>
        <v/>
      </c>
      <c r="R1703" s="17" t="str">
        <f t="shared" si="81"/>
        <v/>
      </c>
      <c r="S1703" s="17" t="str">
        <f>IF(INDEX(Listado!A:A,ROW())="","",INDEX(Listado!A:A,ROW()))</f>
        <v/>
      </c>
      <c r="T1703" s="17" t="str">
        <f ca="1">IF(INDEX(Listado!G:G,ROW())="","",INDEX(Listado!G:G,ROW()))</f>
        <v/>
      </c>
      <c r="U1703" s="17" t="str">
        <f>IF(INDEX(Listado!F:F,ROW())="","",INDEX(Listado!F:F,ROW()))</f>
        <v/>
      </c>
      <c r="V1703" s="17">
        <f>IF(COUNTA(INDEX(Listado!B:B,ROW()):INDEX(Listado!F:F,ROW()))&gt;0,1,0)</f>
        <v/>
      </c>
      <c r="W1703" s="17" t="str">
        <f>IF(INDEX(Listado!L:L,ROW())="","",INDEX(Listado!L:L,ROW()))</f>
        <v/>
      </c>
      <c r="X1703" s="17">
        <f>IF(N1703="","",IF(INDEX(Listado!$M:$M,N1703)="No","No","Sí"))</f>
        <v/>
      </c>
    </row>
    <row r="1704" spans="2:24" ht="14.25">
      <c r="N1704" s="17" t="str">
        <f>IF(V1704=0,"",IFERROR(LOOKUP(2,1/(INDEX(Listado!A:A,2):INDEX(Listado!A:A,ROW())&lt;&gt;""),ROW(INDEX(Listado!A:A,2):INDEX(Listado!A:A,ROW()))),""))</f>
        <v/>
      </c>
      <c r="O1704" s="17" t="str">
        <f>IFERROR(IF(N1704="","",IF(INDEX(Listado!M:M,N1704)="No",IF(INDEX(Listado!N:N,N1704)=0,"",INDEX(Listado!N:N,N1704)),IF(INDEX(Listado!I:I,N1704)=0,"",INDEX(Listado!I:I,N1704)))),"")</f>
        <v/>
      </c>
      <c r="P1704" s="17">
        <f t="shared" ca="1" si="79"/>
        <v/>
      </c>
      <c r="Q1704" s="17">
        <f>IFERROR(IF(AND(N1704&lt;&gt;"",ISNUMBER(O1704),O1704&gt;0,O1704&gt;=TODAY()-90),1,0),0)</f>
        <v/>
      </c>
      <c r="R1704" s="17" t="str">
        <f t="shared" si="81"/>
        <v/>
      </c>
      <c r="S1704" s="17" t="str">
        <f>IF(INDEX(Listado!A:A,ROW())="","",INDEX(Listado!A:A,ROW()))</f>
        <v/>
      </c>
      <c r="T1704" s="17" t="str">
        <f ca="1">IF(INDEX(Listado!G:G,ROW())="","",INDEX(Listado!G:G,ROW()))</f>
        <v/>
      </c>
      <c r="U1704" s="17" t="str">
        <f>IF(INDEX(Listado!F:F,ROW())="","",INDEX(Listado!F:F,ROW()))</f>
        <v/>
      </c>
      <c r="V1704" s="17">
        <f>IF(COUNTA(INDEX(Listado!B:B,ROW()):INDEX(Listado!F:F,ROW()))&gt;0,1,0)</f>
        <v/>
      </c>
      <c r="W1704" s="17" t="str">
        <f>IF(INDEX(Listado!L:L,ROW())="","",INDEX(Listado!L:L,ROW()))</f>
        <v/>
      </c>
      <c r="X1704" s="17">
        <f>IF(N1704="","",IF(INDEX(Listado!$M:$M,N1704)="No","No","Sí"))</f>
        <v/>
      </c>
    </row>
    <row r="1705" spans="2:24" ht="14.25">
      <c r="N1705" s="17" t="str">
        <f>IF(V1705=0,"",IFERROR(LOOKUP(2,1/(INDEX(Listado!A:A,2):INDEX(Listado!A:A,ROW())&lt;&gt;""),ROW(INDEX(Listado!A:A,2):INDEX(Listado!A:A,ROW()))),""))</f>
        <v/>
      </c>
      <c r="O1705" s="17" t="str">
        <f>IFERROR(IF(N1705="","",IF(INDEX(Listado!M:M,N1705)="No",IF(INDEX(Listado!N:N,N1705)=0,"",INDEX(Listado!N:N,N1705)),IF(INDEX(Listado!I:I,N1705)=0,"",INDEX(Listado!I:I,N1705)))),"")</f>
        <v/>
      </c>
      <c r="P1705" s="17">
        <f t="shared" ca="1" si="79"/>
        <v/>
      </c>
      <c r="Q1705" s="17">
        <f>IFERROR(IF(AND(N1705&lt;&gt;"",ISNUMBER(O1705),O1705&gt;0,O1705&gt;=TODAY()-90),1,0),0)</f>
        <v/>
      </c>
      <c r="R1705" s="17" t="str">
        <f t="shared" si="81"/>
        <v/>
      </c>
      <c r="S1705" s="17" t="str">
        <f>IF(INDEX(Listado!A:A,ROW())="","",INDEX(Listado!A:A,ROW()))</f>
        <v/>
      </c>
      <c r="T1705" s="17" t="str">
        <f ca="1">IF(INDEX(Listado!G:G,ROW())="","",INDEX(Listado!G:G,ROW()))</f>
        <v/>
      </c>
      <c r="U1705" s="17" t="str">
        <f>IF(INDEX(Listado!F:F,ROW())="","",INDEX(Listado!F:F,ROW()))</f>
        <v/>
      </c>
      <c r="V1705" s="17">
        <f>IF(COUNTA(INDEX(Listado!B:B,ROW()):INDEX(Listado!F:F,ROW()))&gt;0,1,0)</f>
        <v/>
      </c>
      <c r="W1705" s="17" t="str">
        <f>IF(INDEX(Listado!L:L,ROW())="","",INDEX(Listado!L:L,ROW()))</f>
        <v/>
      </c>
      <c r="X1705" s="17">
        <f>IF(N1705="","",IF(INDEX(Listado!$M:$M,N1705)="No","No","Sí"))</f>
        <v/>
      </c>
    </row>
    <row r="1706" spans="2:24" ht="14.25">
      <c r="N1706" s="17" t="str">
        <f>IF(V1706=0,"",IFERROR(LOOKUP(2,1/(INDEX(Listado!A:A,2):INDEX(Listado!A:A,ROW())&lt;&gt;""),ROW(INDEX(Listado!A:A,2):INDEX(Listado!A:A,ROW()))),""))</f>
        <v/>
      </c>
      <c r="O1706" s="17" t="str">
        <f>IFERROR(IF(N1706="","",IF(INDEX(Listado!M:M,N1706)="No",IF(INDEX(Listado!N:N,N1706)=0,"",INDEX(Listado!N:N,N1706)),IF(INDEX(Listado!I:I,N1706)=0,"",INDEX(Listado!I:I,N1706)))),"")</f>
        <v/>
      </c>
      <c r="P1706" s="17">
        <f t="shared" ca="1" si="79"/>
        <v/>
      </c>
      <c r="Q1706" s="17">
        <f>IFERROR(IF(AND(N1706&lt;&gt;"",ISNUMBER(O1706),O1706&gt;0,O1706&gt;=TODAY()-90),1,0),0)</f>
        <v/>
      </c>
      <c r="R1706" s="17" t="str">
        <f t="shared" si="81"/>
        <v/>
      </c>
      <c r="S1706" s="17" t="str">
        <f>IF(INDEX(Listado!A:A,ROW())="","",INDEX(Listado!A:A,ROW()))</f>
        <v/>
      </c>
      <c r="T1706" s="17" t="str">
        <f ca="1">IF(INDEX(Listado!G:G,ROW())="","",INDEX(Listado!G:G,ROW()))</f>
        <v/>
      </c>
      <c r="U1706" s="17" t="str">
        <f>IF(INDEX(Listado!F:F,ROW())="","",INDEX(Listado!F:F,ROW()))</f>
        <v/>
      </c>
      <c r="V1706" s="17">
        <f>IF(COUNTA(INDEX(Listado!B:B,ROW()):INDEX(Listado!F:F,ROW()))&gt;0,1,0)</f>
        <v/>
      </c>
      <c r="W1706" s="17" t="str">
        <f>IF(INDEX(Listado!L:L,ROW())="","",INDEX(Listado!L:L,ROW()))</f>
        <v/>
      </c>
      <c r="X1706" s="17">
        <f>IF(N1706="","",IF(INDEX(Listado!$M:$M,N1706)="No","No","Sí"))</f>
        <v/>
      </c>
    </row>
    <row r="1707" spans="2:24" ht="14.25">
      <c r="N1707" s="17" t="str">
        <f>IF(V1707=0,"",IFERROR(LOOKUP(2,1/(INDEX(Listado!A:A,2):INDEX(Listado!A:A,ROW())&lt;&gt;""),ROW(INDEX(Listado!A:A,2):INDEX(Listado!A:A,ROW()))),""))</f>
        <v/>
      </c>
      <c r="O1707" s="17" t="str">
        <f>IFERROR(IF(N1707="","",IF(INDEX(Listado!M:M,N1707)="No",IF(INDEX(Listado!N:N,N1707)=0,"",INDEX(Listado!N:N,N1707)),IF(INDEX(Listado!I:I,N1707)=0,"",INDEX(Listado!I:I,N1707)))),"")</f>
        <v/>
      </c>
      <c r="P1707" s="17">
        <f t="shared" ca="1" si="79"/>
        <v/>
      </c>
      <c r="Q1707" s="17">
        <f>IFERROR(IF(AND(N1707&lt;&gt;"",ISNUMBER(O1707),O1707&gt;0,O1707&gt;=TODAY()-90),1,0),0)</f>
        <v/>
      </c>
      <c r="R1707" s="17" t="str">
        <f t="shared" si="81"/>
        <v/>
      </c>
      <c r="S1707" s="17" t="str">
        <f>IF(INDEX(Listado!A:A,ROW())="","",INDEX(Listado!A:A,ROW()))</f>
        <v/>
      </c>
      <c r="T1707" s="17" t="str">
        <f ca="1">IF(INDEX(Listado!G:G,ROW())="","",INDEX(Listado!G:G,ROW()))</f>
        <v/>
      </c>
      <c r="U1707" s="17" t="str">
        <f>IF(INDEX(Listado!F:F,ROW())="","",INDEX(Listado!F:F,ROW()))</f>
        <v/>
      </c>
      <c r="V1707" s="17">
        <f>IF(COUNTA(INDEX(Listado!B:B,ROW()):INDEX(Listado!F:F,ROW()))&gt;0,1,0)</f>
        <v/>
      </c>
      <c r="W1707" s="17" t="str">
        <f>IF(INDEX(Listado!L:L,ROW())="","",INDEX(Listado!L:L,ROW()))</f>
        <v/>
      </c>
      <c r="X1707" s="17">
        <f>IF(N1707="","",IF(INDEX(Listado!$M:$M,N1707)="No","No","Sí"))</f>
        <v/>
      </c>
    </row>
    <row r="1708" spans="2:24" ht="14.25">
      <c r="N1708" s="17" t="str">
        <f>IF(V1708=0,"",IFERROR(LOOKUP(2,1/(INDEX(Listado!A:A,2):INDEX(Listado!A:A,ROW())&lt;&gt;""),ROW(INDEX(Listado!A:A,2):INDEX(Listado!A:A,ROW()))),""))</f>
        <v/>
      </c>
      <c r="O1708" s="17" t="str">
        <f>IFERROR(IF(N1708="","",IF(INDEX(Listado!M:M,N1708)="No",IF(INDEX(Listado!N:N,N1708)=0,"",INDEX(Listado!N:N,N1708)),IF(INDEX(Listado!I:I,N1708)=0,"",INDEX(Listado!I:I,N1708)))),"")</f>
        <v/>
      </c>
      <c r="P1708" s="17">
        <f t="shared" ca="1" si="79"/>
        <v/>
      </c>
      <c r="Q1708" s="17">
        <f>IFERROR(IF(AND(N1708&lt;&gt;"",ISNUMBER(O1708),O1708&gt;0,O1708&gt;=TODAY()-90),1,0),0)</f>
        <v/>
      </c>
      <c r="R1708" s="17" t="str">
        <f t="shared" si="81"/>
        <v/>
      </c>
      <c r="S1708" s="17" t="str">
        <f>IF(INDEX(Listado!A:A,ROW())="","",INDEX(Listado!A:A,ROW()))</f>
        <v/>
      </c>
      <c r="T1708" s="17" t="str">
        <f ca="1">IF(INDEX(Listado!G:G,ROW())="","",INDEX(Listado!G:G,ROW()))</f>
        <v/>
      </c>
      <c r="U1708" s="17" t="str">
        <f>IF(INDEX(Listado!F:F,ROW())="","",INDEX(Listado!F:F,ROW()))</f>
        <v/>
      </c>
      <c r="V1708" s="17">
        <f>IF(COUNTA(INDEX(Listado!B:B,ROW()):INDEX(Listado!F:F,ROW()))&gt;0,1,0)</f>
        <v/>
      </c>
      <c r="W1708" s="17" t="str">
        <f>IF(INDEX(Listado!L:L,ROW())="","",INDEX(Listado!L:L,ROW()))</f>
        <v/>
      </c>
      <c r="X1708" s="17">
        <f>IF(N1708="","",IF(INDEX(Listado!$M:$M,N1708)="No","No","Sí"))</f>
        <v/>
      </c>
    </row>
    <row r="1709" spans="2:24" ht="14.25">
      <c r="N1709" s="17" t="str">
        <f>IF(V1709=0,"",IFERROR(LOOKUP(2,1/(INDEX(Listado!A:A,2):INDEX(Listado!A:A,ROW())&lt;&gt;""),ROW(INDEX(Listado!A:A,2):INDEX(Listado!A:A,ROW()))),""))</f>
        <v/>
      </c>
      <c r="O1709" s="17" t="str">
        <f>IFERROR(IF(N1709="","",IF(INDEX(Listado!M:M,N1709)="No",IF(INDEX(Listado!N:N,N1709)=0,"",INDEX(Listado!N:N,N1709)),IF(INDEX(Listado!I:I,N1709)=0,"",INDEX(Listado!I:I,N1709)))),"")</f>
        <v/>
      </c>
      <c r="P1709" s="17">
        <f t="shared" ca="1" si="79"/>
        <v/>
      </c>
      <c r="Q1709" s="17">
        <f>IFERROR(IF(AND(N1709&lt;&gt;"",ISNUMBER(O1709),O1709&gt;0,O1709&gt;=TODAY()-90),1,0),0)</f>
        <v/>
      </c>
      <c r="R1709" s="17" t="str">
        <f t="shared" si="81"/>
        <v/>
      </c>
      <c r="S1709" s="17" t="str">
        <f>IF(INDEX(Listado!A:A,ROW())="","",INDEX(Listado!A:A,ROW()))</f>
        <v/>
      </c>
      <c r="T1709" s="17" t="str">
        <f ca="1">IF(INDEX(Listado!G:G,ROW())="","",INDEX(Listado!G:G,ROW()))</f>
        <v/>
      </c>
      <c r="U1709" s="17" t="str">
        <f>IF(INDEX(Listado!F:F,ROW())="","",INDEX(Listado!F:F,ROW()))</f>
        <v/>
      </c>
      <c r="V1709" s="17">
        <f>IF(COUNTA(INDEX(Listado!B:B,ROW()):INDEX(Listado!F:F,ROW()))&gt;0,1,0)</f>
        <v/>
      </c>
      <c r="W1709" s="17" t="str">
        <f>IF(INDEX(Listado!L:L,ROW())="","",INDEX(Listado!L:L,ROW()))</f>
        <v/>
      </c>
      <c r="X1709" s="17">
        <f>IF(N1709="","",IF(INDEX(Listado!$M:$M,N1709)="No","No","Sí"))</f>
        <v/>
      </c>
    </row>
    <row r="1710" spans="2:24" ht="14.25">
      <c r="N1710" s="17" t="str">
        <f>IF(V1710=0,"",IFERROR(LOOKUP(2,1/(INDEX(Listado!A:A,2):INDEX(Listado!A:A,ROW())&lt;&gt;""),ROW(INDEX(Listado!A:A,2):INDEX(Listado!A:A,ROW()))),""))</f>
        <v/>
      </c>
      <c r="O1710" s="17" t="str">
        <f>IFERROR(IF(N1710="","",IF(INDEX(Listado!M:M,N1710)="No",IF(INDEX(Listado!N:N,N1710)=0,"",INDEX(Listado!N:N,N1710)),IF(INDEX(Listado!I:I,N1710)=0,"",INDEX(Listado!I:I,N1710)))),"")</f>
        <v/>
      </c>
      <c r="P1710" s="17">
        <f t="shared" ca="1" si="79"/>
        <v/>
      </c>
      <c r="Q1710" s="17">
        <f>IFERROR(IF(AND(N1710&lt;&gt;"",ISNUMBER(O1710),O1710&gt;0,O1710&gt;=TODAY()-90),1,0),0)</f>
        <v/>
      </c>
      <c r="R1710" s="17" t="str">
        <f t="shared" si="81"/>
        <v/>
      </c>
      <c r="S1710" s="17" t="str">
        <f>IF(INDEX(Listado!A:A,ROW())="","",INDEX(Listado!A:A,ROW()))</f>
        <v/>
      </c>
      <c r="T1710" s="17" t="str">
        <f ca="1">IF(INDEX(Listado!G:G,ROW())="","",INDEX(Listado!G:G,ROW()))</f>
        <v/>
      </c>
      <c r="U1710" s="17" t="str">
        <f>IF(INDEX(Listado!F:F,ROW())="","",INDEX(Listado!F:F,ROW()))</f>
        <v/>
      </c>
      <c r="V1710" s="17">
        <f>IF(COUNTA(INDEX(Listado!B:B,ROW()):INDEX(Listado!F:F,ROW()))&gt;0,1,0)</f>
        <v/>
      </c>
      <c r="W1710" s="17" t="str">
        <f>IF(INDEX(Listado!L:L,ROW())="","",INDEX(Listado!L:L,ROW()))</f>
        <v/>
      </c>
      <c r="X1710" s="17">
        <f>IF(N1710="","",IF(INDEX(Listado!$M:$M,N1710)="No","No","Sí"))</f>
        <v/>
      </c>
    </row>
    <row r="1711" spans="2:24" ht="14.25">
      <c r="N1711" s="17" t="str">
        <f>IF(V1711=0,"",IFERROR(LOOKUP(2,1/(INDEX(Listado!A:A,2):INDEX(Listado!A:A,ROW())&lt;&gt;""),ROW(INDEX(Listado!A:A,2):INDEX(Listado!A:A,ROW()))),""))</f>
        <v/>
      </c>
      <c r="O1711" s="17" t="str">
        <f>IFERROR(IF(N1711="","",IF(INDEX(Listado!M:M,N1711)="No",IF(INDEX(Listado!N:N,N1711)=0,"",INDEX(Listado!N:N,N1711)),IF(INDEX(Listado!I:I,N1711)=0,"",INDEX(Listado!I:I,N1711)))),"")</f>
        <v/>
      </c>
      <c r="P1711" s="17">
        <f t="shared" ca="1" si="79"/>
        <v/>
      </c>
      <c r="Q1711" s="17">
        <f>IFERROR(IF(AND(N1711&lt;&gt;"",ISNUMBER(O1711),O1711&gt;0,O1711&gt;=TODAY()-90),1,0),0)</f>
        <v/>
      </c>
      <c r="R1711" s="17" t="str">
        <f t="shared" si="81"/>
        <v/>
      </c>
      <c r="S1711" s="17" t="str">
        <f>IF(INDEX(Listado!A:A,ROW())="","",INDEX(Listado!A:A,ROW()))</f>
        <v/>
      </c>
      <c r="T1711" s="17" t="str">
        <f ca="1">IF(INDEX(Listado!G:G,ROW())="","",INDEX(Listado!G:G,ROW()))</f>
        <v/>
      </c>
      <c r="U1711" s="17" t="str">
        <f>IF(INDEX(Listado!F:F,ROW())="","",INDEX(Listado!F:F,ROW()))</f>
        <v/>
      </c>
      <c r="V1711" s="17">
        <f>IF(COUNTA(INDEX(Listado!B:B,ROW()):INDEX(Listado!F:F,ROW()))&gt;0,1,0)</f>
        <v/>
      </c>
      <c r="W1711" s="17" t="str">
        <f>IF(INDEX(Listado!L:L,ROW())="","",INDEX(Listado!L:L,ROW()))</f>
        <v/>
      </c>
      <c r="X1711" s="17">
        <f>IF(N1711="","",IF(INDEX(Listado!$M:$M,N1711)="No","No","Sí"))</f>
        <v/>
      </c>
    </row>
    <row r="1712" spans="2:24" ht="14.25">
      <c r="N1712" s="17" t="str">
        <f>IF(V1712=0,"",IFERROR(LOOKUP(2,1/(INDEX(Listado!A:A,2):INDEX(Listado!A:A,ROW())&lt;&gt;""),ROW(INDEX(Listado!A:A,2):INDEX(Listado!A:A,ROW()))),""))</f>
        <v/>
      </c>
      <c r="O1712" s="17" t="str">
        <f>IFERROR(IF(N1712="","",IF(INDEX(Listado!M:M,N1712)="No",IF(INDEX(Listado!N:N,N1712)=0,"",INDEX(Listado!N:N,N1712)),IF(INDEX(Listado!I:I,N1712)=0,"",INDEX(Listado!I:I,N1712)))),"")</f>
        <v/>
      </c>
      <c r="P1712" s="17">
        <f t="shared" ca="1" si="79"/>
        <v/>
      </c>
      <c r="Q1712" s="17">
        <f>IFERROR(IF(AND(N1712&lt;&gt;"",ISNUMBER(O1712),O1712&gt;0,O1712&gt;=TODAY()-90),1,0),0)</f>
        <v/>
      </c>
      <c r="R1712" s="17" t="str">
        <f t="shared" si="81"/>
        <v/>
      </c>
      <c r="S1712" s="17" t="str">
        <f>IF(INDEX(Listado!A:A,ROW())="","",INDEX(Listado!A:A,ROW()))</f>
        <v/>
      </c>
      <c r="T1712" s="17" t="str">
        <f ca="1">IF(INDEX(Listado!G:G,ROW())="","",INDEX(Listado!G:G,ROW()))</f>
        <v/>
      </c>
      <c r="U1712" s="17" t="str">
        <f>IF(INDEX(Listado!F:F,ROW())="","",INDEX(Listado!F:F,ROW()))</f>
        <v/>
      </c>
      <c r="V1712" s="17">
        <f>IF(COUNTA(INDEX(Listado!B:B,ROW()):INDEX(Listado!F:F,ROW()))&gt;0,1,0)</f>
        <v/>
      </c>
      <c r="W1712" s="17" t="str">
        <f>IF(INDEX(Listado!L:L,ROW())="","",INDEX(Listado!L:L,ROW()))</f>
        <v/>
      </c>
      <c r="X1712" s="17">
        <f>IF(N1712="","",IF(INDEX(Listado!$M:$M,N1712)="No","No","Sí"))</f>
        <v/>
      </c>
    </row>
    <row r="1713" spans="2:24" ht="14.25">
      <c r="N1713" s="17" t="str">
        <f>IF(V1713=0,"",IFERROR(LOOKUP(2,1/(INDEX(Listado!A:A,2):INDEX(Listado!A:A,ROW())&lt;&gt;""),ROW(INDEX(Listado!A:A,2):INDEX(Listado!A:A,ROW()))),""))</f>
        <v/>
      </c>
      <c r="O1713" s="17" t="str">
        <f>IFERROR(IF(N1713="","",IF(INDEX(Listado!M:M,N1713)="No",IF(INDEX(Listado!N:N,N1713)=0,"",INDEX(Listado!N:N,N1713)),IF(INDEX(Listado!I:I,N1713)=0,"",INDEX(Listado!I:I,N1713)))),"")</f>
        <v/>
      </c>
      <c r="P1713" s="17">
        <f t="shared" ca="1" si="79"/>
        <v/>
      </c>
      <c r="Q1713" s="17">
        <f>IFERROR(IF(AND(N1713&lt;&gt;"",ISNUMBER(O1713),O1713&gt;0,O1713&gt;=TODAY()-90),1,0),0)</f>
        <v/>
      </c>
      <c r="R1713" s="17" t="str">
        <f t="shared" si="81"/>
        <v/>
      </c>
      <c r="S1713" s="17" t="str">
        <f>IF(INDEX(Listado!A:A,ROW())="","",INDEX(Listado!A:A,ROW()))</f>
        <v/>
      </c>
      <c r="T1713" s="17" t="str">
        <f ca="1">IF(INDEX(Listado!G:G,ROW())="","",INDEX(Listado!G:G,ROW()))</f>
        <v/>
      </c>
      <c r="U1713" s="17" t="str">
        <f>IF(INDEX(Listado!F:F,ROW())="","",INDEX(Listado!F:F,ROW()))</f>
        <v/>
      </c>
      <c r="V1713" s="17">
        <f>IF(COUNTA(INDEX(Listado!B:B,ROW()):INDEX(Listado!F:F,ROW()))&gt;0,1,0)</f>
        <v/>
      </c>
      <c r="W1713" s="17" t="str">
        <f>IF(INDEX(Listado!L:L,ROW())="","",INDEX(Listado!L:L,ROW()))</f>
        <v/>
      </c>
      <c r="X1713" s="17">
        <f>IF(N1713="","",IF(INDEX(Listado!$M:$M,N1713)="No","No","Sí"))</f>
        <v/>
      </c>
    </row>
    <row r="1714" spans="2:24" ht="14.25">
      <c r="N1714" s="17" t="str">
        <f>IF(V1714=0,"",IFERROR(LOOKUP(2,1/(INDEX(Listado!A:A,2):INDEX(Listado!A:A,ROW())&lt;&gt;""),ROW(INDEX(Listado!A:A,2):INDEX(Listado!A:A,ROW()))),""))</f>
        <v/>
      </c>
      <c r="O1714" s="17" t="str">
        <f>IFERROR(IF(N1714="","",IF(INDEX(Listado!M:M,N1714)="No",IF(INDEX(Listado!N:N,N1714)=0,"",INDEX(Listado!N:N,N1714)),IF(INDEX(Listado!I:I,N1714)=0,"",INDEX(Listado!I:I,N1714)))),"")</f>
        <v/>
      </c>
      <c r="P1714" s="17">
        <f t="shared" ca="1" si="79"/>
        <v/>
      </c>
      <c r="Q1714" s="17">
        <f>IFERROR(IF(AND(N1714&lt;&gt;"",ISNUMBER(O1714),O1714&gt;0,O1714&gt;=TODAY()-90),1,0),0)</f>
        <v/>
      </c>
      <c r="R1714" s="17" t="str">
        <f t="shared" si="81"/>
        <v/>
      </c>
      <c r="S1714" s="17" t="str">
        <f>IF(INDEX(Listado!A:A,ROW())="","",INDEX(Listado!A:A,ROW()))</f>
        <v/>
      </c>
      <c r="T1714" s="17" t="str">
        <f ca="1">IF(INDEX(Listado!G:G,ROW())="","",INDEX(Listado!G:G,ROW()))</f>
        <v/>
      </c>
      <c r="U1714" s="17" t="str">
        <f>IF(INDEX(Listado!F:F,ROW())="","",INDEX(Listado!F:F,ROW()))</f>
        <v/>
      </c>
      <c r="V1714" s="17">
        <f>IF(COUNTA(INDEX(Listado!B:B,ROW()):INDEX(Listado!F:F,ROW()))&gt;0,1,0)</f>
        <v/>
      </c>
      <c r="W1714" s="17" t="str">
        <f>IF(INDEX(Listado!L:L,ROW())="","",INDEX(Listado!L:L,ROW()))</f>
        <v/>
      </c>
      <c r="X1714" s="17">
        <f>IF(N1714="","",IF(INDEX(Listado!$M:$M,N1714)="No","No","Sí"))</f>
        <v/>
      </c>
    </row>
    <row r="1715" spans="2:24" ht="14.25">
      <c r="N1715" s="17" t="str">
        <f>IF(V1715=0,"",IFERROR(LOOKUP(2,1/(INDEX(Listado!A:A,2):INDEX(Listado!A:A,ROW())&lt;&gt;""),ROW(INDEX(Listado!A:A,2):INDEX(Listado!A:A,ROW()))),""))</f>
        <v/>
      </c>
      <c r="O1715" s="17" t="str">
        <f>IFERROR(IF(N1715="","",IF(INDEX(Listado!M:M,N1715)="No",IF(INDEX(Listado!N:N,N1715)=0,"",INDEX(Listado!N:N,N1715)),IF(INDEX(Listado!I:I,N1715)=0,"",INDEX(Listado!I:I,N1715)))),"")</f>
        <v/>
      </c>
      <c r="P1715" s="17">
        <f t="shared" ca="1" si="79"/>
        <v/>
      </c>
      <c r="Q1715" s="17">
        <f>IFERROR(IF(AND(N1715&lt;&gt;"",ISNUMBER(O1715),O1715&gt;0,O1715&gt;=TODAY()-90),1,0),0)</f>
        <v/>
      </c>
      <c r="R1715" s="17" t="str">
        <f t="shared" si="81"/>
        <v/>
      </c>
      <c r="S1715" s="17" t="str">
        <f>IF(INDEX(Listado!A:A,ROW())="","",INDEX(Listado!A:A,ROW()))</f>
        <v/>
      </c>
      <c r="T1715" s="17" t="str">
        <f ca="1">IF(INDEX(Listado!G:G,ROW())="","",INDEX(Listado!G:G,ROW()))</f>
        <v/>
      </c>
      <c r="U1715" s="17" t="str">
        <f>IF(INDEX(Listado!F:F,ROW())="","",INDEX(Listado!F:F,ROW()))</f>
        <v/>
      </c>
      <c r="V1715" s="17">
        <f>IF(COUNTA(INDEX(Listado!B:B,ROW()):INDEX(Listado!F:F,ROW()))&gt;0,1,0)</f>
        <v/>
      </c>
      <c r="W1715" s="17" t="str">
        <f>IF(INDEX(Listado!L:L,ROW())="","",INDEX(Listado!L:L,ROW()))</f>
        <v/>
      </c>
      <c r="X1715" s="17">
        <f>IF(N1715="","",IF(INDEX(Listado!$M:$M,N1715)="No","No","Sí"))</f>
        <v/>
      </c>
    </row>
    <row r="1716" spans="2:24" ht="14.25">
      <c r="N1716" s="17" t="str">
        <f>IF(V1716=0,"",IFERROR(LOOKUP(2,1/(INDEX(Listado!A:A,2):INDEX(Listado!A:A,ROW())&lt;&gt;""),ROW(INDEX(Listado!A:A,2):INDEX(Listado!A:A,ROW()))),""))</f>
        <v/>
      </c>
      <c r="O1716" s="17" t="str">
        <f>IFERROR(IF(N1716="","",IF(INDEX(Listado!M:M,N1716)="No",IF(INDEX(Listado!N:N,N1716)=0,"",INDEX(Listado!N:N,N1716)),IF(INDEX(Listado!I:I,N1716)=0,"",INDEX(Listado!I:I,N1716)))),"")</f>
        <v/>
      </c>
      <c r="P1716" s="17">
        <f t="shared" ca="1" si="79"/>
        <v/>
      </c>
      <c r="Q1716" s="17">
        <f>IFERROR(IF(AND(N1716&lt;&gt;"",ISNUMBER(O1716),O1716&gt;0,O1716&gt;=TODAY()-90),1,0),0)</f>
        <v/>
      </c>
      <c r="R1716" s="17" t="str">
        <f t="shared" si="81"/>
        <v/>
      </c>
      <c r="S1716" s="17" t="str">
        <f>IF(INDEX(Listado!A:A,ROW())="","",INDEX(Listado!A:A,ROW()))</f>
        <v/>
      </c>
      <c r="T1716" s="17" t="str">
        <f ca="1">IF(INDEX(Listado!G:G,ROW())="","",INDEX(Listado!G:G,ROW()))</f>
        <v/>
      </c>
      <c r="U1716" s="17" t="str">
        <f>IF(INDEX(Listado!F:F,ROW())="","",INDEX(Listado!F:F,ROW()))</f>
        <v/>
      </c>
      <c r="V1716" s="17">
        <f>IF(COUNTA(INDEX(Listado!B:B,ROW()):INDEX(Listado!F:F,ROW()))&gt;0,1,0)</f>
        <v/>
      </c>
      <c r="W1716" s="17" t="str">
        <f>IF(INDEX(Listado!L:L,ROW())="","",INDEX(Listado!L:L,ROW()))</f>
        <v/>
      </c>
      <c r="X1716" s="17">
        <f>IF(N1716="","",IF(INDEX(Listado!$M:$M,N1716)="No","No","Sí"))</f>
        <v/>
      </c>
    </row>
    <row r="1717" spans="2:24" ht="14.25">
      <c r="N1717" s="17" t="str">
        <f>IF(V1717=0,"",IFERROR(LOOKUP(2,1/(INDEX(Listado!A:A,2):INDEX(Listado!A:A,ROW())&lt;&gt;""),ROW(INDEX(Listado!A:A,2):INDEX(Listado!A:A,ROW()))),""))</f>
        <v/>
      </c>
      <c r="O1717" s="17" t="str">
        <f>IFERROR(IF(N1717="","",IF(INDEX(Listado!M:M,N1717)="No",IF(INDEX(Listado!N:N,N1717)=0,"",INDEX(Listado!N:N,N1717)),IF(INDEX(Listado!I:I,N1717)=0,"",INDEX(Listado!I:I,N1717)))),"")</f>
        <v/>
      </c>
      <c r="P1717" s="17">
        <f t="shared" ca="1" si="79"/>
        <v/>
      </c>
      <c r="Q1717" s="17">
        <f>IFERROR(IF(AND(N1717&lt;&gt;"",ISNUMBER(O1717),O1717&gt;0,O1717&gt;=TODAY()-90),1,0),0)</f>
        <v/>
      </c>
      <c r="R1717" s="17" t="str">
        <f t="shared" si="81"/>
        <v/>
      </c>
      <c r="S1717" s="17" t="str">
        <f>IF(INDEX(Listado!A:A,ROW())="","",INDEX(Listado!A:A,ROW()))</f>
        <v/>
      </c>
      <c r="T1717" s="17" t="str">
        <f ca="1">IF(INDEX(Listado!G:G,ROW())="","",INDEX(Listado!G:G,ROW()))</f>
        <v/>
      </c>
      <c r="U1717" s="17" t="str">
        <f>IF(INDEX(Listado!F:F,ROW())="","",INDEX(Listado!F:F,ROW()))</f>
        <v/>
      </c>
      <c r="V1717" s="17">
        <f>IF(COUNTA(INDEX(Listado!B:B,ROW()):INDEX(Listado!F:F,ROW()))&gt;0,1,0)</f>
        <v/>
      </c>
      <c r="W1717" s="17" t="str">
        <f>IF(INDEX(Listado!L:L,ROW())="","",INDEX(Listado!L:L,ROW()))</f>
        <v/>
      </c>
      <c r="X1717" s="17">
        <f>IF(N1717="","",IF(INDEX(Listado!$M:$M,N1717)="No","No","Sí"))</f>
        <v/>
      </c>
    </row>
    <row r="1718" spans="2:24" ht="14.25">
      <c r="N1718" s="17" t="str">
        <f>IF(V1718=0,"",IFERROR(LOOKUP(2,1/(INDEX(Listado!A:A,2):INDEX(Listado!A:A,ROW())&lt;&gt;""),ROW(INDEX(Listado!A:A,2):INDEX(Listado!A:A,ROW()))),""))</f>
        <v/>
      </c>
      <c r="O1718" s="17" t="str">
        <f>IFERROR(IF(N1718="","",IF(INDEX(Listado!M:M,N1718)="No",IF(INDEX(Listado!N:N,N1718)=0,"",INDEX(Listado!N:N,N1718)),IF(INDEX(Listado!I:I,N1718)=0,"",INDEX(Listado!I:I,N1718)))),"")</f>
        <v/>
      </c>
      <c r="P1718" s="17">
        <f t="shared" ca="1" si="79"/>
        <v/>
      </c>
      <c r="Q1718" s="17">
        <f>IFERROR(IF(AND(N1718&lt;&gt;"",ISNUMBER(O1718),O1718&gt;0,O1718&gt;=TODAY()-90),1,0),0)</f>
        <v/>
      </c>
      <c r="R1718" s="17" t="str">
        <f t="shared" si="81"/>
        <v/>
      </c>
      <c r="S1718" s="17" t="str">
        <f>IF(INDEX(Listado!A:A,ROW())="","",INDEX(Listado!A:A,ROW()))</f>
        <v/>
      </c>
      <c r="T1718" s="17" t="str">
        <f ca="1">IF(INDEX(Listado!G:G,ROW())="","",INDEX(Listado!G:G,ROW()))</f>
        <v/>
      </c>
      <c r="U1718" s="17" t="str">
        <f>IF(INDEX(Listado!F:F,ROW())="","",INDEX(Listado!F:F,ROW()))</f>
        <v/>
      </c>
      <c r="V1718" s="17">
        <f>IF(COUNTA(INDEX(Listado!B:B,ROW()):INDEX(Listado!F:F,ROW()))&gt;0,1,0)</f>
        <v/>
      </c>
      <c r="W1718" s="17" t="str">
        <f>IF(INDEX(Listado!L:L,ROW())="","",INDEX(Listado!L:L,ROW()))</f>
        <v/>
      </c>
      <c r="X1718" s="17">
        <f>IF(N1718="","",IF(INDEX(Listado!$M:$M,N1718)="No","No","Sí"))</f>
        <v/>
      </c>
    </row>
    <row r="1719" spans="2:24" ht="14.25">
      <c r="N1719" s="17" t="str">
        <f>IF(V1719=0,"",IFERROR(LOOKUP(2,1/(INDEX(Listado!A:A,2):INDEX(Listado!A:A,ROW())&lt;&gt;""),ROW(INDEX(Listado!A:A,2):INDEX(Listado!A:A,ROW()))),""))</f>
        <v/>
      </c>
      <c r="O1719" s="17" t="str">
        <f>IFERROR(IF(N1719="","",IF(INDEX(Listado!M:M,N1719)="No",IF(INDEX(Listado!N:N,N1719)=0,"",INDEX(Listado!N:N,N1719)),IF(INDEX(Listado!I:I,N1719)=0,"",INDEX(Listado!I:I,N1719)))),"")</f>
        <v/>
      </c>
      <c r="P1719" s="17">
        <f t="shared" ca="1" si="79"/>
        <v/>
      </c>
      <c r="Q1719" s="17">
        <f>IFERROR(IF(AND(N1719&lt;&gt;"",ISNUMBER(O1719),O1719&gt;0,O1719&gt;=TODAY()-90),1,0),0)</f>
        <v/>
      </c>
      <c r="R1719" s="17" t="str">
        <f t="shared" si="81"/>
        <v/>
      </c>
      <c r="S1719" s="17" t="str">
        <f>IF(INDEX(Listado!A:A,ROW())="","",INDEX(Listado!A:A,ROW()))</f>
        <v/>
      </c>
      <c r="T1719" s="17" t="str">
        <f ca="1">IF(INDEX(Listado!G:G,ROW())="","",INDEX(Listado!G:G,ROW()))</f>
        <v/>
      </c>
      <c r="U1719" s="17" t="str">
        <f>IF(INDEX(Listado!F:F,ROW())="","",INDEX(Listado!F:F,ROW()))</f>
        <v/>
      </c>
      <c r="V1719" s="17">
        <f>IF(COUNTA(INDEX(Listado!B:B,ROW()):INDEX(Listado!F:F,ROW()))&gt;0,1,0)</f>
        <v/>
      </c>
      <c r="W1719" s="17" t="str">
        <f>IF(INDEX(Listado!L:L,ROW())="","",INDEX(Listado!L:L,ROW()))</f>
        <v/>
      </c>
      <c r="X1719" s="17">
        <f>IF(N1719="","",IF(INDEX(Listado!$M:$M,N1719)="No","No","Sí"))</f>
        <v/>
      </c>
    </row>
    <row r="1720" spans="2:24" ht="14.25">
      <c r="N1720" s="17" t="str">
        <f>IF(V1720=0,"",IFERROR(LOOKUP(2,1/(INDEX(Listado!A:A,2):INDEX(Listado!A:A,ROW())&lt;&gt;""),ROW(INDEX(Listado!A:A,2):INDEX(Listado!A:A,ROW()))),""))</f>
        <v/>
      </c>
      <c r="O1720" s="17" t="str">
        <f>IFERROR(IF(N1720="","",IF(INDEX(Listado!M:M,N1720)="No",IF(INDEX(Listado!N:N,N1720)=0,"",INDEX(Listado!N:N,N1720)),IF(INDEX(Listado!I:I,N1720)=0,"",INDEX(Listado!I:I,N1720)))),"")</f>
        <v/>
      </c>
      <c r="P1720" s="17">
        <f t="shared" ca="1" si="79"/>
        <v/>
      </c>
      <c r="Q1720" s="17">
        <f>IFERROR(IF(AND(N1720&lt;&gt;"",ISNUMBER(O1720),O1720&gt;0,O1720&gt;=TODAY()-90),1,0),0)</f>
        <v/>
      </c>
      <c r="R1720" s="17" t="str">
        <f t="shared" si="81"/>
        <v/>
      </c>
      <c r="S1720" s="17" t="str">
        <f>IF(INDEX(Listado!A:A,ROW())="","",INDEX(Listado!A:A,ROW()))</f>
        <v/>
      </c>
      <c r="T1720" s="17" t="str">
        <f ca="1">IF(INDEX(Listado!G:G,ROW())="","",INDEX(Listado!G:G,ROW()))</f>
        <v/>
      </c>
      <c r="U1720" s="17" t="str">
        <f>IF(INDEX(Listado!F:F,ROW())="","",INDEX(Listado!F:F,ROW()))</f>
        <v/>
      </c>
      <c r="V1720" s="17">
        <f>IF(COUNTA(INDEX(Listado!B:B,ROW()):INDEX(Listado!F:F,ROW()))&gt;0,1,0)</f>
        <v/>
      </c>
      <c r="W1720" s="17" t="str">
        <f>IF(INDEX(Listado!L:L,ROW())="","",INDEX(Listado!L:L,ROW()))</f>
        <v/>
      </c>
      <c r="X1720" s="17">
        <f>IF(N1720="","",IF(INDEX(Listado!$M:$M,N1720)="No","No","Sí"))</f>
        <v/>
      </c>
    </row>
    <row r="1721" spans="2:24" ht="14.25">
      <c r="N1721" s="17" t="str">
        <f>IF(V1721=0,"",IFERROR(LOOKUP(2,1/(INDEX(Listado!A:A,2):INDEX(Listado!A:A,ROW())&lt;&gt;""),ROW(INDEX(Listado!A:A,2):INDEX(Listado!A:A,ROW()))),""))</f>
        <v/>
      </c>
      <c r="O1721" s="17" t="str">
        <f>IFERROR(IF(N1721="","",IF(INDEX(Listado!M:M,N1721)="No",IF(INDEX(Listado!N:N,N1721)=0,"",INDEX(Listado!N:N,N1721)),IF(INDEX(Listado!I:I,N1721)=0,"",INDEX(Listado!I:I,N1721)))),"")</f>
        <v/>
      </c>
      <c r="P1721" s="17">
        <f t="shared" ca="1" si="79"/>
        <v/>
      </c>
      <c r="Q1721" s="17">
        <f>IFERROR(IF(AND(N1721&lt;&gt;"",ISNUMBER(O1721),O1721&gt;0,O1721&gt;=TODAY()-90),1,0),0)</f>
        <v/>
      </c>
      <c r="R1721" s="17" t="str">
        <f t="shared" si="81"/>
        <v/>
      </c>
      <c r="S1721" s="17" t="str">
        <f>IF(INDEX(Listado!A:A,ROW())="","",INDEX(Listado!A:A,ROW()))</f>
        <v/>
      </c>
      <c r="T1721" s="17" t="str">
        <f ca="1">IF(INDEX(Listado!G:G,ROW())="","",INDEX(Listado!G:G,ROW()))</f>
        <v/>
      </c>
      <c r="U1721" s="17" t="str">
        <f>IF(INDEX(Listado!F:F,ROW())="","",INDEX(Listado!F:F,ROW()))</f>
        <v/>
      </c>
      <c r="V1721" s="17">
        <f>IF(COUNTA(INDEX(Listado!B:B,ROW()):INDEX(Listado!F:F,ROW()))&gt;0,1,0)</f>
        <v/>
      </c>
      <c r="W1721" s="17" t="str">
        <f>IF(INDEX(Listado!L:L,ROW())="","",INDEX(Listado!L:L,ROW()))</f>
        <v/>
      </c>
      <c r="X1721" s="17">
        <f>IF(N1721="","",IF(INDEX(Listado!$M:$M,N1721)="No","No","Sí"))</f>
        <v/>
      </c>
    </row>
    <row r="1722" spans="2:24" ht="14.25">
      <c r="N1722" s="17" t="str">
        <f>IF(V1722=0,"",IFERROR(LOOKUP(2,1/(INDEX(Listado!A:A,2):INDEX(Listado!A:A,ROW())&lt;&gt;""),ROW(INDEX(Listado!A:A,2):INDEX(Listado!A:A,ROW()))),""))</f>
        <v/>
      </c>
      <c r="O1722" s="17" t="str">
        <f>IFERROR(IF(N1722="","",IF(INDEX(Listado!M:M,N1722)="No",IF(INDEX(Listado!N:N,N1722)=0,"",INDEX(Listado!N:N,N1722)),IF(INDEX(Listado!I:I,N1722)=0,"",INDEX(Listado!I:I,N1722)))),"")</f>
        <v/>
      </c>
      <c r="P1722" s="17">
        <f t="shared" ca="1" si="79"/>
        <v/>
      </c>
      <c r="Q1722" s="17">
        <f>IFERROR(IF(AND(N1722&lt;&gt;"",ISNUMBER(O1722),O1722&gt;0,O1722&gt;=TODAY()-90),1,0),0)</f>
        <v/>
      </c>
      <c r="R1722" s="17" t="str">
        <f t="shared" si="81"/>
        <v/>
      </c>
      <c r="S1722" s="17" t="str">
        <f>IF(INDEX(Listado!A:A,ROW())="","",INDEX(Listado!A:A,ROW()))</f>
        <v/>
      </c>
      <c r="T1722" s="17" t="str">
        <f ca="1">IF(INDEX(Listado!G:G,ROW())="","",INDEX(Listado!G:G,ROW()))</f>
        <v/>
      </c>
      <c r="U1722" s="17" t="str">
        <f>IF(INDEX(Listado!F:F,ROW())="","",INDEX(Listado!F:F,ROW()))</f>
        <v/>
      </c>
      <c r="V1722" s="17">
        <f>IF(COUNTA(INDEX(Listado!B:B,ROW()):INDEX(Listado!F:F,ROW()))&gt;0,1,0)</f>
        <v/>
      </c>
      <c r="W1722" s="17" t="str">
        <f>IF(INDEX(Listado!L:L,ROW())="","",INDEX(Listado!L:L,ROW()))</f>
        <v/>
      </c>
      <c r="X1722" s="17">
        <f>IF(N1722="","",IF(INDEX(Listado!$M:$M,N1722)="No","No","Sí"))</f>
        <v/>
      </c>
    </row>
    <row r="1723" spans="2:24" ht="14.25">
      <c r="N1723" s="17" t="str">
        <f>IF(V1723=0,"",IFERROR(LOOKUP(2,1/(INDEX(Listado!A:A,2):INDEX(Listado!A:A,ROW())&lt;&gt;""),ROW(INDEX(Listado!A:A,2):INDEX(Listado!A:A,ROW()))),""))</f>
        <v/>
      </c>
      <c r="O1723" s="17" t="str">
        <f>IFERROR(IF(N1723="","",IF(INDEX(Listado!M:M,N1723)="No",IF(INDEX(Listado!N:N,N1723)=0,"",INDEX(Listado!N:N,N1723)),IF(INDEX(Listado!I:I,N1723)=0,"",INDEX(Listado!I:I,N1723)))),"")</f>
        <v/>
      </c>
      <c r="P1723" s="17">
        <f t="shared" ca="1" si="79"/>
        <v/>
      </c>
      <c r="Q1723" s="17">
        <f>IFERROR(IF(AND(N1723&lt;&gt;"",ISNUMBER(O1723),O1723&gt;0,O1723&gt;=TODAY()-90),1,0),0)</f>
        <v/>
      </c>
      <c r="R1723" s="17" t="str">
        <f t="shared" si="81"/>
        <v/>
      </c>
      <c r="S1723" s="17" t="str">
        <f>IF(INDEX(Listado!A:A,ROW())="","",INDEX(Listado!A:A,ROW()))</f>
        <v/>
      </c>
      <c r="T1723" s="17" t="str">
        <f ca="1">IF(INDEX(Listado!G:G,ROW())="","",INDEX(Listado!G:G,ROW()))</f>
        <v/>
      </c>
      <c r="U1723" s="17" t="str">
        <f>IF(INDEX(Listado!F:F,ROW())="","",INDEX(Listado!F:F,ROW()))</f>
        <v/>
      </c>
      <c r="V1723" s="17">
        <f>IF(COUNTA(INDEX(Listado!B:B,ROW()):INDEX(Listado!F:F,ROW()))&gt;0,1,0)</f>
        <v/>
      </c>
      <c r="W1723" s="17" t="str">
        <f>IF(INDEX(Listado!L:L,ROW())="","",INDEX(Listado!L:L,ROW()))</f>
        <v/>
      </c>
      <c r="X1723" s="17">
        <f>IF(N1723="","",IF(INDEX(Listado!$M:$M,N1723)="No","No","Sí"))</f>
        <v/>
      </c>
    </row>
    <row r="1724" spans="2:24" ht="14.25">
      <c r="N1724" s="17" t="str">
        <f>IF(V1724=0,"",IFERROR(LOOKUP(2,1/(INDEX(Listado!A:A,2):INDEX(Listado!A:A,ROW())&lt;&gt;""),ROW(INDEX(Listado!A:A,2):INDEX(Listado!A:A,ROW()))),""))</f>
        <v/>
      </c>
      <c r="O1724" s="17" t="str">
        <f>IFERROR(IF(N1724="","",IF(INDEX(Listado!M:M,N1724)="No",IF(INDEX(Listado!N:N,N1724)=0,"",INDEX(Listado!N:N,N1724)),IF(INDEX(Listado!I:I,N1724)=0,"",INDEX(Listado!I:I,N1724)))),"")</f>
        <v/>
      </c>
      <c r="P1724" s="17">
        <f t="shared" ca="1" si="79"/>
        <v/>
      </c>
      <c r="Q1724" s="17">
        <f>IFERROR(IF(AND(N1724&lt;&gt;"",ISNUMBER(O1724),O1724&gt;0,O1724&gt;=TODAY()-90),1,0),0)</f>
        <v/>
      </c>
      <c r="R1724" s="17" t="str">
        <f t="shared" si="81"/>
        <v/>
      </c>
      <c r="S1724" s="17" t="str">
        <f>IF(INDEX(Listado!A:A,ROW())="","",INDEX(Listado!A:A,ROW()))</f>
        <v/>
      </c>
      <c r="T1724" s="17" t="str">
        <f ca="1">IF(INDEX(Listado!G:G,ROW())="","",INDEX(Listado!G:G,ROW()))</f>
        <v/>
      </c>
      <c r="U1724" s="17" t="str">
        <f>IF(INDEX(Listado!F:F,ROW())="","",INDEX(Listado!F:F,ROW()))</f>
        <v/>
      </c>
      <c r="V1724" s="17">
        <f>IF(COUNTA(INDEX(Listado!B:B,ROW()):INDEX(Listado!F:F,ROW()))&gt;0,1,0)</f>
        <v/>
      </c>
      <c r="W1724" s="17" t="str">
        <f>IF(INDEX(Listado!L:L,ROW())="","",INDEX(Listado!L:L,ROW()))</f>
        <v/>
      </c>
      <c r="X1724" s="17">
        <f>IF(N1724="","",IF(INDEX(Listado!$M:$M,N1724)="No","No","Sí"))</f>
        <v/>
      </c>
    </row>
    <row r="1725" spans="2:24" ht="14.25">
      <c r="N1725" s="17" t="str">
        <f>IF(V1725=0,"",IFERROR(LOOKUP(2,1/(INDEX(Listado!A:A,2):INDEX(Listado!A:A,ROW())&lt;&gt;""),ROW(INDEX(Listado!A:A,2):INDEX(Listado!A:A,ROW()))),""))</f>
        <v/>
      </c>
      <c r="O1725" s="17" t="str">
        <f>IFERROR(IF(N1725="","",IF(INDEX(Listado!M:M,N1725)="No",IF(INDEX(Listado!N:N,N1725)=0,"",INDEX(Listado!N:N,N1725)),IF(INDEX(Listado!I:I,N1725)=0,"",INDEX(Listado!I:I,N1725)))),"")</f>
        <v/>
      </c>
      <c r="P1725" s="17">
        <f t="shared" ca="1" si="79"/>
        <v/>
      </c>
      <c r="Q1725" s="17">
        <f>IFERROR(IF(AND(N1725&lt;&gt;"",ISNUMBER(O1725),O1725&gt;0,O1725&gt;=TODAY()-90),1,0),0)</f>
        <v/>
      </c>
      <c r="R1725" s="17" t="str">
        <f t="shared" si="81"/>
        <v/>
      </c>
      <c r="S1725" s="17" t="str">
        <f>IF(INDEX(Listado!A:A,ROW())="","",INDEX(Listado!A:A,ROW()))</f>
        <v/>
      </c>
      <c r="T1725" s="17" t="str">
        <f ca="1">IF(INDEX(Listado!G:G,ROW())="","",INDEX(Listado!G:G,ROW()))</f>
        <v/>
      </c>
      <c r="U1725" s="17" t="str">
        <f>IF(INDEX(Listado!F:F,ROW())="","",INDEX(Listado!F:F,ROW()))</f>
        <v/>
      </c>
      <c r="V1725" s="17">
        <f>IF(COUNTA(INDEX(Listado!B:B,ROW()):INDEX(Listado!F:F,ROW()))&gt;0,1,0)</f>
        <v/>
      </c>
      <c r="W1725" s="17" t="str">
        <f>IF(INDEX(Listado!L:L,ROW())="","",INDEX(Listado!L:L,ROW()))</f>
        <v/>
      </c>
      <c r="X1725" s="17">
        <f>IF(N1725="","",IF(INDEX(Listado!$M:$M,N1725)="No","No","Sí"))</f>
        <v/>
      </c>
    </row>
    <row r="1726" spans="2:24" ht="14.25">
      <c r="N1726" s="17" t="str">
        <f>IF(V1726=0,"",IFERROR(LOOKUP(2,1/(INDEX(Listado!A:A,2):INDEX(Listado!A:A,ROW())&lt;&gt;""),ROW(INDEX(Listado!A:A,2):INDEX(Listado!A:A,ROW()))),""))</f>
        <v/>
      </c>
      <c r="O1726" s="17" t="str">
        <f>IFERROR(IF(N1726="","",IF(INDEX(Listado!M:M,N1726)="No",IF(INDEX(Listado!N:N,N1726)=0,"",INDEX(Listado!N:N,N1726)),IF(INDEX(Listado!I:I,N1726)=0,"",INDEX(Listado!I:I,N1726)))),"")</f>
        <v/>
      </c>
      <c r="P1726" s="17">
        <f t="shared" ca="1" si="79"/>
        <v/>
      </c>
      <c r="Q1726" s="17">
        <f>IFERROR(IF(AND(N1726&lt;&gt;"",ISNUMBER(O1726),O1726&gt;0,O1726&gt;=TODAY()-90),1,0),0)</f>
        <v/>
      </c>
      <c r="R1726" s="17" t="str">
        <f t="shared" si="81"/>
        <v/>
      </c>
      <c r="S1726" s="17" t="str">
        <f>IF(INDEX(Listado!A:A,ROW())="","",INDEX(Listado!A:A,ROW()))</f>
        <v/>
      </c>
      <c r="T1726" s="17" t="str">
        <f ca="1">IF(INDEX(Listado!G:G,ROW())="","",INDEX(Listado!G:G,ROW()))</f>
        <v/>
      </c>
      <c r="U1726" s="17" t="str">
        <f>IF(INDEX(Listado!F:F,ROW())="","",INDEX(Listado!F:F,ROW()))</f>
        <v/>
      </c>
      <c r="V1726" s="17">
        <f>IF(COUNTA(INDEX(Listado!B:B,ROW()):INDEX(Listado!F:F,ROW()))&gt;0,1,0)</f>
        <v/>
      </c>
      <c r="W1726" s="17" t="str">
        <f>IF(INDEX(Listado!L:L,ROW())="","",INDEX(Listado!L:L,ROW()))</f>
        <v/>
      </c>
      <c r="X1726" s="17">
        <f>IF(N1726="","",IF(INDEX(Listado!$M:$M,N1726)="No","No","Sí"))</f>
        <v/>
      </c>
    </row>
    <row r="1727" spans="2:24" ht="14.25">
      <c r="N1727" s="17" t="str">
        <f>IF(V1727=0,"",IFERROR(LOOKUP(2,1/(INDEX(Listado!A:A,2):INDEX(Listado!A:A,ROW())&lt;&gt;""),ROW(INDEX(Listado!A:A,2):INDEX(Listado!A:A,ROW()))),""))</f>
        <v/>
      </c>
      <c r="O1727" s="17" t="str">
        <f>IFERROR(IF(N1727="","",IF(INDEX(Listado!M:M,N1727)="No",IF(INDEX(Listado!N:N,N1727)=0,"",INDEX(Listado!N:N,N1727)),IF(INDEX(Listado!I:I,N1727)=0,"",INDEX(Listado!I:I,N1727)))),"")</f>
        <v/>
      </c>
      <c r="P1727" s="17">
        <f t="shared" ca="1" si="79"/>
        <v/>
      </c>
      <c r="Q1727" s="17">
        <f>IFERROR(IF(AND(N1727&lt;&gt;"",ISNUMBER(O1727),O1727&gt;0,O1727&gt;=TODAY()-90),1,0),0)</f>
        <v/>
      </c>
      <c r="R1727" s="17" t="str">
        <f t="shared" si="81"/>
        <v/>
      </c>
      <c r="S1727" s="17" t="str">
        <f>IF(INDEX(Listado!A:A,ROW())="","",INDEX(Listado!A:A,ROW()))</f>
        <v/>
      </c>
      <c r="T1727" s="17" t="str">
        <f ca="1">IF(INDEX(Listado!G:G,ROW())="","",INDEX(Listado!G:G,ROW()))</f>
        <v/>
      </c>
      <c r="U1727" s="17" t="str">
        <f>IF(INDEX(Listado!F:F,ROW())="","",INDEX(Listado!F:F,ROW()))</f>
        <v/>
      </c>
      <c r="V1727" s="17">
        <f>IF(COUNTA(INDEX(Listado!B:B,ROW()):INDEX(Listado!F:F,ROW()))&gt;0,1,0)</f>
        <v/>
      </c>
      <c r="W1727" s="17" t="str">
        <f>IF(INDEX(Listado!L:L,ROW())="","",INDEX(Listado!L:L,ROW()))</f>
        <v/>
      </c>
      <c r="X1727" s="17">
        <f>IF(N1727="","",IF(INDEX(Listado!$M:$M,N1727)="No","No","Sí"))</f>
        <v/>
      </c>
    </row>
    <row r="1728" spans="2:24" ht="14.25">
      <c r="N1728" s="17" t="str">
        <f>IF(V1728=0,"",IFERROR(LOOKUP(2,1/(INDEX(Listado!A:A,2):INDEX(Listado!A:A,ROW())&lt;&gt;""),ROW(INDEX(Listado!A:A,2):INDEX(Listado!A:A,ROW()))),""))</f>
        <v/>
      </c>
      <c r="O1728" s="17" t="str">
        <f>IFERROR(IF(N1728="","",IF(INDEX(Listado!M:M,N1728)="No",IF(INDEX(Listado!N:N,N1728)=0,"",INDEX(Listado!N:N,N1728)),IF(INDEX(Listado!I:I,N1728)=0,"",INDEX(Listado!I:I,N1728)))),"")</f>
        <v/>
      </c>
      <c r="P1728" s="17">
        <f t="shared" ca="1" si="79"/>
        <v/>
      </c>
      <c r="Q1728" s="17">
        <f>IFERROR(IF(AND(N1728&lt;&gt;"",ISNUMBER(O1728),O1728&gt;0,O1728&gt;=TODAY()-90),1,0),0)</f>
        <v/>
      </c>
      <c r="R1728" s="17" t="str">
        <f t="shared" si="81"/>
        <v/>
      </c>
      <c r="S1728" s="17" t="str">
        <f>IF(INDEX(Listado!A:A,ROW())="","",INDEX(Listado!A:A,ROW()))</f>
        <v/>
      </c>
      <c r="T1728" s="17" t="str">
        <f ca="1">IF(INDEX(Listado!G:G,ROW())="","",INDEX(Listado!G:G,ROW()))</f>
        <v/>
      </c>
      <c r="U1728" s="17" t="str">
        <f>IF(INDEX(Listado!F:F,ROW())="","",INDEX(Listado!F:F,ROW()))</f>
        <v/>
      </c>
      <c r="V1728" s="17">
        <f>IF(COUNTA(INDEX(Listado!B:B,ROW()):INDEX(Listado!F:F,ROW()))&gt;0,1,0)</f>
        <v/>
      </c>
      <c r="W1728" s="17" t="str">
        <f>IF(INDEX(Listado!L:L,ROW())="","",INDEX(Listado!L:L,ROW()))</f>
        <v/>
      </c>
      <c r="X1728" s="17">
        <f>IF(N1728="","",IF(INDEX(Listado!$M:$M,N1728)="No","No","Sí"))</f>
        <v/>
      </c>
    </row>
    <row r="1729" spans="2:24" ht="14.25">
      <c r="N1729" s="17" t="str">
        <f>IF(V1729=0,"",IFERROR(LOOKUP(2,1/(INDEX(Listado!A:A,2):INDEX(Listado!A:A,ROW())&lt;&gt;""),ROW(INDEX(Listado!A:A,2):INDEX(Listado!A:A,ROW()))),""))</f>
        <v/>
      </c>
      <c r="O1729" s="17" t="str">
        <f>IFERROR(IF(N1729="","",IF(INDEX(Listado!M:M,N1729)="No",IF(INDEX(Listado!N:N,N1729)=0,"",INDEX(Listado!N:N,N1729)),IF(INDEX(Listado!I:I,N1729)=0,"",INDEX(Listado!I:I,N1729)))),"")</f>
        <v/>
      </c>
      <c r="P1729" s="17">
        <f t="shared" ca="1" si="79"/>
        <v/>
      </c>
      <c r="Q1729" s="17">
        <f>IFERROR(IF(AND(N1729&lt;&gt;"",ISNUMBER(O1729),O1729&gt;0,O1729&gt;=TODAY()-90),1,0),0)</f>
        <v/>
      </c>
      <c r="R1729" s="17" t="str">
        <f t="shared" si="81"/>
        <v/>
      </c>
      <c r="S1729" s="17" t="str">
        <f>IF(INDEX(Listado!A:A,ROW())="","",INDEX(Listado!A:A,ROW()))</f>
        <v/>
      </c>
      <c r="T1729" s="17" t="str">
        <f ca="1">IF(INDEX(Listado!G:G,ROW())="","",INDEX(Listado!G:G,ROW()))</f>
        <v/>
      </c>
      <c r="U1729" s="17" t="str">
        <f>IF(INDEX(Listado!F:F,ROW())="","",INDEX(Listado!F:F,ROW()))</f>
        <v/>
      </c>
      <c r="V1729" s="17">
        <f>IF(COUNTA(INDEX(Listado!B:B,ROW()):INDEX(Listado!F:F,ROW()))&gt;0,1,0)</f>
        <v/>
      </c>
      <c r="W1729" s="17" t="str">
        <f>IF(INDEX(Listado!L:L,ROW())="","",INDEX(Listado!L:L,ROW()))</f>
        <v/>
      </c>
      <c r="X1729" s="17">
        <f>IF(N1729="","",IF(INDEX(Listado!$M:$M,N1729)="No","No","Sí"))</f>
        <v/>
      </c>
    </row>
    <row r="1730" spans="2:24" ht="14.25">
      <c r="N1730" s="17" t="str">
        <f>IF(V1730=0,"",IFERROR(LOOKUP(2,1/(INDEX(Listado!A:A,2):INDEX(Listado!A:A,ROW())&lt;&gt;""),ROW(INDEX(Listado!A:A,2):INDEX(Listado!A:A,ROW()))),""))</f>
        <v/>
      </c>
      <c r="O1730" s="17" t="str">
        <f>IFERROR(IF(N1730="","",IF(INDEX(Listado!M:M,N1730)="No",IF(INDEX(Listado!N:N,N1730)=0,"",INDEX(Listado!N:N,N1730)),IF(INDEX(Listado!I:I,N1730)=0,"",INDEX(Listado!I:I,N1730)))),"")</f>
        <v/>
      </c>
      <c r="P1730" s="17">
        <f t="shared" ref="P1730:P1793" ca="1" si="82">IF(W1730="",0,IFERROR(IF(AND(ISNUMBER(W1730),W1730=INT(W1730),ISNUMBER(O1730),O1730&gt;0,W1730&gt;=TODAY(),W1730&lt;=O1730+90),0,1),1))</f>
        <v/>
      </c>
      <c r="Q1730" s="17">
        <f>IFERROR(IF(AND(N1730&lt;&gt;"",ISNUMBER(O1730),O1730&gt;0,O1730&gt;=TODAY()-90),1,0),0)</f>
        <v/>
      </c>
      <c r="R1730" s="17" t="str">
        <f t="shared" ref="R1730:R1793" si="84">IF(S1730="","",COUNTIFS($N$2:$N$2999,ROW(),$Q$2:$Q$2999,1))</f>
        <v/>
      </c>
      <c r="S1730" s="17" t="str">
        <f>IF(INDEX(Listado!A:A,ROW())="","",INDEX(Listado!A:A,ROW()))</f>
        <v/>
      </c>
      <c r="T1730" s="17" t="str">
        <f ca="1">IF(INDEX(Listado!G:G,ROW())="","",INDEX(Listado!G:G,ROW()))</f>
        <v/>
      </c>
      <c r="U1730" s="17" t="str">
        <f>IF(INDEX(Listado!F:F,ROW())="","",INDEX(Listado!F:F,ROW()))</f>
        <v/>
      </c>
      <c r="V1730" s="17">
        <f>IF(COUNTA(INDEX(Listado!B:B,ROW()):INDEX(Listado!F:F,ROW()))&gt;0,1,0)</f>
        <v/>
      </c>
      <c r="W1730" s="17" t="str">
        <f>IF(INDEX(Listado!L:L,ROW())="","",INDEX(Listado!L:L,ROW()))</f>
        <v/>
      </c>
      <c r="X1730" s="17">
        <f>IF(N1730="","",IF(INDEX(Listado!$M:$M,N1730)="No","No","Sí"))</f>
        <v/>
      </c>
    </row>
    <row r="1731" spans="2:24" ht="14.25">
      <c r="N1731" s="17" t="str">
        <f>IF(V1731=0,"",IFERROR(LOOKUP(2,1/(INDEX(Listado!A:A,2):INDEX(Listado!A:A,ROW())&lt;&gt;""),ROW(INDEX(Listado!A:A,2):INDEX(Listado!A:A,ROW()))),""))</f>
        <v/>
      </c>
      <c r="O1731" s="17" t="str">
        <f>IFERROR(IF(N1731="","",IF(INDEX(Listado!M:M,N1731)="No",IF(INDEX(Listado!N:N,N1731)=0,"",INDEX(Listado!N:N,N1731)),IF(INDEX(Listado!I:I,N1731)=0,"",INDEX(Listado!I:I,N1731)))),"")</f>
        <v/>
      </c>
      <c r="P1731" s="17">
        <f t="shared" ca="1" si="82"/>
        <v/>
      </c>
      <c r="Q1731" s="17">
        <f>IFERROR(IF(AND(N1731&lt;&gt;"",ISNUMBER(O1731),O1731&gt;0,O1731&gt;=TODAY()-90),1,0),0)</f>
        <v/>
      </c>
      <c r="R1731" s="17" t="str">
        <f t="shared" si="84"/>
        <v/>
      </c>
      <c r="S1731" s="17" t="str">
        <f>IF(INDEX(Listado!A:A,ROW())="","",INDEX(Listado!A:A,ROW()))</f>
        <v/>
      </c>
      <c r="T1731" s="17" t="str">
        <f ca="1">IF(INDEX(Listado!G:G,ROW())="","",INDEX(Listado!G:G,ROW()))</f>
        <v/>
      </c>
      <c r="U1731" s="17" t="str">
        <f>IF(INDEX(Listado!F:F,ROW())="","",INDEX(Listado!F:F,ROW()))</f>
        <v/>
      </c>
      <c r="V1731" s="17">
        <f>IF(COUNTA(INDEX(Listado!B:B,ROW()):INDEX(Listado!F:F,ROW()))&gt;0,1,0)</f>
        <v/>
      </c>
      <c r="W1731" s="17" t="str">
        <f>IF(INDEX(Listado!L:L,ROW())="","",INDEX(Listado!L:L,ROW()))</f>
        <v/>
      </c>
      <c r="X1731" s="17">
        <f>IF(N1731="","",IF(INDEX(Listado!$M:$M,N1731)="No","No","Sí"))</f>
        <v/>
      </c>
    </row>
    <row r="1732" spans="2:24" ht="14.25">
      <c r="N1732" s="17" t="str">
        <f>IF(V1732=0,"",IFERROR(LOOKUP(2,1/(INDEX(Listado!A:A,2):INDEX(Listado!A:A,ROW())&lt;&gt;""),ROW(INDEX(Listado!A:A,2):INDEX(Listado!A:A,ROW()))),""))</f>
        <v/>
      </c>
      <c r="O1732" s="17" t="str">
        <f>IFERROR(IF(N1732="","",IF(INDEX(Listado!M:M,N1732)="No",IF(INDEX(Listado!N:N,N1732)=0,"",INDEX(Listado!N:N,N1732)),IF(INDEX(Listado!I:I,N1732)=0,"",INDEX(Listado!I:I,N1732)))),"")</f>
        <v/>
      </c>
      <c r="P1732" s="17">
        <f t="shared" ca="1" si="82"/>
        <v/>
      </c>
      <c r="Q1732" s="17">
        <f>IFERROR(IF(AND(N1732&lt;&gt;"",ISNUMBER(O1732),O1732&gt;0,O1732&gt;=TODAY()-90),1,0),0)</f>
        <v/>
      </c>
      <c r="R1732" s="17" t="str">
        <f t="shared" si="84"/>
        <v/>
      </c>
      <c r="S1732" s="17" t="str">
        <f>IF(INDEX(Listado!A:A,ROW())="","",INDEX(Listado!A:A,ROW()))</f>
        <v/>
      </c>
      <c r="T1732" s="17" t="str">
        <f ca="1">IF(INDEX(Listado!G:G,ROW())="","",INDEX(Listado!G:G,ROW()))</f>
        <v/>
      </c>
      <c r="U1732" s="17" t="str">
        <f>IF(INDEX(Listado!F:F,ROW())="","",INDEX(Listado!F:F,ROW()))</f>
        <v/>
      </c>
      <c r="V1732" s="17">
        <f>IF(COUNTA(INDEX(Listado!B:B,ROW()):INDEX(Listado!F:F,ROW()))&gt;0,1,0)</f>
        <v/>
      </c>
      <c r="W1732" s="17" t="str">
        <f>IF(INDEX(Listado!L:L,ROW())="","",INDEX(Listado!L:L,ROW()))</f>
        <v/>
      </c>
      <c r="X1732" s="17">
        <f>IF(N1732="","",IF(INDEX(Listado!$M:$M,N1732)="No","No","Sí"))</f>
        <v/>
      </c>
    </row>
    <row r="1733" spans="2:24" ht="14.25">
      <c r="N1733" s="17" t="str">
        <f>IF(V1733=0,"",IFERROR(LOOKUP(2,1/(INDEX(Listado!A:A,2):INDEX(Listado!A:A,ROW())&lt;&gt;""),ROW(INDEX(Listado!A:A,2):INDEX(Listado!A:A,ROW()))),""))</f>
        <v/>
      </c>
      <c r="O1733" s="17" t="str">
        <f>IFERROR(IF(N1733="","",IF(INDEX(Listado!M:M,N1733)="No",IF(INDEX(Listado!N:N,N1733)=0,"",INDEX(Listado!N:N,N1733)),IF(INDEX(Listado!I:I,N1733)=0,"",INDEX(Listado!I:I,N1733)))),"")</f>
        <v/>
      </c>
      <c r="P1733" s="17">
        <f t="shared" ca="1" si="82"/>
        <v/>
      </c>
      <c r="Q1733" s="17">
        <f>IFERROR(IF(AND(N1733&lt;&gt;"",ISNUMBER(O1733),O1733&gt;0,O1733&gt;=TODAY()-90),1,0),0)</f>
        <v/>
      </c>
      <c r="R1733" s="17" t="str">
        <f t="shared" si="84"/>
        <v/>
      </c>
      <c r="S1733" s="17" t="str">
        <f>IF(INDEX(Listado!A:A,ROW())="","",INDEX(Listado!A:A,ROW()))</f>
        <v/>
      </c>
      <c r="T1733" s="17" t="str">
        <f ca="1">IF(INDEX(Listado!G:G,ROW())="","",INDEX(Listado!G:G,ROW()))</f>
        <v/>
      </c>
      <c r="U1733" s="17" t="str">
        <f>IF(INDEX(Listado!F:F,ROW())="","",INDEX(Listado!F:F,ROW()))</f>
        <v/>
      </c>
      <c r="V1733" s="17">
        <f>IF(COUNTA(INDEX(Listado!B:B,ROW()):INDEX(Listado!F:F,ROW()))&gt;0,1,0)</f>
        <v/>
      </c>
      <c r="W1733" s="17" t="str">
        <f>IF(INDEX(Listado!L:L,ROW())="","",INDEX(Listado!L:L,ROW()))</f>
        <v/>
      </c>
      <c r="X1733" s="17">
        <f>IF(N1733="","",IF(INDEX(Listado!$M:$M,N1733)="No","No","Sí"))</f>
        <v/>
      </c>
    </row>
    <row r="1734" spans="2:24" ht="14.25">
      <c r="N1734" s="17" t="str">
        <f>IF(V1734=0,"",IFERROR(LOOKUP(2,1/(INDEX(Listado!A:A,2):INDEX(Listado!A:A,ROW())&lt;&gt;""),ROW(INDEX(Listado!A:A,2):INDEX(Listado!A:A,ROW()))),""))</f>
        <v/>
      </c>
      <c r="O1734" s="17" t="str">
        <f>IFERROR(IF(N1734="","",IF(INDEX(Listado!M:M,N1734)="No",IF(INDEX(Listado!N:N,N1734)=0,"",INDEX(Listado!N:N,N1734)),IF(INDEX(Listado!I:I,N1734)=0,"",INDEX(Listado!I:I,N1734)))),"")</f>
        <v/>
      </c>
      <c r="P1734" s="17">
        <f t="shared" ca="1" si="82"/>
        <v/>
      </c>
      <c r="Q1734" s="17">
        <f>IFERROR(IF(AND(N1734&lt;&gt;"",ISNUMBER(O1734),O1734&gt;0,O1734&gt;=TODAY()-90),1,0),0)</f>
        <v/>
      </c>
      <c r="R1734" s="17" t="str">
        <f t="shared" si="84"/>
        <v/>
      </c>
      <c r="S1734" s="17" t="str">
        <f>IF(INDEX(Listado!A:A,ROW())="","",INDEX(Listado!A:A,ROW()))</f>
        <v/>
      </c>
      <c r="T1734" s="17" t="str">
        <f ca="1">IF(INDEX(Listado!G:G,ROW())="","",INDEX(Listado!G:G,ROW()))</f>
        <v/>
      </c>
      <c r="U1734" s="17" t="str">
        <f>IF(INDEX(Listado!F:F,ROW())="","",INDEX(Listado!F:F,ROW()))</f>
        <v/>
      </c>
      <c r="V1734" s="17">
        <f>IF(COUNTA(INDEX(Listado!B:B,ROW()):INDEX(Listado!F:F,ROW()))&gt;0,1,0)</f>
        <v/>
      </c>
      <c r="W1734" s="17" t="str">
        <f>IF(INDEX(Listado!L:L,ROW())="","",INDEX(Listado!L:L,ROW()))</f>
        <v/>
      </c>
      <c r="X1734" s="17">
        <f>IF(N1734="","",IF(INDEX(Listado!$M:$M,N1734)="No","No","Sí"))</f>
        <v/>
      </c>
    </row>
    <row r="1735" spans="2:24" ht="14.25">
      <c r="N1735" s="17" t="str">
        <f>IF(V1735=0,"",IFERROR(LOOKUP(2,1/(INDEX(Listado!A:A,2):INDEX(Listado!A:A,ROW())&lt;&gt;""),ROW(INDEX(Listado!A:A,2):INDEX(Listado!A:A,ROW()))),""))</f>
        <v/>
      </c>
      <c r="O1735" s="17" t="str">
        <f>IFERROR(IF(N1735="","",IF(INDEX(Listado!M:M,N1735)="No",IF(INDEX(Listado!N:N,N1735)=0,"",INDEX(Listado!N:N,N1735)),IF(INDEX(Listado!I:I,N1735)=0,"",INDEX(Listado!I:I,N1735)))),"")</f>
        <v/>
      </c>
      <c r="P1735" s="17">
        <f t="shared" ca="1" si="82"/>
        <v/>
      </c>
      <c r="Q1735" s="17">
        <f>IFERROR(IF(AND(N1735&lt;&gt;"",ISNUMBER(O1735),O1735&gt;0,O1735&gt;=TODAY()-90),1,0),0)</f>
        <v/>
      </c>
      <c r="R1735" s="17" t="str">
        <f t="shared" si="84"/>
        <v/>
      </c>
      <c r="S1735" s="17" t="str">
        <f>IF(INDEX(Listado!A:A,ROW())="","",INDEX(Listado!A:A,ROW()))</f>
        <v/>
      </c>
      <c r="T1735" s="17" t="str">
        <f ca="1">IF(INDEX(Listado!G:G,ROW())="","",INDEX(Listado!G:G,ROW()))</f>
        <v/>
      </c>
      <c r="U1735" s="17" t="str">
        <f>IF(INDEX(Listado!F:F,ROW())="","",INDEX(Listado!F:F,ROW()))</f>
        <v/>
      </c>
      <c r="V1735" s="17">
        <f>IF(COUNTA(INDEX(Listado!B:B,ROW()):INDEX(Listado!F:F,ROW()))&gt;0,1,0)</f>
        <v/>
      </c>
      <c r="W1735" s="17" t="str">
        <f>IF(INDEX(Listado!L:L,ROW())="","",INDEX(Listado!L:L,ROW()))</f>
        <v/>
      </c>
      <c r="X1735" s="17">
        <f>IF(N1735="","",IF(INDEX(Listado!$M:$M,N1735)="No","No","Sí"))</f>
        <v/>
      </c>
    </row>
    <row r="1736" spans="2:24" ht="14.25">
      <c r="N1736" s="17" t="str">
        <f>IF(V1736=0,"",IFERROR(LOOKUP(2,1/(INDEX(Listado!A:A,2):INDEX(Listado!A:A,ROW())&lt;&gt;""),ROW(INDEX(Listado!A:A,2):INDEX(Listado!A:A,ROW()))),""))</f>
        <v/>
      </c>
      <c r="O1736" s="17" t="str">
        <f>IFERROR(IF(N1736="","",IF(INDEX(Listado!M:M,N1736)="No",IF(INDEX(Listado!N:N,N1736)=0,"",INDEX(Listado!N:N,N1736)),IF(INDEX(Listado!I:I,N1736)=0,"",INDEX(Listado!I:I,N1736)))),"")</f>
        <v/>
      </c>
      <c r="P1736" s="17">
        <f t="shared" ca="1" si="82"/>
        <v/>
      </c>
      <c r="Q1736" s="17">
        <f>IFERROR(IF(AND(N1736&lt;&gt;"",ISNUMBER(O1736),O1736&gt;0,O1736&gt;=TODAY()-90),1,0),0)</f>
        <v/>
      </c>
      <c r="R1736" s="17" t="str">
        <f t="shared" si="84"/>
        <v/>
      </c>
      <c r="S1736" s="17" t="str">
        <f>IF(INDEX(Listado!A:A,ROW())="","",INDEX(Listado!A:A,ROW()))</f>
        <v/>
      </c>
      <c r="T1736" s="17" t="str">
        <f ca="1">IF(INDEX(Listado!G:G,ROW())="","",INDEX(Listado!G:G,ROW()))</f>
        <v/>
      </c>
      <c r="U1736" s="17" t="str">
        <f>IF(INDEX(Listado!F:F,ROW())="","",INDEX(Listado!F:F,ROW()))</f>
        <v/>
      </c>
      <c r="V1736" s="17">
        <f>IF(COUNTA(INDEX(Listado!B:B,ROW()):INDEX(Listado!F:F,ROW()))&gt;0,1,0)</f>
        <v/>
      </c>
      <c r="W1736" s="17" t="str">
        <f>IF(INDEX(Listado!L:L,ROW())="","",INDEX(Listado!L:L,ROW()))</f>
        <v/>
      </c>
      <c r="X1736" s="17">
        <f>IF(N1736="","",IF(INDEX(Listado!$M:$M,N1736)="No","No","Sí"))</f>
        <v/>
      </c>
    </row>
    <row r="1737" spans="2:24" ht="14.25">
      <c r="N1737" s="17" t="str">
        <f>IF(V1737=0,"",IFERROR(LOOKUP(2,1/(INDEX(Listado!A:A,2):INDEX(Listado!A:A,ROW())&lt;&gt;""),ROW(INDEX(Listado!A:A,2):INDEX(Listado!A:A,ROW()))),""))</f>
        <v/>
      </c>
      <c r="O1737" s="17" t="str">
        <f>IFERROR(IF(N1737="","",IF(INDEX(Listado!M:M,N1737)="No",IF(INDEX(Listado!N:N,N1737)=0,"",INDEX(Listado!N:N,N1737)),IF(INDEX(Listado!I:I,N1737)=0,"",INDEX(Listado!I:I,N1737)))),"")</f>
        <v/>
      </c>
      <c r="P1737" s="17">
        <f t="shared" ca="1" si="82"/>
        <v/>
      </c>
      <c r="Q1737" s="17">
        <f>IFERROR(IF(AND(N1737&lt;&gt;"",ISNUMBER(O1737),O1737&gt;0,O1737&gt;=TODAY()-90),1,0),0)</f>
        <v/>
      </c>
      <c r="R1737" s="17" t="str">
        <f t="shared" si="84"/>
        <v/>
      </c>
      <c r="S1737" s="17" t="str">
        <f>IF(INDEX(Listado!A:A,ROW())="","",INDEX(Listado!A:A,ROW()))</f>
        <v/>
      </c>
      <c r="T1737" s="17" t="str">
        <f ca="1">IF(INDEX(Listado!G:G,ROW())="","",INDEX(Listado!G:G,ROW()))</f>
        <v/>
      </c>
      <c r="U1737" s="17" t="str">
        <f>IF(INDEX(Listado!F:F,ROW())="","",INDEX(Listado!F:F,ROW()))</f>
        <v/>
      </c>
      <c r="V1737" s="17">
        <f>IF(COUNTA(INDEX(Listado!B:B,ROW()):INDEX(Listado!F:F,ROW()))&gt;0,1,0)</f>
        <v/>
      </c>
      <c r="W1737" s="17" t="str">
        <f>IF(INDEX(Listado!L:L,ROW())="","",INDEX(Listado!L:L,ROW()))</f>
        <v/>
      </c>
      <c r="X1737" s="17">
        <f>IF(N1737="","",IF(INDEX(Listado!$M:$M,N1737)="No","No","Sí"))</f>
        <v/>
      </c>
    </row>
    <row r="1738" spans="2:24" ht="14.25">
      <c r="N1738" s="17" t="str">
        <f>IF(V1738=0,"",IFERROR(LOOKUP(2,1/(INDEX(Listado!A:A,2):INDEX(Listado!A:A,ROW())&lt;&gt;""),ROW(INDEX(Listado!A:A,2):INDEX(Listado!A:A,ROW()))),""))</f>
        <v/>
      </c>
      <c r="O1738" s="17" t="str">
        <f>IFERROR(IF(N1738="","",IF(INDEX(Listado!M:M,N1738)="No",IF(INDEX(Listado!N:N,N1738)=0,"",INDEX(Listado!N:N,N1738)),IF(INDEX(Listado!I:I,N1738)=0,"",INDEX(Listado!I:I,N1738)))),"")</f>
        <v/>
      </c>
      <c r="P1738" s="17">
        <f t="shared" ca="1" si="82"/>
        <v/>
      </c>
      <c r="Q1738" s="17">
        <f>IFERROR(IF(AND(N1738&lt;&gt;"",ISNUMBER(O1738),O1738&gt;0,O1738&gt;=TODAY()-90),1,0),0)</f>
        <v/>
      </c>
      <c r="R1738" s="17" t="str">
        <f t="shared" si="84"/>
        <v/>
      </c>
      <c r="S1738" s="17" t="str">
        <f>IF(INDEX(Listado!A:A,ROW())="","",INDEX(Listado!A:A,ROW()))</f>
        <v/>
      </c>
      <c r="T1738" s="17" t="str">
        <f ca="1">IF(INDEX(Listado!G:G,ROW())="","",INDEX(Listado!G:G,ROW()))</f>
        <v/>
      </c>
      <c r="U1738" s="17" t="str">
        <f>IF(INDEX(Listado!F:F,ROW())="","",INDEX(Listado!F:F,ROW()))</f>
        <v/>
      </c>
      <c r="V1738" s="17">
        <f>IF(COUNTA(INDEX(Listado!B:B,ROW()):INDEX(Listado!F:F,ROW()))&gt;0,1,0)</f>
        <v/>
      </c>
      <c r="W1738" s="17" t="str">
        <f>IF(INDEX(Listado!L:L,ROW())="","",INDEX(Listado!L:L,ROW()))</f>
        <v/>
      </c>
      <c r="X1738" s="17">
        <f>IF(N1738="","",IF(INDEX(Listado!$M:$M,N1738)="No","No","Sí"))</f>
        <v/>
      </c>
    </row>
    <row r="1739" spans="2:24" ht="14.25">
      <c r="N1739" s="17" t="str">
        <f>IF(V1739=0,"",IFERROR(LOOKUP(2,1/(INDEX(Listado!A:A,2):INDEX(Listado!A:A,ROW())&lt;&gt;""),ROW(INDEX(Listado!A:A,2):INDEX(Listado!A:A,ROW()))),""))</f>
        <v/>
      </c>
      <c r="O1739" s="17" t="str">
        <f>IFERROR(IF(N1739="","",IF(INDEX(Listado!M:M,N1739)="No",IF(INDEX(Listado!N:N,N1739)=0,"",INDEX(Listado!N:N,N1739)),IF(INDEX(Listado!I:I,N1739)=0,"",INDEX(Listado!I:I,N1739)))),"")</f>
        <v/>
      </c>
      <c r="P1739" s="17">
        <f t="shared" ca="1" si="82"/>
        <v/>
      </c>
      <c r="Q1739" s="17">
        <f>IFERROR(IF(AND(N1739&lt;&gt;"",ISNUMBER(O1739),O1739&gt;0,O1739&gt;=TODAY()-90),1,0),0)</f>
        <v/>
      </c>
      <c r="R1739" s="17" t="str">
        <f t="shared" si="84"/>
        <v/>
      </c>
      <c r="S1739" s="17" t="str">
        <f>IF(INDEX(Listado!A:A,ROW())="","",INDEX(Listado!A:A,ROW()))</f>
        <v/>
      </c>
      <c r="T1739" s="17" t="str">
        <f ca="1">IF(INDEX(Listado!G:G,ROW())="","",INDEX(Listado!G:G,ROW()))</f>
        <v/>
      </c>
      <c r="U1739" s="17" t="str">
        <f>IF(INDEX(Listado!F:F,ROW())="","",INDEX(Listado!F:F,ROW()))</f>
        <v/>
      </c>
      <c r="V1739" s="17">
        <f>IF(COUNTA(INDEX(Listado!B:B,ROW()):INDEX(Listado!F:F,ROW()))&gt;0,1,0)</f>
        <v/>
      </c>
      <c r="W1739" s="17" t="str">
        <f>IF(INDEX(Listado!L:L,ROW())="","",INDEX(Listado!L:L,ROW()))</f>
        <v/>
      </c>
      <c r="X1739" s="17">
        <f>IF(N1739="","",IF(INDEX(Listado!$M:$M,N1739)="No","No","Sí"))</f>
        <v/>
      </c>
    </row>
    <row r="1740" spans="2:24" ht="14.25">
      <c r="N1740" s="17" t="str">
        <f>IF(V1740=0,"",IFERROR(LOOKUP(2,1/(INDEX(Listado!A:A,2):INDEX(Listado!A:A,ROW())&lt;&gt;""),ROW(INDEX(Listado!A:A,2):INDEX(Listado!A:A,ROW()))),""))</f>
        <v/>
      </c>
      <c r="O1740" s="17" t="str">
        <f>IFERROR(IF(N1740="","",IF(INDEX(Listado!M:M,N1740)="No",IF(INDEX(Listado!N:N,N1740)=0,"",INDEX(Listado!N:N,N1740)),IF(INDEX(Listado!I:I,N1740)=0,"",INDEX(Listado!I:I,N1740)))),"")</f>
        <v/>
      </c>
      <c r="P1740" s="17">
        <f t="shared" ca="1" si="82"/>
        <v/>
      </c>
      <c r="Q1740" s="17">
        <f>IFERROR(IF(AND(N1740&lt;&gt;"",ISNUMBER(O1740),O1740&gt;0,O1740&gt;=TODAY()-90),1,0),0)</f>
        <v/>
      </c>
      <c r="R1740" s="17" t="str">
        <f t="shared" si="84"/>
        <v/>
      </c>
      <c r="S1740" s="17" t="str">
        <f>IF(INDEX(Listado!A:A,ROW())="","",INDEX(Listado!A:A,ROW()))</f>
        <v/>
      </c>
      <c r="T1740" s="17" t="str">
        <f ca="1">IF(INDEX(Listado!G:G,ROW())="","",INDEX(Listado!G:G,ROW()))</f>
        <v/>
      </c>
      <c r="U1740" s="17" t="str">
        <f>IF(INDEX(Listado!F:F,ROW())="","",INDEX(Listado!F:F,ROW()))</f>
        <v/>
      </c>
      <c r="V1740" s="17">
        <f>IF(COUNTA(INDEX(Listado!B:B,ROW()):INDEX(Listado!F:F,ROW()))&gt;0,1,0)</f>
        <v/>
      </c>
      <c r="W1740" s="17" t="str">
        <f>IF(INDEX(Listado!L:L,ROW())="","",INDEX(Listado!L:L,ROW()))</f>
        <v/>
      </c>
      <c r="X1740" s="17">
        <f>IF(N1740="","",IF(INDEX(Listado!$M:$M,N1740)="No","No","Sí"))</f>
        <v/>
      </c>
    </row>
    <row r="1741" spans="2:24" ht="14.25">
      <c r="N1741" s="17" t="str">
        <f>IF(V1741=0,"",IFERROR(LOOKUP(2,1/(INDEX(Listado!A:A,2):INDEX(Listado!A:A,ROW())&lt;&gt;""),ROW(INDEX(Listado!A:A,2):INDEX(Listado!A:A,ROW()))),""))</f>
        <v/>
      </c>
      <c r="O1741" s="17" t="str">
        <f>IFERROR(IF(N1741="","",IF(INDEX(Listado!M:M,N1741)="No",IF(INDEX(Listado!N:N,N1741)=0,"",INDEX(Listado!N:N,N1741)),IF(INDEX(Listado!I:I,N1741)=0,"",INDEX(Listado!I:I,N1741)))),"")</f>
        <v/>
      </c>
      <c r="P1741" s="17">
        <f t="shared" ca="1" si="82"/>
        <v/>
      </c>
      <c r="Q1741" s="17">
        <f>IFERROR(IF(AND(N1741&lt;&gt;"",ISNUMBER(O1741),O1741&gt;0,O1741&gt;=TODAY()-90),1,0),0)</f>
        <v/>
      </c>
      <c r="R1741" s="17" t="str">
        <f t="shared" si="84"/>
        <v/>
      </c>
      <c r="S1741" s="17" t="str">
        <f>IF(INDEX(Listado!A:A,ROW())="","",INDEX(Listado!A:A,ROW()))</f>
        <v/>
      </c>
      <c r="T1741" s="17" t="str">
        <f ca="1">IF(INDEX(Listado!G:G,ROW())="","",INDEX(Listado!G:G,ROW()))</f>
        <v/>
      </c>
      <c r="U1741" s="17" t="str">
        <f>IF(INDEX(Listado!F:F,ROW())="","",INDEX(Listado!F:F,ROW()))</f>
        <v/>
      </c>
      <c r="V1741" s="17">
        <f>IF(COUNTA(INDEX(Listado!B:B,ROW()):INDEX(Listado!F:F,ROW()))&gt;0,1,0)</f>
        <v/>
      </c>
      <c r="W1741" s="17" t="str">
        <f>IF(INDEX(Listado!L:L,ROW())="","",INDEX(Listado!L:L,ROW()))</f>
        <v/>
      </c>
      <c r="X1741" s="17">
        <f>IF(N1741="","",IF(INDEX(Listado!$M:$M,N1741)="No","No","Sí"))</f>
        <v/>
      </c>
    </row>
    <row r="1742" spans="2:24" ht="14.25">
      <c r="N1742" s="17" t="str">
        <f>IF(V1742=0,"",IFERROR(LOOKUP(2,1/(INDEX(Listado!A:A,2):INDEX(Listado!A:A,ROW())&lt;&gt;""),ROW(INDEX(Listado!A:A,2):INDEX(Listado!A:A,ROW()))),""))</f>
        <v/>
      </c>
      <c r="O1742" s="17" t="str">
        <f>IFERROR(IF(N1742="","",IF(INDEX(Listado!M:M,N1742)="No",IF(INDEX(Listado!N:N,N1742)=0,"",INDEX(Listado!N:N,N1742)),IF(INDEX(Listado!I:I,N1742)=0,"",INDEX(Listado!I:I,N1742)))),"")</f>
        <v/>
      </c>
      <c r="P1742" s="17">
        <f t="shared" ca="1" si="82"/>
        <v/>
      </c>
      <c r="Q1742" s="17">
        <f>IFERROR(IF(AND(N1742&lt;&gt;"",ISNUMBER(O1742),O1742&gt;0,O1742&gt;=TODAY()-90),1,0),0)</f>
        <v/>
      </c>
      <c r="R1742" s="17" t="str">
        <f t="shared" si="84"/>
        <v/>
      </c>
      <c r="S1742" s="17" t="str">
        <f>IF(INDEX(Listado!A:A,ROW())="","",INDEX(Listado!A:A,ROW()))</f>
        <v/>
      </c>
      <c r="T1742" s="17" t="str">
        <f ca="1">IF(INDEX(Listado!G:G,ROW())="","",INDEX(Listado!G:G,ROW()))</f>
        <v/>
      </c>
      <c r="U1742" s="17" t="str">
        <f>IF(INDEX(Listado!F:F,ROW())="","",INDEX(Listado!F:F,ROW()))</f>
        <v/>
      </c>
      <c r="V1742" s="17">
        <f>IF(COUNTA(INDEX(Listado!B:B,ROW()):INDEX(Listado!F:F,ROW()))&gt;0,1,0)</f>
        <v/>
      </c>
      <c r="W1742" s="17" t="str">
        <f>IF(INDEX(Listado!L:L,ROW())="","",INDEX(Listado!L:L,ROW()))</f>
        <v/>
      </c>
      <c r="X1742" s="17">
        <f>IF(N1742="","",IF(INDEX(Listado!$M:$M,N1742)="No","No","Sí"))</f>
        <v/>
      </c>
    </row>
    <row r="1743" spans="2:24" ht="14.25">
      <c r="N1743" s="17" t="str">
        <f>IF(V1743=0,"",IFERROR(LOOKUP(2,1/(INDEX(Listado!A:A,2):INDEX(Listado!A:A,ROW())&lt;&gt;""),ROW(INDEX(Listado!A:A,2):INDEX(Listado!A:A,ROW()))),""))</f>
        <v/>
      </c>
      <c r="O1743" s="17" t="str">
        <f>IFERROR(IF(N1743="","",IF(INDEX(Listado!M:M,N1743)="No",IF(INDEX(Listado!N:N,N1743)=0,"",INDEX(Listado!N:N,N1743)),IF(INDEX(Listado!I:I,N1743)=0,"",INDEX(Listado!I:I,N1743)))),"")</f>
        <v/>
      </c>
      <c r="P1743" s="17">
        <f t="shared" ca="1" si="82"/>
        <v/>
      </c>
      <c r="Q1743" s="17">
        <f>IFERROR(IF(AND(N1743&lt;&gt;"",ISNUMBER(O1743),O1743&gt;0,O1743&gt;=TODAY()-90),1,0),0)</f>
        <v/>
      </c>
      <c r="R1743" s="17" t="str">
        <f t="shared" si="84"/>
        <v/>
      </c>
      <c r="S1743" s="17" t="str">
        <f>IF(INDEX(Listado!A:A,ROW())="","",INDEX(Listado!A:A,ROW()))</f>
        <v/>
      </c>
      <c r="T1743" s="17" t="str">
        <f ca="1">IF(INDEX(Listado!G:G,ROW())="","",INDEX(Listado!G:G,ROW()))</f>
        <v/>
      </c>
      <c r="U1743" s="17" t="str">
        <f>IF(INDEX(Listado!F:F,ROW())="","",INDEX(Listado!F:F,ROW()))</f>
        <v/>
      </c>
      <c r="V1743" s="17">
        <f>IF(COUNTA(INDEX(Listado!B:B,ROW()):INDEX(Listado!F:F,ROW()))&gt;0,1,0)</f>
        <v/>
      </c>
      <c r="W1743" s="17" t="str">
        <f>IF(INDEX(Listado!L:L,ROW())="","",INDEX(Listado!L:L,ROW()))</f>
        <v/>
      </c>
      <c r="X1743" s="17">
        <f>IF(N1743="","",IF(INDEX(Listado!$M:$M,N1743)="No","No","Sí"))</f>
        <v/>
      </c>
    </row>
    <row r="1744" spans="2:24" ht="14.25">
      <c r="N1744" s="17" t="str">
        <f>IF(V1744=0,"",IFERROR(LOOKUP(2,1/(INDEX(Listado!A:A,2):INDEX(Listado!A:A,ROW())&lt;&gt;""),ROW(INDEX(Listado!A:A,2):INDEX(Listado!A:A,ROW()))),""))</f>
        <v/>
      </c>
      <c r="O1744" s="17" t="str">
        <f>IFERROR(IF(N1744="","",IF(INDEX(Listado!M:M,N1744)="No",IF(INDEX(Listado!N:N,N1744)=0,"",INDEX(Listado!N:N,N1744)),IF(INDEX(Listado!I:I,N1744)=0,"",INDEX(Listado!I:I,N1744)))),"")</f>
        <v/>
      </c>
      <c r="P1744" s="17">
        <f t="shared" ca="1" si="82"/>
        <v/>
      </c>
      <c r="Q1744" s="17">
        <f>IFERROR(IF(AND(N1744&lt;&gt;"",ISNUMBER(O1744),O1744&gt;0,O1744&gt;=TODAY()-90),1,0),0)</f>
        <v/>
      </c>
      <c r="R1744" s="17" t="str">
        <f t="shared" si="84"/>
        <v/>
      </c>
      <c r="S1744" s="17" t="str">
        <f>IF(INDEX(Listado!A:A,ROW())="","",INDEX(Listado!A:A,ROW()))</f>
        <v/>
      </c>
      <c r="T1744" s="17" t="str">
        <f ca="1">IF(INDEX(Listado!G:G,ROW())="","",INDEX(Listado!G:G,ROW()))</f>
        <v/>
      </c>
      <c r="U1744" s="17" t="str">
        <f>IF(INDEX(Listado!F:F,ROW())="","",INDEX(Listado!F:F,ROW()))</f>
        <v/>
      </c>
      <c r="V1744" s="17">
        <f>IF(COUNTA(INDEX(Listado!B:B,ROW()):INDEX(Listado!F:F,ROW()))&gt;0,1,0)</f>
        <v/>
      </c>
      <c r="W1744" s="17" t="str">
        <f>IF(INDEX(Listado!L:L,ROW())="","",INDEX(Listado!L:L,ROW()))</f>
        <v/>
      </c>
      <c r="X1744" s="17">
        <f>IF(N1744="","",IF(INDEX(Listado!$M:$M,N1744)="No","No","Sí"))</f>
        <v/>
      </c>
    </row>
    <row r="1745" spans="2:24" ht="14.25">
      <c r="N1745" s="17" t="str">
        <f>IF(V1745=0,"",IFERROR(LOOKUP(2,1/(INDEX(Listado!A:A,2):INDEX(Listado!A:A,ROW())&lt;&gt;""),ROW(INDEX(Listado!A:A,2):INDEX(Listado!A:A,ROW()))),""))</f>
        <v/>
      </c>
      <c r="O1745" s="17" t="str">
        <f>IFERROR(IF(N1745="","",IF(INDEX(Listado!M:M,N1745)="No",IF(INDEX(Listado!N:N,N1745)=0,"",INDEX(Listado!N:N,N1745)),IF(INDEX(Listado!I:I,N1745)=0,"",INDEX(Listado!I:I,N1745)))),"")</f>
        <v/>
      </c>
      <c r="P1745" s="17">
        <f t="shared" ca="1" si="82"/>
        <v/>
      </c>
      <c r="Q1745" s="17">
        <f>IFERROR(IF(AND(N1745&lt;&gt;"",ISNUMBER(O1745),O1745&gt;0,O1745&gt;=TODAY()-90),1,0),0)</f>
        <v/>
      </c>
      <c r="R1745" s="17" t="str">
        <f t="shared" si="84"/>
        <v/>
      </c>
      <c r="S1745" s="17" t="str">
        <f>IF(INDEX(Listado!A:A,ROW())="","",INDEX(Listado!A:A,ROW()))</f>
        <v/>
      </c>
      <c r="T1745" s="17" t="str">
        <f ca="1">IF(INDEX(Listado!G:G,ROW())="","",INDEX(Listado!G:G,ROW()))</f>
        <v/>
      </c>
      <c r="U1745" s="17" t="str">
        <f>IF(INDEX(Listado!F:F,ROW())="","",INDEX(Listado!F:F,ROW()))</f>
        <v/>
      </c>
      <c r="V1745" s="17">
        <f>IF(COUNTA(INDEX(Listado!B:B,ROW()):INDEX(Listado!F:F,ROW()))&gt;0,1,0)</f>
        <v/>
      </c>
      <c r="W1745" s="17" t="str">
        <f>IF(INDEX(Listado!L:L,ROW())="","",INDEX(Listado!L:L,ROW()))</f>
        <v/>
      </c>
      <c r="X1745" s="17">
        <f>IF(N1745="","",IF(INDEX(Listado!$M:$M,N1745)="No","No","Sí"))</f>
        <v/>
      </c>
    </row>
    <row r="1746" spans="2:24" ht="14.25">
      <c r="N1746" s="17" t="str">
        <f>IF(V1746=0,"",IFERROR(LOOKUP(2,1/(INDEX(Listado!A:A,2):INDEX(Listado!A:A,ROW())&lt;&gt;""),ROW(INDEX(Listado!A:A,2):INDEX(Listado!A:A,ROW()))),""))</f>
        <v/>
      </c>
      <c r="O1746" s="17" t="str">
        <f>IFERROR(IF(N1746="","",IF(INDEX(Listado!M:M,N1746)="No",IF(INDEX(Listado!N:N,N1746)=0,"",INDEX(Listado!N:N,N1746)),IF(INDEX(Listado!I:I,N1746)=0,"",INDEX(Listado!I:I,N1746)))),"")</f>
        <v/>
      </c>
      <c r="P1746" s="17">
        <f t="shared" ca="1" si="82"/>
        <v/>
      </c>
      <c r="Q1746" s="17">
        <f>IFERROR(IF(AND(N1746&lt;&gt;"",ISNUMBER(O1746),O1746&gt;0,O1746&gt;=TODAY()-90),1,0),0)</f>
        <v/>
      </c>
      <c r="R1746" s="17" t="str">
        <f t="shared" si="84"/>
        <v/>
      </c>
      <c r="S1746" s="17" t="str">
        <f>IF(INDEX(Listado!A:A,ROW())="","",INDEX(Listado!A:A,ROW()))</f>
        <v/>
      </c>
      <c r="T1746" s="17" t="str">
        <f ca="1">IF(INDEX(Listado!G:G,ROW())="","",INDEX(Listado!G:G,ROW()))</f>
        <v/>
      </c>
      <c r="U1746" s="17" t="str">
        <f>IF(INDEX(Listado!F:F,ROW())="","",INDEX(Listado!F:F,ROW()))</f>
        <v/>
      </c>
      <c r="V1746" s="17">
        <f>IF(COUNTA(INDEX(Listado!B:B,ROW()):INDEX(Listado!F:F,ROW()))&gt;0,1,0)</f>
        <v/>
      </c>
      <c r="W1746" s="17" t="str">
        <f>IF(INDEX(Listado!L:L,ROW())="","",INDEX(Listado!L:L,ROW()))</f>
        <v/>
      </c>
      <c r="X1746" s="17">
        <f>IF(N1746="","",IF(INDEX(Listado!$M:$M,N1746)="No","No","Sí"))</f>
        <v/>
      </c>
    </row>
    <row r="1747" spans="2:24" ht="14.25">
      <c r="N1747" s="17" t="str">
        <f>IF(V1747=0,"",IFERROR(LOOKUP(2,1/(INDEX(Listado!A:A,2):INDEX(Listado!A:A,ROW())&lt;&gt;""),ROW(INDEX(Listado!A:A,2):INDEX(Listado!A:A,ROW()))),""))</f>
        <v/>
      </c>
      <c r="O1747" s="17" t="str">
        <f>IFERROR(IF(N1747="","",IF(INDEX(Listado!M:M,N1747)="No",IF(INDEX(Listado!N:N,N1747)=0,"",INDEX(Listado!N:N,N1747)),IF(INDEX(Listado!I:I,N1747)=0,"",INDEX(Listado!I:I,N1747)))),"")</f>
        <v/>
      </c>
      <c r="P1747" s="17">
        <f t="shared" ca="1" si="82"/>
        <v/>
      </c>
      <c r="Q1747" s="17">
        <f>IFERROR(IF(AND(N1747&lt;&gt;"",ISNUMBER(O1747),O1747&gt;0,O1747&gt;=TODAY()-90),1,0),0)</f>
        <v/>
      </c>
      <c r="R1747" s="17" t="str">
        <f t="shared" si="84"/>
        <v/>
      </c>
      <c r="S1747" s="17" t="str">
        <f>IF(INDEX(Listado!A:A,ROW())="","",INDEX(Listado!A:A,ROW()))</f>
        <v/>
      </c>
      <c r="T1747" s="17" t="str">
        <f ca="1">IF(INDEX(Listado!G:G,ROW())="","",INDEX(Listado!G:G,ROW()))</f>
        <v/>
      </c>
      <c r="U1747" s="17" t="str">
        <f>IF(INDEX(Listado!F:F,ROW())="","",INDEX(Listado!F:F,ROW()))</f>
        <v/>
      </c>
      <c r="V1747" s="17">
        <f>IF(COUNTA(INDEX(Listado!B:B,ROW()):INDEX(Listado!F:F,ROW()))&gt;0,1,0)</f>
        <v/>
      </c>
      <c r="W1747" s="17" t="str">
        <f>IF(INDEX(Listado!L:L,ROW())="","",INDEX(Listado!L:L,ROW()))</f>
        <v/>
      </c>
      <c r="X1747" s="17">
        <f>IF(N1747="","",IF(INDEX(Listado!$M:$M,N1747)="No","No","Sí"))</f>
        <v/>
      </c>
    </row>
    <row r="1748" spans="2:24" ht="14.25">
      <c r="N1748" s="17" t="str">
        <f>IF(V1748=0,"",IFERROR(LOOKUP(2,1/(INDEX(Listado!A:A,2):INDEX(Listado!A:A,ROW())&lt;&gt;""),ROW(INDEX(Listado!A:A,2):INDEX(Listado!A:A,ROW()))),""))</f>
        <v/>
      </c>
      <c r="O1748" s="17" t="str">
        <f>IFERROR(IF(N1748="","",IF(INDEX(Listado!M:M,N1748)="No",IF(INDEX(Listado!N:N,N1748)=0,"",INDEX(Listado!N:N,N1748)),IF(INDEX(Listado!I:I,N1748)=0,"",INDEX(Listado!I:I,N1748)))),"")</f>
        <v/>
      </c>
      <c r="P1748" s="17">
        <f t="shared" ca="1" si="82"/>
        <v/>
      </c>
      <c r="Q1748" s="17">
        <f>IFERROR(IF(AND(N1748&lt;&gt;"",ISNUMBER(O1748),O1748&gt;0,O1748&gt;=TODAY()-90),1,0),0)</f>
        <v/>
      </c>
      <c r="R1748" s="17" t="str">
        <f t="shared" si="84"/>
        <v/>
      </c>
      <c r="S1748" s="17" t="str">
        <f>IF(INDEX(Listado!A:A,ROW())="","",INDEX(Listado!A:A,ROW()))</f>
        <v/>
      </c>
      <c r="T1748" s="17" t="str">
        <f ca="1">IF(INDEX(Listado!G:G,ROW())="","",INDEX(Listado!G:G,ROW()))</f>
        <v/>
      </c>
      <c r="U1748" s="17" t="str">
        <f>IF(INDEX(Listado!F:F,ROW())="","",INDEX(Listado!F:F,ROW()))</f>
        <v/>
      </c>
      <c r="V1748" s="17">
        <f>IF(COUNTA(INDEX(Listado!B:B,ROW()):INDEX(Listado!F:F,ROW()))&gt;0,1,0)</f>
        <v/>
      </c>
      <c r="W1748" s="17" t="str">
        <f>IF(INDEX(Listado!L:L,ROW())="","",INDEX(Listado!L:L,ROW()))</f>
        <v/>
      </c>
      <c r="X1748" s="17">
        <f>IF(N1748="","",IF(INDEX(Listado!$M:$M,N1748)="No","No","Sí"))</f>
        <v/>
      </c>
    </row>
    <row r="1749" spans="2:24" ht="14.25">
      <c r="N1749" s="17" t="str">
        <f>IF(V1749=0,"",IFERROR(LOOKUP(2,1/(INDEX(Listado!A:A,2):INDEX(Listado!A:A,ROW())&lt;&gt;""),ROW(INDEX(Listado!A:A,2):INDEX(Listado!A:A,ROW()))),""))</f>
        <v/>
      </c>
      <c r="O1749" s="17" t="str">
        <f>IFERROR(IF(N1749="","",IF(INDEX(Listado!M:M,N1749)="No",IF(INDEX(Listado!N:N,N1749)=0,"",INDEX(Listado!N:N,N1749)),IF(INDEX(Listado!I:I,N1749)=0,"",INDEX(Listado!I:I,N1749)))),"")</f>
        <v/>
      </c>
      <c r="P1749" s="17">
        <f t="shared" ca="1" si="82"/>
        <v/>
      </c>
      <c r="Q1749" s="17">
        <f>IFERROR(IF(AND(N1749&lt;&gt;"",ISNUMBER(O1749),O1749&gt;0,O1749&gt;=TODAY()-90),1,0),0)</f>
        <v/>
      </c>
      <c r="R1749" s="17" t="str">
        <f t="shared" si="84"/>
        <v/>
      </c>
      <c r="S1749" s="17" t="str">
        <f>IF(INDEX(Listado!A:A,ROW())="","",INDEX(Listado!A:A,ROW()))</f>
        <v/>
      </c>
      <c r="T1749" s="17" t="str">
        <f ca="1">IF(INDEX(Listado!G:G,ROW())="","",INDEX(Listado!G:G,ROW()))</f>
        <v/>
      </c>
      <c r="U1749" s="17" t="str">
        <f>IF(INDEX(Listado!F:F,ROW())="","",INDEX(Listado!F:F,ROW()))</f>
        <v/>
      </c>
      <c r="V1749" s="17">
        <f>IF(COUNTA(INDEX(Listado!B:B,ROW()):INDEX(Listado!F:F,ROW()))&gt;0,1,0)</f>
        <v/>
      </c>
      <c r="W1749" s="17" t="str">
        <f>IF(INDEX(Listado!L:L,ROW())="","",INDEX(Listado!L:L,ROW()))</f>
        <v/>
      </c>
      <c r="X1749" s="17">
        <f>IF(N1749="","",IF(INDEX(Listado!$M:$M,N1749)="No","No","Sí"))</f>
        <v/>
      </c>
    </row>
    <row r="1750" spans="2:24" ht="14.25">
      <c r="N1750" s="17" t="str">
        <f>IF(V1750=0,"",IFERROR(LOOKUP(2,1/(INDEX(Listado!A:A,2):INDEX(Listado!A:A,ROW())&lt;&gt;""),ROW(INDEX(Listado!A:A,2):INDEX(Listado!A:A,ROW()))),""))</f>
        <v/>
      </c>
      <c r="O1750" s="17" t="str">
        <f>IFERROR(IF(N1750="","",IF(INDEX(Listado!M:M,N1750)="No",IF(INDEX(Listado!N:N,N1750)=0,"",INDEX(Listado!N:N,N1750)),IF(INDEX(Listado!I:I,N1750)=0,"",INDEX(Listado!I:I,N1750)))),"")</f>
        <v/>
      </c>
      <c r="P1750" s="17">
        <f t="shared" ca="1" si="82"/>
        <v/>
      </c>
      <c r="Q1750" s="17">
        <f>IFERROR(IF(AND(N1750&lt;&gt;"",ISNUMBER(O1750),O1750&gt;0,O1750&gt;=TODAY()-90),1,0),0)</f>
        <v/>
      </c>
      <c r="R1750" s="17" t="str">
        <f t="shared" si="84"/>
        <v/>
      </c>
      <c r="S1750" s="17" t="str">
        <f>IF(INDEX(Listado!A:A,ROW())="","",INDEX(Listado!A:A,ROW()))</f>
        <v/>
      </c>
      <c r="T1750" s="17" t="str">
        <f ca="1">IF(INDEX(Listado!G:G,ROW())="","",INDEX(Listado!G:G,ROW()))</f>
        <v/>
      </c>
      <c r="U1750" s="17" t="str">
        <f>IF(INDEX(Listado!F:F,ROW())="","",INDEX(Listado!F:F,ROW()))</f>
        <v/>
      </c>
      <c r="V1750" s="17">
        <f>IF(COUNTA(INDEX(Listado!B:B,ROW()):INDEX(Listado!F:F,ROW()))&gt;0,1,0)</f>
        <v/>
      </c>
      <c r="W1750" s="17" t="str">
        <f>IF(INDEX(Listado!L:L,ROW())="","",INDEX(Listado!L:L,ROW()))</f>
        <v/>
      </c>
      <c r="X1750" s="17">
        <f>IF(N1750="","",IF(INDEX(Listado!$M:$M,N1750)="No","No","Sí"))</f>
        <v/>
      </c>
    </row>
    <row r="1751" spans="2:24" ht="14.25">
      <c r="N1751" s="17" t="str">
        <f>IF(V1751=0,"",IFERROR(LOOKUP(2,1/(INDEX(Listado!A:A,2):INDEX(Listado!A:A,ROW())&lt;&gt;""),ROW(INDEX(Listado!A:A,2):INDEX(Listado!A:A,ROW()))),""))</f>
        <v/>
      </c>
      <c r="O1751" s="17" t="str">
        <f>IFERROR(IF(N1751="","",IF(INDEX(Listado!M:M,N1751)="No",IF(INDEX(Listado!N:N,N1751)=0,"",INDEX(Listado!N:N,N1751)),IF(INDEX(Listado!I:I,N1751)=0,"",INDEX(Listado!I:I,N1751)))),"")</f>
        <v/>
      </c>
      <c r="P1751" s="17">
        <f t="shared" ca="1" si="82"/>
        <v/>
      </c>
      <c r="Q1751" s="17">
        <f>IFERROR(IF(AND(N1751&lt;&gt;"",ISNUMBER(O1751),O1751&gt;0,O1751&gt;=TODAY()-90),1,0),0)</f>
        <v/>
      </c>
      <c r="R1751" s="17" t="str">
        <f t="shared" si="84"/>
        <v/>
      </c>
      <c r="S1751" s="17" t="str">
        <f>IF(INDEX(Listado!A:A,ROW())="","",INDEX(Listado!A:A,ROW()))</f>
        <v/>
      </c>
      <c r="T1751" s="17" t="str">
        <f ca="1">IF(INDEX(Listado!G:G,ROW())="","",INDEX(Listado!G:G,ROW()))</f>
        <v/>
      </c>
      <c r="U1751" s="17" t="str">
        <f>IF(INDEX(Listado!F:F,ROW())="","",INDEX(Listado!F:F,ROW()))</f>
        <v/>
      </c>
      <c r="V1751" s="17">
        <f>IF(COUNTA(INDEX(Listado!B:B,ROW()):INDEX(Listado!F:F,ROW()))&gt;0,1,0)</f>
        <v/>
      </c>
      <c r="W1751" s="17" t="str">
        <f>IF(INDEX(Listado!L:L,ROW())="","",INDEX(Listado!L:L,ROW()))</f>
        <v/>
      </c>
      <c r="X1751" s="17">
        <f>IF(N1751="","",IF(INDEX(Listado!$M:$M,N1751)="No","No","Sí"))</f>
        <v/>
      </c>
    </row>
    <row r="1752" spans="2:24" ht="14.25">
      <c r="N1752" s="17" t="str">
        <f>IF(V1752=0,"",IFERROR(LOOKUP(2,1/(INDEX(Listado!A:A,2):INDEX(Listado!A:A,ROW())&lt;&gt;""),ROW(INDEX(Listado!A:A,2):INDEX(Listado!A:A,ROW()))),""))</f>
        <v/>
      </c>
      <c r="O1752" s="17" t="str">
        <f>IFERROR(IF(N1752="","",IF(INDEX(Listado!M:M,N1752)="No",IF(INDEX(Listado!N:N,N1752)=0,"",INDEX(Listado!N:N,N1752)),IF(INDEX(Listado!I:I,N1752)=0,"",INDEX(Listado!I:I,N1752)))),"")</f>
        <v/>
      </c>
      <c r="P1752" s="17">
        <f t="shared" ca="1" si="82"/>
        <v/>
      </c>
      <c r="Q1752" s="17">
        <f>IFERROR(IF(AND(N1752&lt;&gt;"",ISNUMBER(O1752),O1752&gt;0,O1752&gt;=TODAY()-90),1,0),0)</f>
        <v/>
      </c>
      <c r="R1752" s="17" t="str">
        <f t="shared" si="84"/>
        <v/>
      </c>
      <c r="S1752" s="17" t="str">
        <f>IF(INDEX(Listado!A:A,ROW())="","",INDEX(Listado!A:A,ROW()))</f>
        <v/>
      </c>
      <c r="T1752" s="17" t="str">
        <f ca="1">IF(INDEX(Listado!G:G,ROW())="","",INDEX(Listado!G:G,ROW()))</f>
        <v/>
      </c>
      <c r="U1752" s="17" t="str">
        <f>IF(INDEX(Listado!F:F,ROW())="","",INDEX(Listado!F:F,ROW()))</f>
        <v/>
      </c>
      <c r="V1752" s="17">
        <f>IF(COUNTA(INDEX(Listado!B:B,ROW()):INDEX(Listado!F:F,ROW()))&gt;0,1,0)</f>
        <v/>
      </c>
      <c r="W1752" s="17" t="str">
        <f>IF(INDEX(Listado!L:L,ROW())="","",INDEX(Listado!L:L,ROW()))</f>
        <v/>
      </c>
      <c r="X1752" s="17">
        <f>IF(N1752="","",IF(INDEX(Listado!$M:$M,N1752)="No","No","Sí"))</f>
        <v/>
      </c>
    </row>
    <row r="1753" spans="2:24" ht="14.25">
      <c r="N1753" s="17" t="str">
        <f>IF(V1753=0,"",IFERROR(LOOKUP(2,1/(INDEX(Listado!A:A,2):INDEX(Listado!A:A,ROW())&lt;&gt;""),ROW(INDEX(Listado!A:A,2):INDEX(Listado!A:A,ROW()))),""))</f>
        <v/>
      </c>
      <c r="O1753" s="17" t="str">
        <f>IFERROR(IF(N1753="","",IF(INDEX(Listado!M:M,N1753)="No",IF(INDEX(Listado!N:N,N1753)=0,"",INDEX(Listado!N:N,N1753)),IF(INDEX(Listado!I:I,N1753)=0,"",INDEX(Listado!I:I,N1753)))),"")</f>
        <v/>
      </c>
      <c r="P1753" s="17">
        <f t="shared" ca="1" si="82"/>
        <v/>
      </c>
      <c r="Q1753" s="17">
        <f>IFERROR(IF(AND(N1753&lt;&gt;"",ISNUMBER(O1753),O1753&gt;0,O1753&gt;=TODAY()-90),1,0),0)</f>
        <v/>
      </c>
      <c r="R1753" s="17" t="str">
        <f t="shared" si="84"/>
        <v/>
      </c>
      <c r="S1753" s="17" t="str">
        <f>IF(INDEX(Listado!A:A,ROW())="","",INDEX(Listado!A:A,ROW()))</f>
        <v/>
      </c>
      <c r="T1753" s="17" t="str">
        <f ca="1">IF(INDEX(Listado!G:G,ROW())="","",INDEX(Listado!G:G,ROW()))</f>
        <v/>
      </c>
      <c r="U1753" s="17" t="str">
        <f>IF(INDEX(Listado!F:F,ROW())="","",INDEX(Listado!F:F,ROW()))</f>
        <v/>
      </c>
      <c r="V1753" s="17">
        <f>IF(COUNTA(INDEX(Listado!B:B,ROW()):INDEX(Listado!F:F,ROW()))&gt;0,1,0)</f>
        <v/>
      </c>
      <c r="W1753" s="17" t="str">
        <f>IF(INDEX(Listado!L:L,ROW())="","",INDEX(Listado!L:L,ROW()))</f>
        <v/>
      </c>
      <c r="X1753" s="17">
        <f>IF(N1753="","",IF(INDEX(Listado!$M:$M,N1753)="No","No","Sí"))</f>
        <v/>
      </c>
    </row>
    <row r="1754" spans="2:24" ht="14.25">
      <c r="N1754" s="17" t="str">
        <f>IF(V1754=0,"",IFERROR(LOOKUP(2,1/(INDEX(Listado!A:A,2):INDEX(Listado!A:A,ROW())&lt;&gt;""),ROW(INDEX(Listado!A:A,2):INDEX(Listado!A:A,ROW()))),""))</f>
        <v/>
      </c>
      <c r="O1754" s="17" t="str">
        <f>IFERROR(IF(N1754="","",IF(INDEX(Listado!M:M,N1754)="No",IF(INDEX(Listado!N:N,N1754)=0,"",INDEX(Listado!N:N,N1754)),IF(INDEX(Listado!I:I,N1754)=0,"",INDEX(Listado!I:I,N1754)))),"")</f>
        <v/>
      </c>
      <c r="P1754" s="17">
        <f t="shared" ca="1" si="82"/>
        <v/>
      </c>
      <c r="Q1754" s="17">
        <f>IFERROR(IF(AND(N1754&lt;&gt;"",ISNUMBER(O1754),O1754&gt;0,O1754&gt;=TODAY()-90),1,0),0)</f>
        <v/>
      </c>
      <c r="R1754" s="17" t="str">
        <f t="shared" si="84"/>
        <v/>
      </c>
      <c r="S1754" s="17" t="str">
        <f>IF(INDEX(Listado!A:A,ROW())="","",INDEX(Listado!A:A,ROW()))</f>
        <v/>
      </c>
      <c r="T1754" s="17" t="str">
        <f ca="1">IF(INDEX(Listado!G:G,ROW())="","",INDEX(Listado!G:G,ROW()))</f>
        <v/>
      </c>
      <c r="U1754" s="17" t="str">
        <f>IF(INDEX(Listado!F:F,ROW())="","",INDEX(Listado!F:F,ROW()))</f>
        <v/>
      </c>
      <c r="V1754" s="17">
        <f>IF(COUNTA(INDEX(Listado!B:B,ROW()):INDEX(Listado!F:F,ROW()))&gt;0,1,0)</f>
        <v/>
      </c>
      <c r="W1754" s="17" t="str">
        <f>IF(INDEX(Listado!L:L,ROW())="","",INDEX(Listado!L:L,ROW()))</f>
        <v/>
      </c>
      <c r="X1754" s="17">
        <f>IF(N1754="","",IF(INDEX(Listado!$M:$M,N1754)="No","No","Sí"))</f>
        <v/>
      </c>
    </row>
    <row r="1755" spans="2:24" ht="14.25">
      <c r="N1755" s="17" t="str">
        <f>IF(V1755=0,"",IFERROR(LOOKUP(2,1/(INDEX(Listado!A:A,2):INDEX(Listado!A:A,ROW())&lt;&gt;""),ROW(INDEX(Listado!A:A,2):INDEX(Listado!A:A,ROW()))),""))</f>
        <v/>
      </c>
      <c r="O1755" s="17" t="str">
        <f>IFERROR(IF(N1755="","",IF(INDEX(Listado!M:M,N1755)="No",IF(INDEX(Listado!N:N,N1755)=0,"",INDEX(Listado!N:N,N1755)),IF(INDEX(Listado!I:I,N1755)=0,"",INDEX(Listado!I:I,N1755)))),"")</f>
        <v/>
      </c>
      <c r="P1755" s="17">
        <f t="shared" ca="1" si="82"/>
        <v/>
      </c>
      <c r="Q1755" s="17">
        <f>IFERROR(IF(AND(N1755&lt;&gt;"",ISNUMBER(O1755),O1755&gt;0,O1755&gt;=TODAY()-90),1,0),0)</f>
        <v/>
      </c>
      <c r="R1755" s="17" t="str">
        <f t="shared" si="84"/>
        <v/>
      </c>
      <c r="S1755" s="17" t="str">
        <f>IF(INDEX(Listado!A:A,ROW())="","",INDEX(Listado!A:A,ROW()))</f>
        <v/>
      </c>
      <c r="T1755" s="17" t="str">
        <f ca="1">IF(INDEX(Listado!G:G,ROW())="","",INDEX(Listado!G:G,ROW()))</f>
        <v/>
      </c>
      <c r="U1755" s="17" t="str">
        <f>IF(INDEX(Listado!F:F,ROW())="","",INDEX(Listado!F:F,ROW()))</f>
        <v/>
      </c>
      <c r="V1755" s="17">
        <f>IF(COUNTA(INDEX(Listado!B:B,ROW()):INDEX(Listado!F:F,ROW()))&gt;0,1,0)</f>
        <v/>
      </c>
      <c r="W1755" s="17" t="str">
        <f>IF(INDEX(Listado!L:L,ROW())="","",INDEX(Listado!L:L,ROW()))</f>
        <v/>
      </c>
      <c r="X1755" s="17">
        <f>IF(N1755="","",IF(INDEX(Listado!$M:$M,N1755)="No","No","Sí"))</f>
        <v/>
      </c>
    </row>
    <row r="1756" spans="2:24" ht="14.25">
      <c r="N1756" s="17" t="str">
        <f>IF(V1756=0,"",IFERROR(LOOKUP(2,1/(INDEX(Listado!A:A,2):INDEX(Listado!A:A,ROW())&lt;&gt;""),ROW(INDEX(Listado!A:A,2):INDEX(Listado!A:A,ROW()))),""))</f>
        <v/>
      </c>
      <c r="O1756" s="17" t="str">
        <f>IFERROR(IF(N1756="","",IF(INDEX(Listado!M:M,N1756)="No",IF(INDEX(Listado!N:N,N1756)=0,"",INDEX(Listado!N:N,N1756)),IF(INDEX(Listado!I:I,N1756)=0,"",INDEX(Listado!I:I,N1756)))),"")</f>
        <v/>
      </c>
      <c r="P1756" s="17">
        <f t="shared" ca="1" si="82"/>
        <v/>
      </c>
      <c r="Q1756" s="17">
        <f>IFERROR(IF(AND(N1756&lt;&gt;"",ISNUMBER(O1756),O1756&gt;0,O1756&gt;=TODAY()-90),1,0),0)</f>
        <v/>
      </c>
      <c r="R1756" s="17" t="str">
        <f t="shared" si="84"/>
        <v/>
      </c>
      <c r="S1756" s="17" t="str">
        <f>IF(INDEX(Listado!A:A,ROW())="","",INDEX(Listado!A:A,ROW()))</f>
        <v/>
      </c>
      <c r="T1756" s="17" t="str">
        <f ca="1">IF(INDEX(Listado!G:G,ROW())="","",INDEX(Listado!G:G,ROW()))</f>
        <v/>
      </c>
      <c r="U1756" s="17" t="str">
        <f>IF(INDEX(Listado!F:F,ROW())="","",INDEX(Listado!F:F,ROW()))</f>
        <v/>
      </c>
      <c r="V1756" s="17">
        <f>IF(COUNTA(INDEX(Listado!B:B,ROW()):INDEX(Listado!F:F,ROW()))&gt;0,1,0)</f>
        <v/>
      </c>
      <c r="W1756" s="17" t="str">
        <f>IF(INDEX(Listado!L:L,ROW())="","",INDEX(Listado!L:L,ROW()))</f>
        <v/>
      </c>
      <c r="X1756" s="17">
        <f>IF(N1756="","",IF(INDEX(Listado!$M:$M,N1756)="No","No","Sí"))</f>
        <v/>
      </c>
    </row>
    <row r="1757" spans="2:24" ht="14.25">
      <c r="N1757" s="17" t="str">
        <f>IF(V1757=0,"",IFERROR(LOOKUP(2,1/(INDEX(Listado!A:A,2):INDEX(Listado!A:A,ROW())&lt;&gt;""),ROW(INDEX(Listado!A:A,2):INDEX(Listado!A:A,ROW()))),""))</f>
        <v/>
      </c>
      <c r="O1757" s="17" t="str">
        <f>IFERROR(IF(N1757="","",IF(INDEX(Listado!M:M,N1757)="No",IF(INDEX(Listado!N:N,N1757)=0,"",INDEX(Listado!N:N,N1757)),IF(INDEX(Listado!I:I,N1757)=0,"",INDEX(Listado!I:I,N1757)))),"")</f>
        <v/>
      </c>
      <c r="P1757" s="17">
        <f t="shared" ca="1" si="82"/>
        <v/>
      </c>
      <c r="Q1757" s="17">
        <f>IFERROR(IF(AND(N1757&lt;&gt;"",ISNUMBER(O1757),O1757&gt;0,O1757&gt;=TODAY()-90),1,0),0)</f>
        <v/>
      </c>
      <c r="R1757" s="17" t="str">
        <f t="shared" si="84"/>
        <v/>
      </c>
      <c r="S1757" s="17" t="str">
        <f>IF(INDEX(Listado!A:A,ROW())="","",INDEX(Listado!A:A,ROW()))</f>
        <v/>
      </c>
      <c r="T1757" s="17" t="str">
        <f ca="1">IF(INDEX(Listado!G:G,ROW())="","",INDEX(Listado!G:G,ROW()))</f>
        <v/>
      </c>
      <c r="U1757" s="17" t="str">
        <f>IF(INDEX(Listado!F:F,ROW())="","",INDEX(Listado!F:F,ROW()))</f>
        <v/>
      </c>
      <c r="V1757" s="17">
        <f>IF(COUNTA(INDEX(Listado!B:B,ROW()):INDEX(Listado!F:F,ROW()))&gt;0,1,0)</f>
        <v/>
      </c>
      <c r="W1757" s="17" t="str">
        <f>IF(INDEX(Listado!L:L,ROW())="","",INDEX(Listado!L:L,ROW()))</f>
        <v/>
      </c>
      <c r="X1757" s="17">
        <f>IF(N1757="","",IF(INDEX(Listado!$M:$M,N1757)="No","No","Sí"))</f>
        <v/>
      </c>
    </row>
    <row r="1758" spans="2:24" ht="14.25">
      <c r="N1758" s="17" t="str">
        <f>IF(V1758=0,"",IFERROR(LOOKUP(2,1/(INDEX(Listado!A:A,2):INDEX(Listado!A:A,ROW())&lt;&gt;""),ROW(INDEX(Listado!A:A,2):INDEX(Listado!A:A,ROW()))),""))</f>
        <v/>
      </c>
      <c r="O1758" s="17" t="str">
        <f>IFERROR(IF(N1758="","",IF(INDEX(Listado!M:M,N1758)="No",IF(INDEX(Listado!N:N,N1758)=0,"",INDEX(Listado!N:N,N1758)),IF(INDEX(Listado!I:I,N1758)=0,"",INDEX(Listado!I:I,N1758)))),"")</f>
        <v/>
      </c>
      <c r="P1758" s="17">
        <f t="shared" ca="1" si="82"/>
        <v/>
      </c>
      <c r="Q1758" s="17">
        <f>IFERROR(IF(AND(N1758&lt;&gt;"",ISNUMBER(O1758),O1758&gt;0,O1758&gt;=TODAY()-90),1,0),0)</f>
        <v/>
      </c>
      <c r="R1758" s="17" t="str">
        <f t="shared" si="84"/>
        <v/>
      </c>
      <c r="S1758" s="17" t="str">
        <f>IF(INDEX(Listado!A:A,ROW())="","",INDEX(Listado!A:A,ROW()))</f>
        <v/>
      </c>
      <c r="T1758" s="17" t="str">
        <f ca="1">IF(INDEX(Listado!G:G,ROW())="","",INDEX(Listado!G:G,ROW()))</f>
        <v/>
      </c>
      <c r="U1758" s="17" t="str">
        <f>IF(INDEX(Listado!F:F,ROW())="","",INDEX(Listado!F:F,ROW()))</f>
        <v/>
      </c>
      <c r="V1758" s="17">
        <f>IF(COUNTA(INDEX(Listado!B:B,ROW()):INDEX(Listado!F:F,ROW()))&gt;0,1,0)</f>
        <v/>
      </c>
      <c r="W1758" s="17" t="str">
        <f>IF(INDEX(Listado!L:L,ROW())="","",INDEX(Listado!L:L,ROW()))</f>
        <v/>
      </c>
      <c r="X1758" s="17">
        <f>IF(N1758="","",IF(INDEX(Listado!$M:$M,N1758)="No","No","Sí"))</f>
        <v/>
      </c>
    </row>
    <row r="1759" spans="2:24" ht="14.25">
      <c r="N1759" s="17" t="str">
        <f>IF(V1759=0,"",IFERROR(LOOKUP(2,1/(INDEX(Listado!A:A,2):INDEX(Listado!A:A,ROW())&lt;&gt;""),ROW(INDEX(Listado!A:A,2):INDEX(Listado!A:A,ROW()))),""))</f>
        <v/>
      </c>
      <c r="O1759" s="17" t="str">
        <f>IFERROR(IF(N1759="","",IF(INDEX(Listado!M:M,N1759)="No",IF(INDEX(Listado!N:N,N1759)=0,"",INDEX(Listado!N:N,N1759)),IF(INDEX(Listado!I:I,N1759)=0,"",INDEX(Listado!I:I,N1759)))),"")</f>
        <v/>
      </c>
      <c r="P1759" s="17">
        <f t="shared" ca="1" si="82"/>
        <v/>
      </c>
      <c r="Q1759" s="17">
        <f>IFERROR(IF(AND(N1759&lt;&gt;"",ISNUMBER(O1759),O1759&gt;0,O1759&gt;=TODAY()-90),1,0),0)</f>
        <v/>
      </c>
      <c r="R1759" s="17" t="str">
        <f t="shared" si="84"/>
        <v/>
      </c>
      <c r="S1759" s="17" t="str">
        <f>IF(INDEX(Listado!A:A,ROW())="","",INDEX(Listado!A:A,ROW()))</f>
        <v/>
      </c>
      <c r="T1759" s="17" t="str">
        <f ca="1">IF(INDEX(Listado!G:G,ROW())="","",INDEX(Listado!G:G,ROW()))</f>
        <v/>
      </c>
      <c r="U1759" s="17" t="str">
        <f>IF(INDEX(Listado!F:F,ROW())="","",INDEX(Listado!F:F,ROW()))</f>
        <v/>
      </c>
      <c r="V1759" s="17">
        <f>IF(COUNTA(INDEX(Listado!B:B,ROW()):INDEX(Listado!F:F,ROW()))&gt;0,1,0)</f>
        <v/>
      </c>
      <c r="W1759" s="17" t="str">
        <f>IF(INDEX(Listado!L:L,ROW())="","",INDEX(Listado!L:L,ROW()))</f>
        <v/>
      </c>
      <c r="X1759" s="17">
        <f>IF(N1759="","",IF(INDEX(Listado!$M:$M,N1759)="No","No","Sí"))</f>
        <v/>
      </c>
    </row>
    <row r="1760" spans="2:24" ht="14.25">
      <c r="N1760" s="17" t="str">
        <f>IF(V1760=0,"",IFERROR(LOOKUP(2,1/(INDEX(Listado!A:A,2):INDEX(Listado!A:A,ROW())&lt;&gt;""),ROW(INDEX(Listado!A:A,2):INDEX(Listado!A:A,ROW()))),""))</f>
        <v/>
      </c>
      <c r="O1760" s="17" t="str">
        <f>IFERROR(IF(N1760="","",IF(INDEX(Listado!M:M,N1760)="No",IF(INDEX(Listado!N:N,N1760)=0,"",INDEX(Listado!N:N,N1760)),IF(INDEX(Listado!I:I,N1760)=0,"",INDEX(Listado!I:I,N1760)))),"")</f>
        <v/>
      </c>
      <c r="P1760" s="17">
        <f t="shared" ca="1" si="82"/>
        <v/>
      </c>
      <c r="Q1760" s="17">
        <f>IFERROR(IF(AND(N1760&lt;&gt;"",ISNUMBER(O1760),O1760&gt;0,O1760&gt;=TODAY()-90),1,0),0)</f>
        <v/>
      </c>
      <c r="R1760" s="17" t="str">
        <f t="shared" si="84"/>
        <v/>
      </c>
      <c r="S1760" s="17" t="str">
        <f>IF(INDEX(Listado!A:A,ROW())="","",INDEX(Listado!A:A,ROW()))</f>
        <v/>
      </c>
      <c r="T1760" s="17" t="str">
        <f ca="1">IF(INDEX(Listado!G:G,ROW())="","",INDEX(Listado!G:G,ROW()))</f>
        <v/>
      </c>
      <c r="U1760" s="17" t="str">
        <f>IF(INDEX(Listado!F:F,ROW())="","",INDEX(Listado!F:F,ROW()))</f>
        <v/>
      </c>
      <c r="V1760" s="17">
        <f>IF(COUNTA(INDEX(Listado!B:B,ROW()):INDEX(Listado!F:F,ROW()))&gt;0,1,0)</f>
        <v/>
      </c>
      <c r="W1760" s="17" t="str">
        <f>IF(INDEX(Listado!L:L,ROW())="","",INDEX(Listado!L:L,ROW()))</f>
        <v/>
      </c>
      <c r="X1760" s="17">
        <f>IF(N1760="","",IF(INDEX(Listado!$M:$M,N1760)="No","No","Sí"))</f>
        <v/>
      </c>
    </row>
    <row r="1761" spans="2:24" ht="14.25">
      <c r="N1761" s="17" t="str">
        <f>IF(V1761=0,"",IFERROR(LOOKUP(2,1/(INDEX(Listado!A:A,2):INDEX(Listado!A:A,ROW())&lt;&gt;""),ROW(INDEX(Listado!A:A,2):INDEX(Listado!A:A,ROW()))),""))</f>
        <v/>
      </c>
      <c r="O1761" s="17" t="str">
        <f>IFERROR(IF(N1761="","",IF(INDEX(Listado!M:M,N1761)="No",IF(INDEX(Listado!N:N,N1761)=0,"",INDEX(Listado!N:N,N1761)),IF(INDEX(Listado!I:I,N1761)=0,"",INDEX(Listado!I:I,N1761)))),"")</f>
        <v/>
      </c>
      <c r="P1761" s="17">
        <f t="shared" ca="1" si="82"/>
        <v/>
      </c>
      <c r="Q1761" s="17">
        <f>IFERROR(IF(AND(N1761&lt;&gt;"",ISNUMBER(O1761),O1761&gt;0,O1761&gt;=TODAY()-90),1,0),0)</f>
        <v/>
      </c>
      <c r="R1761" s="17" t="str">
        <f t="shared" si="84"/>
        <v/>
      </c>
      <c r="S1761" s="17" t="str">
        <f>IF(INDEX(Listado!A:A,ROW())="","",INDEX(Listado!A:A,ROW()))</f>
        <v/>
      </c>
      <c r="T1761" s="17" t="str">
        <f ca="1">IF(INDEX(Listado!G:G,ROW())="","",INDEX(Listado!G:G,ROW()))</f>
        <v/>
      </c>
      <c r="U1761" s="17" t="str">
        <f>IF(INDEX(Listado!F:F,ROW())="","",INDEX(Listado!F:F,ROW()))</f>
        <v/>
      </c>
      <c r="V1761" s="17">
        <f>IF(COUNTA(INDEX(Listado!B:B,ROW()):INDEX(Listado!F:F,ROW()))&gt;0,1,0)</f>
        <v/>
      </c>
      <c r="W1761" s="17" t="str">
        <f>IF(INDEX(Listado!L:L,ROW())="","",INDEX(Listado!L:L,ROW()))</f>
        <v/>
      </c>
      <c r="X1761" s="17">
        <f>IF(N1761="","",IF(INDEX(Listado!$M:$M,N1761)="No","No","Sí"))</f>
        <v/>
      </c>
    </row>
    <row r="1762" spans="2:24" ht="14.25">
      <c r="N1762" s="17" t="str">
        <f>IF(V1762=0,"",IFERROR(LOOKUP(2,1/(INDEX(Listado!A:A,2):INDEX(Listado!A:A,ROW())&lt;&gt;""),ROW(INDEX(Listado!A:A,2):INDEX(Listado!A:A,ROW()))),""))</f>
        <v/>
      </c>
      <c r="O1762" s="17" t="str">
        <f>IFERROR(IF(N1762="","",IF(INDEX(Listado!M:M,N1762)="No",IF(INDEX(Listado!N:N,N1762)=0,"",INDEX(Listado!N:N,N1762)),IF(INDEX(Listado!I:I,N1762)=0,"",INDEX(Listado!I:I,N1762)))),"")</f>
        <v/>
      </c>
      <c r="P1762" s="17">
        <f t="shared" ca="1" si="82"/>
        <v/>
      </c>
      <c r="Q1762" s="17">
        <f>IFERROR(IF(AND(N1762&lt;&gt;"",ISNUMBER(O1762),O1762&gt;0,O1762&gt;=TODAY()-90),1,0),0)</f>
        <v/>
      </c>
      <c r="R1762" s="17" t="str">
        <f t="shared" si="84"/>
        <v/>
      </c>
      <c r="S1762" s="17" t="str">
        <f>IF(INDEX(Listado!A:A,ROW())="","",INDEX(Listado!A:A,ROW()))</f>
        <v/>
      </c>
      <c r="T1762" s="17" t="str">
        <f ca="1">IF(INDEX(Listado!G:G,ROW())="","",INDEX(Listado!G:G,ROW()))</f>
        <v/>
      </c>
      <c r="U1762" s="17" t="str">
        <f>IF(INDEX(Listado!F:F,ROW())="","",INDEX(Listado!F:F,ROW()))</f>
        <v/>
      </c>
      <c r="V1762" s="17">
        <f>IF(COUNTA(INDEX(Listado!B:B,ROW()):INDEX(Listado!F:F,ROW()))&gt;0,1,0)</f>
        <v/>
      </c>
      <c r="W1762" s="17" t="str">
        <f>IF(INDEX(Listado!L:L,ROW())="","",INDEX(Listado!L:L,ROW()))</f>
        <v/>
      </c>
      <c r="X1762" s="17">
        <f>IF(N1762="","",IF(INDEX(Listado!$M:$M,N1762)="No","No","Sí"))</f>
        <v/>
      </c>
    </row>
    <row r="1763" spans="2:24" ht="14.25">
      <c r="N1763" s="17" t="str">
        <f>IF(V1763=0,"",IFERROR(LOOKUP(2,1/(INDEX(Listado!A:A,2):INDEX(Listado!A:A,ROW())&lt;&gt;""),ROW(INDEX(Listado!A:A,2):INDEX(Listado!A:A,ROW()))),""))</f>
        <v/>
      </c>
      <c r="O1763" s="17" t="str">
        <f>IFERROR(IF(N1763="","",IF(INDEX(Listado!M:M,N1763)="No",IF(INDEX(Listado!N:N,N1763)=0,"",INDEX(Listado!N:N,N1763)),IF(INDEX(Listado!I:I,N1763)=0,"",INDEX(Listado!I:I,N1763)))),"")</f>
        <v/>
      </c>
      <c r="P1763" s="17">
        <f t="shared" ca="1" si="82"/>
        <v/>
      </c>
      <c r="Q1763" s="17">
        <f>IFERROR(IF(AND(N1763&lt;&gt;"",ISNUMBER(O1763),O1763&gt;0,O1763&gt;=TODAY()-90),1,0),0)</f>
        <v/>
      </c>
      <c r="R1763" s="17" t="str">
        <f t="shared" si="84"/>
        <v/>
      </c>
      <c r="S1763" s="17" t="str">
        <f>IF(INDEX(Listado!A:A,ROW())="","",INDEX(Listado!A:A,ROW()))</f>
        <v/>
      </c>
      <c r="T1763" s="17" t="str">
        <f ca="1">IF(INDEX(Listado!G:G,ROW())="","",INDEX(Listado!G:G,ROW()))</f>
        <v/>
      </c>
      <c r="U1763" s="17" t="str">
        <f>IF(INDEX(Listado!F:F,ROW())="","",INDEX(Listado!F:F,ROW()))</f>
        <v/>
      </c>
      <c r="V1763" s="17">
        <f>IF(COUNTA(INDEX(Listado!B:B,ROW()):INDEX(Listado!F:F,ROW()))&gt;0,1,0)</f>
        <v/>
      </c>
      <c r="W1763" s="17" t="str">
        <f>IF(INDEX(Listado!L:L,ROW())="","",INDEX(Listado!L:L,ROW()))</f>
        <v/>
      </c>
      <c r="X1763" s="17">
        <f>IF(N1763="","",IF(INDEX(Listado!$M:$M,N1763)="No","No","Sí"))</f>
        <v/>
      </c>
    </row>
    <row r="1764" spans="2:24" ht="14.25">
      <c r="N1764" s="17" t="str">
        <f>IF(V1764=0,"",IFERROR(LOOKUP(2,1/(INDEX(Listado!A:A,2):INDEX(Listado!A:A,ROW())&lt;&gt;""),ROW(INDEX(Listado!A:A,2):INDEX(Listado!A:A,ROW()))),""))</f>
        <v/>
      </c>
      <c r="O1764" s="17" t="str">
        <f>IFERROR(IF(N1764="","",IF(INDEX(Listado!M:M,N1764)="No",IF(INDEX(Listado!N:N,N1764)=0,"",INDEX(Listado!N:N,N1764)),IF(INDEX(Listado!I:I,N1764)=0,"",INDEX(Listado!I:I,N1764)))),"")</f>
        <v/>
      </c>
      <c r="P1764" s="17">
        <f t="shared" ca="1" si="82"/>
        <v/>
      </c>
      <c r="Q1764" s="17">
        <f>IFERROR(IF(AND(N1764&lt;&gt;"",ISNUMBER(O1764),O1764&gt;0,O1764&gt;=TODAY()-90),1,0),0)</f>
        <v/>
      </c>
      <c r="R1764" s="17" t="str">
        <f t="shared" si="84"/>
        <v/>
      </c>
      <c r="S1764" s="17" t="str">
        <f>IF(INDEX(Listado!A:A,ROW())="","",INDEX(Listado!A:A,ROW()))</f>
        <v/>
      </c>
      <c r="T1764" s="17" t="str">
        <f ca="1">IF(INDEX(Listado!G:G,ROW())="","",INDEX(Listado!G:G,ROW()))</f>
        <v/>
      </c>
      <c r="U1764" s="17" t="str">
        <f>IF(INDEX(Listado!F:F,ROW())="","",INDEX(Listado!F:F,ROW()))</f>
        <v/>
      </c>
      <c r="V1764" s="17">
        <f>IF(COUNTA(INDEX(Listado!B:B,ROW()):INDEX(Listado!F:F,ROW()))&gt;0,1,0)</f>
        <v/>
      </c>
      <c r="W1764" s="17" t="str">
        <f>IF(INDEX(Listado!L:L,ROW())="","",INDEX(Listado!L:L,ROW()))</f>
        <v/>
      </c>
      <c r="X1764" s="17">
        <f>IF(N1764="","",IF(INDEX(Listado!$M:$M,N1764)="No","No","Sí"))</f>
        <v/>
      </c>
    </row>
    <row r="1765" spans="2:24" ht="14.25">
      <c r="N1765" s="17" t="str">
        <f>IF(V1765=0,"",IFERROR(LOOKUP(2,1/(INDEX(Listado!A:A,2):INDEX(Listado!A:A,ROW())&lt;&gt;""),ROW(INDEX(Listado!A:A,2):INDEX(Listado!A:A,ROW()))),""))</f>
        <v/>
      </c>
      <c r="O1765" s="17" t="str">
        <f>IFERROR(IF(N1765="","",IF(INDEX(Listado!M:M,N1765)="No",IF(INDEX(Listado!N:N,N1765)=0,"",INDEX(Listado!N:N,N1765)),IF(INDEX(Listado!I:I,N1765)=0,"",INDEX(Listado!I:I,N1765)))),"")</f>
        <v/>
      </c>
      <c r="P1765" s="17">
        <f t="shared" ca="1" si="82"/>
        <v/>
      </c>
      <c r="Q1765" s="17">
        <f>IFERROR(IF(AND(N1765&lt;&gt;"",ISNUMBER(O1765),O1765&gt;0,O1765&gt;=TODAY()-90),1,0),0)</f>
        <v/>
      </c>
      <c r="R1765" s="17" t="str">
        <f t="shared" si="84"/>
        <v/>
      </c>
      <c r="S1765" s="17" t="str">
        <f>IF(INDEX(Listado!A:A,ROW())="","",INDEX(Listado!A:A,ROW()))</f>
        <v/>
      </c>
      <c r="T1765" s="17" t="str">
        <f ca="1">IF(INDEX(Listado!G:G,ROW())="","",INDEX(Listado!G:G,ROW()))</f>
        <v/>
      </c>
      <c r="U1765" s="17" t="str">
        <f>IF(INDEX(Listado!F:F,ROW())="","",INDEX(Listado!F:F,ROW()))</f>
        <v/>
      </c>
      <c r="V1765" s="17">
        <f>IF(COUNTA(INDEX(Listado!B:B,ROW()):INDEX(Listado!F:F,ROW()))&gt;0,1,0)</f>
        <v/>
      </c>
      <c r="W1765" s="17" t="str">
        <f>IF(INDEX(Listado!L:L,ROW())="","",INDEX(Listado!L:L,ROW()))</f>
        <v/>
      </c>
      <c r="X1765" s="17">
        <f>IF(N1765="","",IF(INDEX(Listado!$M:$M,N1765)="No","No","Sí"))</f>
        <v/>
      </c>
    </row>
    <row r="1766" spans="2:24" ht="14.25">
      <c r="N1766" s="17" t="str">
        <f>IF(V1766=0,"",IFERROR(LOOKUP(2,1/(INDEX(Listado!A:A,2):INDEX(Listado!A:A,ROW())&lt;&gt;""),ROW(INDEX(Listado!A:A,2):INDEX(Listado!A:A,ROW()))),""))</f>
        <v/>
      </c>
      <c r="O1766" s="17" t="str">
        <f>IFERROR(IF(N1766="","",IF(INDEX(Listado!M:M,N1766)="No",IF(INDEX(Listado!N:N,N1766)=0,"",INDEX(Listado!N:N,N1766)),IF(INDEX(Listado!I:I,N1766)=0,"",INDEX(Listado!I:I,N1766)))),"")</f>
        <v/>
      </c>
      <c r="P1766" s="17">
        <f t="shared" ca="1" si="82"/>
        <v/>
      </c>
      <c r="Q1766" s="17">
        <f>IFERROR(IF(AND(N1766&lt;&gt;"",ISNUMBER(O1766),O1766&gt;0,O1766&gt;=TODAY()-90),1,0),0)</f>
        <v/>
      </c>
      <c r="R1766" s="17" t="str">
        <f t="shared" si="84"/>
        <v/>
      </c>
      <c r="S1766" s="17" t="str">
        <f>IF(INDEX(Listado!A:A,ROW())="","",INDEX(Listado!A:A,ROW()))</f>
        <v/>
      </c>
      <c r="T1766" s="17" t="str">
        <f ca="1">IF(INDEX(Listado!G:G,ROW())="","",INDEX(Listado!G:G,ROW()))</f>
        <v/>
      </c>
      <c r="U1766" s="17" t="str">
        <f>IF(INDEX(Listado!F:F,ROW())="","",INDEX(Listado!F:F,ROW()))</f>
        <v/>
      </c>
      <c r="V1766" s="17">
        <f>IF(COUNTA(INDEX(Listado!B:B,ROW()):INDEX(Listado!F:F,ROW()))&gt;0,1,0)</f>
        <v/>
      </c>
      <c r="W1766" s="17" t="str">
        <f>IF(INDEX(Listado!L:L,ROW())="","",INDEX(Listado!L:L,ROW()))</f>
        <v/>
      </c>
      <c r="X1766" s="17">
        <f>IF(N1766="","",IF(INDEX(Listado!$M:$M,N1766)="No","No","Sí"))</f>
        <v/>
      </c>
    </row>
    <row r="1767" spans="2:24" ht="14.25">
      <c r="N1767" s="17" t="str">
        <f>IF(V1767=0,"",IFERROR(LOOKUP(2,1/(INDEX(Listado!A:A,2):INDEX(Listado!A:A,ROW())&lt;&gt;""),ROW(INDEX(Listado!A:A,2):INDEX(Listado!A:A,ROW()))),""))</f>
        <v/>
      </c>
      <c r="O1767" s="17" t="str">
        <f>IFERROR(IF(N1767="","",IF(INDEX(Listado!M:M,N1767)="No",IF(INDEX(Listado!N:N,N1767)=0,"",INDEX(Listado!N:N,N1767)),IF(INDEX(Listado!I:I,N1767)=0,"",INDEX(Listado!I:I,N1767)))),"")</f>
        <v/>
      </c>
      <c r="P1767" s="17">
        <f t="shared" ca="1" si="82"/>
        <v/>
      </c>
      <c r="Q1767" s="17">
        <f>IFERROR(IF(AND(N1767&lt;&gt;"",ISNUMBER(O1767),O1767&gt;0,O1767&gt;=TODAY()-90),1,0),0)</f>
        <v/>
      </c>
      <c r="R1767" s="17" t="str">
        <f t="shared" si="84"/>
        <v/>
      </c>
      <c r="S1767" s="17" t="str">
        <f>IF(INDEX(Listado!A:A,ROW())="","",INDEX(Listado!A:A,ROW()))</f>
        <v/>
      </c>
      <c r="T1767" s="17" t="str">
        <f ca="1">IF(INDEX(Listado!G:G,ROW())="","",INDEX(Listado!G:G,ROW()))</f>
        <v/>
      </c>
      <c r="U1767" s="17" t="str">
        <f>IF(INDEX(Listado!F:F,ROW())="","",INDEX(Listado!F:F,ROW()))</f>
        <v/>
      </c>
      <c r="V1767" s="17">
        <f>IF(COUNTA(INDEX(Listado!B:B,ROW()):INDEX(Listado!F:F,ROW()))&gt;0,1,0)</f>
        <v/>
      </c>
      <c r="W1767" s="17" t="str">
        <f>IF(INDEX(Listado!L:L,ROW())="","",INDEX(Listado!L:L,ROW()))</f>
        <v/>
      </c>
      <c r="X1767" s="17">
        <f>IF(N1767="","",IF(INDEX(Listado!$M:$M,N1767)="No","No","Sí"))</f>
        <v/>
      </c>
    </row>
    <row r="1768" spans="2:24" ht="14.25">
      <c r="N1768" s="17" t="str">
        <f>IF(V1768=0,"",IFERROR(LOOKUP(2,1/(INDEX(Listado!A:A,2):INDEX(Listado!A:A,ROW())&lt;&gt;""),ROW(INDEX(Listado!A:A,2):INDEX(Listado!A:A,ROW()))),""))</f>
        <v/>
      </c>
      <c r="O1768" s="17" t="str">
        <f>IFERROR(IF(N1768="","",IF(INDEX(Listado!M:M,N1768)="No",IF(INDEX(Listado!N:N,N1768)=0,"",INDEX(Listado!N:N,N1768)),IF(INDEX(Listado!I:I,N1768)=0,"",INDEX(Listado!I:I,N1768)))),"")</f>
        <v/>
      </c>
      <c r="P1768" s="17">
        <f t="shared" ca="1" si="82"/>
        <v/>
      </c>
      <c r="Q1768" s="17">
        <f>IFERROR(IF(AND(N1768&lt;&gt;"",ISNUMBER(O1768),O1768&gt;0,O1768&gt;=TODAY()-90),1,0),0)</f>
        <v/>
      </c>
      <c r="R1768" s="17" t="str">
        <f t="shared" si="84"/>
        <v/>
      </c>
      <c r="S1768" s="17" t="str">
        <f>IF(INDEX(Listado!A:A,ROW())="","",INDEX(Listado!A:A,ROW()))</f>
        <v/>
      </c>
      <c r="T1768" s="17" t="str">
        <f ca="1">IF(INDEX(Listado!G:G,ROW())="","",INDEX(Listado!G:G,ROW()))</f>
        <v/>
      </c>
      <c r="U1768" s="17" t="str">
        <f>IF(INDEX(Listado!F:F,ROW())="","",INDEX(Listado!F:F,ROW()))</f>
        <v/>
      </c>
      <c r="V1768" s="17">
        <f>IF(COUNTA(INDEX(Listado!B:B,ROW()):INDEX(Listado!F:F,ROW()))&gt;0,1,0)</f>
        <v/>
      </c>
      <c r="W1768" s="17" t="str">
        <f>IF(INDEX(Listado!L:L,ROW())="","",INDEX(Listado!L:L,ROW()))</f>
        <v/>
      </c>
      <c r="X1768" s="17">
        <f>IF(N1768="","",IF(INDEX(Listado!$M:$M,N1768)="No","No","Sí"))</f>
        <v/>
      </c>
    </row>
    <row r="1769" spans="2:24" ht="14.25">
      <c r="N1769" s="17" t="str">
        <f>IF(V1769=0,"",IFERROR(LOOKUP(2,1/(INDEX(Listado!A:A,2):INDEX(Listado!A:A,ROW())&lt;&gt;""),ROW(INDEX(Listado!A:A,2):INDEX(Listado!A:A,ROW()))),""))</f>
        <v/>
      </c>
      <c r="O1769" s="17" t="str">
        <f>IFERROR(IF(N1769="","",IF(INDEX(Listado!M:M,N1769)="No",IF(INDEX(Listado!N:N,N1769)=0,"",INDEX(Listado!N:N,N1769)),IF(INDEX(Listado!I:I,N1769)=0,"",INDEX(Listado!I:I,N1769)))),"")</f>
        <v/>
      </c>
      <c r="P1769" s="17">
        <f t="shared" ca="1" si="82"/>
        <v/>
      </c>
      <c r="Q1769" s="17">
        <f>IFERROR(IF(AND(N1769&lt;&gt;"",ISNUMBER(O1769),O1769&gt;0,O1769&gt;=TODAY()-90),1,0),0)</f>
        <v/>
      </c>
      <c r="R1769" s="17" t="str">
        <f t="shared" si="84"/>
        <v/>
      </c>
      <c r="S1769" s="17" t="str">
        <f>IF(INDEX(Listado!A:A,ROW())="","",INDEX(Listado!A:A,ROW()))</f>
        <v/>
      </c>
      <c r="T1769" s="17" t="str">
        <f ca="1">IF(INDEX(Listado!G:G,ROW())="","",INDEX(Listado!G:G,ROW()))</f>
        <v/>
      </c>
      <c r="U1769" s="17" t="str">
        <f>IF(INDEX(Listado!F:F,ROW())="","",INDEX(Listado!F:F,ROW()))</f>
        <v/>
      </c>
      <c r="V1769" s="17">
        <f>IF(COUNTA(INDEX(Listado!B:B,ROW()):INDEX(Listado!F:F,ROW()))&gt;0,1,0)</f>
        <v/>
      </c>
      <c r="W1769" s="17" t="str">
        <f>IF(INDEX(Listado!L:L,ROW())="","",INDEX(Listado!L:L,ROW()))</f>
        <v/>
      </c>
      <c r="X1769" s="17">
        <f>IF(N1769="","",IF(INDEX(Listado!$M:$M,N1769)="No","No","Sí"))</f>
        <v/>
      </c>
    </row>
    <row r="1770" spans="2:24" ht="14.25">
      <c r="N1770" s="17" t="str">
        <f>IF(V1770=0,"",IFERROR(LOOKUP(2,1/(INDEX(Listado!A:A,2):INDEX(Listado!A:A,ROW())&lt;&gt;""),ROW(INDEX(Listado!A:A,2):INDEX(Listado!A:A,ROW()))),""))</f>
        <v/>
      </c>
      <c r="O1770" s="17" t="str">
        <f>IFERROR(IF(N1770="","",IF(INDEX(Listado!M:M,N1770)="No",IF(INDEX(Listado!N:N,N1770)=0,"",INDEX(Listado!N:N,N1770)),IF(INDEX(Listado!I:I,N1770)=0,"",INDEX(Listado!I:I,N1770)))),"")</f>
        <v/>
      </c>
      <c r="P1770" s="17">
        <f t="shared" ca="1" si="82"/>
        <v/>
      </c>
      <c r="Q1770" s="17">
        <f>IFERROR(IF(AND(N1770&lt;&gt;"",ISNUMBER(O1770),O1770&gt;0,O1770&gt;=TODAY()-90),1,0),0)</f>
        <v/>
      </c>
      <c r="R1770" s="17" t="str">
        <f t="shared" si="84"/>
        <v/>
      </c>
      <c r="S1770" s="17" t="str">
        <f>IF(INDEX(Listado!A:A,ROW())="","",INDEX(Listado!A:A,ROW()))</f>
        <v/>
      </c>
      <c r="T1770" s="17" t="str">
        <f ca="1">IF(INDEX(Listado!G:G,ROW())="","",INDEX(Listado!G:G,ROW()))</f>
        <v/>
      </c>
      <c r="U1770" s="17" t="str">
        <f>IF(INDEX(Listado!F:F,ROW())="","",INDEX(Listado!F:F,ROW()))</f>
        <v/>
      </c>
      <c r="V1770" s="17">
        <f>IF(COUNTA(INDEX(Listado!B:B,ROW()):INDEX(Listado!F:F,ROW()))&gt;0,1,0)</f>
        <v/>
      </c>
      <c r="W1770" s="17" t="str">
        <f>IF(INDEX(Listado!L:L,ROW())="","",INDEX(Listado!L:L,ROW()))</f>
        <v/>
      </c>
      <c r="X1770" s="17">
        <f>IF(N1770="","",IF(INDEX(Listado!$M:$M,N1770)="No","No","Sí"))</f>
        <v/>
      </c>
    </row>
    <row r="1771" spans="2:24" ht="14.25">
      <c r="N1771" s="17" t="str">
        <f>IF(V1771=0,"",IFERROR(LOOKUP(2,1/(INDEX(Listado!A:A,2):INDEX(Listado!A:A,ROW())&lt;&gt;""),ROW(INDEX(Listado!A:A,2):INDEX(Listado!A:A,ROW()))),""))</f>
        <v/>
      </c>
      <c r="O1771" s="17" t="str">
        <f>IFERROR(IF(N1771="","",IF(INDEX(Listado!M:M,N1771)="No",IF(INDEX(Listado!N:N,N1771)=0,"",INDEX(Listado!N:N,N1771)),IF(INDEX(Listado!I:I,N1771)=0,"",INDEX(Listado!I:I,N1771)))),"")</f>
        <v/>
      </c>
      <c r="P1771" s="17">
        <f t="shared" ca="1" si="82"/>
        <v/>
      </c>
      <c r="Q1771" s="17">
        <f>IFERROR(IF(AND(N1771&lt;&gt;"",ISNUMBER(O1771),O1771&gt;0,O1771&gt;=TODAY()-90),1,0),0)</f>
        <v/>
      </c>
      <c r="R1771" s="17" t="str">
        <f t="shared" si="84"/>
        <v/>
      </c>
      <c r="S1771" s="17" t="str">
        <f>IF(INDEX(Listado!A:A,ROW())="","",INDEX(Listado!A:A,ROW()))</f>
        <v/>
      </c>
      <c r="T1771" s="17" t="str">
        <f ca="1">IF(INDEX(Listado!G:G,ROW())="","",INDEX(Listado!G:G,ROW()))</f>
        <v/>
      </c>
      <c r="U1771" s="17" t="str">
        <f>IF(INDEX(Listado!F:F,ROW())="","",INDEX(Listado!F:F,ROW()))</f>
        <v/>
      </c>
      <c r="V1771" s="17">
        <f>IF(COUNTA(INDEX(Listado!B:B,ROW()):INDEX(Listado!F:F,ROW()))&gt;0,1,0)</f>
        <v/>
      </c>
      <c r="W1771" s="17" t="str">
        <f>IF(INDEX(Listado!L:L,ROW())="","",INDEX(Listado!L:L,ROW()))</f>
        <v/>
      </c>
      <c r="X1771" s="17">
        <f>IF(N1771="","",IF(INDEX(Listado!$M:$M,N1771)="No","No","Sí"))</f>
        <v/>
      </c>
    </row>
    <row r="1772" spans="2:24" ht="14.25">
      <c r="N1772" s="17" t="str">
        <f>IF(V1772=0,"",IFERROR(LOOKUP(2,1/(INDEX(Listado!A:A,2):INDEX(Listado!A:A,ROW())&lt;&gt;""),ROW(INDEX(Listado!A:A,2):INDEX(Listado!A:A,ROW()))),""))</f>
        <v/>
      </c>
      <c r="O1772" s="17" t="str">
        <f>IFERROR(IF(N1772="","",IF(INDEX(Listado!M:M,N1772)="No",IF(INDEX(Listado!N:N,N1772)=0,"",INDEX(Listado!N:N,N1772)),IF(INDEX(Listado!I:I,N1772)=0,"",INDEX(Listado!I:I,N1772)))),"")</f>
        <v/>
      </c>
      <c r="P1772" s="17">
        <f t="shared" ca="1" si="82"/>
        <v/>
      </c>
      <c r="Q1772" s="17">
        <f>IFERROR(IF(AND(N1772&lt;&gt;"",ISNUMBER(O1772),O1772&gt;0,O1772&gt;=TODAY()-90),1,0),0)</f>
        <v/>
      </c>
      <c r="R1772" s="17" t="str">
        <f t="shared" si="84"/>
        <v/>
      </c>
      <c r="S1772" s="17" t="str">
        <f>IF(INDEX(Listado!A:A,ROW())="","",INDEX(Listado!A:A,ROW()))</f>
        <v/>
      </c>
      <c r="T1772" s="17" t="str">
        <f ca="1">IF(INDEX(Listado!G:G,ROW())="","",INDEX(Listado!G:G,ROW()))</f>
        <v/>
      </c>
      <c r="U1772" s="17" t="str">
        <f>IF(INDEX(Listado!F:F,ROW())="","",INDEX(Listado!F:F,ROW()))</f>
        <v/>
      </c>
      <c r="V1772" s="17">
        <f>IF(COUNTA(INDEX(Listado!B:B,ROW()):INDEX(Listado!F:F,ROW()))&gt;0,1,0)</f>
        <v/>
      </c>
      <c r="W1772" s="17" t="str">
        <f>IF(INDEX(Listado!L:L,ROW())="","",INDEX(Listado!L:L,ROW()))</f>
        <v/>
      </c>
      <c r="X1772" s="17">
        <f>IF(N1772="","",IF(INDEX(Listado!$M:$M,N1772)="No","No","Sí"))</f>
        <v/>
      </c>
    </row>
    <row r="1773" spans="2:24" ht="14.25">
      <c r="N1773" s="17" t="str">
        <f>IF(V1773=0,"",IFERROR(LOOKUP(2,1/(INDEX(Listado!A:A,2):INDEX(Listado!A:A,ROW())&lt;&gt;""),ROW(INDEX(Listado!A:A,2):INDEX(Listado!A:A,ROW()))),""))</f>
        <v/>
      </c>
      <c r="O1773" s="17" t="str">
        <f>IFERROR(IF(N1773="","",IF(INDEX(Listado!M:M,N1773)="No",IF(INDEX(Listado!N:N,N1773)=0,"",INDEX(Listado!N:N,N1773)),IF(INDEX(Listado!I:I,N1773)=0,"",INDEX(Listado!I:I,N1773)))),"")</f>
        <v/>
      </c>
      <c r="P1773" s="17">
        <f t="shared" ca="1" si="82"/>
        <v/>
      </c>
      <c r="Q1773" s="17">
        <f>IFERROR(IF(AND(N1773&lt;&gt;"",ISNUMBER(O1773),O1773&gt;0,O1773&gt;=TODAY()-90),1,0),0)</f>
        <v/>
      </c>
      <c r="R1773" s="17" t="str">
        <f t="shared" si="84"/>
        <v/>
      </c>
      <c r="S1773" s="17" t="str">
        <f>IF(INDEX(Listado!A:A,ROW())="","",INDEX(Listado!A:A,ROW()))</f>
        <v/>
      </c>
      <c r="T1773" s="17" t="str">
        <f ca="1">IF(INDEX(Listado!G:G,ROW())="","",INDEX(Listado!G:G,ROW()))</f>
        <v/>
      </c>
      <c r="U1773" s="17" t="str">
        <f>IF(INDEX(Listado!F:F,ROW())="","",INDEX(Listado!F:F,ROW()))</f>
        <v/>
      </c>
      <c r="V1773" s="17">
        <f>IF(COUNTA(INDEX(Listado!B:B,ROW()):INDEX(Listado!F:F,ROW()))&gt;0,1,0)</f>
        <v/>
      </c>
      <c r="W1773" s="17" t="str">
        <f>IF(INDEX(Listado!L:L,ROW())="","",INDEX(Listado!L:L,ROW()))</f>
        <v/>
      </c>
      <c r="X1773" s="17">
        <f>IF(N1773="","",IF(INDEX(Listado!$M:$M,N1773)="No","No","Sí"))</f>
        <v/>
      </c>
    </row>
    <row r="1774" spans="2:24" ht="14.25">
      <c r="N1774" s="17" t="str">
        <f>IF(V1774=0,"",IFERROR(LOOKUP(2,1/(INDEX(Listado!A:A,2):INDEX(Listado!A:A,ROW())&lt;&gt;""),ROW(INDEX(Listado!A:A,2):INDEX(Listado!A:A,ROW()))),""))</f>
        <v/>
      </c>
      <c r="O1774" s="17" t="str">
        <f>IFERROR(IF(N1774="","",IF(INDEX(Listado!M:M,N1774)="No",IF(INDEX(Listado!N:N,N1774)=0,"",INDEX(Listado!N:N,N1774)),IF(INDEX(Listado!I:I,N1774)=0,"",INDEX(Listado!I:I,N1774)))),"")</f>
        <v/>
      </c>
      <c r="P1774" s="17">
        <f t="shared" ca="1" si="82"/>
        <v/>
      </c>
      <c r="Q1774" s="17">
        <f>IFERROR(IF(AND(N1774&lt;&gt;"",ISNUMBER(O1774),O1774&gt;0,O1774&gt;=TODAY()-90),1,0),0)</f>
        <v/>
      </c>
      <c r="R1774" s="17" t="str">
        <f t="shared" si="84"/>
        <v/>
      </c>
      <c r="S1774" s="17" t="str">
        <f>IF(INDEX(Listado!A:A,ROW())="","",INDEX(Listado!A:A,ROW()))</f>
        <v/>
      </c>
      <c r="T1774" s="17" t="str">
        <f ca="1">IF(INDEX(Listado!G:G,ROW())="","",INDEX(Listado!G:G,ROW()))</f>
        <v/>
      </c>
      <c r="U1774" s="17" t="str">
        <f>IF(INDEX(Listado!F:F,ROW())="","",INDEX(Listado!F:F,ROW()))</f>
        <v/>
      </c>
      <c r="V1774" s="17">
        <f>IF(COUNTA(INDEX(Listado!B:B,ROW()):INDEX(Listado!F:F,ROW()))&gt;0,1,0)</f>
        <v/>
      </c>
      <c r="W1774" s="17" t="str">
        <f>IF(INDEX(Listado!L:L,ROW())="","",INDEX(Listado!L:L,ROW()))</f>
        <v/>
      </c>
      <c r="X1774" s="17">
        <f>IF(N1774="","",IF(INDEX(Listado!$M:$M,N1774)="No","No","Sí"))</f>
        <v/>
      </c>
    </row>
    <row r="1775" spans="2:24" ht="14.25">
      <c r="N1775" s="17" t="str">
        <f>IF(V1775=0,"",IFERROR(LOOKUP(2,1/(INDEX(Listado!A:A,2):INDEX(Listado!A:A,ROW())&lt;&gt;""),ROW(INDEX(Listado!A:A,2):INDEX(Listado!A:A,ROW()))),""))</f>
        <v/>
      </c>
      <c r="O1775" s="17" t="str">
        <f>IFERROR(IF(N1775="","",IF(INDEX(Listado!M:M,N1775)="No",IF(INDEX(Listado!N:N,N1775)=0,"",INDEX(Listado!N:N,N1775)),IF(INDEX(Listado!I:I,N1775)=0,"",INDEX(Listado!I:I,N1775)))),"")</f>
        <v/>
      </c>
      <c r="P1775" s="17">
        <f t="shared" ca="1" si="82"/>
        <v/>
      </c>
      <c r="Q1775" s="17">
        <f>IFERROR(IF(AND(N1775&lt;&gt;"",ISNUMBER(O1775),O1775&gt;0,O1775&gt;=TODAY()-90),1,0),0)</f>
        <v/>
      </c>
      <c r="R1775" s="17" t="str">
        <f t="shared" si="84"/>
        <v/>
      </c>
      <c r="S1775" s="17" t="str">
        <f>IF(INDEX(Listado!A:A,ROW())="","",INDEX(Listado!A:A,ROW()))</f>
        <v/>
      </c>
      <c r="T1775" s="17" t="str">
        <f ca="1">IF(INDEX(Listado!G:G,ROW())="","",INDEX(Listado!G:G,ROW()))</f>
        <v/>
      </c>
      <c r="U1775" s="17" t="str">
        <f>IF(INDEX(Listado!F:F,ROW())="","",INDEX(Listado!F:F,ROW()))</f>
        <v/>
      </c>
      <c r="V1775" s="17">
        <f>IF(COUNTA(INDEX(Listado!B:B,ROW()):INDEX(Listado!F:F,ROW()))&gt;0,1,0)</f>
        <v/>
      </c>
      <c r="W1775" s="17" t="str">
        <f>IF(INDEX(Listado!L:L,ROW())="","",INDEX(Listado!L:L,ROW()))</f>
        <v/>
      </c>
      <c r="X1775" s="17">
        <f>IF(N1775="","",IF(INDEX(Listado!$M:$M,N1775)="No","No","Sí"))</f>
        <v/>
      </c>
    </row>
    <row r="1776" spans="2:24" ht="14.25">
      <c r="N1776" s="17" t="str">
        <f>IF(V1776=0,"",IFERROR(LOOKUP(2,1/(INDEX(Listado!A:A,2):INDEX(Listado!A:A,ROW())&lt;&gt;""),ROW(INDEX(Listado!A:A,2):INDEX(Listado!A:A,ROW()))),""))</f>
        <v/>
      </c>
      <c r="O1776" s="17" t="str">
        <f>IFERROR(IF(N1776="","",IF(INDEX(Listado!M:M,N1776)="No",IF(INDEX(Listado!N:N,N1776)=0,"",INDEX(Listado!N:N,N1776)),IF(INDEX(Listado!I:I,N1776)=0,"",INDEX(Listado!I:I,N1776)))),"")</f>
        <v/>
      </c>
      <c r="P1776" s="17">
        <f t="shared" ca="1" si="82"/>
        <v/>
      </c>
      <c r="Q1776" s="17">
        <f>IFERROR(IF(AND(N1776&lt;&gt;"",ISNUMBER(O1776),O1776&gt;0,O1776&gt;=TODAY()-90),1,0),0)</f>
        <v/>
      </c>
      <c r="R1776" s="17" t="str">
        <f t="shared" si="84"/>
        <v/>
      </c>
      <c r="S1776" s="17" t="str">
        <f>IF(INDEX(Listado!A:A,ROW())="","",INDEX(Listado!A:A,ROW()))</f>
        <v/>
      </c>
      <c r="T1776" s="17" t="str">
        <f ca="1">IF(INDEX(Listado!G:G,ROW())="","",INDEX(Listado!G:G,ROW()))</f>
        <v/>
      </c>
      <c r="U1776" s="17" t="str">
        <f>IF(INDEX(Listado!F:F,ROW())="","",INDEX(Listado!F:F,ROW()))</f>
        <v/>
      </c>
      <c r="V1776" s="17">
        <f>IF(COUNTA(INDEX(Listado!B:B,ROW()):INDEX(Listado!F:F,ROW()))&gt;0,1,0)</f>
        <v/>
      </c>
      <c r="W1776" s="17" t="str">
        <f>IF(INDEX(Listado!L:L,ROW())="","",INDEX(Listado!L:L,ROW()))</f>
        <v/>
      </c>
      <c r="X1776" s="17">
        <f>IF(N1776="","",IF(INDEX(Listado!$M:$M,N1776)="No","No","Sí"))</f>
        <v/>
      </c>
    </row>
    <row r="1777" spans="2:24" ht="14.25">
      <c r="N1777" s="17" t="str">
        <f>IF(V1777=0,"",IFERROR(LOOKUP(2,1/(INDEX(Listado!A:A,2):INDEX(Listado!A:A,ROW())&lt;&gt;""),ROW(INDEX(Listado!A:A,2):INDEX(Listado!A:A,ROW()))),""))</f>
        <v/>
      </c>
      <c r="O1777" s="17" t="str">
        <f>IFERROR(IF(N1777="","",IF(INDEX(Listado!M:M,N1777)="No",IF(INDEX(Listado!N:N,N1777)=0,"",INDEX(Listado!N:N,N1777)),IF(INDEX(Listado!I:I,N1777)=0,"",INDEX(Listado!I:I,N1777)))),"")</f>
        <v/>
      </c>
      <c r="P1777" s="17">
        <f t="shared" ca="1" si="82"/>
        <v/>
      </c>
      <c r="Q1777" s="17">
        <f>IFERROR(IF(AND(N1777&lt;&gt;"",ISNUMBER(O1777),O1777&gt;0,O1777&gt;=TODAY()-90),1,0),0)</f>
        <v/>
      </c>
      <c r="R1777" s="17" t="str">
        <f t="shared" si="84"/>
        <v/>
      </c>
      <c r="S1777" s="17" t="str">
        <f>IF(INDEX(Listado!A:A,ROW())="","",INDEX(Listado!A:A,ROW()))</f>
        <v/>
      </c>
      <c r="T1777" s="17" t="str">
        <f ca="1">IF(INDEX(Listado!G:G,ROW())="","",INDEX(Listado!G:G,ROW()))</f>
        <v/>
      </c>
      <c r="U1777" s="17" t="str">
        <f>IF(INDEX(Listado!F:F,ROW())="","",INDEX(Listado!F:F,ROW()))</f>
        <v/>
      </c>
      <c r="V1777" s="17">
        <f>IF(COUNTA(INDEX(Listado!B:B,ROW()):INDEX(Listado!F:F,ROW()))&gt;0,1,0)</f>
        <v/>
      </c>
      <c r="W1777" s="17" t="str">
        <f>IF(INDEX(Listado!L:L,ROW())="","",INDEX(Listado!L:L,ROW()))</f>
        <v/>
      </c>
      <c r="X1777" s="17">
        <f>IF(N1777="","",IF(INDEX(Listado!$M:$M,N1777)="No","No","Sí"))</f>
        <v/>
      </c>
    </row>
    <row r="1778" spans="2:24" ht="14.25">
      <c r="N1778" s="17" t="str">
        <f>IF(V1778=0,"",IFERROR(LOOKUP(2,1/(INDEX(Listado!A:A,2):INDEX(Listado!A:A,ROW())&lt;&gt;""),ROW(INDEX(Listado!A:A,2):INDEX(Listado!A:A,ROW()))),""))</f>
        <v/>
      </c>
      <c r="O1778" s="17" t="str">
        <f>IFERROR(IF(N1778="","",IF(INDEX(Listado!M:M,N1778)="No",IF(INDEX(Listado!N:N,N1778)=0,"",INDEX(Listado!N:N,N1778)),IF(INDEX(Listado!I:I,N1778)=0,"",INDEX(Listado!I:I,N1778)))),"")</f>
        <v/>
      </c>
      <c r="P1778" s="17">
        <f t="shared" ca="1" si="82"/>
        <v/>
      </c>
      <c r="Q1778" s="17">
        <f>IFERROR(IF(AND(N1778&lt;&gt;"",ISNUMBER(O1778),O1778&gt;0,O1778&gt;=TODAY()-90),1,0),0)</f>
        <v/>
      </c>
      <c r="R1778" s="17" t="str">
        <f t="shared" si="84"/>
        <v/>
      </c>
      <c r="S1778" s="17" t="str">
        <f>IF(INDEX(Listado!A:A,ROW())="","",INDEX(Listado!A:A,ROW()))</f>
        <v/>
      </c>
      <c r="T1778" s="17" t="str">
        <f ca="1">IF(INDEX(Listado!G:G,ROW())="","",INDEX(Listado!G:G,ROW()))</f>
        <v/>
      </c>
      <c r="U1778" s="17" t="str">
        <f>IF(INDEX(Listado!F:F,ROW())="","",INDEX(Listado!F:F,ROW()))</f>
        <v/>
      </c>
      <c r="V1778" s="17">
        <f>IF(COUNTA(INDEX(Listado!B:B,ROW()):INDEX(Listado!F:F,ROW()))&gt;0,1,0)</f>
        <v/>
      </c>
      <c r="W1778" s="17" t="str">
        <f>IF(INDEX(Listado!L:L,ROW())="","",INDEX(Listado!L:L,ROW()))</f>
        <v/>
      </c>
      <c r="X1778" s="17">
        <f>IF(N1778="","",IF(INDEX(Listado!$M:$M,N1778)="No","No","Sí"))</f>
        <v/>
      </c>
    </row>
    <row r="1779" spans="2:24" ht="14.25">
      <c r="N1779" s="17" t="str">
        <f>IF(V1779=0,"",IFERROR(LOOKUP(2,1/(INDEX(Listado!A:A,2):INDEX(Listado!A:A,ROW())&lt;&gt;""),ROW(INDEX(Listado!A:A,2):INDEX(Listado!A:A,ROW()))),""))</f>
        <v/>
      </c>
      <c r="O1779" s="17" t="str">
        <f>IFERROR(IF(N1779="","",IF(INDEX(Listado!M:M,N1779)="No",IF(INDEX(Listado!N:N,N1779)=0,"",INDEX(Listado!N:N,N1779)),IF(INDEX(Listado!I:I,N1779)=0,"",INDEX(Listado!I:I,N1779)))),"")</f>
        <v/>
      </c>
      <c r="P1779" s="17">
        <f t="shared" ca="1" si="82"/>
        <v/>
      </c>
      <c r="Q1779" s="17">
        <f>IFERROR(IF(AND(N1779&lt;&gt;"",ISNUMBER(O1779),O1779&gt;0,O1779&gt;=TODAY()-90),1,0),0)</f>
        <v/>
      </c>
      <c r="R1779" s="17" t="str">
        <f t="shared" si="84"/>
        <v/>
      </c>
      <c r="S1779" s="17" t="str">
        <f>IF(INDEX(Listado!A:A,ROW())="","",INDEX(Listado!A:A,ROW()))</f>
        <v/>
      </c>
      <c r="T1779" s="17" t="str">
        <f ca="1">IF(INDEX(Listado!G:G,ROW())="","",INDEX(Listado!G:G,ROW()))</f>
        <v/>
      </c>
      <c r="U1779" s="17" t="str">
        <f>IF(INDEX(Listado!F:F,ROW())="","",INDEX(Listado!F:F,ROW()))</f>
        <v/>
      </c>
      <c r="V1779" s="17">
        <f>IF(COUNTA(INDEX(Listado!B:B,ROW()):INDEX(Listado!F:F,ROW()))&gt;0,1,0)</f>
        <v/>
      </c>
      <c r="W1779" s="17" t="str">
        <f>IF(INDEX(Listado!L:L,ROW())="","",INDEX(Listado!L:L,ROW()))</f>
        <v/>
      </c>
      <c r="X1779" s="17">
        <f>IF(N1779="","",IF(INDEX(Listado!$M:$M,N1779)="No","No","Sí"))</f>
        <v/>
      </c>
    </row>
    <row r="1780" spans="2:24" ht="14.25">
      <c r="N1780" s="17" t="str">
        <f>IF(V1780=0,"",IFERROR(LOOKUP(2,1/(INDEX(Listado!A:A,2):INDEX(Listado!A:A,ROW())&lt;&gt;""),ROW(INDEX(Listado!A:A,2):INDEX(Listado!A:A,ROW()))),""))</f>
        <v/>
      </c>
      <c r="O1780" s="17" t="str">
        <f>IFERROR(IF(N1780="","",IF(INDEX(Listado!M:M,N1780)="No",IF(INDEX(Listado!N:N,N1780)=0,"",INDEX(Listado!N:N,N1780)),IF(INDEX(Listado!I:I,N1780)=0,"",INDEX(Listado!I:I,N1780)))),"")</f>
        <v/>
      </c>
      <c r="P1780" s="17">
        <f t="shared" ca="1" si="82"/>
        <v/>
      </c>
      <c r="Q1780" s="17">
        <f>IFERROR(IF(AND(N1780&lt;&gt;"",ISNUMBER(O1780),O1780&gt;0,O1780&gt;=TODAY()-90),1,0),0)</f>
        <v/>
      </c>
      <c r="R1780" s="17" t="str">
        <f t="shared" si="84"/>
        <v/>
      </c>
      <c r="S1780" s="17" t="str">
        <f>IF(INDEX(Listado!A:A,ROW())="","",INDEX(Listado!A:A,ROW()))</f>
        <v/>
      </c>
      <c r="T1780" s="17" t="str">
        <f ca="1">IF(INDEX(Listado!G:G,ROW())="","",INDEX(Listado!G:G,ROW()))</f>
        <v/>
      </c>
      <c r="U1780" s="17" t="str">
        <f>IF(INDEX(Listado!F:F,ROW())="","",INDEX(Listado!F:F,ROW()))</f>
        <v/>
      </c>
      <c r="V1780" s="17">
        <f>IF(COUNTA(INDEX(Listado!B:B,ROW()):INDEX(Listado!F:F,ROW()))&gt;0,1,0)</f>
        <v/>
      </c>
      <c r="W1780" s="17" t="str">
        <f>IF(INDEX(Listado!L:L,ROW())="","",INDEX(Listado!L:L,ROW()))</f>
        <v/>
      </c>
      <c r="X1780" s="17">
        <f>IF(N1780="","",IF(INDEX(Listado!$M:$M,N1780)="No","No","Sí"))</f>
        <v/>
      </c>
    </row>
    <row r="1781" spans="2:24" ht="14.25">
      <c r="N1781" s="17" t="str">
        <f>IF(V1781=0,"",IFERROR(LOOKUP(2,1/(INDEX(Listado!A:A,2):INDEX(Listado!A:A,ROW())&lt;&gt;""),ROW(INDEX(Listado!A:A,2):INDEX(Listado!A:A,ROW()))),""))</f>
        <v/>
      </c>
      <c r="O1781" s="17" t="str">
        <f>IFERROR(IF(N1781="","",IF(INDEX(Listado!M:M,N1781)="No",IF(INDEX(Listado!N:N,N1781)=0,"",INDEX(Listado!N:N,N1781)),IF(INDEX(Listado!I:I,N1781)=0,"",INDEX(Listado!I:I,N1781)))),"")</f>
        <v/>
      </c>
      <c r="P1781" s="17">
        <f t="shared" ca="1" si="82"/>
        <v/>
      </c>
      <c r="Q1781" s="17">
        <f>IFERROR(IF(AND(N1781&lt;&gt;"",ISNUMBER(O1781),O1781&gt;0,O1781&gt;=TODAY()-90),1,0),0)</f>
        <v/>
      </c>
      <c r="R1781" s="17" t="str">
        <f t="shared" si="84"/>
        <v/>
      </c>
      <c r="S1781" s="17" t="str">
        <f>IF(INDEX(Listado!A:A,ROW())="","",INDEX(Listado!A:A,ROW()))</f>
        <v/>
      </c>
      <c r="T1781" s="17" t="str">
        <f ca="1">IF(INDEX(Listado!G:G,ROW())="","",INDEX(Listado!G:G,ROW()))</f>
        <v/>
      </c>
      <c r="U1781" s="17" t="str">
        <f>IF(INDEX(Listado!F:F,ROW())="","",INDEX(Listado!F:F,ROW()))</f>
        <v/>
      </c>
      <c r="V1781" s="17">
        <f>IF(COUNTA(INDEX(Listado!B:B,ROW()):INDEX(Listado!F:F,ROW()))&gt;0,1,0)</f>
        <v/>
      </c>
      <c r="W1781" s="17" t="str">
        <f>IF(INDEX(Listado!L:L,ROW())="","",INDEX(Listado!L:L,ROW()))</f>
        <v/>
      </c>
      <c r="X1781" s="17">
        <f>IF(N1781="","",IF(INDEX(Listado!$M:$M,N1781)="No","No","Sí"))</f>
        <v/>
      </c>
    </row>
    <row r="1782" spans="2:24" ht="14.25">
      <c r="N1782" s="17" t="str">
        <f>IF(V1782=0,"",IFERROR(LOOKUP(2,1/(INDEX(Listado!A:A,2):INDEX(Listado!A:A,ROW())&lt;&gt;""),ROW(INDEX(Listado!A:A,2):INDEX(Listado!A:A,ROW()))),""))</f>
        <v/>
      </c>
      <c r="O1782" s="17" t="str">
        <f>IFERROR(IF(N1782="","",IF(INDEX(Listado!M:M,N1782)="No",IF(INDEX(Listado!N:N,N1782)=0,"",INDEX(Listado!N:N,N1782)),IF(INDEX(Listado!I:I,N1782)=0,"",INDEX(Listado!I:I,N1782)))),"")</f>
        <v/>
      </c>
      <c r="P1782" s="17">
        <f t="shared" ca="1" si="82"/>
        <v/>
      </c>
      <c r="Q1782" s="17">
        <f>IFERROR(IF(AND(N1782&lt;&gt;"",ISNUMBER(O1782),O1782&gt;0,O1782&gt;=TODAY()-90),1,0),0)</f>
        <v/>
      </c>
      <c r="R1782" s="17" t="str">
        <f t="shared" si="84"/>
        <v/>
      </c>
      <c r="S1782" s="17" t="str">
        <f>IF(INDEX(Listado!A:A,ROW())="","",INDEX(Listado!A:A,ROW()))</f>
        <v/>
      </c>
      <c r="T1782" s="17" t="str">
        <f ca="1">IF(INDEX(Listado!G:G,ROW())="","",INDEX(Listado!G:G,ROW()))</f>
        <v/>
      </c>
      <c r="U1782" s="17" t="str">
        <f>IF(INDEX(Listado!F:F,ROW())="","",INDEX(Listado!F:F,ROW()))</f>
        <v/>
      </c>
      <c r="V1782" s="17">
        <f>IF(COUNTA(INDEX(Listado!B:B,ROW()):INDEX(Listado!F:F,ROW()))&gt;0,1,0)</f>
        <v/>
      </c>
      <c r="W1782" s="17" t="str">
        <f>IF(INDEX(Listado!L:L,ROW())="","",INDEX(Listado!L:L,ROW()))</f>
        <v/>
      </c>
      <c r="X1782" s="17">
        <f>IF(N1782="","",IF(INDEX(Listado!$M:$M,N1782)="No","No","Sí"))</f>
        <v/>
      </c>
    </row>
    <row r="1783" spans="2:24" ht="14.25">
      <c r="N1783" s="17" t="str">
        <f>IF(V1783=0,"",IFERROR(LOOKUP(2,1/(INDEX(Listado!A:A,2):INDEX(Listado!A:A,ROW())&lt;&gt;""),ROW(INDEX(Listado!A:A,2):INDEX(Listado!A:A,ROW()))),""))</f>
        <v/>
      </c>
      <c r="O1783" s="17" t="str">
        <f>IFERROR(IF(N1783="","",IF(INDEX(Listado!M:M,N1783)="No",IF(INDEX(Listado!N:N,N1783)=0,"",INDEX(Listado!N:N,N1783)),IF(INDEX(Listado!I:I,N1783)=0,"",INDEX(Listado!I:I,N1783)))),"")</f>
        <v/>
      </c>
      <c r="P1783" s="17">
        <f t="shared" ca="1" si="82"/>
        <v/>
      </c>
      <c r="Q1783" s="17">
        <f>IFERROR(IF(AND(N1783&lt;&gt;"",ISNUMBER(O1783),O1783&gt;0,O1783&gt;=TODAY()-90),1,0),0)</f>
        <v/>
      </c>
      <c r="R1783" s="17" t="str">
        <f t="shared" si="84"/>
        <v/>
      </c>
      <c r="S1783" s="17" t="str">
        <f>IF(INDEX(Listado!A:A,ROW())="","",INDEX(Listado!A:A,ROW()))</f>
        <v/>
      </c>
      <c r="T1783" s="17" t="str">
        <f ca="1">IF(INDEX(Listado!G:G,ROW())="","",INDEX(Listado!G:G,ROW()))</f>
        <v/>
      </c>
      <c r="U1783" s="17" t="str">
        <f>IF(INDEX(Listado!F:F,ROW())="","",INDEX(Listado!F:F,ROW()))</f>
        <v/>
      </c>
      <c r="V1783" s="17">
        <f>IF(COUNTA(INDEX(Listado!B:B,ROW()):INDEX(Listado!F:F,ROW()))&gt;0,1,0)</f>
        <v/>
      </c>
      <c r="W1783" s="17" t="str">
        <f>IF(INDEX(Listado!L:L,ROW())="","",INDEX(Listado!L:L,ROW()))</f>
        <v/>
      </c>
      <c r="X1783" s="17">
        <f>IF(N1783="","",IF(INDEX(Listado!$M:$M,N1783)="No","No","Sí"))</f>
        <v/>
      </c>
    </row>
    <row r="1784" spans="2:24" ht="14.25">
      <c r="N1784" s="17" t="str">
        <f>IF(V1784=0,"",IFERROR(LOOKUP(2,1/(INDEX(Listado!A:A,2):INDEX(Listado!A:A,ROW())&lt;&gt;""),ROW(INDEX(Listado!A:A,2):INDEX(Listado!A:A,ROW()))),""))</f>
        <v/>
      </c>
      <c r="O1784" s="17" t="str">
        <f>IFERROR(IF(N1784="","",IF(INDEX(Listado!M:M,N1784)="No",IF(INDEX(Listado!N:N,N1784)=0,"",INDEX(Listado!N:N,N1784)),IF(INDEX(Listado!I:I,N1784)=0,"",INDEX(Listado!I:I,N1784)))),"")</f>
        <v/>
      </c>
      <c r="P1784" s="17">
        <f t="shared" ca="1" si="82"/>
        <v/>
      </c>
      <c r="Q1784" s="17">
        <f>IFERROR(IF(AND(N1784&lt;&gt;"",ISNUMBER(O1784),O1784&gt;0,O1784&gt;=TODAY()-90),1,0),0)</f>
        <v/>
      </c>
      <c r="R1784" s="17" t="str">
        <f t="shared" si="84"/>
        <v/>
      </c>
      <c r="S1784" s="17" t="str">
        <f>IF(INDEX(Listado!A:A,ROW())="","",INDEX(Listado!A:A,ROW()))</f>
        <v/>
      </c>
      <c r="T1784" s="17" t="str">
        <f ca="1">IF(INDEX(Listado!G:G,ROW())="","",INDEX(Listado!G:G,ROW()))</f>
        <v/>
      </c>
      <c r="U1784" s="17" t="str">
        <f>IF(INDEX(Listado!F:F,ROW())="","",INDEX(Listado!F:F,ROW()))</f>
        <v/>
      </c>
      <c r="V1784" s="17">
        <f>IF(COUNTA(INDEX(Listado!B:B,ROW()):INDEX(Listado!F:F,ROW()))&gt;0,1,0)</f>
        <v/>
      </c>
      <c r="W1784" s="17" t="str">
        <f>IF(INDEX(Listado!L:L,ROW())="","",INDEX(Listado!L:L,ROW()))</f>
        <v/>
      </c>
      <c r="X1784" s="17">
        <f>IF(N1784="","",IF(INDEX(Listado!$M:$M,N1784)="No","No","Sí"))</f>
        <v/>
      </c>
    </row>
    <row r="1785" spans="2:24" ht="14.25">
      <c r="N1785" s="17" t="str">
        <f>IF(V1785=0,"",IFERROR(LOOKUP(2,1/(INDEX(Listado!A:A,2):INDEX(Listado!A:A,ROW())&lt;&gt;""),ROW(INDEX(Listado!A:A,2):INDEX(Listado!A:A,ROW()))),""))</f>
        <v/>
      </c>
      <c r="O1785" s="17" t="str">
        <f>IFERROR(IF(N1785="","",IF(INDEX(Listado!M:M,N1785)="No",IF(INDEX(Listado!N:N,N1785)=0,"",INDEX(Listado!N:N,N1785)),IF(INDEX(Listado!I:I,N1785)=0,"",INDEX(Listado!I:I,N1785)))),"")</f>
        <v/>
      </c>
      <c r="P1785" s="17">
        <f t="shared" ca="1" si="82"/>
        <v/>
      </c>
      <c r="Q1785" s="17">
        <f>IFERROR(IF(AND(N1785&lt;&gt;"",ISNUMBER(O1785),O1785&gt;0,O1785&gt;=TODAY()-90),1,0),0)</f>
        <v/>
      </c>
      <c r="R1785" s="17" t="str">
        <f t="shared" si="84"/>
        <v/>
      </c>
      <c r="S1785" s="17" t="str">
        <f>IF(INDEX(Listado!A:A,ROW())="","",INDEX(Listado!A:A,ROW()))</f>
        <v/>
      </c>
      <c r="T1785" s="17" t="str">
        <f ca="1">IF(INDEX(Listado!G:G,ROW())="","",INDEX(Listado!G:G,ROW()))</f>
        <v/>
      </c>
      <c r="U1785" s="17" t="str">
        <f>IF(INDEX(Listado!F:F,ROW())="","",INDEX(Listado!F:F,ROW()))</f>
        <v/>
      </c>
      <c r="V1785" s="17">
        <f>IF(COUNTA(INDEX(Listado!B:B,ROW()):INDEX(Listado!F:F,ROW()))&gt;0,1,0)</f>
        <v/>
      </c>
      <c r="W1785" s="17" t="str">
        <f>IF(INDEX(Listado!L:L,ROW())="","",INDEX(Listado!L:L,ROW()))</f>
        <v/>
      </c>
      <c r="X1785" s="17">
        <f>IF(N1785="","",IF(INDEX(Listado!$M:$M,N1785)="No","No","Sí"))</f>
        <v/>
      </c>
    </row>
    <row r="1786" spans="2:24" ht="14.25">
      <c r="N1786" s="17" t="str">
        <f>IF(V1786=0,"",IFERROR(LOOKUP(2,1/(INDEX(Listado!A:A,2):INDEX(Listado!A:A,ROW())&lt;&gt;""),ROW(INDEX(Listado!A:A,2):INDEX(Listado!A:A,ROW()))),""))</f>
        <v/>
      </c>
      <c r="O1786" s="17" t="str">
        <f>IFERROR(IF(N1786="","",IF(INDEX(Listado!M:M,N1786)="No",IF(INDEX(Listado!N:N,N1786)=0,"",INDEX(Listado!N:N,N1786)),IF(INDEX(Listado!I:I,N1786)=0,"",INDEX(Listado!I:I,N1786)))),"")</f>
        <v/>
      </c>
      <c r="P1786" s="17">
        <f t="shared" ca="1" si="82"/>
        <v/>
      </c>
      <c r="Q1786" s="17">
        <f>IFERROR(IF(AND(N1786&lt;&gt;"",ISNUMBER(O1786),O1786&gt;0,O1786&gt;=TODAY()-90),1,0),0)</f>
        <v/>
      </c>
      <c r="R1786" s="17" t="str">
        <f t="shared" si="84"/>
        <v/>
      </c>
      <c r="S1786" s="17" t="str">
        <f>IF(INDEX(Listado!A:A,ROW())="","",INDEX(Listado!A:A,ROW()))</f>
        <v/>
      </c>
      <c r="T1786" s="17" t="str">
        <f ca="1">IF(INDEX(Listado!G:G,ROW())="","",INDEX(Listado!G:G,ROW()))</f>
        <v/>
      </c>
      <c r="U1786" s="17" t="str">
        <f>IF(INDEX(Listado!F:F,ROW())="","",INDEX(Listado!F:F,ROW()))</f>
        <v/>
      </c>
      <c r="V1786" s="17">
        <f>IF(COUNTA(INDEX(Listado!B:B,ROW()):INDEX(Listado!F:F,ROW()))&gt;0,1,0)</f>
        <v/>
      </c>
      <c r="W1786" s="17" t="str">
        <f>IF(INDEX(Listado!L:L,ROW())="","",INDEX(Listado!L:L,ROW()))</f>
        <v/>
      </c>
      <c r="X1786" s="17">
        <f>IF(N1786="","",IF(INDEX(Listado!$M:$M,N1786)="No","No","Sí"))</f>
        <v/>
      </c>
    </row>
    <row r="1787" spans="2:24" ht="14.25">
      <c r="N1787" s="17" t="str">
        <f>IF(V1787=0,"",IFERROR(LOOKUP(2,1/(INDEX(Listado!A:A,2):INDEX(Listado!A:A,ROW())&lt;&gt;""),ROW(INDEX(Listado!A:A,2):INDEX(Listado!A:A,ROW()))),""))</f>
        <v/>
      </c>
      <c r="O1787" s="17" t="str">
        <f>IFERROR(IF(N1787="","",IF(INDEX(Listado!M:M,N1787)="No",IF(INDEX(Listado!N:N,N1787)=0,"",INDEX(Listado!N:N,N1787)),IF(INDEX(Listado!I:I,N1787)=0,"",INDEX(Listado!I:I,N1787)))),"")</f>
        <v/>
      </c>
      <c r="P1787" s="17">
        <f t="shared" ca="1" si="82"/>
        <v/>
      </c>
      <c r="Q1787" s="17">
        <f>IFERROR(IF(AND(N1787&lt;&gt;"",ISNUMBER(O1787),O1787&gt;0,O1787&gt;=TODAY()-90),1,0),0)</f>
        <v/>
      </c>
      <c r="R1787" s="17" t="str">
        <f t="shared" si="84"/>
        <v/>
      </c>
      <c r="S1787" s="17" t="str">
        <f>IF(INDEX(Listado!A:A,ROW())="","",INDEX(Listado!A:A,ROW()))</f>
        <v/>
      </c>
      <c r="T1787" s="17" t="str">
        <f ca="1">IF(INDEX(Listado!G:G,ROW())="","",INDEX(Listado!G:G,ROW()))</f>
        <v/>
      </c>
      <c r="U1787" s="17" t="str">
        <f>IF(INDEX(Listado!F:F,ROW())="","",INDEX(Listado!F:F,ROW()))</f>
        <v/>
      </c>
      <c r="V1787" s="17">
        <f>IF(COUNTA(INDEX(Listado!B:B,ROW()):INDEX(Listado!F:F,ROW()))&gt;0,1,0)</f>
        <v/>
      </c>
      <c r="W1787" s="17" t="str">
        <f>IF(INDEX(Listado!L:L,ROW())="","",INDEX(Listado!L:L,ROW()))</f>
        <v/>
      </c>
      <c r="X1787" s="17">
        <f>IF(N1787="","",IF(INDEX(Listado!$M:$M,N1787)="No","No","Sí"))</f>
        <v/>
      </c>
    </row>
    <row r="1788" spans="2:24" ht="14.25">
      <c r="N1788" s="17" t="str">
        <f>IF(V1788=0,"",IFERROR(LOOKUP(2,1/(INDEX(Listado!A:A,2):INDEX(Listado!A:A,ROW())&lt;&gt;""),ROW(INDEX(Listado!A:A,2):INDEX(Listado!A:A,ROW()))),""))</f>
        <v/>
      </c>
      <c r="O1788" s="17" t="str">
        <f>IFERROR(IF(N1788="","",IF(INDEX(Listado!M:M,N1788)="No",IF(INDEX(Listado!N:N,N1788)=0,"",INDEX(Listado!N:N,N1788)),IF(INDEX(Listado!I:I,N1788)=0,"",INDEX(Listado!I:I,N1788)))),"")</f>
        <v/>
      </c>
      <c r="P1788" s="17">
        <f t="shared" ca="1" si="82"/>
        <v/>
      </c>
      <c r="Q1788" s="17">
        <f>IFERROR(IF(AND(N1788&lt;&gt;"",ISNUMBER(O1788),O1788&gt;0,O1788&gt;=TODAY()-90),1,0),0)</f>
        <v/>
      </c>
      <c r="R1788" s="17" t="str">
        <f t="shared" si="84"/>
        <v/>
      </c>
      <c r="S1788" s="17" t="str">
        <f>IF(INDEX(Listado!A:A,ROW())="","",INDEX(Listado!A:A,ROW()))</f>
        <v/>
      </c>
      <c r="T1788" s="17" t="str">
        <f ca="1">IF(INDEX(Listado!G:G,ROW())="","",INDEX(Listado!G:G,ROW()))</f>
        <v/>
      </c>
      <c r="U1788" s="17" t="str">
        <f>IF(INDEX(Listado!F:F,ROW())="","",INDEX(Listado!F:F,ROW()))</f>
        <v/>
      </c>
      <c r="V1788" s="17">
        <f>IF(COUNTA(INDEX(Listado!B:B,ROW()):INDEX(Listado!F:F,ROW()))&gt;0,1,0)</f>
        <v/>
      </c>
      <c r="W1788" s="17" t="str">
        <f>IF(INDEX(Listado!L:L,ROW())="","",INDEX(Listado!L:L,ROW()))</f>
        <v/>
      </c>
      <c r="X1788" s="17">
        <f>IF(N1788="","",IF(INDEX(Listado!$M:$M,N1788)="No","No","Sí"))</f>
        <v/>
      </c>
    </row>
    <row r="1789" spans="2:24" ht="14.25">
      <c r="N1789" s="17" t="str">
        <f>IF(V1789=0,"",IFERROR(LOOKUP(2,1/(INDEX(Listado!A:A,2):INDEX(Listado!A:A,ROW())&lt;&gt;""),ROW(INDEX(Listado!A:A,2):INDEX(Listado!A:A,ROW()))),""))</f>
        <v/>
      </c>
      <c r="O1789" s="17" t="str">
        <f>IFERROR(IF(N1789="","",IF(INDEX(Listado!M:M,N1789)="No",IF(INDEX(Listado!N:N,N1789)=0,"",INDEX(Listado!N:N,N1789)),IF(INDEX(Listado!I:I,N1789)=0,"",INDEX(Listado!I:I,N1789)))),"")</f>
        <v/>
      </c>
      <c r="P1789" s="17">
        <f t="shared" ca="1" si="82"/>
        <v/>
      </c>
      <c r="Q1789" s="17">
        <f>IFERROR(IF(AND(N1789&lt;&gt;"",ISNUMBER(O1789),O1789&gt;0,O1789&gt;=TODAY()-90),1,0),0)</f>
        <v/>
      </c>
      <c r="R1789" s="17" t="str">
        <f t="shared" si="84"/>
        <v/>
      </c>
      <c r="S1789" s="17" t="str">
        <f>IF(INDEX(Listado!A:A,ROW())="","",INDEX(Listado!A:A,ROW()))</f>
        <v/>
      </c>
      <c r="T1789" s="17" t="str">
        <f ca="1">IF(INDEX(Listado!G:G,ROW())="","",INDEX(Listado!G:G,ROW()))</f>
        <v/>
      </c>
      <c r="U1789" s="17" t="str">
        <f>IF(INDEX(Listado!F:F,ROW())="","",INDEX(Listado!F:F,ROW()))</f>
        <v/>
      </c>
      <c r="V1789" s="17">
        <f>IF(COUNTA(INDEX(Listado!B:B,ROW()):INDEX(Listado!F:F,ROW()))&gt;0,1,0)</f>
        <v/>
      </c>
      <c r="W1789" s="17" t="str">
        <f>IF(INDEX(Listado!L:L,ROW())="","",INDEX(Listado!L:L,ROW()))</f>
        <v/>
      </c>
      <c r="X1789" s="17">
        <f>IF(N1789="","",IF(INDEX(Listado!$M:$M,N1789)="No","No","Sí"))</f>
        <v/>
      </c>
    </row>
    <row r="1790" spans="2:24" ht="14.25">
      <c r="N1790" s="17" t="str">
        <f>IF(V1790=0,"",IFERROR(LOOKUP(2,1/(INDEX(Listado!A:A,2):INDEX(Listado!A:A,ROW())&lt;&gt;""),ROW(INDEX(Listado!A:A,2):INDEX(Listado!A:A,ROW()))),""))</f>
        <v/>
      </c>
      <c r="O1790" s="17" t="str">
        <f>IFERROR(IF(N1790="","",IF(INDEX(Listado!M:M,N1790)="No",IF(INDEX(Listado!N:N,N1790)=0,"",INDEX(Listado!N:N,N1790)),IF(INDEX(Listado!I:I,N1790)=0,"",INDEX(Listado!I:I,N1790)))),"")</f>
        <v/>
      </c>
      <c r="P1790" s="17">
        <f t="shared" ca="1" si="82"/>
        <v/>
      </c>
      <c r="Q1790" s="17">
        <f>IFERROR(IF(AND(N1790&lt;&gt;"",ISNUMBER(O1790),O1790&gt;0,O1790&gt;=TODAY()-90),1,0),0)</f>
        <v/>
      </c>
      <c r="R1790" s="17" t="str">
        <f t="shared" si="84"/>
        <v/>
      </c>
      <c r="S1790" s="17" t="str">
        <f>IF(INDEX(Listado!A:A,ROW())="","",INDEX(Listado!A:A,ROW()))</f>
        <v/>
      </c>
      <c r="T1790" s="17" t="str">
        <f ca="1">IF(INDEX(Listado!G:G,ROW())="","",INDEX(Listado!G:G,ROW()))</f>
        <v/>
      </c>
      <c r="U1790" s="17" t="str">
        <f>IF(INDEX(Listado!F:F,ROW())="","",INDEX(Listado!F:F,ROW()))</f>
        <v/>
      </c>
      <c r="V1790" s="17">
        <f>IF(COUNTA(INDEX(Listado!B:B,ROW()):INDEX(Listado!F:F,ROW()))&gt;0,1,0)</f>
        <v/>
      </c>
      <c r="W1790" s="17" t="str">
        <f>IF(INDEX(Listado!L:L,ROW())="","",INDEX(Listado!L:L,ROW()))</f>
        <v/>
      </c>
      <c r="X1790" s="17">
        <f>IF(N1790="","",IF(INDEX(Listado!$M:$M,N1790)="No","No","Sí"))</f>
        <v/>
      </c>
    </row>
    <row r="1791" spans="2:24" ht="14.25">
      <c r="N1791" s="17" t="str">
        <f>IF(V1791=0,"",IFERROR(LOOKUP(2,1/(INDEX(Listado!A:A,2):INDEX(Listado!A:A,ROW())&lt;&gt;""),ROW(INDEX(Listado!A:A,2):INDEX(Listado!A:A,ROW()))),""))</f>
        <v/>
      </c>
      <c r="O1791" s="17" t="str">
        <f>IFERROR(IF(N1791="","",IF(INDEX(Listado!M:M,N1791)="No",IF(INDEX(Listado!N:N,N1791)=0,"",INDEX(Listado!N:N,N1791)),IF(INDEX(Listado!I:I,N1791)=0,"",INDEX(Listado!I:I,N1791)))),"")</f>
        <v/>
      </c>
      <c r="P1791" s="17">
        <f t="shared" ca="1" si="82"/>
        <v/>
      </c>
      <c r="Q1791" s="17">
        <f>IFERROR(IF(AND(N1791&lt;&gt;"",ISNUMBER(O1791),O1791&gt;0,O1791&gt;=TODAY()-90),1,0),0)</f>
        <v/>
      </c>
      <c r="R1791" s="17" t="str">
        <f t="shared" si="84"/>
        <v/>
      </c>
      <c r="S1791" s="17" t="str">
        <f>IF(INDEX(Listado!A:A,ROW())="","",INDEX(Listado!A:A,ROW()))</f>
        <v/>
      </c>
      <c r="T1791" s="17" t="str">
        <f ca="1">IF(INDEX(Listado!G:G,ROW())="","",INDEX(Listado!G:G,ROW()))</f>
        <v/>
      </c>
      <c r="U1791" s="17" t="str">
        <f>IF(INDEX(Listado!F:F,ROW())="","",INDEX(Listado!F:F,ROW()))</f>
        <v/>
      </c>
      <c r="V1791" s="17">
        <f>IF(COUNTA(INDEX(Listado!B:B,ROW()):INDEX(Listado!F:F,ROW()))&gt;0,1,0)</f>
        <v/>
      </c>
      <c r="W1791" s="17" t="str">
        <f>IF(INDEX(Listado!L:L,ROW())="","",INDEX(Listado!L:L,ROW()))</f>
        <v/>
      </c>
      <c r="X1791" s="17">
        <f>IF(N1791="","",IF(INDEX(Listado!$M:$M,N1791)="No","No","Sí"))</f>
        <v/>
      </c>
    </row>
    <row r="1792" spans="2:24" ht="14.25">
      <c r="N1792" s="17" t="str">
        <f>IF(V1792=0,"",IFERROR(LOOKUP(2,1/(INDEX(Listado!A:A,2):INDEX(Listado!A:A,ROW())&lt;&gt;""),ROW(INDEX(Listado!A:A,2):INDEX(Listado!A:A,ROW()))),""))</f>
        <v/>
      </c>
      <c r="O1792" s="17" t="str">
        <f>IFERROR(IF(N1792="","",IF(INDEX(Listado!M:M,N1792)="No",IF(INDEX(Listado!N:N,N1792)=0,"",INDEX(Listado!N:N,N1792)),IF(INDEX(Listado!I:I,N1792)=0,"",INDEX(Listado!I:I,N1792)))),"")</f>
        <v/>
      </c>
      <c r="P1792" s="17">
        <f t="shared" ca="1" si="82"/>
        <v/>
      </c>
      <c r="Q1792" s="17">
        <f>IFERROR(IF(AND(N1792&lt;&gt;"",ISNUMBER(O1792),O1792&gt;0,O1792&gt;=TODAY()-90),1,0),0)</f>
        <v/>
      </c>
      <c r="R1792" s="17" t="str">
        <f t="shared" si="84"/>
        <v/>
      </c>
      <c r="S1792" s="17" t="str">
        <f>IF(INDEX(Listado!A:A,ROW())="","",INDEX(Listado!A:A,ROW()))</f>
        <v/>
      </c>
      <c r="T1792" s="17" t="str">
        <f ca="1">IF(INDEX(Listado!G:G,ROW())="","",INDEX(Listado!G:G,ROW()))</f>
        <v/>
      </c>
      <c r="U1792" s="17" t="str">
        <f>IF(INDEX(Listado!F:F,ROW())="","",INDEX(Listado!F:F,ROW()))</f>
        <v/>
      </c>
      <c r="V1792" s="17">
        <f>IF(COUNTA(INDEX(Listado!B:B,ROW()):INDEX(Listado!F:F,ROW()))&gt;0,1,0)</f>
        <v/>
      </c>
      <c r="W1792" s="17" t="str">
        <f>IF(INDEX(Listado!L:L,ROW())="","",INDEX(Listado!L:L,ROW()))</f>
        <v/>
      </c>
      <c r="X1792" s="17">
        <f>IF(N1792="","",IF(INDEX(Listado!$M:$M,N1792)="No","No","Sí"))</f>
        <v/>
      </c>
    </row>
    <row r="1793" spans="2:24" ht="14.25">
      <c r="N1793" s="17" t="str">
        <f>IF(V1793=0,"",IFERROR(LOOKUP(2,1/(INDEX(Listado!A:A,2):INDEX(Listado!A:A,ROW())&lt;&gt;""),ROW(INDEX(Listado!A:A,2):INDEX(Listado!A:A,ROW()))),""))</f>
        <v/>
      </c>
      <c r="O1793" s="17" t="str">
        <f>IFERROR(IF(N1793="","",IF(INDEX(Listado!M:M,N1793)="No",IF(INDEX(Listado!N:N,N1793)=0,"",INDEX(Listado!N:N,N1793)),IF(INDEX(Listado!I:I,N1793)=0,"",INDEX(Listado!I:I,N1793)))),"")</f>
        <v/>
      </c>
      <c r="P1793" s="17">
        <f t="shared" ca="1" si="82"/>
        <v/>
      </c>
      <c r="Q1793" s="17">
        <f>IFERROR(IF(AND(N1793&lt;&gt;"",ISNUMBER(O1793),O1793&gt;0,O1793&gt;=TODAY()-90),1,0),0)</f>
        <v/>
      </c>
      <c r="R1793" s="17" t="str">
        <f t="shared" si="84"/>
        <v/>
      </c>
      <c r="S1793" s="17" t="str">
        <f>IF(INDEX(Listado!A:A,ROW())="","",INDEX(Listado!A:A,ROW()))</f>
        <v/>
      </c>
      <c r="T1793" s="17" t="str">
        <f ca="1">IF(INDEX(Listado!G:G,ROW())="","",INDEX(Listado!G:G,ROW()))</f>
        <v/>
      </c>
      <c r="U1793" s="17" t="str">
        <f>IF(INDEX(Listado!F:F,ROW())="","",INDEX(Listado!F:F,ROW()))</f>
        <v/>
      </c>
      <c r="V1793" s="17">
        <f>IF(COUNTA(INDEX(Listado!B:B,ROW()):INDEX(Listado!F:F,ROW()))&gt;0,1,0)</f>
        <v/>
      </c>
      <c r="W1793" s="17" t="str">
        <f>IF(INDEX(Listado!L:L,ROW())="","",INDEX(Listado!L:L,ROW()))</f>
        <v/>
      </c>
      <c r="X1793" s="17">
        <f>IF(N1793="","",IF(INDEX(Listado!$M:$M,N1793)="No","No","Sí"))</f>
        <v/>
      </c>
    </row>
    <row r="1794" spans="2:24" ht="14.25">
      <c r="N1794" s="17" t="str">
        <f>IF(V1794=0,"",IFERROR(LOOKUP(2,1/(INDEX(Listado!A:A,2):INDEX(Listado!A:A,ROW())&lt;&gt;""),ROW(INDEX(Listado!A:A,2):INDEX(Listado!A:A,ROW()))),""))</f>
        <v/>
      </c>
      <c r="O1794" s="17" t="str">
        <f>IFERROR(IF(N1794="","",IF(INDEX(Listado!M:M,N1794)="No",IF(INDEX(Listado!N:N,N1794)=0,"",INDEX(Listado!N:N,N1794)),IF(INDEX(Listado!I:I,N1794)=0,"",INDEX(Listado!I:I,N1794)))),"")</f>
        <v/>
      </c>
      <c r="P1794" s="17">
        <f t="shared" ref="P1794:P1857" ca="1" si="85">IF(W1794="",0,IFERROR(IF(AND(ISNUMBER(W1794),W1794=INT(W1794),ISNUMBER(O1794),O1794&gt;0,W1794&gt;=TODAY(),W1794&lt;=O1794+90),0,1),1))</f>
        <v/>
      </c>
      <c r="Q1794" s="17">
        <f>IFERROR(IF(AND(N1794&lt;&gt;"",ISNUMBER(O1794),O1794&gt;0,O1794&gt;=TODAY()-90),1,0),0)</f>
        <v/>
      </c>
      <c r="R1794" s="17" t="str">
        <f t="shared" ref="R1794:R1857" si="87">IF(S1794="","",COUNTIFS($N$2:$N$2999,ROW(),$Q$2:$Q$2999,1))</f>
        <v/>
      </c>
      <c r="S1794" s="17" t="str">
        <f>IF(INDEX(Listado!A:A,ROW())="","",INDEX(Listado!A:A,ROW()))</f>
        <v/>
      </c>
      <c r="T1794" s="17" t="str">
        <f ca="1">IF(INDEX(Listado!G:G,ROW())="","",INDEX(Listado!G:G,ROW()))</f>
        <v/>
      </c>
      <c r="U1794" s="17" t="str">
        <f>IF(INDEX(Listado!F:F,ROW())="","",INDEX(Listado!F:F,ROW()))</f>
        <v/>
      </c>
      <c r="V1794" s="17">
        <f>IF(COUNTA(INDEX(Listado!B:B,ROW()):INDEX(Listado!F:F,ROW()))&gt;0,1,0)</f>
        <v/>
      </c>
      <c r="W1794" s="17" t="str">
        <f>IF(INDEX(Listado!L:L,ROW())="","",INDEX(Listado!L:L,ROW()))</f>
        <v/>
      </c>
      <c r="X1794" s="17">
        <f>IF(N1794="","",IF(INDEX(Listado!$M:$M,N1794)="No","No","Sí"))</f>
        <v/>
      </c>
    </row>
    <row r="1795" spans="2:24" ht="14.25">
      <c r="N1795" s="17" t="str">
        <f>IF(V1795=0,"",IFERROR(LOOKUP(2,1/(INDEX(Listado!A:A,2):INDEX(Listado!A:A,ROW())&lt;&gt;""),ROW(INDEX(Listado!A:A,2):INDEX(Listado!A:A,ROW()))),""))</f>
        <v/>
      </c>
      <c r="O1795" s="17" t="str">
        <f>IFERROR(IF(N1795="","",IF(INDEX(Listado!M:M,N1795)="No",IF(INDEX(Listado!N:N,N1795)=0,"",INDEX(Listado!N:N,N1795)),IF(INDEX(Listado!I:I,N1795)=0,"",INDEX(Listado!I:I,N1795)))),"")</f>
        <v/>
      </c>
      <c r="P1795" s="17">
        <f t="shared" ca="1" si="85"/>
        <v/>
      </c>
      <c r="Q1795" s="17">
        <f>IFERROR(IF(AND(N1795&lt;&gt;"",ISNUMBER(O1795),O1795&gt;0,O1795&gt;=TODAY()-90),1,0),0)</f>
        <v/>
      </c>
      <c r="R1795" s="17" t="str">
        <f t="shared" si="87"/>
        <v/>
      </c>
      <c r="S1795" s="17" t="str">
        <f>IF(INDEX(Listado!A:A,ROW())="","",INDEX(Listado!A:A,ROW()))</f>
        <v/>
      </c>
      <c r="T1795" s="17" t="str">
        <f ca="1">IF(INDEX(Listado!G:G,ROW())="","",INDEX(Listado!G:G,ROW()))</f>
        <v/>
      </c>
      <c r="U1795" s="17" t="str">
        <f>IF(INDEX(Listado!F:F,ROW())="","",INDEX(Listado!F:F,ROW()))</f>
        <v/>
      </c>
      <c r="V1795" s="17">
        <f>IF(COUNTA(INDEX(Listado!B:B,ROW()):INDEX(Listado!F:F,ROW()))&gt;0,1,0)</f>
        <v/>
      </c>
      <c r="W1795" s="17" t="str">
        <f>IF(INDEX(Listado!L:L,ROW())="","",INDEX(Listado!L:L,ROW()))</f>
        <v/>
      </c>
      <c r="X1795" s="17">
        <f>IF(N1795="","",IF(INDEX(Listado!$M:$M,N1795)="No","No","Sí"))</f>
        <v/>
      </c>
    </row>
    <row r="1796" spans="2:24" ht="14.25">
      <c r="N1796" s="17" t="str">
        <f>IF(V1796=0,"",IFERROR(LOOKUP(2,1/(INDEX(Listado!A:A,2):INDEX(Listado!A:A,ROW())&lt;&gt;""),ROW(INDEX(Listado!A:A,2):INDEX(Listado!A:A,ROW()))),""))</f>
        <v/>
      </c>
      <c r="O1796" s="17" t="str">
        <f>IFERROR(IF(N1796="","",IF(INDEX(Listado!M:M,N1796)="No",IF(INDEX(Listado!N:N,N1796)=0,"",INDEX(Listado!N:N,N1796)),IF(INDEX(Listado!I:I,N1796)=0,"",INDEX(Listado!I:I,N1796)))),"")</f>
        <v/>
      </c>
      <c r="P1796" s="17">
        <f t="shared" ca="1" si="85"/>
        <v/>
      </c>
      <c r="Q1796" s="17">
        <f>IFERROR(IF(AND(N1796&lt;&gt;"",ISNUMBER(O1796),O1796&gt;0,O1796&gt;=TODAY()-90),1,0),0)</f>
        <v/>
      </c>
      <c r="R1796" s="17" t="str">
        <f t="shared" si="87"/>
        <v/>
      </c>
      <c r="S1796" s="17" t="str">
        <f>IF(INDEX(Listado!A:A,ROW())="","",INDEX(Listado!A:A,ROW()))</f>
        <v/>
      </c>
      <c r="T1796" s="17" t="str">
        <f ca="1">IF(INDEX(Listado!G:G,ROW())="","",INDEX(Listado!G:G,ROW()))</f>
        <v/>
      </c>
      <c r="U1796" s="17" t="str">
        <f>IF(INDEX(Listado!F:F,ROW())="","",INDEX(Listado!F:F,ROW()))</f>
        <v/>
      </c>
      <c r="V1796" s="17">
        <f>IF(COUNTA(INDEX(Listado!B:B,ROW()):INDEX(Listado!F:F,ROW()))&gt;0,1,0)</f>
        <v/>
      </c>
      <c r="W1796" s="17" t="str">
        <f>IF(INDEX(Listado!L:L,ROW())="","",INDEX(Listado!L:L,ROW()))</f>
        <v/>
      </c>
      <c r="X1796" s="17">
        <f>IF(N1796="","",IF(INDEX(Listado!$M:$M,N1796)="No","No","Sí"))</f>
        <v/>
      </c>
    </row>
    <row r="1797" spans="2:24" ht="14.25">
      <c r="N1797" s="17" t="str">
        <f>IF(V1797=0,"",IFERROR(LOOKUP(2,1/(INDEX(Listado!A:A,2):INDEX(Listado!A:A,ROW())&lt;&gt;""),ROW(INDEX(Listado!A:A,2):INDEX(Listado!A:A,ROW()))),""))</f>
        <v/>
      </c>
      <c r="O1797" s="17" t="str">
        <f>IFERROR(IF(N1797="","",IF(INDEX(Listado!M:M,N1797)="No",IF(INDEX(Listado!N:N,N1797)=0,"",INDEX(Listado!N:N,N1797)),IF(INDEX(Listado!I:I,N1797)=0,"",INDEX(Listado!I:I,N1797)))),"")</f>
        <v/>
      </c>
      <c r="P1797" s="17">
        <f t="shared" ca="1" si="85"/>
        <v/>
      </c>
      <c r="Q1797" s="17">
        <f>IFERROR(IF(AND(N1797&lt;&gt;"",ISNUMBER(O1797),O1797&gt;0,O1797&gt;=TODAY()-90),1,0),0)</f>
        <v/>
      </c>
      <c r="R1797" s="17" t="str">
        <f t="shared" si="87"/>
        <v/>
      </c>
      <c r="S1797" s="17" t="str">
        <f>IF(INDEX(Listado!A:A,ROW())="","",INDEX(Listado!A:A,ROW()))</f>
        <v/>
      </c>
      <c r="T1797" s="17" t="str">
        <f ca="1">IF(INDEX(Listado!G:G,ROW())="","",INDEX(Listado!G:G,ROW()))</f>
        <v/>
      </c>
      <c r="U1797" s="17" t="str">
        <f>IF(INDEX(Listado!F:F,ROW())="","",INDEX(Listado!F:F,ROW()))</f>
        <v/>
      </c>
      <c r="V1797" s="17">
        <f>IF(COUNTA(INDEX(Listado!B:B,ROW()):INDEX(Listado!F:F,ROW()))&gt;0,1,0)</f>
        <v/>
      </c>
      <c r="W1797" s="17" t="str">
        <f>IF(INDEX(Listado!L:L,ROW())="","",INDEX(Listado!L:L,ROW()))</f>
        <v/>
      </c>
      <c r="X1797" s="17">
        <f>IF(N1797="","",IF(INDEX(Listado!$M:$M,N1797)="No","No","Sí"))</f>
        <v/>
      </c>
    </row>
    <row r="1798" spans="2:24" ht="14.25">
      <c r="N1798" s="17" t="str">
        <f>IF(V1798=0,"",IFERROR(LOOKUP(2,1/(INDEX(Listado!A:A,2):INDEX(Listado!A:A,ROW())&lt;&gt;""),ROW(INDEX(Listado!A:A,2):INDEX(Listado!A:A,ROW()))),""))</f>
        <v/>
      </c>
      <c r="O1798" s="17" t="str">
        <f>IFERROR(IF(N1798="","",IF(INDEX(Listado!M:M,N1798)="No",IF(INDEX(Listado!N:N,N1798)=0,"",INDEX(Listado!N:N,N1798)),IF(INDEX(Listado!I:I,N1798)=0,"",INDEX(Listado!I:I,N1798)))),"")</f>
        <v/>
      </c>
      <c r="P1798" s="17">
        <f t="shared" ca="1" si="85"/>
        <v/>
      </c>
      <c r="Q1798" s="17">
        <f>IFERROR(IF(AND(N1798&lt;&gt;"",ISNUMBER(O1798),O1798&gt;0,O1798&gt;=TODAY()-90),1,0),0)</f>
        <v/>
      </c>
      <c r="R1798" s="17" t="str">
        <f t="shared" si="87"/>
        <v/>
      </c>
      <c r="S1798" s="17" t="str">
        <f>IF(INDEX(Listado!A:A,ROW())="","",INDEX(Listado!A:A,ROW()))</f>
        <v/>
      </c>
      <c r="T1798" s="17" t="str">
        <f ca="1">IF(INDEX(Listado!G:G,ROW())="","",INDEX(Listado!G:G,ROW()))</f>
        <v/>
      </c>
      <c r="U1798" s="17" t="str">
        <f>IF(INDEX(Listado!F:F,ROW())="","",INDEX(Listado!F:F,ROW()))</f>
        <v/>
      </c>
      <c r="V1798" s="17">
        <f>IF(COUNTA(INDEX(Listado!B:B,ROW()):INDEX(Listado!F:F,ROW()))&gt;0,1,0)</f>
        <v/>
      </c>
      <c r="W1798" s="17" t="str">
        <f>IF(INDEX(Listado!L:L,ROW())="","",INDEX(Listado!L:L,ROW()))</f>
        <v/>
      </c>
      <c r="X1798" s="17">
        <f>IF(N1798="","",IF(INDEX(Listado!$M:$M,N1798)="No","No","Sí"))</f>
        <v/>
      </c>
    </row>
    <row r="1799" spans="2:24" ht="14.25">
      <c r="N1799" s="17" t="str">
        <f>IF(V1799=0,"",IFERROR(LOOKUP(2,1/(INDEX(Listado!A:A,2):INDEX(Listado!A:A,ROW())&lt;&gt;""),ROW(INDEX(Listado!A:A,2):INDEX(Listado!A:A,ROW()))),""))</f>
        <v/>
      </c>
      <c r="O1799" s="17" t="str">
        <f>IFERROR(IF(N1799="","",IF(INDEX(Listado!M:M,N1799)="No",IF(INDEX(Listado!N:N,N1799)=0,"",INDEX(Listado!N:N,N1799)),IF(INDEX(Listado!I:I,N1799)=0,"",INDEX(Listado!I:I,N1799)))),"")</f>
        <v/>
      </c>
      <c r="P1799" s="17">
        <f t="shared" ca="1" si="85"/>
        <v/>
      </c>
      <c r="Q1799" s="17">
        <f>IFERROR(IF(AND(N1799&lt;&gt;"",ISNUMBER(O1799),O1799&gt;0,O1799&gt;=TODAY()-90),1,0),0)</f>
        <v/>
      </c>
      <c r="R1799" s="17" t="str">
        <f t="shared" si="87"/>
        <v/>
      </c>
      <c r="S1799" s="17" t="str">
        <f>IF(INDEX(Listado!A:A,ROW())="","",INDEX(Listado!A:A,ROW()))</f>
        <v/>
      </c>
      <c r="T1799" s="17" t="str">
        <f ca="1">IF(INDEX(Listado!G:G,ROW())="","",INDEX(Listado!G:G,ROW()))</f>
        <v/>
      </c>
      <c r="U1799" s="17" t="str">
        <f>IF(INDEX(Listado!F:F,ROW())="","",INDEX(Listado!F:F,ROW()))</f>
        <v/>
      </c>
      <c r="V1799" s="17">
        <f>IF(COUNTA(INDEX(Listado!B:B,ROW()):INDEX(Listado!F:F,ROW()))&gt;0,1,0)</f>
        <v/>
      </c>
      <c r="W1799" s="17" t="str">
        <f>IF(INDEX(Listado!L:L,ROW())="","",INDEX(Listado!L:L,ROW()))</f>
        <v/>
      </c>
      <c r="X1799" s="17">
        <f>IF(N1799="","",IF(INDEX(Listado!$M:$M,N1799)="No","No","Sí"))</f>
        <v/>
      </c>
    </row>
    <row r="1800" spans="2:24" ht="14.25">
      <c r="N1800" s="17" t="str">
        <f>IF(V1800=0,"",IFERROR(LOOKUP(2,1/(INDEX(Listado!A:A,2):INDEX(Listado!A:A,ROW())&lt;&gt;""),ROW(INDEX(Listado!A:A,2):INDEX(Listado!A:A,ROW()))),""))</f>
        <v/>
      </c>
      <c r="O1800" s="17" t="str">
        <f>IFERROR(IF(N1800="","",IF(INDEX(Listado!M:M,N1800)="No",IF(INDEX(Listado!N:N,N1800)=0,"",INDEX(Listado!N:N,N1800)),IF(INDEX(Listado!I:I,N1800)=0,"",INDEX(Listado!I:I,N1800)))),"")</f>
        <v/>
      </c>
      <c r="P1800" s="17">
        <f t="shared" ca="1" si="85"/>
        <v/>
      </c>
      <c r="Q1800" s="17">
        <f>IFERROR(IF(AND(N1800&lt;&gt;"",ISNUMBER(O1800),O1800&gt;0,O1800&gt;=TODAY()-90),1,0),0)</f>
        <v/>
      </c>
      <c r="R1800" s="17" t="str">
        <f t="shared" si="87"/>
        <v/>
      </c>
      <c r="S1800" s="17" t="str">
        <f>IF(INDEX(Listado!A:A,ROW())="","",INDEX(Listado!A:A,ROW()))</f>
        <v/>
      </c>
      <c r="T1800" s="17" t="str">
        <f ca="1">IF(INDEX(Listado!G:G,ROW())="","",INDEX(Listado!G:G,ROW()))</f>
        <v/>
      </c>
      <c r="U1800" s="17" t="str">
        <f>IF(INDEX(Listado!F:F,ROW())="","",INDEX(Listado!F:F,ROW()))</f>
        <v/>
      </c>
      <c r="V1800" s="17">
        <f>IF(COUNTA(INDEX(Listado!B:B,ROW()):INDEX(Listado!F:F,ROW()))&gt;0,1,0)</f>
        <v/>
      </c>
      <c r="W1800" s="17" t="str">
        <f>IF(INDEX(Listado!L:L,ROW())="","",INDEX(Listado!L:L,ROW()))</f>
        <v/>
      </c>
      <c r="X1800" s="17">
        <f>IF(N1800="","",IF(INDEX(Listado!$M:$M,N1800)="No","No","Sí"))</f>
        <v/>
      </c>
    </row>
    <row r="1801" spans="2:24" ht="14.25">
      <c r="N1801" s="17" t="str">
        <f>IF(V1801=0,"",IFERROR(LOOKUP(2,1/(INDEX(Listado!A:A,2):INDEX(Listado!A:A,ROW())&lt;&gt;""),ROW(INDEX(Listado!A:A,2):INDEX(Listado!A:A,ROW()))),""))</f>
        <v/>
      </c>
      <c r="O1801" s="17" t="str">
        <f>IFERROR(IF(N1801="","",IF(INDEX(Listado!M:M,N1801)="No",IF(INDEX(Listado!N:N,N1801)=0,"",INDEX(Listado!N:N,N1801)),IF(INDEX(Listado!I:I,N1801)=0,"",INDEX(Listado!I:I,N1801)))),"")</f>
        <v/>
      </c>
      <c r="P1801" s="17">
        <f t="shared" ca="1" si="85"/>
        <v/>
      </c>
      <c r="Q1801" s="17">
        <f>IFERROR(IF(AND(N1801&lt;&gt;"",ISNUMBER(O1801),O1801&gt;0,O1801&gt;=TODAY()-90),1,0),0)</f>
        <v/>
      </c>
      <c r="R1801" s="17" t="str">
        <f t="shared" si="87"/>
        <v/>
      </c>
      <c r="S1801" s="17" t="str">
        <f>IF(INDEX(Listado!A:A,ROW())="","",INDEX(Listado!A:A,ROW()))</f>
        <v/>
      </c>
      <c r="T1801" s="17" t="str">
        <f ca="1">IF(INDEX(Listado!G:G,ROW())="","",INDEX(Listado!G:G,ROW()))</f>
        <v/>
      </c>
      <c r="U1801" s="17" t="str">
        <f>IF(INDEX(Listado!F:F,ROW())="","",INDEX(Listado!F:F,ROW()))</f>
        <v/>
      </c>
      <c r="V1801" s="17">
        <f>IF(COUNTA(INDEX(Listado!B:B,ROW()):INDEX(Listado!F:F,ROW()))&gt;0,1,0)</f>
        <v/>
      </c>
      <c r="W1801" s="17" t="str">
        <f>IF(INDEX(Listado!L:L,ROW())="","",INDEX(Listado!L:L,ROW()))</f>
        <v/>
      </c>
      <c r="X1801" s="17">
        <f>IF(N1801="","",IF(INDEX(Listado!$M:$M,N1801)="No","No","Sí"))</f>
        <v/>
      </c>
    </row>
    <row r="1802" spans="2:24" ht="14.25">
      <c r="N1802" s="17" t="str">
        <f>IF(V1802=0,"",IFERROR(LOOKUP(2,1/(INDEX(Listado!A:A,2):INDEX(Listado!A:A,ROW())&lt;&gt;""),ROW(INDEX(Listado!A:A,2):INDEX(Listado!A:A,ROW()))),""))</f>
        <v/>
      </c>
      <c r="O1802" s="17" t="str">
        <f>IFERROR(IF(N1802="","",IF(INDEX(Listado!M:M,N1802)="No",IF(INDEX(Listado!N:N,N1802)=0,"",INDEX(Listado!N:N,N1802)),IF(INDEX(Listado!I:I,N1802)=0,"",INDEX(Listado!I:I,N1802)))),"")</f>
        <v/>
      </c>
      <c r="P1802" s="17">
        <f t="shared" ca="1" si="85"/>
        <v/>
      </c>
      <c r="Q1802" s="17">
        <f>IFERROR(IF(AND(N1802&lt;&gt;"",ISNUMBER(O1802),O1802&gt;0,O1802&gt;=TODAY()-90),1,0),0)</f>
        <v/>
      </c>
      <c r="R1802" s="17" t="str">
        <f t="shared" si="87"/>
        <v/>
      </c>
      <c r="S1802" s="17" t="str">
        <f>IF(INDEX(Listado!A:A,ROW())="","",INDEX(Listado!A:A,ROW()))</f>
        <v/>
      </c>
      <c r="T1802" s="17" t="str">
        <f ca="1">IF(INDEX(Listado!G:G,ROW())="","",INDEX(Listado!G:G,ROW()))</f>
        <v/>
      </c>
      <c r="U1802" s="17" t="str">
        <f>IF(INDEX(Listado!F:F,ROW())="","",INDEX(Listado!F:F,ROW()))</f>
        <v/>
      </c>
      <c r="V1802" s="17">
        <f>IF(COUNTA(INDEX(Listado!B:B,ROW()):INDEX(Listado!F:F,ROW()))&gt;0,1,0)</f>
        <v/>
      </c>
      <c r="W1802" s="17" t="str">
        <f>IF(INDEX(Listado!L:L,ROW())="","",INDEX(Listado!L:L,ROW()))</f>
        <v/>
      </c>
      <c r="X1802" s="17">
        <f>IF(N1802="","",IF(INDEX(Listado!$M:$M,N1802)="No","No","Sí"))</f>
        <v/>
      </c>
    </row>
    <row r="1803" spans="2:24" ht="14.25">
      <c r="N1803" s="17" t="str">
        <f>IF(V1803=0,"",IFERROR(LOOKUP(2,1/(INDEX(Listado!A:A,2):INDEX(Listado!A:A,ROW())&lt;&gt;""),ROW(INDEX(Listado!A:A,2):INDEX(Listado!A:A,ROW()))),""))</f>
        <v/>
      </c>
      <c r="O1803" s="17" t="str">
        <f>IFERROR(IF(N1803="","",IF(INDEX(Listado!M:M,N1803)="No",IF(INDEX(Listado!N:N,N1803)=0,"",INDEX(Listado!N:N,N1803)),IF(INDEX(Listado!I:I,N1803)=0,"",INDEX(Listado!I:I,N1803)))),"")</f>
        <v/>
      </c>
      <c r="P1803" s="17">
        <f t="shared" ca="1" si="85"/>
        <v/>
      </c>
      <c r="Q1803" s="17">
        <f>IFERROR(IF(AND(N1803&lt;&gt;"",ISNUMBER(O1803),O1803&gt;0,O1803&gt;=TODAY()-90),1,0),0)</f>
        <v/>
      </c>
      <c r="R1803" s="17" t="str">
        <f t="shared" si="87"/>
        <v/>
      </c>
      <c r="S1803" s="17" t="str">
        <f>IF(INDEX(Listado!A:A,ROW())="","",INDEX(Listado!A:A,ROW()))</f>
        <v/>
      </c>
      <c r="T1803" s="17" t="str">
        <f ca="1">IF(INDEX(Listado!G:G,ROW())="","",INDEX(Listado!G:G,ROW()))</f>
        <v/>
      </c>
      <c r="U1803" s="17" t="str">
        <f>IF(INDEX(Listado!F:F,ROW())="","",INDEX(Listado!F:F,ROW()))</f>
        <v/>
      </c>
      <c r="V1803" s="17">
        <f>IF(COUNTA(INDEX(Listado!B:B,ROW()):INDEX(Listado!F:F,ROW()))&gt;0,1,0)</f>
        <v/>
      </c>
      <c r="W1803" s="17" t="str">
        <f>IF(INDEX(Listado!L:L,ROW())="","",INDEX(Listado!L:L,ROW()))</f>
        <v/>
      </c>
      <c r="X1803" s="17">
        <f>IF(N1803="","",IF(INDEX(Listado!$M:$M,N1803)="No","No","Sí"))</f>
        <v/>
      </c>
    </row>
    <row r="1804" spans="2:24" ht="14.25">
      <c r="N1804" s="17" t="str">
        <f>IF(V1804=0,"",IFERROR(LOOKUP(2,1/(INDEX(Listado!A:A,2):INDEX(Listado!A:A,ROW())&lt;&gt;""),ROW(INDEX(Listado!A:A,2):INDEX(Listado!A:A,ROW()))),""))</f>
        <v/>
      </c>
      <c r="O1804" s="17" t="str">
        <f>IFERROR(IF(N1804="","",IF(INDEX(Listado!M:M,N1804)="No",IF(INDEX(Listado!N:N,N1804)=0,"",INDEX(Listado!N:N,N1804)),IF(INDEX(Listado!I:I,N1804)=0,"",INDEX(Listado!I:I,N1804)))),"")</f>
        <v/>
      </c>
      <c r="P1804" s="17">
        <f t="shared" ca="1" si="85"/>
        <v/>
      </c>
      <c r="Q1804" s="17">
        <f>IFERROR(IF(AND(N1804&lt;&gt;"",ISNUMBER(O1804),O1804&gt;0,O1804&gt;=TODAY()-90),1,0),0)</f>
        <v/>
      </c>
      <c r="R1804" s="17" t="str">
        <f t="shared" si="87"/>
        <v/>
      </c>
      <c r="S1804" s="17" t="str">
        <f>IF(INDEX(Listado!A:A,ROW())="","",INDEX(Listado!A:A,ROW()))</f>
        <v/>
      </c>
      <c r="T1804" s="17" t="str">
        <f ca="1">IF(INDEX(Listado!G:G,ROW())="","",INDEX(Listado!G:G,ROW()))</f>
        <v/>
      </c>
      <c r="U1804" s="17" t="str">
        <f>IF(INDEX(Listado!F:F,ROW())="","",INDEX(Listado!F:F,ROW()))</f>
        <v/>
      </c>
      <c r="V1804" s="17">
        <f>IF(COUNTA(INDEX(Listado!B:B,ROW()):INDEX(Listado!F:F,ROW()))&gt;0,1,0)</f>
        <v/>
      </c>
      <c r="W1804" s="17" t="str">
        <f>IF(INDEX(Listado!L:L,ROW())="","",INDEX(Listado!L:L,ROW()))</f>
        <v/>
      </c>
      <c r="X1804" s="17">
        <f>IF(N1804="","",IF(INDEX(Listado!$M:$M,N1804)="No","No","Sí"))</f>
        <v/>
      </c>
    </row>
    <row r="1805" spans="2:24" ht="14.25">
      <c r="N1805" s="17" t="str">
        <f>IF(V1805=0,"",IFERROR(LOOKUP(2,1/(INDEX(Listado!A:A,2):INDEX(Listado!A:A,ROW())&lt;&gt;""),ROW(INDEX(Listado!A:A,2):INDEX(Listado!A:A,ROW()))),""))</f>
        <v/>
      </c>
      <c r="O1805" s="17" t="str">
        <f>IFERROR(IF(N1805="","",IF(INDEX(Listado!M:M,N1805)="No",IF(INDEX(Listado!N:N,N1805)=0,"",INDEX(Listado!N:N,N1805)),IF(INDEX(Listado!I:I,N1805)=0,"",INDEX(Listado!I:I,N1805)))),"")</f>
        <v/>
      </c>
      <c r="P1805" s="17">
        <f t="shared" ca="1" si="85"/>
        <v/>
      </c>
      <c r="Q1805" s="17">
        <f>IFERROR(IF(AND(N1805&lt;&gt;"",ISNUMBER(O1805),O1805&gt;0,O1805&gt;=TODAY()-90),1,0),0)</f>
        <v/>
      </c>
      <c r="R1805" s="17" t="str">
        <f t="shared" si="87"/>
        <v/>
      </c>
      <c r="S1805" s="17" t="str">
        <f>IF(INDEX(Listado!A:A,ROW())="","",INDEX(Listado!A:A,ROW()))</f>
        <v/>
      </c>
      <c r="T1805" s="17" t="str">
        <f ca="1">IF(INDEX(Listado!G:G,ROW())="","",INDEX(Listado!G:G,ROW()))</f>
        <v/>
      </c>
      <c r="U1805" s="17" t="str">
        <f>IF(INDEX(Listado!F:F,ROW())="","",INDEX(Listado!F:F,ROW()))</f>
        <v/>
      </c>
      <c r="V1805" s="17">
        <f>IF(COUNTA(INDEX(Listado!B:B,ROW()):INDEX(Listado!F:F,ROW()))&gt;0,1,0)</f>
        <v/>
      </c>
      <c r="W1805" s="17" t="str">
        <f>IF(INDEX(Listado!L:L,ROW())="","",INDEX(Listado!L:L,ROW()))</f>
        <v/>
      </c>
      <c r="X1805" s="17">
        <f>IF(N1805="","",IF(INDEX(Listado!$M:$M,N1805)="No","No","Sí"))</f>
        <v/>
      </c>
    </row>
    <row r="1806" spans="2:24" ht="14.25">
      <c r="N1806" s="17" t="str">
        <f>IF(V1806=0,"",IFERROR(LOOKUP(2,1/(INDEX(Listado!A:A,2):INDEX(Listado!A:A,ROW())&lt;&gt;""),ROW(INDEX(Listado!A:A,2):INDEX(Listado!A:A,ROW()))),""))</f>
        <v/>
      </c>
      <c r="O1806" s="17" t="str">
        <f>IFERROR(IF(N1806="","",IF(INDEX(Listado!M:M,N1806)="No",IF(INDEX(Listado!N:N,N1806)=0,"",INDEX(Listado!N:N,N1806)),IF(INDEX(Listado!I:I,N1806)=0,"",INDEX(Listado!I:I,N1806)))),"")</f>
        <v/>
      </c>
      <c r="P1806" s="17">
        <f t="shared" ca="1" si="85"/>
        <v/>
      </c>
      <c r="Q1806" s="17">
        <f>IFERROR(IF(AND(N1806&lt;&gt;"",ISNUMBER(O1806),O1806&gt;0,O1806&gt;=TODAY()-90),1,0),0)</f>
        <v/>
      </c>
      <c r="R1806" s="17" t="str">
        <f t="shared" si="87"/>
        <v/>
      </c>
      <c r="S1806" s="17" t="str">
        <f>IF(INDEX(Listado!A:A,ROW())="","",INDEX(Listado!A:A,ROW()))</f>
        <v/>
      </c>
      <c r="T1806" s="17" t="str">
        <f ca="1">IF(INDEX(Listado!G:G,ROW())="","",INDEX(Listado!G:G,ROW()))</f>
        <v/>
      </c>
      <c r="U1806" s="17" t="str">
        <f>IF(INDEX(Listado!F:F,ROW())="","",INDEX(Listado!F:F,ROW()))</f>
        <v/>
      </c>
      <c r="V1806" s="17">
        <f>IF(COUNTA(INDEX(Listado!B:B,ROW()):INDEX(Listado!F:F,ROW()))&gt;0,1,0)</f>
        <v/>
      </c>
      <c r="W1806" s="17" t="str">
        <f>IF(INDEX(Listado!L:L,ROW())="","",INDEX(Listado!L:L,ROW()))</f>
        <v/>
      </c>
      <c r="X1806" s="17">
        <f>IF(N1806="","",IF(INDEX(Listado!$M:$M,N1806)="No","No","Sí"))</f>
        <v/>
      </c>
    </row>
    <row r="1807" spans="2:24" ht="14.25">
      <c r="N1807" s="17" t="str">
        <f>IF(V1807=0,"",IFERROR(LOOKUP(2,1/(INDEX(Listado!A:A,2):INDEX(Listado!A:A,ROW())&lt;&gt;""),ROW(INDEX(Listado!A:A,2):INDEX(Listado!A:A,ROW()))),""))</f>
        <v/>
      </c>
      <c r="O1807" s="17" t="str">
        <f>IFERROR(IF(N1807="","",IF(INDEX(Listado!M:M,N1807)="No",IF(INDEX(Listado!N:N,N1807)=0,"",INDEX(Listado!N:N,N1807)),IF(INDEX(Listado!I:I,N1807)=0,"",INDEX(Listado!I:I,N1807)))),"")</f>
        <v/>
      </c>
      <c r="P1807" s="17">
        <f t="shared" ca="1" si="85"/>
        <v/>
      </c>
      <c r="Q1807" s="17">
        <f>IFERROR(IF(AND(N1807&lt;&gt;"",ISNUMBER(O1807),O1807&gt;0,O1807&gt;=TODAY()-90),1,0),0)</f>
        <v/>
      </c>
      <c r="R1807" s="17" t="str">
        <f t="shared" si="87"/>
        <v/>
      </c>
      <c r="S1807" s="17" t="str">
        <f>IF(INDEX(Listado!A:A,ROW())="","",INDEX(Listado!A:A,ROW()))</f>
        <v/>
      </c>
      <c r="T1807" s="17" t="str">
        <f ca="1">IF(INDEX(Listado!G:G,ROW())="","",INDEX(Listado!G:G,ROW()))</f>
        <v/>
      </c>
      <c r="U1807" s="17" t="str">
        <f>IF(INDEX(Listado!F:F,ROW())="","",INDEX(Listado!F:F,ROW()))</f>
        <v/>
      </c>
      <c r="V1807" s="17">
        <f>IF(COUNTA(INDEX(Listado!B:B,ROW()):INDEX(Listado!F:F,ROW()))&gt;0,1,0)</f>
        <v/>
      </c>
      <c r="W1807" s="17" t="str">
        <f>IF(INDEX(Listado!L:L,ROW())="","",INDEX(Listado!L:L,ROW()))</f>
        <v/>
      </c>
      <c r="X1807" s="17">
        <f>IF(N1807="","",IF(INDEX(Listado!$M:$M,N1807)="No","No","Sí"))</f>
        <v/>
      </c>
    </row>
    <row r="1808" spans="2:24" ht="14.25">
      <c r="N1808" s="17" t="str">
        <f>IF(V1808=0,"",IFERROR(LOOKUP(2,1/(INDEX(Listado!A:A,2):INDEX(Listado!A:A,ROW())&lt;&gt;""),ROW(INDEX(Listado!A:A,2):INDEX(Listado!A:A,ROW()))),""))</f>
        <v/>
      </c>
      <c r="O1808" s="17" t="str">
        <f>IFERROR(IF(N1808="","",IF(INDEX(Listado!M:M,N1808)="No",IF(INDEX(Listado!N:N,N1808)=0,"",INDEX(Listado!N:N,N1808)),IF(INDEX(Listado!I:I,N1808)=0,"",INDEX(Listado!I:I,N1808)))),"")</f>
        <v/>
      </c>
      <c r="P1808" s="17">
        <f t="shared" ca="1" si="85"/>
        <v/>
      </c>
      <c r="Q1808" s="17">
        <f>IFERROR(IF(AND(N1808&lt;&gt;"",ISNUMBER(O1808),O1808&gt;0,O1808&gt;=TODAY()-90),1,0),0)</f>
        <v/>
      </c>
      <c r="R1808" s="17" t="str">
        <f t="shared" si="87"/>
        <v/>
      </c>
      <c r="S1808" s="17" t="str">
        <f>IF(INDEX(Listado!A:A,ROW())="","",INDEX(Listado!A:A,ROW()))</f>
        <v/>
      </c>
      <c r="T1808" s="17" t="str">
        <f ca="1">IF(INDEX(Listado!G:G,ROW())="","",INDEX(Listado!G:G,ROW()))</f>
        <v/>
      </c>
      <c r="U1808" s="17" t="str">
        <f>IF(INDEX(Listado!F:F,ROW())="","",INDEX(Listado!F:F,ROW()))</f>
        <v/>
      </c>
      <c r="V1808" s="17">
        <f>IF(COUNTA(INDEX(Listado!B:B,ROW()):INDEX(Listado!F:F,ROW()))&gt;0,1,0)</f>
        <v/>
      </c>
      <c r="W1808" s="17" t="str">
        <f>IF(INDEX(Listado!L:L,ROW())="","",INDEX(Listado!L:L,ROW()))</f>
        <v/>
      </c>
      <c r="X1808" s="17">
        <f>IF(N1808="","",IF(INDEX(Listado!$M:$M,N1808)="No","No","Sí"))</f>
        <v/>
      </c>
    </row>
    <row r="1809" spans="2:24" ht="14.25">
      <c r="N1809" s="17" t="str">
        <f>IF(V1809=0,"",IFERROR(LOOKUP(2,1/(INDEX(Listado!A:A,2):INDEX(Listado!A:A,ROW())&lt;&gt;""),ROW(INDEX(Listado!A:A,2):INDEX(Listado!A:A,ROW()))),""))</f>
        <v/>
      </c>
      <c r="O1809" s="17" t="str">
        <f>IFERROR(IF(N1809="","",IF(INDEX(Listado!M:M,N1809)="No",IF(INDEX(Listado!N:N,N1809)=0,"",INDEX(Listado!N:N,N1809)),IF(INDEX(Listado!I:I,N1809)=0,"",INDEX(Listado!I:I,N1809)))),"")</f>
        <v/>
      </c>
      <c r="P1809" s="17">
        <f t="shared" ca="1" si="85"/>
        <v/>
      </c>
      <c r="Q1809" s="17">
        <f>IFERROR(IF(AND(N1809&lt;&gt;"",ISNUMBER(O1809),O1809&gt;0,O1809&gt;=TODAY()-90),1,0),0)</f>
        <v/>
      </c>
      <c r="R1809" s="17" t="str">
        <f t="shared" si="87"/>
        <v/>
      </c>
      <c r="S1809" s="17" t="str">
        <f>IF(INDEX(Listado!A:A,ROW())="","",INDEX(Listado!A:A,ROW()))</f>
        <v/>
      </c>
      <c r="T1809" s="17" t="str">
        <f ca="1">IF(INDEX(Listado!G:G,ROW())="","",INDEX(Listado!G:G,ROW()))</f>
        <v/>
      </c>
      <c r="U1809" s="17" t="str">
        <f>IF(INDEX(Listado!F:F,ROW())="","",INDEX(Listado!F:F,ROW()))</f>
        <v/>
      </c>
      <c r="V1809" s="17">
        <f>IF(COUNTA(INDEX(Listado!B:B,ROW()):INDEX(Listado!F:F,ROW()))&gt;0,1,0)</f>
        <v/>
      </c>
      <c r="W1809" s="17" t="str">
        <f>IF(INDEX(Listado!L:L,ROW())="","",INDEX(Listado!L:L,ROW()))</f>
        <v/>
      </c>
      <c r="X1809" s="17">
        <f>IF(N1809="","",IF(INDEX(Listado!$M:$M,N1809)="No","No","Sí"))</f>
        <v/>
      </c>
    </row>
    <row r="1810" spans="2:24" ht="14.25">
      <c r="N1810" s="17" t="str">
        <f>IF(V1810=0,"",IFERROR(LOOKUP(2,1/(INDEX(Listado!A:A,2):INDEX(Listado!A:A,ROW())&lt;&gt;""),ROW(INDEX(Listado!A:A,2):INDEX(Listado!A:A,ROW()))),""))</f>
        <v/>
      </c>
      <c r="O1810" s="17" t="str">
        <f>IFERROR(IF(N1810="","",IF(INDEX(Listado!M:M,N1810)="No",IF(INDEX(Listado!N:N,N1810)=0,"",INDEX(Listado!N:N,N1810)),IF(INDEX(Listado!I:I,N1810)=0,"",INDEX(Listado!I:I,N1810)))),"")</f>
        <v/>
      </c>
      <c r="P1810" s="17">
        <f t="shared" ca="1" si="85"/>
        <v/>
      </c>
      <c r="Q1810" s="17">
        <f>IFERROR(IF(AND(N1810&lt;&gt;"",ISNUMBER(O1810),O1810&gt;0,O1810&gt;=TODAY()-90),1,0),0)</f>
        <v/>
      </c>
      <c r="R1810" s="17" t="str">
        <f t="shared" si="87"/>
        <v/>
      </c>
      <c r="S1810" s="17" t="str">
        <f>IF(INDEX(Listado!A:A,ROW())="","",INDEX(Listado!A:A,ROW()))</f>
        <v/>
      </c>
      <c r="T1810" s="17" t="str">
        <f ca="1">IF(INDEX(Listado!G:G,ROW())="","",INDEX(Listado!G:G,ROW()))</f>
        <v/>
      </c>
      <c r="U1810" s="17" t="str">
        <f>IF(INDEX(Listado!F:F,ROW())="","",INDEX(Listado!F:F,ROW()))</f>
        <v/>
      </c>
      <c r="V1810" s="17">
        <f>IF(COUNTA(INDEX(Listado!B:B,ROW()):INDEX(Listado!F:F,ROW()))&gt;0,1,0)</f>
        <v/>
      </c>
      <c r="W1810" s="17" t="str">
        <f>IF(INDEX(Listado!L:L,ROW())="","",INDEX(Listado!L:L,ROW()))</f>
        <v/>
      </c>
      <c r="X1810" s="17">
        <f>IF(N1810="","",IF(INDEX(Listado!$M:$M,N1810)="No","No","Sí"))</f>
        <v/>
      </c>
    </row>
    <row r="1811" spans="2:24" ht="14.25">
      <c r="N1811" s="17" t="str">
        <f>IF(V1811=0,"",IFERROR(LOOKUP(2,1/(INDEX(Listado!A:A,2):INDEX(Listado!A:A,ROW())&lt;&gt;""),ROW(INDEX(Listado!A:A,2):INDEX(Listado!A:A,ROW()))),""))</f>
        <v/>
      </c>
      <c r="O1811" s="17" t="str">
        <f>IFERROR(IF(N1811="","",IF(INDEX(Listado!M:M,N1811)="No",IF(INDEX(Listado!N:N,N1811)=0,"",INDEX(Listado!N:N,N1811)),IF(INDEX(Listado!I:I,N1811)=0,"",INDEX(Listado!I:I,N1811)))),"")</f>
        <v/>
      </c>
      <c r="P1811" s="17">
        <f t="shared" ca="1" si="85"/>
        <v/>
      </c>
      <c r="Q1811" s="17">
        <f>IFERROR(IF(AND(N1811&lt;&gt;"",ISNUMBER(O1811),O1811&gt;0,O1811&gt;=TODAY()-90),1,0),0)</f>
        <v/>
      </c>
      <c r="R1811" s="17" t="str">
        <f t="shared" si="87"/>
        <v/>
      </c>
      <c r="S1811" s="17" t="str">
        <f>IF(INDEX(Listado!A:A,ROW())="","",INDEX(Listado!A:A,ROW()))</f>
        <v/>
      </c>
      <c r="T1811" s="17" t="str">
        <f ca="1">IF(INDEX(Listado!G:G,ROW())="","",INDEX(Listado!G:G,ROW()))</f>
        <v/>
      </c>
      <c r="U1811" s="17" t="str">
        <f>IF(INDEX(Listado!F:F,ROW())="","",INDEX(Listado!F:F,ROW()))</f>
        <v/>
      </c>
      <c r="V1811" s="17">
        <f>IF(COUNTA(INDEX(Listado!B:B,ROW()):INDEX(Listado!F:F,ROW()))&gt;0,1,0)</f>
        <v/>
      </c>
      <c r="W1811" s="17" t="str">
        <f>IF(INDEX(Listado!L:L,ROW())="","",INDEX(Listado!L:L,ROW()))</f>
        <v/>
      </c>
      <c r="X1811" s="17">
        <f>IF(N1811="","",IF(INDEX(Listado!$M:$M,N1811)="No","No","Sí"))</f>
        <v/>
      </c>
    </row>
    <row r="1812" spans="2:24" ht="14.25">
      <c r="N1812" s="17" t="str">
        <f>IF(V1812=0,"",IFERROR(LOOKUP(2,1/(INDEX(Listado!A:A,2):INDEX(Listado!A:A,ROW())&lt;&gt;""),ROW(INDEX(Listado!A:A,2):INDEX(Listado!A:A,ROW()))),""))</f>
        <v/>
      </c>
      <c r="O1812" s="17" t="str">
        <f>IFERROR(IF(N1812="","",IF(INDEX(Listado!M:M,N1812)="No",IF(INDEX(Listado!N:N,N1812)=0,"",INDEX(Listado!N:N,N1812)),IF(INDEX(Listado!I:I,N1812)=0,"",INDEX(Listado!I:I,N1812)))),"")</f>
        <v/>
      </c>
      <c r="P1812" s="17">
        <f t="shared" ca="1" si="85"/>
        <v/>
      </c>
      <c r="Q1812" s="17">
        <f>IFERROR(IF(AND(N1812&lt;&gt;"",ISNUMBER(O1812),O1812&gt;0,O1812&gt;=TODAY()-90),1,0),0)</f>
        <v/>
      </c>
      <c r="R1812" s="17" t="str">
        <f t="shared" si="87"/>
        <v/>
      </c>
      <c r="S1812" s="17" t="str">
        <f>IF(INDEX(Listado!A:A,ROW())="","",INDEX(Listado!A:A,ROW()))</f>
        <v/>
      </c>
      <c r="T1812" s="17" t="str">
        <f ca="1">IF(INDEX(Listado!G:G,ROW())="","",INDEX(Listado!G:G,ROW()))</f>
        <v/>
      </c>
      <c r="U1812" s="17" t="str">
        <f>IF(INDEX(Listado!F:F,ROW())="","",INDEX(Listado!F:F,ROW()))</f>
        <v/>
      </c>
      <c r="V1812" s="17">
        <f>IF(COUNTA(INDEX(Listado!B:B,ROW()):INDEX(Listado!F:F,ROW()))&gt;0,1,0)</f>
        <v/>
      </c>
      <c r="W1812" s="17" t="str">
        <f>IF(INDEX(Listado!L:L,ROW())="","",INDEX(Listado!L:L,ROW()))</f>
        <v/>
      </c>
      <c r="X1812" s="17">
        <f>IF(N1812="","",IF(INDEX(Listado!$M:$M,N1812)="No","No","Sí"))</f>
        <v/>
      </c>
    </row>
    <row r="1813" spans="2:24" ht="14.25">
      <c r="N1813" s="17" t="str">
        <f>IF(V1813=0,"",IFERROR(LOOKUP(2,1/(INDEX(Listado!A:A,2):INDEX(Listado!A:A,ROW())&lt;&gt;""),ROW(INDEX(Listado!A:A,2):INDEX(Listado!A:A,ROW()))),""))</f>
        <v/>
      </c>
      <c r="O1813" s="17" t="str">
        <f>IFERROR(IF(N1813="","",IF(INDEX(Listado!M:M,N1813)="No",IF(INDEX(Listado!N:N,N1813)=0,"",INDEX(Listado!N:N,N1813)),IF(INDEX(Listado!I:I,N1813)=0,"",INDEX(Listado!I:I,N1813)))),"")</f>
        <v/>
      </c>
      <c r="P1813" s="17">
        <f t="shared" ca="1" si="85"/>
        <v/>
      </c>
      <c r="Q1813" s="17">
        <f>IFERROR(IF(AND(N1813&lt;&gt;"",ISNUMBER(O1813),O1813&gt;0,O1813&gt;=TODAY()-90),1,0),0)</f>
        <v/>
      </c>
      <c r="R1813" s="17" t="str">
        <f t="shared" si="87"/>
        <v/>
      </c>
      <c r="S1813" s="17" t="str">
        <f>IF(INDEX(Listado!A:A,ROW())="","",INDEX(Listado!A:A,ROW()))</f>
        <v/>
      </c>
      <c r="T1813" s="17" t="str">
        <f ca="1">IF(INDEX(Listado!G:G,ROW())="","",INDEX(Listado!G:G,ROW()))</f>
        <v/>
      </c>
      <c r="U1813" s="17" t="str">
        <f>IF(INDEX(Listado!F:F,ROW())="","",INDEX(Listado!F:F,ROW()))</f>
        <v/>
      </c>
      <c r="V1813" s="17">
        <f>IF(COUNTA(INDEX(Listado!B:B,ROW()):INDEX(Listado!F:F,ROW()))&gt;0,1,0)</f>
        <v/>
      </c>
      <c r="W1813" s="17" t="str">
        <f>IF(INDEX(Listado!L:L,ROW())="","",INDEX(Listado!L:L,ROW()))</f>
        <v/>
      </c>
      <c r="X1813" s="17">
        <f>IF(N1813="","",IF(INDEX(Listado!$M:$M,N1813)="No","No","Sí"))</f>
        <v/>
      </c>
    </row>
    <row r="1814" spans="2:24" ht="14.25">
      <c r="N1814" s="17" t="str">
        <f>IF(V1814=0,"",IFERROR(LOOKUP(2,1/(INDEX(Listado!A:A,2):INDEX(Listado!A:A,ROW())&lt;&gt;""),ROW(INDEX(Listado!A:A,2):INDEX(Listado!A:A,ROW()))),""))</f>
        <v/>
      </c>
      <c r="O1814" s="17" t="str">
        <f>IFERROR(IF(N1814="","",IF(INDEX(Listado!M:M,N1814)="No",IF(INDEX(Listado!N:N,N1814)=0,"",INDEX(Listado!N:N,N1814)),IF(INDEX(Listado!I:I,N1814)=0,"",INDEX(Listado!I:I,N1814)))),"")</f>
        <v/>
      </c>
      <c r="P1814" s="17">
        <f t="shared" ca="1" si="85"/>
        <v/>
      </c>
      <c r="Q1814" s="17">
        <f>IFERROR(IF(AND(N1814&lt;&gt;"",ISNUMBER(O1814),O1814&gt;0,O1814&gt;=TODAY()-90),1,0),0)</f>
        <v/>
      </c>
      <c r="R1814" s="17" t="str">
        <f t="shared" si="87"/>
        <v/>
      </c>
      <c r="S1814" s="17" t="str">
        <f>IF(INDEX(Listado!A:A,ROW())="","",INDEX(Listado!A:A,ROW()))</f>
        <v/>
      </c>
      <c r="T1814" s="17" t="str">
        <f ca="1">IF(INDEX(Listado!G:G,ROW())="","",INDEX(Listado!G:G,ROW()))</f>
        <v/>
      </c>
      <c r="U1814" s="17" t="str">
        <f>IF(INDEX(Listado!F:F,ROW())="","",INDEX(Listado!F:F,ROW()))</f>
        <v/>
      </c>
      <c r="V1814" s="17">
        <f>IF(COUNTA(INDEX(Listado!B:B,ROW()):INDEX(Listado!F:F,ROW()))&gt;0,1,0)</f>
        <v/>
      </c>
      <c r="W1814" s="17" t="str">
        <f>IF(INDEX(Listado!L:L,ROW())="","",INDEX(Listado!L:L,ROW()))</f>
        <v/>
      </c>
      <c r="X1814" s="17">
        <f>IF(N1814="","",IF(INDEX(Listado!$M:$M,N1814)="No","No","Sí"))</f>
        <v/>
      </c>
    </row>
    <row r="1815" spans="2:24" ht="14.25">
      <c r="N1815" s="17" t="str">
        <f>IF(V1815=0,"",IFERROR(LOOKUP(2,1/(INDEX(Listado!A:A,2):INDEX(Listado!A:A,ROW())&lt;&gt;""),ROW(INDEX(Listado!A:A,2):INDEX(Listado!A:A,ROW()))),""))</f>
        <v/>
      </c>
      <c r="O1815" s="17" t="str">
        <f>IFERROR(IF(N1815="","",IF(INDEX(Listado!M:M,N1815)="No",IF(INDEX(Listado!N:N,N1815)=0,"",INDEX(Listado!N:N,N1815)),IF(INDEX(Listado!I:I,N1815)=0,"",INDEX(Listado!I:I,N1815)))),"")</f>
        <v/>
      </c>
      <c r="P1815" s="17">
        <f t="shared" ca="1" si="85"/>
        <v/>
      </c>
      <c r="Q1815" s="17">
        <f>IFERROR(IF(AND(N1815&lt;&gt;"",ISNUMBER(O1815),O1815&gt;0,O1815&gt;=TODAY()-90),1,0),0)</f>
        <v/>
      </c>
      <c r="R1815" s="17" t="str">
        <f t="shared" si="87"/>
        <v/>
      </c>
      <c r="S1815" s="17" t="str">
        <f>IF(INDEX(Listado!A:A,ROW())="","",INDEX(Listado!A:A,ROW()))</f>
        <v/>
      </c>
      <c r="T1815" s="17" t="str">
        <f ca="1">IF(INDEX(Listado!G:G,ROW())="","",INDEX(Listado!G:G,ROW()))</f>
        <v/>
      </c>
      <c r="U1815" s="17" t="str">
        <f>IF(INDEX(Listado!F:F,ROW())="","",INDEX(Listado!F:F,ROW()))</f>
        <v/>
      </c>
      <c r="V1815" s="17">
        <f>IF(COUNTA(INDEX(Listado!B:B,ROW()):INDEX(Listado!F:F,ROW()))&gt;0,1,0)</f>
        <v/>
      </c>
      <c r="W1815" s="17" t="str">
        <f>IF(INDEX(Listado!L:L,ROW())="","",INDEX(Listado!L:L,ROW()))</f>
        <v/>
      </c>
      <c r="X1815" s="17">
        <f>IF(N1815="","",IF(INDEX(Listado!$M:$M,N1815)="No","No","Sí"))</f>
        <v/>
      </c>
    </row>
    <row r="1816" spans="2:24" ht="14.25">
      <c r="N1816" s="17" t="str">
        <f>IF(V1816=0,"",IFERROR(LOOKUP(2,1/(INDEX(Listado!A:A,2):INDEX(Listado!A:A,ROW())&lt;&gt;""),ROW(INDEX(Listado!A:A,2):INDEX(Listado!A:A,ROW()))),""))</f>
        <v/>
      </c>
      <c r="O1816" s="17" t="str">
        <f>IFERROR(IF(N1816="","",IF(INDEX(Listado!M:M,N1816)="No",IF(INDEX(Listado!N:N,N1816)=0,"",INDEX(Listado!N:N,N1816)),IF(INDEX(Listado!I:I,N1816)=0,"",INDEX(Listado!I:I,N1816)))),"")</f>
        <v/>
      </c>
      <c r="P1816" s="17">
        <f t="shared" ca="1" si="85"/>
        <v/>
      </c>
      <c r="Q1816" s="17">
        <f>IFERROR(IF(AND(N1816&lt;&gt;"",ISNUMBER(O1816),O1816&gt;0,O1816&gt;=TODAY()-90),1,0),0)</f>
        <v/>
      </c>
      <c r="R1816" s="17" t="str">
        <f t="shared" si="87"/>
        <v/>
      </c>
      <c r="S1816" s="17" t="str">
        <f>IF(INDEX(Listado!A:A,ROW())="","",INDEX(Listado!A:A,ROW()))</f>
        <v/>
      </c>
      <c r="T1816" s="17" t="str">
        <f ca="1">IF(INDEX(Listado!G:G,ROW())="","",INDEX(Listado!G:G,ROW()))</f>
        <v/>
      </c>
      <c r="U1816" s="17" t="str">
        <f>IF(INDEX(Listado!F:F,ROW())="","",INDEX(Listado!F:F,ROW()))</f>
        <v/>
      </c>
      <c r="V1816" s="17">
        <f>IF(COUNTA(INDEX(Listado!B:B,ROW()):INDEX(Listado!F:F,ROW()))&gt;0,1,0)</f>
        <v/>
      </c>
      <c r="W1816" s="17" t="str">
        <f>IF(INDEX(Listado!L:L,ROW())="","",INDEX(Listado!L:L,ROW()))</f>
        <v/>
      </c>
      <c r="X1816" s="17">
        <f>IF(N1816="","",IF(INDEX(Listado!$M:$M,N1816)="No","No","Sí"))</f>
        <v/>
      </c>
    </row>
    <row r="1817" spans="2:24" ht="14.25">
      <c r="N1817" s="17" t="str">
        <f>IF(V1817=0,"",IFERROR(LOOKUP(2,1/(INDEX(Listado!A:A,2):INDEX(Listado!A:A,ROW())&lt;&gt;""),ROW(INDEX(Listado!A:A,2):INDEX(Listado!A:A,ROW()))),""))</f>
        <v/>
      </c>
      <c r="O1817" s="17" t="str">
        <f>IFERROR(IF(N1817="","",IF(INDEX(Listado!M:M,N1817)="No",IF(INDEX(Listado!N:N,N1817)=0,"",INDEX(Listado!N:N,N1817)),IF(INDEX(Listado!I:I,N1817)=0,"",INDEX(Listado!I:I,N1817)))),"")</f>
        <v/>
      </c>
      <c r="P1817" s="17">
        <f t="shared" ca="1" si="85"/>
        <v/>
      </c>
      <c r="Q1817" s="17">
        <f>IFERROR(IF(AND(N1817&lt;&gt;"",ISNUMBER(O1817),O1817&gt;0,O1817&gt;=TODAY()-90),1,0),0)</f>
        <v/>
      </c>
      <c r="R1817" s="17" t="str">
        <f t="shared" si="87"/>
        <v/>
      </c>
      <c r="S1817" s="17" t="str">
        <f>IF(INDEX(Listado!A:A,ROW())="","",INDEX(Listado!A:A,ROW()))</f>
        <v/>
      </c>
      <c r="T1817" s="17" t="str">
        <f ca="1">IF(INDEX(Listado!G:G,ROW())="","",INDEX(Listado!G:G,ROW()))</f>
        <v/>
      </c>
      <c r="U1817" s="17" t="str">
        <f>IF(INDEX(Listado!F:F,ROW())="","",INDEX(Listado!F:F,ROW()))</f>
        <v/>
      </c>
      <c r="V1817" s="17">
        <f>IF(COUNTA(INDEX(Listado!B:B,ROW()):INDEX(Listado!F:F,ROW()))&gt;0,1,0)</f>
        <v/>
      </c>
      <c r="W1817" s="17" t="str">
        <f>IF(INDEX(Listado!L:L,ROW())="","",INDEX(Listado!L:L,ROW()))</f>
        <v/>
      </c>
      <c r="X1817" s="17">
        <f>IF(N1817="","",IF(INDEX(Listado!$M:$M,N1817)="No","No","Sí"))</f>
        <v/>
      </c>
    </row>
    <row r="1818" spans="2:24" ht="14.25">
      <c r="N1818" s="17" t="str">
        <f>IF(V1818=0,"",IFERROR(LOOKUP(2,1/(INDEX(Listado!A:A,2):INDEX(Listado!A:A,ROW())&lt;&gt;""),ROW(INDEX(Listado!A:A,2):INDEX(Listado!A:A,ROW()))),""))</f>
        <v/>
      </c>
      <c r="O1818" s="17" t="str">
        <f>IFERROR(IF(N1818="","",IF(INDEX(Listado!M:M,N1818)="No",IF(INDEX(Listado!N:N,N1818)=0,"",INDEX(Listado!N:N,N1818)),IF(INDEX(Listado!I:I,N1818)=0,"",INDEX(Listado!I:I,N1818)))),"")</f>
        <v/>
      </c>
      <c r="P1818" s="17">
        <f t="shared" ca="1" si="85"/>
        <v/>
      </c>
      <c r="Q1818" s="17">
        <f>IFERROR(IF(AND(N1818&lt;&gt;"",ISNUMBER(O1818),O1818&gt;0,O1818&gt;=TODAY()-90),1,0),0)</f>
        <v/>
      </c>
      <c r="R1818" s="17" t="str">
        <f t="shared" si="87"/>
        <v/>
      </c>
      <c r="S1818" s="17" t="str">
        <f>IF(INDEX(Listado!A:A,ROW())="","",INDEX(Listado!A:A,ROW()))</f>
        <v/>
      </c>
      <c r="T1818" s="17" t="str">
        <f ca="1">IF(INDEX(Listado!G:G,ROW())="","",INDEX(Listado!G:G,ROW()))</f>
        <v/>
      </c>
      <c r="U1818" s="17" t="str">
        <f>IF(INDEX(Listado!F:F,ROW())="","",INDEX(Listado!F:F,ROW()))</f>
        <v/>
      </c>
      <c r="V1818" s="17">
        <f>IF(COUNTA(INDEX(Listado!B:B,ROW()):INDEX(Listado!F:F,ROW()))&gt;0,1,0)</f>
        <v/>
      </c>
      <c r="W1818" s="17" t="str">
        <f>IF(INDEX(Listado!L:L,ROW())="","",INDEX(Listado!L:L,ROW()))</f>
        <v/>
      </c>
      <c r="X1818" s="17">
        <f>IF(N1818="","",IF(INDEX(Listado!$M:$M,N1818)="No","No","Sí"))</f>
        <v/>
      </c>
    </row>
    <row r="1819" spans="2:24" ht="14.25">
      <c r="N1819" s="17" t="str">
        <f>IF(V1819=0,"",IFERROR(LOOKUP(2,1/(INDEX(Listado!A:A,2):INDEX(Listado!A:A,ROW())&lt;&gt;""),ROW(INDEX(Listado!A:A,2):INDEX(Listado!A:A,ROW()))),""))</f>
        <v/>
      </c>
      <c r="O1819" s="17" t="str">
        <f>IFERROR(IF(N1819="","",IF(INDEX(Listado!M:M,N1819)="No",IF(INDEX(Listado!N:N,N1819)=0,"",INDEX(Listado!N:N,N1819)),IF(INDEX(Listado!I:I,N1819)=0,"",INDEX(Listado!I:I,N1819)))),"")</f>
        <v/>
      </c>
      <c r="P1819" s="17">
        <f t="shared" ca="1" si="85"/>
        <v/>
      </c>
      <c r="Q1819" s="17">
        <f>IFERROR(IF(AND(N1819&lt;&gt;"",ISNUMBER(O1819),O1819&gt;0,O1819&gt;=TODAY()-90),1,0),0)</f>
        <v/>
      </c>
      <c r="R1819" s="17" t="str">
        <f t="shared" si="87"/>
        <v/>
      </c>
      <c r="S1819" s="17" t="str">
        <f>IF(INDEX(Listado!A:A,ROW())="","",INDEX(Listado!A:A,ROW()))</f>
        <v/>
      </c>
      <c r="T1819" s="17" t="str">
        <f ca="1">IF(INDEX(Listado!G:G,ROW())="","",INDEX(Listado!G:G,ROW()))</f>
        <v/>
      </c>
      <c r="U1819" s="17" t="str">
        <f>IF(INDEX(Listado!F:F,ROW())="","",INDEX(Listado!F:F,ROW()))</f>
        <v/>
      </c>
      <c r="V1819" s="17">
        <f>IF(COUNTA(INDEX(Listado!B:B,ROW()):INDEX(Listado!F:F,ROW()))&gt;0,1,0)</f>
        <v/>
      </c>
      <c r="W1819" s="17" t="str">
        <f>IF(INDEX(Listado!L:L,ROW())="","",INDEX(Listado!L:L,ROW()))</f>
        <v/>
      </c>
      <c r="X1819" s="17">
        <f>IF(N1819="","",IF(INDEX(Listado!$M:$M,N1819)="No","No","Sí"))</f>
        <v/>
      </c>
    </row>
    <row r="1820" spans="2:24" ht="14.25">
      <c r="N1820" s="17" t="str">
        <f>IF(V1820=0,"",IFERROR(LOOKUP(2,1/(INDEX(Listado!A:A,2):INDEX(Listado!A:A,ROW())&lt;&gt;""),ROW(INDEX(Listado!A:A,2):INDEX(Listado!A:A,ROW()))),""))</f>
        <v/>
      </c>
      <c r="O1820" s="17" t="str">
        <f>IFERROR(IF(N1820="","",IF(INDEX(Listado!M:M,N1820)="No",IF(INDEX(Listado!N:N,N1820)=0,"",INDEX(Listado!N:N,N1820)),IF(INDEX(Listado!I:I,N1820)=0,"",INDEX(Listado!I:I,N1820)))),"")</f>
        <v/>
      </c>
      <c r="P1820" s="17">
        <f t="shared" ca="1" si="85"/>
        <v/>
      </c>
      <c r="Q1820" s="17">
        <f>IFERROR(IF(AND(N1820&lt;&gt;"",ISNUMBER(O1820),O1820&gt;0,O1820&gt;=TODAY()-90),1,0),0)</f>
        <v/>
      </c>
      <c r="R1820" s="17" t="str">
        <f t="shared" si="87"/>
        <v/>
      </c>
      <c r="S1820" s="17" t="str">
        <f>IF(INDEX(Listado!A:A,ROW())="","",INDEX(Listado!A:A,ROW()))</f>
        <v/>
      </c>
      <c r="T1820" s="17" t="str">
        <f ca="1">IF(INDEX(Listado!G:G,ROW())="","",INDEX(Listado!G:G,ROW()))</f>
        <v/>
      </c>
      <c r="U1820" s="17" t="str">
        <f>IF(INDEX(Listado!F:F,ROW())="","",INDEX(Listado!F:F,ROW()))</f>
        <v/>
      </c>
      <c r="V1820" s="17">
        <f>IF(COUNTA(INDEX(Listado!B:B,ROW()):INDEX(Listado!F:F,ROW()))&gt;0,1,0)</f>
        <v/>
      </c>
      <c r="W1820" s="17" t="str">
        <f>IF(INDEX(Listado!L:L,ROW())="","",INDEX(Listado!L:L,ROW()))</f>
        <v/>
      </c>
      <c r="X1820" s="17">
        <f>IF(N1820="","",IF(INDEX(Listado!$M:$M,N1820)="No","No","Sí"))</f>
        <v/>
      </c>
    </row>
    <row r="1821" spans="2:24" ht="14.25">
      <c r="N1821" s="17" t="str">
        <f>IF(V1821=0,"",IFERROR(LOOKUP(2,1/(INDEX(Listado!A:A,2):INDEX(Listado!A:A,ROW())&lt;&gt;""),ROW(INDEX(Listado!A:A,2):INDEX(Listado!A:A,ROW()))),""))</f>
        <v/>
      </c>
      <c r="O1821" s="17" t="str">
        <f>IFERROR(IF(N1821="","",IF(INDEX(Listado!M:M,N1821)="No",IF(INDEX(Listado!N:N,N1821)=0,"",INDEX(Listado!N:N,N1821)),IF(INDEX(Listado!I:I,N1821)=0,"",INDEX(Listado!I:I,N1821)))),"")</f>
        <v/>
      </c>
      <c r="P1821" s="17">
        <f t="shared" ca="1" si="85"/>
        <v/>
      </c>
      <c r="Q1821" s="17">
        <f>IFERROR(IF(AND(N1821&lt;&gt;"",ISNUMBER(O1821),O1821&gt;0,O1821&gt;=TODAY()-90),1,0),0)</f>
        <v/>
      </c>
      <c r="R1821" s="17" t="str">
        <f t="shared" si="87"/>
        <v/>
      </c>
      <c r="S1821" s="17" t="str">
        <f>IF(INDEX(Listado!A:A,ROW())="","",INDEX(Listado!A:A,ROW()))</f>
        <v/>
      </c>
      <c r="T1821" s="17" t="str">
        <f ca="1">IF(INDEX(Listado!G:G,ROW())="","",INDEX(Listado!G:G,ROW()))</f>
        <v/>
      </c>
      <c r="U1821" s="17" t="str">
        <f>IF(INDEX(Listado!F:F,ROW())="","",INDEX(Listado!F:F,ROW()))</f>
        <v/>
      </c>
      <c r="V1821" s="17">
        <f>IF(COUNTA(INDEX(Listado!B:B,ROW()):INDEX(Listado!F:F,ROW()))&gt;0,1,0)</f>
        <v/>
      </c>
      <c r="W1821" s="17" t="str">
        <f>IF(INDEX(Listado!L:L,ROW())="","",INDEX(Listado!L:L,ROW()))</f>
        <v/>
      </c>
      <c r="X1821" s="17">
        <f>IF(N1821="","",IF(INDEX(Listado!$M:$M,N1821)="No","No","Sí"))</f>
        <v/>
      </c>
    </row>
    <row r="1822" spans="2:24" ht="14.25">
      <c r="N1822" s="17" t="str">
        <f>IF(V1822=0,"",IFERROR(LOOKUP(2,1/(INDEX(Listado!A:A,2):INDEX(Listado!A:A,ROW())&lt;&gt;""),ROW(INDEX(Listado!A:A,2):INDEX(Listado!A:A,ROW()))),""))</f>
        <v/>
      </c>
      <c r="O1822" s="17" t="str">
        <f>IFERROR(IF(N1822="","",IF(INDEX(Listado!M:M,N1822)="No",IF(INDEX(Listado!N:N,N1822)=0,"",INDEX(Listado!N:N,N1822)),IF(INDEX(Listado!I:I,N1822)=0,"",INDEX(Listado!I:I,N1822)))),"")</f>
        <v/>
      </c>
      <c r="P1822" s="17">
        <f t="shared" ca="1" si="85"/>
        <v/>
      </c>
      <c r="Q1822" s="17">
        <f>IFERROR(IF(AND(N1822&lt;&gt;"",ISNUMBER(O1822),O1822&gt;0,O1822&gt;=TODAY()-90),1,0),0)</f>
        <v/>
      </c>
      <c r="R1822" s="17" t="str">
        <f t="shared" si="87"/>
        <v/>
      </c>
      <c r="S1822" s="17" t="str">
        <f>IF(INDEX(Listado!A:A,ROW())="","",INDEX(Listado!A:A,ROW()))</f>
        <v/>
      </c>
      <c r="T1822" s="17" t="str">
        <f ca="1">IF(INDEX(Listado!G:G,ROW())="","",INDEX(Listado!G:G,ROW()))</f>
        <v/>
      </c>
      <c r="U1822" s="17" t="str">
        <f>IF(INDEX(Listado!F:F,ROW())="","",INDEX(Listado!F:F,ROW()))</f>
        <v/>
      </c>
      <c r="V1822" s="17">
        <f>IF(COUNTA(INDEX(Listado!B:B,ROW()):INDEX(Listado!F:F,ROW()))&gt;0,1,0)</f>
        <v/>
      </c>
      <c r="W1822" s="17" t="str">
        <f>IF(INDEX(Listado!L:L,ROW())="","",INDEX(Listado!L:L,ROW()))</f>
        <v/>
      </c>
      <c r="X1822" s="17">
        <f>IF(N1822="","",IF(INDEX(Listado!$M:$M,N1822)="No","No","Sí"))</f>
        <v/>
      </c>
    </row>
    <row r="1823" spans="2:24" ht="14.25">
      <c r="N1823" s="17" t="str">
        <f>IF(V1823=0,"",IFERROR(LOOKUP(2,1/(INDEX(Listado!A:A,2):INDEX(Listado!A:A,ROW())&lt;&gt;""),ROW(INDEX(Listado!A:A,2):INDEX(Listado!A:A,ROW()))),""))</f>
        <v/>
      </c>
      <c r="O1823" s="17" t="str">
        <f>IFERROR(IF(N1823="","",IF(INDEX(Listado!M:M,N1823)="No",IF(INDEX(Listado!N:N,N1823)=0,"",INDEX(Listado!N:N,N1823)),IF(INDEX(Listado!I:I,N1823)=0,"",INDEX(Listado!I:I,N1823)))),"")</f>
        <v/>
      </c>
      <c r="P1823" s="17">
        <f t="shared" ca="1" si="85"/>
        <v/>
      </c>
      <c r="Q1823" s="17">
        <f>IFERROR(IF(AND(N1823&lt;&gt;"",ISNUMBER(O1823),O1823&gt;0,O1823&gt;=TODAY()-90),1,0),0)</f>
        <v/>
      </c>
      <c r="R1823" s="17" t="str">
        <f t="shared" si="87"/>
        <v/>
      </c>
      <c r="S1823" s="17" t="str">
        <f>IF(INDEX(Listado!A:A,ROW())="","",INDEX(Listado!A:A,ROW()))</f>
        <v/>
      </c>
      <c r="T1823" s="17" t="str">
        <f ca="1">IF(INDEX(Listado!G:G,ROW())="","",INDEX(Listado!G:G,ROW()))</f>
        <v/>
      </c>
      <c r="U1823" s="17" t="str">
        <f>IF(INDEX(Listado!F:F,ROW())="","",INDEX(Listado!F:F,ROW()))</f>
        <v/>
      </c>
      <c r="V1823" s="17">
        <f>IF(COUNTA(INDEX(Listado!B:B,ROW()):INDEX(Listado!F:F,ROW()))&gt;0,1,0)</f>
        <v/>
      </c>
      <c r="W1823" s="17" t="str">
        <f>IF(INDEX(Listado!L:L,ROW())="","",INDEX(Listado!L:L,ROW()))</f>
        <v/>
      </c>
      <c r="X1823" s="17">
        <f>IF(N1823="","",IF(INDEX(Listado!$M:$M,N1823)="No","No","Sí"))</f>
        <v/>
      </c>
    </row>
    <row r="1824" spans="2:24" ht="14.25">
      <c r="N1824" s="17" t="str">
        <f>IF(V1824=0,"",IFERROR(LOOKUP(2,1/(INDEX(Listado!A:A,2):INDEX(Listado!A:A,ROW())&lt;&gt;""),ROW(INDEX(Listado!A:A,2):INDEX(Listado!A:A,ROW()))),""))</f>
        <v/>
      </c>
      <c r="O1824" s="17" t="str">
        <f>IFERROR(IF(N1824="","",IF(INDEX(Listado!M:M,N1824)="No",IF(INDEX(Listado!N:N,N1824)=0,"",INDEX(Listado!N:N,N1824)),IF(INDEX(Listado!I:I,N1824)=0,"",INDEX(Listado!I:I,N1824)))),"")</f>
        <v/>
      </c>
      <c r="P1824" s="17">
        <f t="shared" ca="1" si="85"/>
        <v/>
      </c>
      <c r="Q1824" s="17">
        <f>IFERROR(IF(AND(N1824&lt;&gt;"",ISNUMBER(O1824),O1824&gt;0,O1824&gt;=TODAY()-90),1,0),0)</f>
        <v/>
      </c>
      <c r="R1824" s="17" t="str">
        <f t="shared" si="87"/>
        <v/>
      </c>
      <c r="S1824" s="17" t="str">
        <f>IF(INDEX(Listado!A:A,ROW())="","",INDEX(Listado!A:A,ROW()))</f>
        <v/>
      </c>
      <c r="T1824" s="17" t="str">
        <f ca="1">IF(INDEX(Listado!G:G,ROW())="","",INDEX(Listado!G:G,ROW()))</f>
        <v/>
      </c>
      <c r="U1824" s="17" t="str">
        <f>IF(INDEX(Listado!F:F,ROW())="","",INDEX(Listado!F:F,ROW()))</f>
        <v/>
      </c>
      <c r="V1824" s="17">
        <f>IF(COUNTA(INDEX(Listado!B:B,ROW()):INDEX(Listado!F:F,ROW()))&gt;0,1,0)</f>
        <v/>
      </c>
      <c r="W1824" s="17" t="str">
        <f>IF(INDEX(Listado!L:L,ROW())="","",INDEX(Listado!L:L,ROW()))</f>
        <v/>
      </c>
      <c r="X1824" s="17">
        <f>IF(N1824="","",IF(INDEX(Listado!$M:$M,N1824)="No","No","Sí"))</f>
        <v/>
      </c>
    </row>
    <row r="1825" spans="2:24" ht="14.25">
      <c r="N1825" s="17" t="str">
        <f>IF(V1825=0,"",IFERROR(LOOKUP(2,1/(INDEX(Listado!A:A,2):INDEX(Listado!A:A,ROW())&lt;&gt;""),ROW(INDEX(Listado!A:A,2):INDEX(Listado!A:A,ROW()))),""))</f>
        <v/>
      </c>
      <c r="O1825" s="17" t="str">
        <f>IFERROR(IF(N1825="","",IF(INDEX(Listado!M:M,N1825)="No",IF(INDEX(Listado!N:N,N1825)=0,"",INDEX(Listado!N:N,N1825)),IF(INDEX(Listado!I:I,N1825)=0,"",INDEX(Listado!I:I,N1825)))),"")</f>
        <v/>
      </c>
      <c r="P1825" s="17">
        <f t="shared" ca="1" si="85"/>
        <v/>
      </c>
      <c r="Q1825" s="17">
        <f>IFERROR(IF(AND(N1825&lt;&gt;"",ISNUMBER(O1825),O1825&gt;0,O1825&gt;=TODAY()-90),1,0),0)</f>
        <v/>
      </c>
      <c r="R1825" s="17" t="str">
        <f t="shared" si="87"/>
        <v/>
      </c>
      <c r="S1825" s="17" t="str">
        <f>IF(INDEX(Listado!A:A,ROW())="","",INDEX(Listado!A:A,ROW()))</f>
        <v/>
      </c>
      <c r="T1825" s="17" t="str">
        <f ca="1">IF(INDEX(Listado!G:G,ROW())="","",INDEX(Listado!G:G,ROW()))</f>
        <v/>
      </c>
      <c r="U1825" s="17" t="str">
        <f>IF(INDEX(Listado!F:F,ROW())="","",INDEX(Listado!F:F,ROW()))</f>
        <v/>
      </c>
      <c r="V1825" s="17">
        <f>IF(COUNTA(INDEX(Listado!B:B,ROW()):INDEX(Listado!F:F,ROW()))&gt;0,1,0)</f>
        <v/>
      </c>
      <c r="W1825" s="17" t="str">
        <f>IF(INDEX(Listado!L:L,ROW())="","",INDEX(Listado!L:L,ROW()))</f>
        <v/>
      </c>
      <c r="X1825" s="17">
        <f>IF(N1825="","",IF(INDEX(Listado!$M:$M,N1825)="No","No","Sí"))</f>
        <v/>
      </c>
    </row>
    <row r="1826" spans="2:24" ht="14.25">
      <c r="N1826" s="17" t="str">
        <f>IF(V1826=0,"",IFERROR(LOOKUP(2,1/(INDEX(Listado!A:A,2):INDEX(Listado!A:A,ROW())&lt;&gt;""),ROW(INDEX(Listado!A:A,2):INDEX(Listado!A:A,ROW()))),""))</f>
        <v/>
      </c>
      <c r="O1826" s="17" t="str">
        <f>IFERROR(IF(N1826="","",IF(INDEX(Listado!M:M,N1826)="No",IF(INDEX(Listado!N:N,N1826)=0,"",INDEX(Listado!N:N,N1826)),IF(INDEX(Listado!I:I,N1826)=0,"",INDEX(Listado!I:I,N1826)))),"")</f>
        <v/>
      </c>
      <c r="P1826" s="17">
        <f t="shared" ca="1" si="85"/>
        <v/>
      </c>
      <c r="Q1826" s="17">
        <f>IFERROR(IF(AND(N1826&lt;&gt;"",ISNUMBER(O1826),O1826&gt;0,O1826&gt;=TODAY()-90),1,0),0)</f>
        <v/>
      </c>
      <c r="R1826" s="17" t="str">
        <f t="shared" si="87"/>
        <v/>
      </c>
      <c r="S1826" s="17" t="str">
        <f>IF(INDEX(Listado!A:A,ROW())="","",INDEX(Listado!A:A,ROW()))</f>
        <v/>
      </c>
      <c r="T1826" s="17" t="str">
        <f ca="1">IF(INDEX(Listado!G:G,ROW())="","",INDEX(Listado!G:G,ROW()))</f>
        <v/>
      </c>
      <c r="U1826" s="17" t="str">
        <f>IF(INDEX(Listado!F:F,ROW())="","",INDEX(Listado!F:F,ROW()))</f>
        <v/>
      </c>
      <c r="V1826" s="17">
        <f>IF(COUNTA(INDEX(Listado!B:B,ROW()):INDEX(Listado!F:F,ROW()))&gt;0,1,0)</f>
        <v/>
      </c>
      <c r="W1826" s="17" t="str">
        <f>IF(INDEX(Listado!L:L,ROW())="","",INDEX(Listado!L:L,ROW()))</f>
        <v/>
      </c>
      <c r="X1826" s="17">
        <f>IF(N1826="","",IF(INDEX(Listado!$M:$M,N1826)="No","No","Sí"))</f>
        <v/>
      </c>
    </row>
    <row r="1827" spans="2:24" ht="14.25">
      <c r="N1827" s="17" t="str">
        <f>IF(V1827=0,"",IFERROR(LOOKUP(2,1/(INDEX(Listado!A:A,2):INDEX(Listado!A:A,ROW())&lt;&gt;""),ROW(INDEX(Listado!A:A,2):INDEX(Listado!A:A,ROW()))),""))</f>
        <v/>
      </c>
      <c r="O1827" s="17" t="str">
        <f>IFERROR(IF(N1827="","",IF(INDEX(Listado!M:M,N1827)="No",IF(INDEX(Listado!N:N,N1827)=0,"",INDEX(Listado!N:N,N1827)),IF(INDEX(Listado!I:I,N1827)=0,"",INDEX(Listado!I:I,N1827)))),"")</f>
        <v/>
      </c>
      <c r="P1827" s="17">
        <f t="shared" ca="1" si="85"/>
        <v/>
      </c>
      <c r="Q1827" s="17">
        <f>IFERROR(IF(AND(N1827&lt;&gt;"",ISNUMBER(O1827),O1827&gt;0,O1827&gt;=TODAY()-90),1,0),0)</f>
        <v/>
      </c>
      <c r="R1827" s="17" t="str">
        <f t="shared" si="87"/>
        <v/>
      </c>
      <c r="S1827" s="17" t="str">
        <f>IF(INDEX(Listado!A:A,ROW())="","",INDEX(Listado!A:A,ROW()))</f>
        <v/>
      </c>
      <c r="T1827" s="17" t="str">
        <f ca="1">IF(INDEX(Listado!G:G,ROW())="","",INDEX(Listado!G:G,ROW()))</f>
        <v/>
      </c>
      <c r="U1827" s="17" t="str">
        <f>IF(INDEX(Listado!F:F,ROW())="","",INDEX(Listado!F:F,ROW()))</f>
        <v/>
      </c>
      <c r="V1827" s="17">
        <f>IF(COUNTA(INDEX(Listado!B:B,ROW()):INDEX(Listado!F:F,ROW()))&gt;0,1,0)</f>
        <v/>
      </c>
      <c r="W1827" s="17" t="str">
        <f>IF(INDEX(Listado!L:L,ROW())="","",INDEX(Listado!L:L,ROW()))</f>
        <v/>
      </c>
      <c r="X1827" s="17">
        <f>IF(N1827="","",IF(INDEX(Listado!$M:$M,N1827)="No","No","Sí"))</f>
        <v/>
      </c>
    </row>
    <row r="1828" spans="2:24" ht="14.25">
      <c r="N1828" s="17" t="str">
        <f>IF(V1828=0,"",IFERROR(LOOKUP(2,1/(INDEX(Listado!A:A,2):INDEX(Listado!A:A,ROW())&lt;&gt;""),ROW(INDEX(Listado!A:A,2):INDEX(Listado!A:A,ROW()))),""))</f>
        <v/>
      </c>
      <c r="O1828" s="17" t="str">
        <f>IFERROR(IF(N1828="","",IF(INDEX(Listado!M:M,N1828)="No",IF(INDEX(Listado!N:N,N1828)=0,"",INDEX(Listado!N:N,N1828)),IF(INDEX(Listado!I:I,N1828)=0,"",INDEX(Listado!I:I,N1828)))),"")</f>
        <v/>
      </c>
      <c r="P1828" s="17">
        <f t="shared" ca="1" si="85"/>
        <v/>
      </c>
      <c r="Q1828" s="17">
        <f>IFERROR(IF(AND(N1828&lt;&gt;"",ISNUMBER(O1828),O1828&gt;0,O1828&gt;=TODAY()-90),1,0),0)</f>
        <v/>
      </c>
      <c r="R1828" s="17" t="str">
        <f t="shared" si="87"/>
        <v/>
      </c>
      <c r="S1828" s="17" t="str">
        <f>IF(INDEX(Listado!A:A,ROW())="","",INDEX(Listado!A:A,ROW()))</f>
        <v/>
      </c>
      <c r="T1828" s="17" t="str">
        <f ca="1">IF(INDEX(Listado!G:G,ROW())="","",INDEX(Listado!G:G,ROW()))</f>
        <v/>
      </c>
      <c r="U1828" s="17" t="str">
        <f>IF(INDEX(Listado!F:F,ROW())="","",INDEX(Listado!F:F,ROW()))</f>
        <v/>
      </c>
      <c r="V1828" s="17">
        <f>IF(COUNTA(INDEX(Listado!B:B,ROW()):INDEX(Listado!F:F,ROW()))&gt;0,1,0)</f>
        <v/>
      </c>
      <c r="W1828" s="17" t="str">
        <f>IF(INDEX(Listado!L:L,ROW())="","",INDEX(Listado!L:L,ROW()))</f>
        <v/>
      </c>
      <c r="X1828" s="17">
        <f>IF(N1828="","",IF(INDEX(Listado!$M:$M,N1828)="No","No","Sí"))</f>
        <v/>
      </c>
    </row>
    <row r="1829" spans="2:24" ht="14.25">
      <c r="N1829" s="17" t="str">
        <f>IF(V1829=0,"",IFERROR(LOOKUP(2,1/(INDEX(Listado!A:A,2):INDEX(Listado!A:A,ROW())&lt;&gt;""),ROW(INDEX(Listado!A:A,2):INDEX(Listado!A:A,ROW()))),""))</f>
        <v/>
      </c>
      <c r="O1829" s="17" t="str">
        <f>IFERROR(IF(N1829="","",IF(INDEX(Listado!M:M,N1829)="No",IF(INDEX(Listado!N:N,N1829)=0,"",INDEX(Listado!N:N,N1829)),IF(INDEX(Listado!I:I,N1829)=0,"",INDEX(Listado!I:I,N1829)))),"")</f>
        <v/>
      </c>
      <c r="P1829" s="17">
        <f t="shared" ca="1" si="85"/>
        <v/>
      </c>
      <c r="Q1829" s="17">
        <f>IFERROR(IF(AND(N1829&lt;&gt;"",ISNUMBER(O1829),O1829&gt;0,O1829&gt;=TODAY()-90),1,0),0)</f>
        <v/>
      </c>
      <c r="R1829" s="17" t="str">
        <f t="shared" si="87"/>
        <v/>
      </c>
      <c r="S1829" s="17" t="str">
        <f>IF(INDEX(Listado!A:A,ROW())="","",INDEX(Listado!A:A,ROW()))</f>
        <v/>
      </c>
      <c r="T1829" s="17" t="str">
        <f ca="1">IF(INDEX(Listado!G:G,ROW())="","",INDEX(Listado!G:G,ROW()))</f>
        <v/>
      </c>
      <c r="U1829" s="17" t="str">
        <f>IF(INDEX(Listado!F:F,ROW())="","",INDEX(Listado!F:F,ROW()))</f>
        <v/>
      </c>
      <c r="V1829" s="17">
        <f>IF(COUNTA(INDEX(Listado!B:B,ROW()):INDEX(Listado!F:F,ROW()))&gt;0,1,0)</f>
        <v/>
      </c>
      <c r="W1829" s="17" t="str">
        <f>IF(INDEX(Listado!L:L,ROW())="","",INDEX(Listado!L:L,ROW()))</f>
        <v/>
      </c>
      <c r="X1829" s="17">
        <f>IF(N1829="","",IF(INDEX(Listado!$M:$M,N1829)="No","No","Sí"))</f>
        <v/>
      </c>
    </row>
    <row r="1830" spans="2:24" ht="14.25">
      <c r="N1830" s="17" t="str">
        <f>IF(V1830=0,"",IFERROR(LOOKUP(2,1/(INDEX(Listado!A:A,2):INDEX(Listado!A:A,ROW())&lt;&gt;""),ROW(INDEX(Listado!A:A,2):INDEX(Listado!A:A,ROW()))),""))</f>
        <v/>
      </c>
      <c r="O1830" s="17" t="str">
        <f>IFERROR(IF(N1830="","",IF(INDEX(Listado!M:M,N1830)="No",IF(INDEX(Listado!N:N,N1830)=0,"",INDEX(Listado!N:N,N1830)),IF(INDEX(Listado!I:I,N1830)=0,"",INDEX(Listado!I:I,N1830)))),"")</f>
        <v/>
      </c>
      <c r="P1830" s="17">
        <f t="shared" ca="1" si="85"/>
        <v/>
      </c>
      <c r="Q1830" s="17">
        <f>IFERROR(IF(AND(N1830&lt;&gt;"",ISNUMBER(O1830),O1830&gt;0,O1830&gt;=TODAY()-90),1,0),0)</f>
        <v/>
      </c>
      <c r="R1830" s="17" t="str">
        <f t="shared" si="87"/>
        <v/>
      </c>
      <c r="S1830" s="17" t="str">
        <f>IF(INDEX(Listado!A:A,ROW())="","",INDEX(Listado!A:A,ROW()))</f>
        <v/>
      </c>
      <c r="T1830" s="17" t="str">
        <f ca="1">IF(INDEX(Listado!G:G,ROW())="","",INDEX(Listado!G:G,ROW()))</f>
        <v/>
      </c>
      <c r="U1830" s="17" t="str">
        <f>IF(INDEX(Listado!F:F,ROW())="","",INDEX(Listado!F:F,ROW()))</f>
        <v/>
      </c>
      <c r="V1830" s="17">
        <f>IF(COUNTA(INDEX(Listado!B:B,ROW()):INDEX(Listado!F:F,ROW()))&gt;0,1,0)</f>
        <v/>
      </c>
      <c r="W1830" s="17" t="str">
        <f>IF(INDEX(Listado!L:L,ROW())="","",INDEX(Listado!L:L,ROW()))</f>
        <v/>
      </c>
      <c r="X1830" s="17">
        <f>IF(N1830="","",IF(INDEX(Listado!$M:$M,N1830)="No","No","Sí"))</f>
        <v/>
      </c>
    </row>
    <row r="1831" spans="2:24" ht="14.25">
      <c r="N1831" s="17" t="str">
        <f>IF(V1831=0,"",IFERROR(LOOKUP(2,1/(INDEX(Listado!A:A,2):INDEX(Listado!A:A,ROW())&lt;&gt;""),ROW(INDEX(Listado!A:A,2):INDEX(Listado!A:A,ROW()))),""))</f>
        <v/>
      </c>
      <c r="O1831" s="17" t="str">
        <f>IFERROR(IF(N1831="","",IF(INDEX(Listado!M:M,N1831)="No",IF(INDEX(Listado!N:N,N1831)=0,"",INDEX(Listado!N:N,N1831)),IF(INDEX(Listado!I:I,N1831)=0,"",INDEX(Listado!I:I,N1831)))),"")</f>
        <v/>
      </c>
      <c r="P1831" s="17">
        <f t="shared" ca="1" si="85"/>
        <v/>
      </c>
      <c r="Q1831" s="17">
        <f>IFERROR(IF(AND(N1831&lt;&gt;"",ISNUMBER(O1831),O1831&gt;0,O1831&gt;=TODAY()-90),1,0),0)</f>
        <v/>
      </c>
      <c r="R1831" s="17" t="str">
        <f t="shared" si="87"/>
        <v/>
      </c>
      <c r="S1831" s="17" t="str">
        <f>IF(INDEX(Listado!A:A,ROW())="","",INDEX(Listado!A:A,ROW()))</f>
        <v/>
      </c>
      <c r="T1831" s="17" t="str">
        <f ca="1">IF(INDEX(Listado!G:G,ROW())="","",INDEX(Listado!G:G,ROW()))</f>
        <v/>
      </c>
      <c r="U1831" s="17" t="str">
        <f>IF(INDEX(Listado!F:F,ROW())="","",INDEX(Listado!F:F,ROW()))</f>
        <v/>
      </c>
      <c r="V1831" s="17">
        <f>IF(COUNTA(INDEX(Listado!B:B,ROW()):INDEX(Listado!F:F,ROW()))&gt;0,1,0)</f>
        <v/>
      </c>
      <c r="W1831" s="17" t="str">
        <f>IF(INDEX(Listado!L:L,ROW())="","",INDEX(Listado!L:L,ROW()))</f>
        <v/>
      </c>
      <c r="X1831" s="17">
        <f>IF(N1831="","",IF(INDEX(Listado!$M:$M,N1831)="No","No","Sí"))</f>
        <v/>
      </c>
    </row>
    <row r="1832" spans="2:24" ht="14.25">
      <c r="N1832" s="17" t="str">
        <f>IF(V1832=0,"",IFERROR(LOOKUP(2,1/(INDEX(Listado!A:A,2):INDEX(Listado!A:A,ROW())&lt;&gt;""),ROW(INDEX(Listado!A:A,2):INDEX(Listado!A:A,ROW()))),""))</f>
        <v/>
      </c>
      <c r="O1832" s="17" t="str">
        <f>IFERROR(IF(N1832="","",IF(INDEX(Listado!M:M,N1832)="No",IF(INDEX(Listado!N:N,N1832)=0,"",INDEX(Listado!N:N,N1832)),IF(INDEX(Listado!I:I,N1832)=0,"",INDEX(Listado!I:I,N1832)))),"")</f>
        <v/>
      </c>
      <c r="P1832" s="17">
        <f t="shared" ca="1" si="85"/>
        <v/>
      </c>
      <c r="Q1832" s="17">
        <f>IFERROR(IF(AND(N1832&lt;&gt;"",ISNUMBER(O1832),O1832&gt;0,O1832&gt;=TODAY()-90),1,0),0)</f>
        <v/>
      </c>
      <c r="R1832" s="17" t="str">
        <f t="shared" si="87"/>
        <v/>
      </c>
      <c r="S1832" s="17" t="str">
        <f>IF(INDEX(Listado!A:A,ROW())="","",INDEX(Listado!A:A,ROW()))</f>
        <v/>
      </c>
      <c r="T1832" s="17" t="str">
        <f ca="1">IF(INDEX(Listado!G:G,ROW())="","",INDEX(Listado!G:G,ROW()))</f>
        <v/>
      </c>
      <c r="U1832" s="17" t="str">
        <f>IF(INDEX(Listado!F:F,ROW())="","",INDEX(Listado!F:F,ROW()))</f>
        <v/>
      </c>
      <c r="V1832" s="17">
        <f>IF(COUNTA(INDEX(Listado!B:B,ROW()):INDEX(Listado!F:F,ROW()))&gt;0,1,0)</f>
        <v/>
      </c>
      <c r="W1832" s="17" t="str">
        <f>IF(INDEX(Listado!L:L,ROW())="","",INDEX(Listado!L:L,ROW()))</f>
        <v/>
      </c>
      <c r="X1832" s="17">
        <f>IF(N1832="","",IF(INDEX(Listado!$M:$M,N1832)="No","No","Sí"))</f>
        <v/>
      </c>
    </row>
    <row r="1833" spans="2:24" ht="14.25">
      <c r="N1833" s="17" t="str">
        <f>IF(V1833=0,"",IFERROR(LOOKUP(2,1/(INDEX(Listado!A:A,2):INDEX(Listado!A:A,ROW())&lt;&gt;""),ROW(INDEX(Listado!A:A,2):INDEX(Listado!A:A,ROW()))),""))</f>
        <v/>
      </c>
      <c r="O1833" s="17" t="str">
        <f>IFERROR(IF(N1833="","",IF(INDEX(Listado!M:M,N1833)="No",IF(INDEX(Listado!N:N,N1833)=0,"",INDEX(Listado!N:N,N1833)),IF(INDEX(Listado!I:I,N1833)=0,"",INDEX(Listado!I:I,N1833)))),"")</f>
        <v/>
      </c>
      <c r="P1833" s="17">
        <f t="shared" ca="1" si="85"/>
        <v/>
      </c>
      <c r="Q1833" s="17">
        <f>IFERROR(IF(AND(N1833&lt;&gt;"",ISNUMBER(O1833),O1833&gt;0,O1833&gt;=TODAY()-90),1,0),0)</f>
        <v/>
      </c>
      <c r="R1833" s="17" t="str">
        <f t="shared" si="87"/>
        <v/>
      </c>
      <c r="S1833" s="17" t="str">
        <f>IF(INDEX(Listado!A:A,ROW())="","",INDEX(Listado!A:A,ROW()))</f>
        <v/>
      </c>
      <c r="T1833" s="17" t="str">
        <f ca="1">IF(INDEX(Listado!G:G,ROW())="","",INDEX(Listado!G:G,ROW()))</f>
        <v/>
      </c>
      <c r="U1833" s="17" t="str">
        <f>IF(INDEX(Listado!F:F,ROW())="","",INDEX(Listado!F:F,ROW()))</f>
        <v/>
      </c>
      <c r="V1833" s="17">
        <f>IF(COUNTA(INDEX(Listado!B:B,ROW()):INDEX(Listado!F:F,ROW()))&gt;0,1,0)</f>
        <v/>
      </c>
      <c r="W1833" s="17" t="str">
        <f>IF(INDEX(Listado!L:L,ROW())="","",INDEX(Listado!L:L,ROW()))</f>
        <v/>
      </c>
      <c r="X1833" s="17">
        <f>IF(N1833="","",IF(INDEX(Listado!$M:$M,N1833)="No","No","Sí"))</f>
        <v/>
      </c>
    </row>
    <row r="1834" spans="2:24" ht="14.25">
      <c r="N1834" s="17" t="str">
        <f>IF(V1834=0,"",IFERROR(LOOKUP(2,1/(INDEX(Listado!A:A,2):INDEX(Listado!A:A,ROW())&lt;&gt;""),ROW(INDEX(Listado!A:A,2):INDEX(Listado!A:A,ROW()))),""))</f>
        <v/>
      </c>
      <c r="O1834" s="17" t="str">
        <f>IFERROR(IF(N1834="","",IF(INDEX(Listado!M:M,N1834)="No",IF(INDEX(Listado!N:N,N1834)=0,"",INDEX(Listado!N:N,N1834)),IF(INDEX(Listado!I:I,N1834)=0,"",INDEX(Listado!I:I,N1834)))),"")</f>
        <v/>
      </c>
      <c r="P1834" s="17">
        <f t="shared" ca="1" si="85"/>
        <v/>
      </c>
      <c r="Q1834" s="17">
        <f>IFERROR(IF(AND(N1834&lt;&gt;"",ISNUMBER(O1834),O1834&gt;0,O1834&gt;=TODAY()-90),1,0),0)</f>
        <v/>
      </c>
      <c r="R1834" s="17" t="str">
        <f t="shared" si="87"/>
        <v/>
      </c>
      <c r="S1834" s="17" t="str">
        <f>IF(INDEX(Listado!A:A,ROW())="","",INDEX(Listado!A:A,ROW()))</f>
        <v/>
      </c>
      <c r="T1834" s="17" t="str">
        <f ca="1">IF(INDEX(Listado!G:G,ROW())="","",INDEX(Listado!G:G,ROW()))</f>
        <v/>
      </c>
      <c r="U1834" s="17" t="str">
        <f>IF(INDEX(Listado!F:F,ROW())="","",INDEX(Listado!F:F,ROW()))</f>
        <v/>
      </c>
      <c r="V1834" s="17">
        <f>IF(COUNTA(INDEX(Listado!B:B,ROW()):INDEX(Listado!F:F,ROW()))&gt;0,1,0)</f>
        <v/>
      </c>
      <c r="W1834" s="17" t="str">
        <f>IF(INDEX(Listado!L:L,ROW())="","",INDEX(Listado!L:L,ROW()))</f>
        <v/>
      </c>
      <c r="X1834" s="17">
        <f>IF(N1834="","",IF(INDEX(Listado!$M:$M,N1834)="No","No","Sí"))</f>
        <v/>
      </c>
    </row>
    <row r="1835" spans="2:24" ht="14.25">
      <c r="N1835" s="17" t="str">
        <f>IF(V1835=0,"",IFERROR(LOOKUP(2,1/(INDEX(Listado!A:A,2):INDEX(Listado!A:A,ROW())&lt;&gt;""),ROW(INDEX(Listado!A:A,2):INDEX(Listado!A:A,ROW()))),""))</f>
        <v/>
      </c>
      <c r="O1835" s="17" t="str">
        <f>IFERROR(IF(N1835="","",IF(INDEX(Listado!M:M,N1835)="No",IF(INDEX(Listado!N:N,N1835)=0,"",INDEX(Listado!N:N,N1835)),IF(INDEX(Listado!I:I,N1835)=0,"",INDEX(Listado!I:I,N1835)))),"")</f>
        <v/>
      </c>
      <c r="P1835" s="17">
        <f t="shared" ca="1" si="85"/>
        <v/>
      </c>
      <c r="Q1835" s="17">
        <f>IFERROR(IF(AND(N1835&lt;&gt;"",ISNUMBER(O1835),O1835&gt;0,O1835&gt;=TODAY()-90),1,0),0)</f>
        <v/>
      </c>
      <c r="R1835" s="17" t="str">
        <f t="shared" si="87"/>
        <v/>
      </c>
      <c r="S1835" s="17" t="str">
        <f>IF(INDEX(Listado!A:A,ROW())="","",INDEX(Listado!A:A,ROW()))</f>
        <v/>
      </c>
      <c r="T1835" s="17" t="str">
        <f ca="1">IF(INDEX(Listado!G:G,ROW())="","",INDEX(Listado!G:G,ROW()))</f>
        <v/>
      </c>
      <c r="U1835" s="17" t="str">
        <f>IF(INDEX(Listado!F:F,ROW())="","",INDEX(Listado!F:F,ROW()))</f>
        <v/>
      </c>
      <c r="V1835" s="17">
        <f>IF(COUNTA(INDEX(Listado!B:B,ROW()):INDEX(Listado!F:F,ROW()))&gt;0,1,0)</f>
        <v/>
      </c>
      <c r="W1835" s="17" t="str">
        <f>IF(INDEX(Listado!L:L,ROW())="","",INDEX(Listado!L:L,ROW()))</f>
        <v/>
      </c>
      <c r="X1835" s="17">
        <f>IF(N1835="","",IF(INDEX(Listado!$M:$M,N1835)="No","No","Sí"))</f>
        <v/>
      </c>
    </row>
    <row r="1836" spans="2:24" ht="14.25">
      <c r="N1836" s="17" t="str">
        <f>IF(V1836=0,"",IFERROR(LOOKUP(2,1/(INDEX(Listado!A:A,2):INDEX(Listado!A:A,ROW())&lt;&gt;""),ROW(INDEX(Listado!A:A,2):INDEX(Listado!A:A,ROW()))),""))</f>
        <v/>
      </c>
      <c r="O1836" s="17" t="str">
        <f>IFERROR(IF(N1836="","",IF(INDEX(Listado!M:M,N1836)="No",IF(INDEX(Listado!N:N,N1836)=0,"",INDEX(Listado!N:N,N1836)),IF(INDEX(Listado!I:I,N1836)=0,"",INDEX(Listado!I:I,N1836)))),"")</f>
        <v/>
      </c>
      <c r="P1836" s="17">
        <f t="shared" ca="1" si="85"/>
        <v/>
      </c>
      <c r="Q1836" s="17">
        <f>IFERROR(IF(AND(N1836&lt;&gt;"",ISNUMBER(O1836),O1836&gt;0,O1836&gt;=TODAY()-90),1,0),0)</f>
        <v/>
      </c>
      <c r="R1836" s="17" t="str">
        <f t="shared" si="87"/>
        <v/>
      </c>
      <c r="S1836" s="17" t="str">
        <f>IF(INDEX(Listado!A:A,ROW())="","",INDEX(Listado!A:A,ROW()))</f>
        <v/>
      </c>
      <c r="T1836" s="17" t="str">
        <f ca="1">IF(INDEX(Listado!G:G,ROW())="","",INDEX(Listado!G:G,ROW()))</f>
        <v/>
      </c>
      <c r="U1836" s="17" t="str">
        <f>IF(INDEX(Listado!F:F,ROW())="","",INDEX(Listado!F:F,ROW()))</f>
        <v/>
      </c>
      <c r="V1836" s="17">
        <f>IF(COUNTA(INDEX(Listado!B:B,ROW()):INDEX(Listado!F:F,ROW()))&gt;0,1,0)</f>
        <v/>
      </c>
      <c r="W1836" s="17" t="str">
        <f>IF(INDEX(Listado!L:L,ROW())="","",INDEX(Listado!L:L,ROW()))</f>
        <v/>
      </c>
      <c r="X1836" s="17">
        <f>IF(N1836="","",IF(INDEX(Listado!$M:$M,N1836)="No","No","Sí"))</f>
        <v/>
      </c>
    </row>
    <row r="1837" spans="2:24" ht="14.25">
      <c r="N1837" s="17" t="str">
        <f>IF(V1837=0,"",IFERROR(LOOKUP(2,1/(INDEX(Listado!A:A,2):INDEX(Listado!A:A,ROW())&lt;&gt;""),ROW(INDEX(Listado!A:A,2):INDEX(Listado!A:A,ROW()))),""))</f>
        <v/>
      </c>
      <c r="O1837" s="17" t="str">
        <f>IFERROR(IF(N1837="","",IF(INDEX(Listado!M:M,N1837)="No",IF(INDEX(Listado!N:N,N1837)=0,"",INDEX(Listado!N:N,N1837)),IF(INDEX(Listado!I:I,N1837)=0,"",INDEX(Listado!I:I,N1837)))),"")</f>
        <v/>
      </c>
      <c r="P1837" s="17">
        <f t="shared" ca="1" si="85"/>
        <v/>
      </c>
      <c r="Q1837" s="17">
        <f>IFERROR(IF(AND(N1837&lt;&gt;"",ISNUMBER(O1837),O1837&gt;0,O1837&gt;=TODAY()-90),1,0),0)</f>
        <v/>
      </c>
      <c r="R1837" s="17" t="str">
        <f t="shared" si="87"/>
        <v/>
      </c>
      <c r="S1837" s="17" t="str">
        <f>IF(INDEX(Listado!A:A,ROW())="","",INDEX(Listado!A:A,ROW()))</f>
        <v/>
      </c>
      <c r="T1837" s="17" t="str">
        <f ca="1">IF(INDEX(Listado!G:G,ROW())="","",INDEX(Listado!G:G,ROW()))</f>
        <v/>
      </c>
      <c r="U1837" s="17" t="str">
        <f>IF(INDEX(Listado!F:F,ROW())="","",INDEX(Listado!F:F,ROW()))</f>
        <v/>
      </c>
      <c r="V1837" s="17">
        <f>IF(COUNTA(INDEX(Listado!B:B,ROW()):INDEX(Listado!F:F,ROW()))&gt;0,1,0)</f>
        <v/>
      </c>
      <c r="W1837" s="17" t="str">
        <f>IF(INDEX(Listado!L:L,ROW())="","",INDEX(Listado!L:L,ROW()))</f>
        <v/>
      </c>
      <c r="X1837" s="17">
        <f>IF(N1837="","",IF(INDEX(Listado!$M:$M,N1837)="No","No","Sí"))</f>
        <v/>
      </c>
    </row>
    <row r="1838" spans="2:24" ht="14.25">
      <c r="N1838" s="17" t="str">
        <f>IF(V1838=0,"",IFERROR(LOOKUP(2,1/(INDEX(Listado!A:A,2):INDEX(Listado!A:A,ROW())&lt;&gt;""),ROW(INDEX(Listado!A:A,2):INDEX(Listado!A:A,ROW()))),""))</f>
        <v/>
      </c>
      <c r="O1838" s="17" t="str">
        <f>IFERROR(IF(N1838="","",IF(INDEX(Listado!M:M,N1838)="No",IF(INDEX(Listado!N:N,N1838)=0,"",INDEX(Listado!N:N,N1838)),IF(INDEX(Listado!I:I,N1838)=0,"",INDEX(Listado!I:I,N1838)))),"")</f>
        <v/>
      </c>
      <c r="P1838" s="17">
        <f t="shared" ca="1" si="85"/>
        <v/>
      </c>
      <c r="Q1838" s="17">
        <f>IFERROR(IF(AND(N1838&lt;&gt;"",ISNUMBER(O1838),O1838&gt;0,O1838&gt;=TODAY()-90),1,0),0)</f>
        <v/>
      </c>
      <c r="R1838" s="17" t="str">
        <f t="shared" si="87"/>
        <v/>
      </c>
      <c r="S1838" s="17" t="str">
        <f>IF(INDEX(Listado!A:A,ROW())="","",INDEX(Listado!A:A,ROW()))</f>
        <v/>
      </c>
      <c r="T1838" s="17" t="str">
        <f ca="1">IF(INDEX(Listado!G:G,ROW())="","",INDEX(Listado!G:G,ROW()))</f>
        <v/>
      </c>
      <c r="U1838" s="17" t="str">
        <f>IF(INDEX(Listado!F:F,ROW())="","",INDEX(Listado!F:F,ROW()))</f>
        <v/>
      </c>
      <c r="V1838" s="17">
        <f>IF(COUNTA(INDEX(Listado!B:B,ROW()):INDEX(Listado!F:F,ROW()))&gt;0,1,0)</f>
        <v/>
      </c>
      <c r="W1838" s="17" t="str">
        <f>IF(INDEX(Listado!L:L,ROW())="","",INDEX(Listado!L:L,ROW()))</f>
        <v/>
      </c>
      <c r="X1838" s="17">
        <f>IF(N1838="","",IF(INDEX(Listado!$M:$M,N1838)="No","No","Sí"))</f>
        <v/>
      </c>
    </row>
    <row r="1839" spans="2:24" ht="14.25">
      <c r="N1839" s="17" t="str">
        <f>IF(V1839=0,"",IFERROR(LOOKUP(2,1/(INDEX(Listado!A:A,2):INDEX(Listado!A:A,ROW())&lt;&gt;""),ROW(INDEX(Listado!A:A,2):INDEX(Listado!A:A,ROW()))),""))</f>
        <v/>
      </c>
      <c r="O1839" s="17" t="str">
        <f>IFERROR(IF(N1839="","",IF(INDEX(Listado!M:M,N1839)="No",IF(INDEX(Listado!N:N,N1839)=0,"",INDEX(Listado!N:N,N1839)),IF(INDEX(Listado!I:I,N1839)=0,"",INDEX(Listado!I:I,N1839)))),"")</f>
        <v/>
      </c>
      <c r="P1839" s="17">
        <f t="shared" ca="1" si="85"/>
        <v/>
      </c>
      <c r="Q1839" s="17">
        <f>IFERROR(IF(AND(N1839&lt;&gt;"",ISNUMBER(O1839),O1839&gt;0,O1839&gt;=TODAY()-90),1,0),0)</f>
        <v/>
      </c>
      <c r="R1839" s="17" t="str">
        <f t="shared" si="87"/>
        <v/>
      </c>
      <c r="S1839" s="17" t="str">
        <f>IF(INDEX(Listado!A:A,ROW())="","",INDEX(Listado!A:A,ROW()))</f>
        <v/>
      </c>
      <c r="T1839" s="17" t="str">
        <f ca="1">IF(INDEX(Listado!G:G,ROW())="","",INDEX(Listado!G:G,ROW()))</f>
        <v/>
      </c>
      <c r="U1839" s="17" t="str">
        <f>IF(INDEX(Listado!F:F,ROW())="","",INDEX(Listado!F:F,ROW()))</f>
        <v/>
      </c>
      <c r="V1839" s="17">
        <f>IF(COUNTA(INDEX(Listado!B:B,ROW()):INDEX(Listado!F:F,ROW()))&gt;0,1,0)</f>
        <v/>
      </c>
      <c r="W1839" s="17" t="str">
        <f>IF(INDEX(Listado!L:L,ROW())="","",INDEX(Listado!L:L,ROW()))</f>
        <v/>
      </c>
      <c r="X1839" s="17">
        <f>IF(N1839="","",IF(INDEX(Listado!$M:$M,N1839)="No","No","Sí"))</f>
        <v/>
      </c>
    </row>
    <row r="1840" spans="2:24" ht="14.25">
      <c r="N1840" s="17" t="str">
        <f>IF(V1840=0,"",IFERROR(LOOKUP(2,1/(INDEX(Listado!A:A,2):INDEX(Listado!A:A,ROW())&lt;&gt;""),ROW(INDEX(Listado!A:A,2):INDEX(Listado!A:A,ROW()))),""))</f>
        <v/>
      </c>
      <c r="O1840" s="17" t="str">
        <f>IFERROR(IF(N1840="","",IF(INDEX(Listado!M:M,N1840)="No",IF(INDEX(Listado!N:N,N1840)=0,"",INDEX(Listado!N:N,N1840)),IF(INDEX(Listado!I:I,N1840)=0,"",INDEX(Listado!I:I,N1840)))),"")</f>
        <v/>
      </c>
      <c r="P1840" s="17">
        <f t="shared" ca="1" si="85"/>
        <v/>
      </c>
      <c r="Q1840" s="17">
        <f>IFERROR(IF(AND(N1840&lt;&gt;"",ISNUMBER(O1840),O1840&gt;0,O1840&gt;=TODAY()-90),1,0),0)</f>
        <v/>
      </c>
      <c r="R1840" s="17" t="str">
        <f t="shared" si="87"/>
        <v/>
      </c>
      <c r="S1840" s="17" t="str">
        <f>IF(INDEX(Listado!A:A,ROW())="","",INDEX(Listado!A:A,ROW()))</f>
        <v/>
      </c>
      <c r="T1840" s="17" t="str">
        <f ca="1">IF(INDEX(Listado!G:G,ROW())="","",INDEX(Listado!G:G,ROW()))</f>
        <v/>
      </c>
      <c r="U1840" s="17" t="str">
        <f>IF(INDEX(Listado!F:F,ROW())="","",INDEX(Listado!F:F,ROW()))</f>
        <v/>
      </c>
      <c r="V1840" s="17">
        <f>IF(COUNTA(INDEX(Listado!B:B,ROW()):INDEX(Listado!F:F,ROW()))&gt;0,1,0)</f>
        <v/>
      </c>
      <c r="W1840" s="17" t="str">
        <f>IF(INDEX(Listado!L:L,ROW())="","",INDEX(Listado!L:L,ROW()))</f>
        <v/>
      </c>
      <c r="X1840" s="17">
        <f>IF(N1840="","",IF(INDEX(Listado!$M:$M,N1840)="No","No","Sí"))</f>
        <v/>
      </c>
    </row>
    <row r="1841" spans="2:24" ht="14.25">
      <c r="N1841" s="17" t="str">
        <f>IF(V1841=0,"",IFERROR(LOOKUP(2,1/(INDEX(Listado!A:A,2):INDEX(Listado!A:A,ROW())&lt;&gt;""),ROW(INDEX(Listado!A:A,2):INDEX(Listado!A:A,ROW()))),""))</f>
        <v/>
      </c>
      <c r="O1841" s="17" t="str">
        <f>IFERROR(IF(N1841="","",IF(INDEX(Listado!M:M,N1841)="No",IF(INDEX(Listado!N:N,N1841)=0,"",INDEX(Listado!N:N,N1841)),IF(INDEX(Listado!I:I,N1841)=0,"",INDEX(Listado!I:I,N1841)))),"")</f>
        <v/>
      </c>
      <c r="P1841" s="17">
        <f t="shared" ca="1" si="85"/>
        <v/>
      </c>
      <c r="Q1841" s="17">
        <f>IFERROR(IF(AND(N1841&lt;&gt;"",ISNUMBER(O1841),O1841&gt;0,O1841&gt;=TODAY()-90),1,0),0)</f>
        <v/>
      </c>
      <c r="R1841" s="17" t="str">
        <f t="shared" si="87"/>
        <v/>
      </c>
      <c r="S1841" s="17" t="str">
        <f>IF(INDEX(Listado!A:A,ROW())="","",INDEX(Listado!A:A,ROW()))</f>
        <v/>
      </c>
      <c r="T1841" s="17" t="str">
        <f ca="1">IF(INDEX(Listado!G:G,ROW())="","",INDEX(Listado!G:G,ROW()))</f>
        <v/>
      </c>
      <c r="U1841" s="17" t="str">
        <f>IF(INDEX(Listado!F:F,ROW())="","",INDEX(Listado!F:F,ROW()))</f>
        <v/>
      </c>
      <c r="V1841" s="17">
        <f>IF(COUNTA(INDEX(Listado!B:B,ROW()):INDEX(Listado!F:F,ROW()))&gt;0,1,0)</f>
        <v/>
      </c>
      <c r="W1841" s="17" t="str">
        <f>IF(INDEX(Listado!L:L,ROW())="","",INDEX(Listado!L:L,ROW()))</f>
        <v/>
      </c>
      <c r="X1841" s="17">
        <f>IF(N1841="","",IF(INDEX(Listado!$M:$M,N1841)="No","No","Sí"))</f>
        <v/>
      </c>
    </row>
    <row r="1842" spans="2:24" ht="14.25">
      <c r="N1842" s="17" t="str">
        <f>IF(V1842=0,"",IFERROR(LOOKUP(2,1/(INDEX(Listado!A:A,2):INDEX(Listado!A:A,ROW())&lt;&gt;""),ROW(INDEX(Listado!A:A,2):INDEX(Listado!A:A,ROW()))),""))</f>
        <v/>
      </c>
      <c r="O1842" s="17" t="str">
        <f>IFERROR(IF(N1842="","",IF(INDEX(Listado!M:M,N1842)="No",IF(INDEX(Listado!N:N,N1842)=0,"",INDEX(Listado!N:N,N1842)),IF(INDEX(Listado!I:I,N1842)=0,"",INDEX(Listado!I:I,N1842)))),"")</f>
        <v/>
      </c>
      <c r="P1842" s="17">
        <f t="shared" ca="1" si="85"/>
        <v/>
      </c>
      <c r="Q1842" s="17">
        <f>IFERROR(IF(AND(N1842&lt;&gt;"",ISNUMBER(O1842),O1842&gt;0,O1842&gt;=TODAY()-90),1,0),0)</f>
        <v/>
      </c>
      <c r="R1842" s="17" t="str">
        <f t="shared" si="87"/>
        <v/>
      </c>
      <c r="S1842" s="17" t="str">
        <f>IF(INDEX(Listado!A:A,ROW())="","",INDEX(Listado!A:A,ROW()))</f>
        <v/>
      </c>
      <c r="T1842" s="17" t="str">
        <f ca="1">IF(INDEX(Listado!G:G,ROW())="","",INDEX(Listado!G:G,ROW()))</f>
        <v/>
      </c>
      <c r="U1842" s="17" t="str">
        <f>IF(INDEX(Listado!F:F,ROW())="","",INDEX(Listado!F:F,ROW()))</f>
        <v/>
      </c>
      <c r="V1842" s="17">
        <f>IF(COUNTA(INDEX(Listado!B:B,ROW()):INDEX(Listado!F:F,ROW()))&gt;0,1,0)</f>
        <v/>
      </c>
      <c r="W1842" s="17" t="str">
        <f>IF(INDEX(Listado!L:L,ROW())="","",INDEX(Listado!L:L,ROW()))</f>
        <v/>
      </c>
      <c r="X1842" s="17">
        <f>IF(N1842="","",IF(INDEX(Listado!$M:$M,N1842)="No","No","Sí"))</f>
        <v/>
      </c>
    </row>
    <row r="1843" spans="2:24" ht="14.25">
      <c r="N1843" s="17" t="str">
        <f>IF(V1843=0,"",IFERROR(LOOKUP(2,1/(INDEX(Listado!A:A,2):INDEX(Listado!A:A,ROW())&lt;&gt;""),ROW(INDEX(Listado!A:A,2):INDEX(Listado!A:A,ROW()))),""))</f>
        <v/>
      </c>
      <c r="O1843" s="17" t="str">
        <f>IFERROR(IF(N1843="","",IF(INDEX(Listado!M:M,N1843)="No",IF(INDEX(Listado!N:N,N1843)=0,"",INDEX(Listado!N:N,N1843)),IF(INDEX(Listado!I:I,N1843)=0,"",INDEX(Listado!I:I,N1843)))),"")</f>
        <v/>
      </c>
      <c r="P1843" s="17">
        <f t="shared" ca="1" si="85"/>
        <v/>
      </c>
      <c r="Q1843" s="17">
        <f>IFERROR(IF(AND(N1843&lt;&gt;"",ISNUMBER(O1843),O1843&gt;0,O1843&gt;=TODAY()-90),1,0),0)</f>
        <v/>
      </c>
      <c r="R1843" s="17" t="str">
        <f t="shared" si="87"/>
        <v/>
      </c>
      <c r="S1843" s="17" t="str">
        <f>IF(INDEX(Listado!A:A,ROW())="","",INDEX(Listado!A:A,ROW()))</f>
        <v/>
      </c>
      <c r="T1843" s="17" t="str">
        <f ca="1">IF(INDEX(Listado!G:G,ROW())="","",INDEX(Listado!G:G,ROW()))</f>
        <v/>
      </c>
      <c r="U1843" s="17" t="str">
        <f>IF(INDEX(Listado!F:F,ROW())="","",INDEX(Listado!F:F,ROW()))</f>
        <v/>
      </c>
      <c r="V1843" s="17">
        <f>IF(COUNTA(INDEX(Listado!B:B,ROW()):INDEX(Listado!F:F,ROW()))&gt;0,1,0)</f>
        <v/>
      </c>
      <c r="W1843" s="17" t="str">
        <f>IF(INDEX(Listado!L:L,ROW())="","",INDEX(Listado!L:L,ROW()))</f>
        <v/>
      </c>
      <c r="X1843" s="17">
        <f>IF(N1843="","",IF(INDEX(Listado!$M:$M,N1843)="No","No","Sí"))</f>
        <v/>
      </c>
    </row>
    <row r="1844" spans="2:24" ht="14.25">
      <c r="N1844" s="17" t="str">
        <f>IF(V1844=0,"",IFERROR(LOOKUP(2,1/(INDEX(Listado!A:A,2):INDEX(Listado!A:A,ROW())&lt;&gt;""),ROW(INDEX(Listado!A:A,2):INDEX(Listado!A:A,ROW()))),""))</f>
        <v/>
      </c>
      <c r="O1844" s="17" t="str">
        <f>IFERROR(IF(N1844="","",IF(INDEX(Listado!M:M,N1844)="No",IF(INDEX(Listado!N:N,N1844)=0,"",INDEX(Listado!N:N,N1844)),IF(INDEX(Listado!I:I,N1844)=0,"",INDEX(Listado!I:I,N1844)))),"")</f>
        <v/>
      </c>
      <c r="P1844" s="17">
        <f t="shared" ca="1" si="85"/>
        <v/>
      </c>
      <c r="Q1844" s="17">
        <f>IFERROR(IF(AND(N1844&lt;&gt;"",ISNUMBER(O1844),O1844&gt;0,O1844&gt;=TODAY()-90),1,0),0)</f>
        <v/>
      </c>
      <c r="R1844" s="17" t="str">
        <f t="shared" si="87"/>
        <v/>
      </c>
      <c r="S1844" s="17" t="str">
        <f>IF(INDEX(Listado!A:A,ROW())="","",INDEX(Listado!A:A,ROW()))</f>
        <v/>
      </c>
      <c r="T1844" s="17" t="str">
        <f ca="1">IF(INDEX(Listado!G:G,ROW())="","",INDEX(Listado!G:G,ROW()))</f>
        <v/>
      </c>
      <c r="U1844" s="17" t="str">
        <f>IF(INDEX(Listado!F:F,ROW())="","",INDEX(Listado!F:F,ROW()))</f>
        <v/>
      </c>
      <c r="V1844" s="17">
        <f>IF(COUNTA(INDEX(Listado!B:B,ROW()):INDEX(Listado!F:F,ROW()))&gt;0,1,0)</f>
        <v/>
      </c>
      <c r="W1844" s="17" t="str">
        <f>IF(INDEX(Listado!L:L,ROW())="","",INDEX(Listado!L:L,ROW()))</f>
        <v/>
      </c>
      <c r="X1844" s="17">
        <f>IF(N1844="","",IF(INDEX(Listado!$M:$M,N1844)="No","No","Sí"))</f>
        <v/>
      </c>
    </row>
    <row r="1845" spans="2:24" ht="14.25">
      <c r="N1845" s="17" t="str">
        <f>IF(V1845=0,"",IFERROR(LOOKUP(2,1/(INDEX(Listado!A:A,2):INDEX(Listado!A:A,ROW())&lt;&gt;""),ROW(INDEX(Listado!A:A,2):INDEX(Listado!A:A,ROW()))),""))</f>
        <v/>
      </c>
      <c r="O1845" s="17" t="str">
        <f>IFERROR(IF(N1845="","",IF(INDEX(Listado!M:M,N1845)="No",IF(INDEX(Listado!N:N,N1845)=0,"",INDEX(Listado!N:N,N1845)),IF(INDEX(Listado!I:I,N1845)=0,"",INDEX(Listado!I:I,N1845)))),"")</f>
        <v/>
      </c>
      <c r="P1845" s="17">
        <f t="shared" ca="1" si="85"/>
        <v/>
      </c>
      <c r="Q1845" s="17">
        <f>IFERROR(IF(AND(N1845&lt;&gt;"",ISNUMBER(O1845),O1845&gt;0,O1845&gt;=TODAY()-90),1,0),0)</f>
        <v/>
      </c>
      <c r="R1845" s="17" t="str">
        <f t="shared" si="87"/>
        <v/>
      </c>
      <c r="S1845" s="17" t="str">
        <f>IF(INDEX(Listado!A:A,ROW())="","",INDEX(Listado!A:A,ROW()))</f>
        <v/>
      </c>
      <c r="T1845" s="17" t="str">
        <f ca="1">IF(INDEX(Listado!G:G,ROW())="","",INDEX(Listado!G:G,ROW()))</f>
        <v/>
      </c>
      <c r="U1845" s="17" t="str">
        <f>IF(INDEX(Listado!F:F,ROW())="","",INDEX(Listado!F:F,ROW()))</f>
        <v/>
      </c>
      <c r="V1845" s="17">
        <f>IF(COUNTA(INDEX(Listado!B:B,ROW()):INDEX(Listado!F:F,ROW()))&gt;0,1,0)</f>
        <v/>
      </c>
      <c r="W1845" s="17" t="str">
        <f>IF(INDEX(Listado!L:L,ROW())="","",INDEX(Listado!L:L,ROW()))</f>
        <v/>
      </c>
      <c r="X1845" s="17">
        <f>IF(N1845="","",IF(INDEX(Listado!$M:$M,N1845)="No","No","Sí"))</f>
        <v/>
      </c>
    </row>
    <row r="1846" spans="2:24" ht="14.25">
      <c r="N1846" s="17" t="str">
        <f>IF(V1846=0,"",IFERROR(LOOKUP(2,1/(INDEX(Listado!A:A,2):INDEX(Listado!A:A,ROW())&lt;&gt;""),ROW(INDEX(Listado!A:A,2):INDEX(Listado!A:A,ROW()))),""))</f>
        <v/>
      </c>
      <c r="O1846" s="17" t="str">
        <f>IFERROR(IF(N1846="","",IF(INDEX(Listado!M:M,N1846)="No",IF(INDEX(Listado!N:N,N1846)=0,"",INDEX(Listado!N:N,N1846)),IF(INDEX(Listado!I:I,N1846)=0,"",INDEX(Listado!I:I,N1846)))),"")</f>
        <v/>
      </c>
      <c r="P1846" s="17">
        <f t="shared" ca="1" si="85"/>
        <v/>
      </c>
      <c r="Q1846" s="17">
        <f>IFERROR(IF(AND(N1846&lt;&gt;"",ISNUMBER(O1846),O1846&gt;0,O1846&gt;=TODAY()-90),1,0),0)</f>
        <v/>
      </c>
      <c r="R1846" s="17" t="str">
        <f t="shared" si="87"/>
        <v/>
      </c>
      <c r="S1846" s="17" t="str">
        <f>IF(INDEX(Listado!A:A,ROW())="","",INDEX(Listado!A:A,ROW()))</f>
        <v/>
      </c>
      <c r="T1846" s="17" t="str">
        <f ca="1">IF(INDEX(Listado!G:G,ROW())="","",INDEX(Listado!G:G,ROW()))</f>
        <v/>
      </c>
      <c r="U1846" s="17" t="str">
        <f>IF(INDEX(Listado!F:F,ROW())="","",INDEX(Listado!F:F,ROW()))</f>
        <v/>
      </c>
      <c r="V1846" s="17">
        <f>IF(COUNTA(INDEX(Listado!B:B,ROW()):INDEX(Listado!F:F,ROW()))&gt;0,1,0)</f>
        <v/>
      </c>
      <c r="W1846" s="17" t="str">
        <f>IF(INDEX(Listado!L:L,ROW())="","",INDEX(Listado!L:L,ROW()))</f>
        <v/>
      </c>
      <c r="X1846" s="17">
        <f>IF(N1846="","",IF(INDEX(Listado!$M:$M,N1846)="No","No","Sí"))</f>
        <v/>
      </c>
    </row>
    <row r="1847" spans="2:24" ht="14.25">
      <c r="N1847" s="17" t="str">
        <f>IF(V1847=0,"",IFERROR(LOOKUP(2,1/(INDEX(Listado!A:A,2):INDEX(Listado!A:A,ROW())&lt;&gt;""),ROW(INDEX(Listado!A:A,2):INDEX(Listado!A:A,ROW()))),""))</f>
        <v/>
      </c>
      <c r="O1847" s="17" t="str">
        <f>IFERROR(IF(N1847="","",IF(INDEX(Listado!M:M,N1847)="No",IF(INDEX(Listado!N:N,N1847)=0,"",INDEX(Listado!N:N,N1847)),IF(INDEX(Listado!I:I,N1847)=0,"",INDEX(Listado!I:I,N1847)))),"")</f>
        <v/>
      </c>
      <c r="P1847" s="17">
        <f t="shared" ca="1" si="85"/>
        <v/>
      </c>
      <c r="Q1847" s="17">
        <f>IFERROR(IF(AND(N1847&lt;&gt;"",ISNUMBER(O1847),O1847&gt;0,O1847&gt;=TODAY()-90),1,0),0)</f>
        <v/>
      </c>
      <c r="R1847" s="17" t="str">
        <f t="shared" si="87"/>
        <v/>
      </c>
      <c r="S1847" s="17" t="str">
        <f>IF(INDEX(Listado!A:A,ROW())="","",INDEX(Listado!A:A,ROW()))</f>
        <v/>
      </c>
      <c r="T1847" s="17" t="str">
        <f ca="1">IF(INDEX(Listado!G:G,ROW())="","",INDEX(Listado!G:G,ROW()))</f>
        <v/>
      </c>
      <c r="U1847" s="17" t="str">
        <f>IF(INDEX(Listado!F:F,ROW())="","",INDEX(Listado!F:F,ROW()))</f>
        <v/>
      </c>
      <c r="V1847" s="17">
        <f>IF(COUNTA(INDEX(Listado!B:B,ROW()):INDEX(Listado!F:F,ROW()))&gt;0,1,0)</f>
        <v/>
      </c>
      <c r="W1847" s="17" t="str">
        <f>IF(INDEX(Listado!L:L,ROW())="","",INDEX(Listado!L:L,ROW()))</f>
        <v/>
      </c>
      <c r="X1847" s="17">
        <f>IF(N1847="","",IF(INDEX(Listado!$M:$M,N1847)="No","No","Sí"))</f>
        <v/>
      </c>
    </row>
    <row r="1848" spans="2:24" ht="14.25">
      <c r="N1848" s="17" t="str">
        <f>IF(V1848=0,"",IFERROR(LOOKUP(2,1/(INDEX(Listado!A:A,2):INDEX(Listado!A:A,ROW())&lt;&gt;""),ROW(INDEX(Listado!A:A,2):INDEX(Listado!A:A,ROW()))),""))</f>
        <v/>
      </c>
      <c r="O1848" s="17" t="str">
        <f>IFERROR(IF(N1848="","",IF(INDEX(Listado!M:M,N1848)="No",IF(INDEX(Listado!N:N,N1848)=0,"",INDEX(Listado!N:N,N1848)),IF(INDEX(Listado!I:I,N1848)=0,"",INDEX(Listado!I:I,N1848)))),"")</f>
        <v/>
      </c>
      <c r="P1848" s="17">
        <f t="shared" ca="1" si="85"/>
        <v/>
      </c>
      <c r="Q1848" s="17">
        <f>IFERROR(IF(AND(N1848&lt;&gt;"",ISNUMBER(O1848),O1848&gt;0,O1848&gt;=TODAY()-90),1,0),0)</f>
        <v/>
      </c>
      <c r="R1848" s="17" t="str">
        <f t="shared" si="87"/>
        <v/>
      </c>
      <c r="S1848" s="17" t="str">
        <f>IF(INDEX(Listado!A:A,ROW())="","",INDEX(Listado!A:A,ROW()))</f>
        <v/>
      </c>
      <c r="T1848" s="17" t="str">
        <f ca="1">IF(INDEX(Listado!G:G,ROW())="","",INDEX(Listado!G:G,ROW()))</f>
        <v/>
      </c>
      <c r="U1848" s="17" t="str">
        <f>IF(INDEX(Listado!F:F,ROW())="","",INDEX(Listado!F:F,ROW()))</f>
        <v/>
      </c>
      <c r="V1848" s="17">
        <f>IF(COUNTA(INDEX(Listado!B:B,ROW()):INDEX(Listado!F:F,ROW()))&gt;0,1,0)</f>
        <v/>
      </c>
      <c r="W1848" s="17" t="str">
        <f>IF(INDEX(Listado!L:L,ROW())="","",INDEX(Listado!L:L,ROW()))</f>
        <v/>
      </c>
      <c r="X1848" s="17">
        <f>IF(N1848="","",IF(INDEX(Listado!$M:$M,N1848)="No","No","Sí"))</f>
        <v/>
      </c>
    </row>
    <row r="1849" spans="2:24" ht="14.25">
      <c r="N1849" s="17" t="str">
        <f>IF(V1849=0,"",IFERROR(LOOKUP(2,1/(INDEX(Listado!A:A,2):INDEX(Listado!A:A,ROW())&lt;&gt;""),ROW(INDEX(Listado!A:A,2):INDEX(Listado!A:A,ROW()))),""))</f>
        <v/>
      </c>
      <c r="O1849" s="17" t="str">
        <f>IFERROR(IF(N1849="","",IF(INDEX(Listado!M:M,N1849)="No",IF(INDEX(Listado!N:N,N1849)=0,"",INDEX(Listado!N:N,N1849)),IF(INDEX(Listado!I:I,N1849)=0,"",INDEX(Listado!I:I,N1849)))),"")</f>
        <v/>
      </c>
      <c r="P1849" s="17">
        <f t="shared" ca="1" si="85"/>
        <v/>
      </c>
      <c r="Q1849" s="17">
        <f>IFERROR(IF(AND(N1849&lt;&gt;"",ISNUMBER(O1849),O1849&gt;0,O1849&gt;=TODAY()-90),1,0),0)</f>
        <v/>
      </c>
      <c r="R1849" s="17" t="str">
        <f t="shared" si="87"/>
        <v/>
      </c>
      <c r="S1849" s="17" t="str">
        <f>IF(INDEX(Listado!A:A,ROW())="","",INDEX(Listado!A:A,ROW()))</f>
        <v/>
      </c>
      <c r="T1849" s="17" t="str">
        <f ca="1">IF(INDEX(Listado!G:G,ROW())="","",INDEX(Listado!G:G,ROW()))</f>
        <v/>
      </c>
      <c r="U1849" s="17" t="str">
        <f>IF(INDEX(Listado!F:F,ROW())="","",INDEX(Listado!F:F,ROW()))</f>
        <v/>
      </c>
      <c r="V1849" s="17">
        <f>IF(COUNTA(INDEX(Listado!B:B,ROW()):INDEX(Listado!F:F,ROW()))&gt;0,1,0)</f>
        <v/>
      </c>
      <c r="W1849" s="17" t="str">
        <f>IF(INDEX(Listado!L:L,ROW())="","",INDEX(Listado!L:L,ROW()))</f>
        <v/>
      </c>
      <c r="X1849" s="17">
        <f>IF(N1849="","",IF(INDEX(Listado!$M:$M,N1849)="No","No","Sí"))</f>
        <v/>
      </c>
    </row>
    <row r="1850" spans="2:24" ht="14.25">
      <c r="N1850" s="17" t="str">
        <f>IF(V1850=0,"",IFERROR(LOOKUP(2,1/(INDEX(Listado!A:A,2):INDEX(Listado!A:A,ROW())&lt;&gt;""),ROW(INDEX(Listado!A:A,2):INDEX(Listado!A:A,ROW()))),""))</f>
        <v/>
      </c>
      <c r="O1850" s="17" t="str">
        <f>IFERROR(IF(N1850="","",IF(INDEX(Listado!M:M,N1850)="No",IF(INDEX(Listado!N:N,N1850)=0,"",INDEX(Listado!N:N,N1850)),IF(INDEX(Listado!I:I,N1850)=0,"",INDEX(Listado!I:I,N1850)))),"")</f>
        <v/>
      </c>
      <c r="P1850" s="17">
        <f t="shared" ca="1" si="85"/>
        <v/>
      </c>
      <c r="Q1850" s="17">
        <f>IFERROR(IF(AND(N1850&lt;&gt;"",ISNUMBER(O1850),O1850&gt;0,O1850&gt;=TODAY()-90),1,0),0)</f>
        <v/>
      </c>
      <c r="R1850" s="17" t="str">
        <f t="shared" si="87"/>
        <v/>
      </c>
      <c r="S1850" s="17" t="str">
        <f>IF(INDEX(Listado!A:A,ROW())="","",INDEX(Listado!A:A,ROW()))</f>
        <v/>
      </c>
      <c r="T1850" s="17" t="str">
        <f ca="1">IF(INDEX(Listado!G:G,ROW())="","",INDEX(Listado!G:G,ROW()))</f>
        <v/>
      </c>
      <c r="U1850" s="17" t="str">
        <f>IF(INDEX(Listado!F:F,ROW())="","",INDEX(Listado!F:F,ROW()))</f>
        <v/>
      </c>
      <c r="V1850" s="17">
        <f>IF(COUNTA(INDEX(Listado!B:B,ROW()):INDEX(Listado!F:F,ROW()))&gt;0,1,0)</f>
        <v/>
      </c>
      <c r="W1850" s="17" t="str">
        <f>IF(INDEX(Listado!L:L,ROW())="","",INDEX(Listado!L:L,ROW()))</f>
        <v/>
      </c>
      <c r="X1850" s="17">
        <f>IF(N1850="","",IF(INDEX(Listado!$M:$M,N1850)="No","No","Sí"))</f>
        <v/>
      </c>
    </row>
    <row r="1851" spans="2:24" ht="14.25">
      <c r="N1851" s="17" t="str">
        <f>IF(V1851=0,"",IFERROR(LOOKUP(2,1/(INDEX(Listado!A:A,2):INDEX(Listado!A:A,ROW())&lt;&gt;""),ROW(INDEX(Listado!A:A,2):INDEX(Listado!A:A,ROW()))),""))</f>
        <v/>
      </c>
      <c r="O1851" s="17" t="str">
        <f>IFERROR(IF(N1851="","",IF(INDEX(Listado!M:M,N1851)="No",IF(INDEX(Listado!N:N,N1851)=0,"",INDEX(Listado!N:N,N1851)),IF(INDEX(Listado!I:I,N1851)=0,"",INDEX(Listado!I:I,N1851)))),"")</f>
        <v/>
      </c>
      <c r="P1851" s="17">
        <f t="shared" ca="1" si="85"/>
        <v/>
      </c>
      <c r="Q1851" s="17">
        <f>IFERROR(IF(AND(N1851&lt;&gt;"",ISNUMBER(O1851),O1851&gt;0,O1851&gt;=TODAY()-90),1,0),0)</f>
        <v/>
      </c>
      <c r="R1851" s="17" t="str">
        <f t="shared" si="87"/>
        <v/>
      </c>
      <c r="S1851" s="17" t="str">
        <f>IF(INDEX(Listado!A:A,ROW())="","",INDEX(Listado!A:A,ROW()))</f>
        <v/>
      </c>
      <c r="T1851" s="17" t="str">
        <f ca="1">IF(INDEX(Listado!G:G,ROW())="","",INDEX(Listado!G:G,ROW()))</f>
        <v/>
      </c>
      <c r="U1851" s="17" t="str">
        <f>IF(INDEX(Listado!F:F,ROW())="","",INDEX(Listado!F:F,ROW()))</f>
        <v/>
      </c>
      <c r="V1851" s="17">
        <f>IF(COUNTA(INDEX(Listado!B:B,ROW()):INDEX(Listado!F:F,ROW()))&gt;0,1,0)</f>
        <v/>
      </c>
      <c r="W1851" s="17" t="str">
        <f>IF(INDEX(Listado!L:L,ROW())="","",INDEX(Listado!L:L,ROW()))</f>
        <v/>
      </c>
      <c r="X1851" s="17">
        <f>IF(N1851="","",IF(INDEX(Listado!$M:$M,N1851)="No","No","Sí"))</f>
        <v/>
      </c>
    </row>
    <row r="1852" spans="2:24" ht="14.25">
      <c r="N1852" s="17" t="str">
        <f>IF(V1852=0,"",IFERROR(LOOKUP(2,1/(INDEX(Listado!A:A,2):INDEX(Listado!A:A,ROW())&lt;&gt;""),ROW(INDEX(Listado!A:A,2):INDEX(Listado!A:A,ROW()))),""))</f>
        <v/>
      </c>
      <c r="O1852" s="17" t="str">
        <f>IFERROR(IF(N1852="","",IF(INDEX(Listado!M:M,N1852)="No",IF(INDEX(Listado!N:N,N1852)=0,"",INDEX(Listado!N:N,N1852)),IF(INDEX(Listado!I:I,N1852)=0,"",INDEX(Listado!I:I,N1852)))),"")</f>
        <v/>
      </c>
      <c r="P1852" s="17">
        <f t="shared" ca="1" si="85"/>
        <v/>
      </c>
      <c r="Q1852" s="17">
        <f>IFERROR(IF(AND(N1852&lt;&gt;"",ISNUMBER(O1852),O1852&gt;0,O1852&gt;=TODAY()-90),1,0),0)</f>
        <v/>
      </c>
      <c r="R1852" s="17" t="str">
        <f t="shared" si="87"/>
        <v/>
      </c>
      <c r="S1852" s="17" t="str">
        <f>IF(INDEX(Listado!A:A,ROW())="","",INDEX(Listado!A:A,ROW()))</f>
        <v/>
      </c>
      <c r="T1852" s="17" t="str">
        <f ca="1">IF(INDEX(Listado!G:G,ROW())="","",INDEX(Listado!G:G,ROW()))</f>
        <v/>
      </c>
      <c r="U1852" s="17" t="str">
        <f>IF(INDEX(Listado!F:F,ROW())="","",INDEX(Listado!F:F,ROW()))</f>
        <v/>
      </c>
      <c r="V1852" s="17">
        <f>IF(COUNTA(INDEX(Listado!B:B,ROW()):INDEX(Listado!F:F,ROW()))&gt;0,1,0)</f>
        <v/>
      </c>
      <c r="W1852" s="17" t="str">
        <f>IF(INDEX(Listado!L:L,ROW())="","",INDEX(Listado!L:L,ROW()))</f>
        <v/>
      </c>
      <c r="X1852" s="17">
        <f>IF(N1852="","",IF(INDEX(Listado!$M:$M,N1852)="No","No","Sí"))</f>
        <v/>
      </c>
    </row>
    <row r="1853" spans="2:24" ht="14.25">
      <c r="N1853" s="17" t="str">
        <f>IF(V1853=0,"",IFERROR(LOOKUP(2,1/(INDEX(Listado!A:A,2):INDEX(Listado!A:A,ROW())&lt;&gt;""),ROW(INDEX(Listado!A:A,2):INDEX(Listado!A:A,ROW()))),""))</f>
        <v/>
      </c>
      <c r="O1853" s="17" t="str">
        <f>IFERROR(IF(N1853="","",IF(INDEX(Listado!M:M,N1853)="No",IF(INDEX(Listado!N:N,N1853)=0,"",INDEX(Listado!N:N,N1853)),IF(INDEX(Listado!I:I,N1853)=0,"",INDEX(Listado!I:I,N1853)))),"")</f>
        <v/>
      </c>
      <c r="P1853" s="17">
        <f t="shared" ca="1" si="85"/>
        <v/>
      </c>
      <c r="Q1853" s="17">
        <f>IFERROR(IF(AND(N1853&lt;&gt;"",ISNUMBER(O1853),O1853&gt;0,O1853&gt;=TODAY()-90),1,0),0)</f>
        <v/>
      </c>
      <c r="R1853" s="17" t="str">
        <f t="shared" si="87"/>
        <v/>
      </c>
      <c r="S1853" s="17" t="str">
        <f>IF(INDEX(Listado!A:A,ROW())="","",INDEX(Listado!A:A,ROW()))</f>
        <v/>
      </c>
      <c r="T1853" s="17" t="str">
        <f ca="1">IF(INDEX(Listado!G:G,ROW())="","",INDEX(Listado!G:G,ROW()))</f>
        <v/>
      </c>
      <c r="U1853" s="17" t="str">
        <f>IF(INDEX(Listado!F:F,ROW())="","",INDEX(Listado!F:F,ROW()))</f>
        <v/>
      </c>
      <c r="V1853" s="17">
        <f>IF(COUNTA(INDEX(Listado!B:B,ROW()):INDEX(Listado!F:F,ROW()))&gt;0,1,0)</f>
        <v/>
      </c>
      <c r="W1853" s="17" t="str">
        <f>IF(INDEX(Listado!L:L,ROW())="","",INDEX(Listado!L:L,ROW()))</f>
        <v/>
      </c>
      <c r="X1853" s="17">
        <f>IF(N1853="","",IF(INDEX(Listado!$M:$M,N1853)="No","No","Sí"))</f>
        <v/>
      </c>
    </row>
    <row r="1854" spans="2:24" ht="14.25">
      <c r="N1854" s="17" t="str">
        <f>IF(V1854=0,"",IFERROR(LOOKUP(2,1/(INDEX(Listado!A:A,2):INDEX(Listado!A:A,ROW())&lt;&gt;""),ROW(INDEX(Listado!A:A,2):INDEX(Listado!A:A,ROW()))),""))</f>
        <v/>
      </c>
      <c r="O1854" s="17" t="str">
        <f>IFERROR(IF(N1854="","",IF(INDEX(Listado!M:M,N1854)="No",IF(INDEX(Listado!N:N,N1854)=0,"",INDEX(Listado!N:N,N1854)),IF(INDEX(Listado!I:I,N1854)=0,"",INDEX(Listado!I:I,N1854)))),"")</f>
        <v/>
      </c>
      <c r="P1854" s="17">
        <f t="shared" ca="1" si="85"/>
        <v/>
      </c>
      <c r="Q1854" s="17">
        <f>IFERROR(IF(AND(N1854&lt;&gt;"",ISNUMBER(O1854),O1854&gt;0,O1854&gt;=TODAY()-90),1,0),0)</f>
        <v/>
      </c>
      <c r="R1854" s="17" t="str">
        <f t="shared" si="87"/>
        <v/>
      </c>
      <c r="S1854" s="17" t="str">
        <f>IF(INDEX(Listado!A:A,ROW())="","",INDEX(Listado!A:A,ROW()))</f>
        <v/>
      </c>
      <c r="T1854" s="17" t="str">
        <f ca="1">IF(INDEX(Listado!G:G,ROW())="","",INDEX(Listado!G:G,ROW()))</f>
        <v/>
      </c>
      <c r="U1854" s="17" t="str">
        <f>IF(INDEX(Listado!F:F,ROW())="","",INDEX(Listado!F:F,ROW()))</f>
        <v/>
      </c>
      <c r="V1854" s="17">
        <f>IF(COUNTA(INDEX(Listado!B:B,ROW()):INDEX(Listado!F:F,ROW()))&gt;0,1,0)</f>
        <v/>
      </c>
      <c r="W1854" s="17" t="str">
        <f>IF(INDEX(Listado!L:L,ROW())="","",INDEX(Listado!L:L,ROW()))</f>
        <v/>
      </c>
      <c r="X1854" s="17">
        <f>IF(N1854="","",IF(INDEX(Listado!$M:$M,N1854)="No","No","Sí"))</f>
        <v/>
      </c>
    </row>
    <row r="1855" spans="2:24" ht="14.25">
      <c r="N1855" s="17" t="str">
        <f>IF(V1855=0,"",IFERROR(LOOKUP(2,1/(INDEX(Listado!A:A,2):INDEX(Listado!A:A,ROW())&lt;&gt;""),ROW(INDEX(Listado!A:A,2):INDEX(Listado!A:A,ROW()))),""))</f>
        <v/>
      </c>
      <c r="O1855" s="17" t="str">
        <f>IFERROR(IF(N1855="","",IF(INDEX(Listado!M:M,N1855)="No",IF(INDEX(Listado!N:N,N1855)=0,"",INDEX(Listado!N:N,N1855)),IF(INDEX(Listado!I:I,N1855)=0,"",INDEX(Listado!I:I,N1855)))),"")</f>
        <v/>
      </c>
      <c r="P1855" s="17">
        <f t="shared" ca="1" si="85"/>
        <v/>
      </c>
      <c r="Q1855" s="17">
        <f>IFERROR(IF(AND(N1855&lt;&gt;"",ISNUMBER(O1855),O1855&gt;0,O1855&gt;=TODAY()-90),1,0),0)</f>
        <v/>
      </c>
      <c r="R1855" s="17" t="str">
        <f t="shared" si="87"/>
        <v/>
      </c>
      <c r="S1855" s="17" t="str">
        <f>IF(INDEX(Listado!A:A,ROW())="","",INDEX(Listado!A:A,ROW()))</f>
        <v/>
      </c>
      <c r="T1855" s="17" t="str">
        <f ca="1">IF(INDEX(Listado!G:G,ROW())="","",INDEX(Listado!G:G,ROW()))</f>
        <v/>
      </c>
      <c r="U1855" s="17" t="str">
        <f>IF(INDEX(Listado!F:F,ROW())="","",INDEX(Listado!F:F,ROW()))</f>
        <v/>
      </c>
      <c r="V1855" s="17">
        <f>IF(COUNTA(INDEX(Listado!B:B,ROW()):INDEX(Listado!F:F,ROW()))&gt;0,1,0)</f>
        <v/>
      </c>
      <c r="W1855" s="17" t="str">
        <f>IF(INDEX(Listado!L:L,ROW())="","",INDEX(Listado!L:L,ROW()))</f>
        <v/>
      </c>
      <c r="X1855" s="17">
        <f>IF(N1855="","",IF(INDEX(Listado!$M:$M,N1855)="No","No","Sí"))</f>
        <v/>
      </c>
    </row>
    <row r="1856" spans="2:24" ht="14.25">
      <c r="N1856" s="17" t="str">
        <f>IF(V1856=0,"",IFERROR(LOOKUP(2,1/(INDEX(Listado!A:A,2):INDEX(Listado!A:A,ROW())&lt;&gt;""),ROW(INDEX(Listado!A:A,2):INDEX(Listado!A:A,ROW()))),""))</f>
        <v/>
      </c>
      <c r="O1856" s="17" t="str">
        <f>IFERROR(IF(N1856="","",IF(INDEX(Listado!M:M,N1856)="No",IF(INDEX(Listado!N:N,N1856)=0,"",INDEX(Listado!N:N,N1856)),IF(INDEX(Listado!I:I,N1856)=0,"",INDEX(Listado!I:I,N1856)))),"")</f>
        <v/>
      </c>
      <c r="P1856" s="17">
        <f t="shared" ca="1" si="85"/>
        <v/>
      </c>
      <c r="Q1856" s="17">
        <f>IFERROR(IF(AND(N1856&lt;&gt;"",ISNUMBER(O1856),O1856&gt;0,O1856&gt;=TODAY()-90),1,0),0)</f>
        <v/>
      </c>
      <c r="R1856" s="17" t="str">
        <f t="shared" si="87"/>
        <v/>
      </c>
      <c r="S1856" s="17" t="str">
        <f>IF(INDEX(Listado!A:A,ROW())="","",INDEX(Listado!A:A,ROW()))</f>
        <v/>
      </c>
      <c r="T1856" s="17" t="str">
        <f ca="1">IF(INDEX(Listado!G:G,ROW())="","",INDEX(Listado!G:G,ROW()))</f>
        <v/>
      </c>
      <c r="U1856" s="17" t="str">
        <f>IF(INDEX(Listado!F:F,ROW())="","",INDEX(Listado!F:F,ROW()))</f>
        <v/>
      </c>
      <c r="V1856" s="17">
        <f>IF(COUNTA(INDEX(Listado!B:B,ROW()):INDEX(Listado!F:F,ROW()))&gt;0,1,0)</f>
        <v/>
      </c>
      <c r="W1856" s="17" t="str">
        <f>IF(INDEX(Listado!L:L,ROW())="","",INDEX(Listado!L:L,ROW()))</f>
        <v/>
      </c>
      <c r="X1856" s="17">
        <f>IF(N1856="","",IF(INDEX(Listado!$M:$M,N1856)="No","No","Sí"))</f>
        <v/>
      </c>
    </row>
    <row r="1857" spans="2:24" ht="14.25">
      <c r="N1857" s="17" t="str">
        <f>IF(V1857=0,"",IFERROR(LOOKUP(2,1/(INDEX(Listado!A:A,2):INDEX(Listado!A:A,ROW())&lt;&gt;""),ROW(INDEX(Listado!A:A,2):INDEX(Listado!A:A,ROW()))),""))</f>
        <v/>
      </c>
      <c r="O1857" s="17" t="str">
        <f>IFERROR(IF(N1857="","",IF(INDEX(Listado!M:M,N1857)="No",IF(INDEX(Listado!N:N,N1857)=0,"",INDEX(Listado!N:N,N1857)),IF(INDEX(Listado!I:I,N1857)=0,"",INDEX(Listado!I:I,N1857)))),"")</f>
        <v/>
      </c>
      <c r="P1857" s="17">
        <f t="shared" ca="1" si="85"/>
        <v/>
      </c>
      <c r="Q1857" s="17">
        <f>IFERROR(IF(AND(N1857&lt;&gt;"",ISNUMBER(O1857),O1857&gt;0,O1857&gt;=TODAY()-90),1,0),0)</f>
        <v/>
      </c>
      <c r="R1857" s="17" t="str">
        <f t="shared" si="87"/>
        <v/>
      </c>
      <c r="S1857" s="17" t="str">
        <f>IF(INDEX(Listado!A:A,ROW())="","",INDEX(Listado!A:A,ROW()))</f>
        <v/>
      </c>
      <c r="T1857" s="17" t="str">
        <f ca="1">IF(INDEX(Listado!G:G,ROW())="","",INDEX(Listado!G:G,ROW()))</f>
        <v/>
      </c>
      <c r="U1857" s="17" t="str">
        <f>IF(INDEX(Listado!F:F,ROW())="","",INDEX(Listado!F:F,ROW()))</f>
        <v/>
      </c>
      <c r="V1857" s="17">
        <f>IF(COUNTA(INDEX(Listado!B:B,ROW()):INDEX(Listado!F:F,ROW()))&gt;0,1,0)</f>
        <v/>
      </c>
      <c r="W1857" s="17" t="str">
        <f>IF(INDEX(Listado!L:L,ROW())="","",INDEX(Listado!L:L,ROW()))</f>
        <v/>
      </c>
      <c r="X1857" s="17">
        <f>IF(N1857="","",IF(INDEX(Listado!$M:$M,N1857)="No","No","Sí"))</f>
        <v/>
      </c>
    </row>
    <row r="1858" spans="2:24" ht="14.25">
      <c r="N1858" s="17" t="str">
        <f>IF(V1858=0,"",IFERROR(LOOKUP(2,1/(INDEX(Listado!A:A,2):INDEX(Listado!A:A,ROW())&lt;&gt;""),ROW(INDEX(Listado!A:A,2):INDEX(Listado!A:A,ROW()))),""))</f>
        <v/>
      </c>
      <c r="O1858" s="17" t="str">
        <f>IFERROR(IF(N1858="","",IF(INDEX(Listado!M:M,N1858)="No",IF(INDEX(Listado!N:N,N1858)=0,"",INDEX(Listado!N:N,N1858)),IF(INDEX(Listado!I:I,N1858)=0,"",INDEX(Listado!I:I,N1858)))),"")</f>
        <v/>
      </c>
      <c r="P1858" s="17">
        <f t="shared" ref="P1858:P1921" ca="1" si="88">IF(W1858="",0,IFERROR(IF(AND(ISNUMBER(W1858),W1858=INT(W1858),ISNUMBER(O1858),O1858&gt;0,W1858&gt;=TODAY(),W1858&lt;=O1858+90),0,1),1))</f>
        <v/>
      </c>
      <c r="Q1858" s="17">
        <f>IFERROR(IF(AND(N1858&lt;&gt;"",ISNUMBER(O1858),O1858&gt;0,O1858&gt;=TODAY()-90),1,0),0)</f>
        <v/>
      </c>
      <c r="R1858" s="17" t="str">
        <f t="shared" ref="R1858:R1921" si="90">IF(S1858="","",COUNTIFS($N$2:$N$2999,ROW(),$Q$2:$Q$2999,1))</f>
        <v/>
      </c>
      <c r="S1858" s="17" t="str">
        <f>IF(INDEX(Listado!A:A,ROW())="","",INDEX(Listado!A:A,ROW()))</f>
        <v/>
      </c>
      <c r="T1858" s="17" t="str">
        <f ca="1">IF(INDEX(Listado!G:G,ROW())="","",INDEX(Listado!G:G,ROW()))</f>
        <v/>
      </c>
      <c r="U1858" s="17" t="str">
        <f>IF(INDEX(Listado!F:F,ROW())="","",INDEX(Listado!F:F,ROW()))</f>
        <v/>
      </c>
      <c r="V1858" s="17">
        <f>IF(COUNTA(INDEX(Listado!B:B,ROW()):INDEX(Listado!F:F,ROW()))&gt;0,1,0)</f>
        <v/>
      </c>
      <c r="W1858" s="17" t="str">
        <f>IF(INDEX(Listado!L:L,ROW())="","",INDEX(Listado!L:L,ROW()))</f>
        <v/>
      </c>
      <c r="X1858" s="17">
        <f>IF(N1858="","",IF(INDEX(Listado!$M:$M,N1858)="No","No","Sí"))</f>
        <v/>
      </c>
    </row>
    <row r="1859" spans="2:24" ht="14.25">
      <c r="N1859" s="17" t="str">
        <f>IF(V1859=0,"",IFERROR(LOOKUP(2,1/(INDEX(Listado!A:A,2):INDEX(Listado!A:A,ROW())&lt;&gt;""),ROW(INDEX(Listado!A:A,2):INDEX(Listado!A:A,ROW()))),""))</f>
        <v/>
      </c>
      <c r="O1859" s="17" t="str">
        <f>IFERROR(IF(N1859="","",IF(INDEX(Listado!M:M,N1859)="No",IF(INDEX(Listado!N:N,N1859)=0,"",INDEX(Listado!N:N,N1859)),IF(INDEX(Listado!I:I,N1859)=0,"",INDEX(Listado!I:I,N1859)))),"")</f>
        <v/>
      </c>
      <c r="P1859" s="17">
        <f t="shared" ca="1" si="88"/>
        <v/>
      </c>
      <c r="Q1859" s="17">
        <f>IFERROR(IF(AND(N1859&lt;&gt;"",ISNUMBER(O1859),O1859&gt;0,O1859&gt;=TODAY()-90),1,0),0)</f>
        <v/>
      </c>
      <c r="R1859" s="17" t="str">
        <f t="shared" si="90"/>
        <v/>
      </c>
      <c r="S1859" s="17" t="str">
        <f>IF(INDEX(Listado!A:A,ROW())="","",INDEX(Listado!A:A,ROW()))</f>
        <v/>
      </c>
      <c r="T1859" s="17" t="str">
        <f ca="1">IF(INDEX(Listado!G:G,ROW())="","",INDEX(Listado!G:G,ROW()))</f>
        <v/>
      </c>
      <c r="U1859" s="17" t="str">
        <f>IF(INDEX(Listado!F:F,ROW())="","",INDEX(Listado!F:F,ROW()))</f>
        <v/>
      </c>
      <c r="V1859" s="17">
        <f>IF(COUNTA(INDEX(Listado!B:B,ROW()):INDEX(Listado!F:F,ROW()))&gt;0,1,0)</f>
        <v/>
      </c>
      <c r="W1859" s="17" t="str">
        <f>IF(INDEX(Listado!L:L,ROW())="","",INDEX(Listado!L:L,ROW()))</f>
        <v/>
      </c>
      <c r="X1859" s="17">
        <f>IF(N1859="","",IF(INDEX(Listado!$M:$M,N1859)="No","No","Sí"))</f>
        <v/>
      </c>
    </row>
    <row r="1860" spans="2:24" ht="14.25">
      <c r="N1860" s="17" t="str">
        <f>IF(V1860=0,"",IFERROR(LOOKUP(2,1/(INDEX(Listado!A:A,2):INDEX(Listado!A:A,ROW())&lt;&gt;""),ROW(INDEX(Listado!A:A,2):INDEX(Listado!A:A,ROW()))),""))</f>
        <v/>
      </c>
      <c r="O1860" s="17" t="str">
        <f>IFERROR(IF(N1860="","",IF(INDEX(Listado!M:M,N1860)="No",IF(INDEX(Listado!N:N,N1860)=0,"",INDEX(Listado!N:N,N1860)),IF(INDEX(Listado!I:I,N1860)=0,"",INDEX(Listado!I:I,N1860)))),"")</f>
        <v/>
      </c>
      <c r="P1860" s="17">
        <f t="shared" ca="1" si="88"/>
        <v/>
      </c>
      <c r="Q1860" s="17">
        <f>IFERROR(IF(AND(N1860&lt;&gt;"",ISNUMBER(O1860),O1860&gt;0,O1860&gt;=TODAY()-90),1,0),0)</f>
        <v/>
      </c>
      <c r="R1860" s="17" t="str">
        <f t="shared" si="90"/>
        <v/>
      </c>
      <c r="S1860" s="17" t="str">
        <f>IF(INDEX(Listado!A:A,ROW())="","",INDEX(Listado!A:A,ROW()))</f>
        <v/>
      </c>
      <c r="T1860" s="17" t="str">
        <f ca="1">IF(INDEX(Listado!G:G,ROW())="","",INDEX(Listado!G:G,ROW()))</f>
        <v/>
      </c>
      <c r="U1860" s="17" t="str">
        <f>IF(INDEX(Listado!F:F,ROW())="","",INDEX(Listado!F:F,ROW()))</f>
        <v/>
      </c>
      <c r="V1860" s="17">
        <f>IF(COUNTA(INDEX(Listado!B:B,ROW()):INDEX(Listado!F:F,ROW()))&gt;0,1,0)</f>
        <v/>
      </c>
      <c r="W1860" s="17" t="str">
        <f>IF(INDEX(Listado!L:L,ROW())="","",INDEX(Listado!L:L,ROW()))</f>
        <v/>
      </c>
      <c r="X1860" s="17">
        <f>IF(N1860="","",IF(INDEX(Listado!$M:$M,N1860)="No","No","Sí"))</f>
        <v/>
      </c>
    </row>
    <row r="1861" spans="2:24" ht="14.25">
      <c r="N1861" s="17" t="str">
        <f>IF(V1861=0,"",IFERROR(LOOKUP(2,1/(INDEX(Listado!A:A,2):INDEX(Listado!A:A,ROW())&lt;&gt;""),ROW(INDEX(Listado!A:A,2):INDEX(Listado!A:A,ROW()))),""))</f>
        <v/>
      </c>
      <c r="O1861" s="17" t="str">
        <f>IFERROR(IF(N1861="","",IF(INDEX(Listado!M:M,N1861)="No",IF(INDEX(Listado!N:N,N1861)=0,"",INDEX(Listado!N:N,N1861)),IF(INDEX(Listado!I:I,N1861)=0,"",INDEX(Listado!I:I,N1861)))),"")</f>
        <v/>
      </c>
      <c r="P1861" s="17">
        <f t="shared" ca="1" si="88"/>
        <v/>
      </c>
      <c r="Q1861" s="17">
        <f>IFERROR(IF(AND(N1861&lt;&gt;"",ISNUMBER(O1861),O1861&gt;0,O1861&gt;=TODAY()-90),1,0),0)</f>
        <v/>
      </c>
      <c r="R1861" s="17" t="str">
        <f t="shared" si="90"/>
        <v/>
      </c>
      <c r="S1861" s="17" t="str">
        <f>IF(INDEX(Listado!A:A,ROW())="","",INDEX(Listado!A:A,ROW()))</f>
        <v/>
      </c>
      <c r="T1861" s="17" t="str">
        <f ca="1">IF(INDEX(Listado!G:G,ROW())="","",INDEX(Listado!G:G,ROW()))</f>
        <v/>
      </c>
      <c r="U1861" s="17" t="str">
        <f>IF(INDEX(Listado!F:F,ROW())="","",INDEX(Listado!F:F,ROW()))</f>
        <v/>
      </c>
      <c r="V1861" s="17">
        <f>IF(COUNTA(INDEX(Listado!B:B,ROW()):INDEX(Listado!F:F,ROW()))&gt;0,1,0)</f>
        <v/>
      </c>
      <c r="W1861" s="17" t="str">
        <f>IF(INDEX(Listado!L:L,ROW())="","",INDEX(Listado!L:L,ROW()))</f>
        <v/>
      </c>
      <c r="X1861" s="17">
        <f>IF(N1861="","",IF(INDEX(Listado!$M:$M,N1861)="No","No","Sí"))</f>
        <v/>
      </c>
    </row>
    <row r="1862" spans="2:24" ht="14.25">
      <c r="N1862" s="17" t="str">
        <f>IF(V1862=0,"",IFERROR(LOOKUP(2,1/(INDEX(Listado!A:A,2):INDEX(Listado!A:A,ROW())&lt;&gt;""),ROW(INDEX(Listado!A:A,2):INDEX(Listado!A:A,ROW()))),""))</f>
        <v/>
      </c>
      <c r="O1862" s="17" t="str">
        <f>IFERROR(IF(N1862="","",IF(INDEX(Listado!M:M,N1862)="No",IF(INDEX(Listado!N:N,N1862)=0,"",INDEX(Listado!N:N,N1862)),IF(INDEX(Listado!I:I,N1862)=0,"",INDEX(Listado!I:I,N1862)))),"")</f>
        <v/>
      </c>
      <c r="P1862" s="17">
        <f t="shared" ca="1" si="88"/>
        <v/>
      </c>
      <c r="Q1862" s="17">
        <f>IFERROR(IF(AND(N1862&lt;&gt;"",ISNUMBER(O1862),O1862&gt;0,O1862&gt;=TODAY()-90),1,0),0)</f>
        <v/>
      </c>
      <c r="R1862" s="17" t="str">
        <f t="shared" si="90"/>
        <v/>
      </c>
      <c r="S1862" s="17" t="str">
        <f>IF(INDEX(Listado!A:A,ROW())="","",INDEX(Listado!A:A,ROW()))</f>
        <v/>
      </c>
      <c r="T1862" s="17" t="str">
        <f ca="1">IF(INDEX(Listado!G:G,ROW())="","",INDEX(Listado!G:G,ROW()))</f>
        <v/>
      </c>
      <c r="U1862" s="17" t="str">
        <f>IF(INDEX(Listado!F:F,ROW())="","",INDEX(Listado!F:F,ROW()))</f>
        <v/>
      </c>
      <c r="V1862" s="17">
        <f>IF(COUNTA(INDEX(Listado!B:B,ROW()):INDEX(Listado!F:F,ROW()))&gt;0,1,0)</f>
        <v/>
      </c>
      <c r="W1862" s="17" t="str">
        <f>IF(INDEX(Listado!L:L,ROW())="","",INDEX(Listado!L:L,ROW()))</f>
        <v/>
      </c>
      <c r="X1862" s="17">
        <f>IF(N1862="","",IF(INDEX(Listado!$M:$M,N1862)="No","No","Sí"))</f>
        <v/>
      </c>
    </row>
    <row r="1863" spans="2:24" ht="14.25">
      <c r="N1863" s="17" t="str">
        <f>IF(V1863=0,"",IFERROR(LOOKUP(2,1/(INDEX(Listado!A:A,2):INDEX(Listado!A:A,ROW())&lt;&gt;""),ROW(INDEX(Listado!A:A,2):INDEX(Listado!A:A,ROW()))),""))</f>
        <v/>
      </c>
      <c r="O1863" s="17" t="str">
        <f>IFERROR(IF(N1863="","",IF(INDEX(Listado!M:M,N1863)="No",IF(INDEX(Listado!N:N,N1863)=0,"",INDEX(Listado!N:N,N1863)),IF(INDEX(Listado!I:I,N1863)=0,"",INDEX(Listado!I:I,N1863)))),"")</f>
        <v/>
      </c>
      <c r="P1863" s="17">
        <f t="shared" ca="1" si="88"/>
        <v/>
      </c>
      <c r="Q1863" s="17">
        <f>IFERROR(IF(AND(N1863&lt;&gt;"",ISNUMBER(O1863),O1863&gt;0,O1863&gt;=TODAY()-90),1,0),0)</f>
        <v/>
      </c>
      <c r="R1863" s="17" t="str">
        <f t="shared" si="90"/>
        <v/>
      </c>
      <c r="S1863" s="17" t="str">
        <f>IF(INDEX(Listado!A:A,ROW())="","",INDEX(Listado!A:A,ROW()))</f>
        <v/>
      </c>
      <c r="T1863" s="17" t="str">
        <f ca="1">IF(INDEX(Listado!G:G,ROW())="","",INDEX(Listado!G:G,ROW()))</f>
        <v/>
      </c>
      <c r="U1863" s="17" t="str">
        <f>IF(INDEX(Listado!F:F,ROW())="","",INDEX(Listado!F:F,ROW()))</f>
        <v/>
      </c>
      <c r="V1863" s="17">
        <f>IF(COUNTA(INDEX(Listado!B:B,ROW()):INDEX(Listado!F:F,ROW()))&gt;0,1,0)</f>
        <v/>
      </c>
      <c r="W1863" s="17" t="str">
        <f>IF(INDEX(Listado!L:L,ROW())="","",INDEX(Listado!L:L,ROW()))</f>
        <v/>
      </c>
      <c r="X1863" s="17">
        <f>IF(N1863="","",IF(INDEX(Listado!$M:$M,N1863)="No","No","Sí"))</f>
        <v/>
      </c>
    </row>
    <row r="1864" spans="2:24" ht="14.25">
      <c r="N1864" s="17" t="str">
        <f>IF(V1864=0,"",IFERROR(LOOKUP(2,1/(INDEX(Listado!A:A,2):INDEX(Listado!A:A,ROW())&lt;&gt;""),ROW(INDEX(Listado!A:A,2):INDEX(Listado!A:A,ROW()))),""))</f>
        <v/>
      </c>
      <c r="O1864" s="17" t="str">
        <f>IFERROR(IF(N1864="","",IF(INDEX(Listado!M:M,N1864)="No",IF(INDEX(Listado!N:N,N1864)=0,"",INDEX(Listado!N:N,N1864)),IF(INDEX(Listado!I:I,N1864)=0,"",INDEX(Listado!I:I,N1864)))),"")</f>
        <v/>
      </c>
      <c r="P1864" s="17">
        <f t="shared" ca="1" si="88"/>
        <v/>
      </c>
      <c r="Q1864" s="17">
        <f>IFERROR(IF(AND(N1864&lt;&gt;"",ISNUMBER(O1864),O1864&gt;0,O1864&gt;=TODAY()-90),1,0),0)</f>
        <v/>
      </c>
      <c r="R1864" s="17" t="str">
        <f t="shared" si="90"/>
        <v/>
      </c>
      <c r="S1864" s="17" t="str">
        <f>IF(INDEX(Listado!A:A,ROW())="","",INDEX(Listado!A:A,ROW()))</f>
        <v/>
      </c>
      <c r="T1864" s="17" t="str">
        <f ca="1">IF(INDEX(Listado!G:G,ROW())="","",INDEX(Listado!G:G,ROW()))</f>
        <v/>
      </c>
      <c r="U1864" s="17" t="str">
        <f>IF(INDEX(Listado!F:F,ROW())="","",INDEX(Listado!F:F,ROW()))</f>
        <v/>
      </c>
      <c r="V1864" s="17">
        <f>IF(COUNTA(INDEX(Listado!B:B,ROW()):INDEX(Listado!F:F,ROW()))&gt;0,1,0)</f>
        <v/>
      </c>
      <c r="W1864" s="17" t="str">
        <f>IF(INDEX(Listado!L:L,ROW())="","",INDEX(Listado!L:L,ROW()))</f>
        <v/>
      </c>
      <c r="X1864" s="17">
        <f>IF(N1864="","",IF(INDEX(Listado!$M:$M,N1864)="No","No","Sí"))</f>
        <v/>
      </c>
    </row>
    <row r="1865" spans="2:24" ht="14.25">
      <c r="N1865" s="17" t="str">
        <f>IF(V1865=0,"",IFERROR(LOOKUP(2,1/(INDEX(Listado!A:A,2):INDEX(Listado!A:A,ROW())&lt;&gt;""),ROW(INDEX(Listado!A:A,2):INDEX(Listado!A:A,ROW()))),""))</f>
        <v/>
      </c>
      <c r="O1865" s="17" t="str">
        <f>IFERROR(IF(N1865="","",IF(INDEX(Listado!M:M,N1865)="No",IF(INDEX(Listado!N:N,N1865)=0,"",INDEX(Listado!N:N,N1865)),IF(INDEX(Listado!I:I,N1865)=0,"",INDEX(Listado!I:I,N1865)))),"")</f>
        <v/>
      </c>
      <c r="P1865" s="17">
        <f t="shared" ca="1" si="88"/>
        <v/>
      </c>
      <c r="Q1865" s="17">
        <f>IFERROR(IF(AND(N1865&lt;&gt;"",ISNUMBER(O1865),O1865&gt;0,O1865&gt;=TODAY()-90),1,0),0)</f>
        <v/>
      </c>
      <c r="R1865" s="17" t="str">
        <f t="shared" si="90"/>
        <v/>
      </c>
      <c r="S1865" s="17" t="str">
        <f>IF(INDEX(Listado!A:A,ROW())="","",INDEX(Listado!A:A,ROW()))</f>
        <v/>
      </c>
      <c r="T1865" s="17" t="str">
        <f ca="1">IF(INDEX(Listado!G:G,ROW())="","",INDEX(Listado!G:G,ROW()))</f>
        <v/>
      </c>
      <c r="U1865" s="17" t="str">
        <f>IF(INDEX(Listado!F:F,ROW())="","",INDEX(Listado!F:F,ROW()))</f>
        <v/>
      </c>
      <c r="V1865" s="17">
        <f>IF(COUNTA(INDEX(Listado!B:B,ROW()):INDEX(Listado!F:F,ROW()))&gt;0,1,0)</f>
        <v/>
      </c>
      <c r="W1865" s="17" t="str">
        <f>IF(INDEX(Listado!L:L,ROW())="","",INDEX(Listado!L:L,ROW()))</f>
        <v/>
      </c>
      <c r="X1865" s="17">
        <f>IF(N1865="","",IF(INDEX(Listado!$M:$M,N1865)="No","No","Sí"))</f>
        <v/>
      </c>
    </row>
    <row r="1866" spans="2:24" ht="14.25">
      <c r="N1866" s="17" t="str">
        <f>IF(V1866=0,"",IFERROR(LOOKUP(2,1/(INDEX(Listado!A:A,2):INDEX(Listado!A:A,ROW())&lt;&gt;""),ROW(INDEX(Listado!A:A,2):INDEX(Listado!A:A,ROW()))),""))</f>
        <v/>
      </c>
      <c r="O1866" s="17" t="str">
        <f>IFERROR(IF(N1866="","",IF(INDEX(Listado!M:M,N1866)="No",IF(INDEX(Listado!N:N,N1866)=0,"",INDEX(Listado!N:N,N1866)),IF(INDEX(Listado!I:I,N1866)=0,"",INDEX(Listado!I:I,N1866)))),"")</f>
        <v/>
      </c>
      <c r="P1866" s="17">
        <f t="shared" ca="1" si="88"/>
        <v/>
      </c>
      <c r="Q1866" s="17">
        <f>IFERROR(IF(AND(N1866&lt;&gt;"",ISNUMBER(O1866),O1866&gt;0,O1866&gt;=TODAY()-90),1,0),0)</f>
        <v/>
      </c>
      <c r="R1866" s="17" t="str">
        <f t="shared" si="90"/>
        <v/>
      </c>
      <c r="S1866" s="17" t="str">
        <f>IF(INDEX(Listado!A:A,ROW())="","",INDEX(Listado!A:A,ROW()))</f>
        <v/>
      </c>
      <c r="T1866" s="17" t="str">
        <f ca="1">IF(INDEX(Listado!G:G,ROW())="","",INDEX(Listado!G:G,ROW()))</f>
        <v/>
      </c>
      <c r="U1866" s="17" t="str">
        <f>IF(INDEX(Listado!F:F,ROW())="","",INDEX(Listado!F:F,ROW()))</f>
        <v/>
      </c>
      <c r="V1866" s="17">
        <f>IF(COUNTA(INDEX(Listado!B:B,ROW()):INDEX(Listado!F:F,ROW()))&gt;0,1,0)</f>
        <v/>
      </c>
      <c r="W1866" s="17" t="str">
        <f>IF(INDEX(Listado!L:L,ROW())="","",INDEX(Listado!L:L,ROW()))</f>
        <v/>
      </c>
      <c r="X1866" s="17">
        <f>IF(N1866="","",IF(INDEX(Listado!$M:$M,N1866)="No","No","Sí"))</f>
        <v/>
      </c>
    </row>
    <row r="1867" spans="2:24" ht="14.25">
      <c r="N1867" s="17" t="str">
        <f>IF(V1867=0,"",IFERROR(LOOKUP(2,1/(INDEX(Listado!A:A,2):INDEX(Listado!A:A,ROW())&lt;&gt;""),ROW(INDEX(Listado!A:A,2):INDEX(Listado!A:A,ROW()))),""))</f>
        <v/>
      </c>
      <c r="O1867" s="17" t="str">
        <f>IFERROR(IF(N1867="","",IF(INDEX(Listado!M:M,N1867)="No",IF(INDEX(Listado!N:N,N1867)=0,"",INDEX(Listado!N:N,N1867)),IF(INDEX(Listado!I:I,N1867)=0,"",INDEX(Listado!I:I,N1867)))),"")</f>
        <v/>
      </c>
      <c r="P1867" s="17">
        <f t="shared" ca="1" si="88"/>
        <v/>
      </c>
      <c r="Q1867" s="17">
        <f>IFERROR(IF(AND(N1867&lt;&gt;"",ISNUMBER(O1867),O1867&gt;0,O1867&gt;=TODAY()-90),1,0),0)</f>
        <v/>
      </c>
      <c r="R1867" s="17" t="str">
        <f t="shared" si="90"/>
        <v/>
      </c>
      <c r="S1867" s="17" t="str">
        <f>IF(INDEX(Listado!A:A,ROW())="","",INDEX(Listado!A:A,ROW()))</f>
        <v/>
      </c>
      <c r="T1867" s="17" t="str">
        <f ca="1">IF(INDEX(Listado!G:G,ROW())="","",INDEX(Listado!G:G,ROW()))</f>
        <v/>
      </c>
      <c r="U1867" s="17" t="str">
        <f>IF(INDEX(Listado!F:F,ROW())="","",INDEX(Listado!F:F,ROW()))</f>
        <v/>
      </c>
      <c r="V1867" s="17">
        <f>IF(COUNTA(INDEX(Listado!B:B,ROW()):INDEX(Listado!F:F,ROW()))&gt;0,1,0)</f>
        <v/>
      </c>
      <c r="W1867" s="17" t="str">
        <f>IF(INDEX(Listado!L:L,ROW())="","",INDEX(Listado!L:L,ROW()))</f>
        <v/>
      </c>
      <c r="X1867" s="17">
        <f>IF(N1867="","",IF(INDEX(Listado!$M:$M,N1867)="No","No","Sí"))</f>
        <v/>
      </c>
    </row>
    <row r="1868" spans="2:24" ht="14.25">
      <c r="N1868" s="17" t="str">
        <f>IF(V1868=0,"",IFERROR(LOOKUP(2,1/(INDEX(Listado!A:A,2):INDEX(Listado!A:A,ROW())&lt;&gt;""),ROW(INDEX(Listado!A:A,2):INDEX(Listado!A:A,ROW()))),""))</f>
        <v/>
      </c>
      <c r="O1868" s="17" t="str">
        <f>IFERROR(IF(N1868="","",IF(INDEX(Listado!M:M,N1868)="No",IF(INDEX(Listado!N:N,N1868)=0,"",INDEX(Listado!N:N,N1868)),IF(INDEX(Listado!I:I,N1868)=0,"",INDEX(Listado!I:I,N1868)))),"")</f>
        <v/>
      </c>
      <c r="P1868" s="17">
        <f t="shared" ca="1" si="88"/>
        <v/>
      </c>
      <c r="Q1868" s="17">
        <f>IFERROR(IF(AND(N1868&lt;&gt;"",ISNUMBER(O1868),O1868&gt;0,O1868&gt;=TODAY()-90),1,0),0)</f>
        <v/>
      </c>
      <c r="R1868" s="17" t="str">
        <f t="shared" si="90"/>
        <v/>
      </c>
      <c r="S1868" s="17" t="str">
        <f>IF(INDEX(Listado!A:A,ROW())="","",INDEX(Listado!A:A,ROW()))</f>
        <v/>
      </c>
      <c r="T1868" s="17" t="str">
        <f ca="1">IF(INDEX(Listado!G:G,ROW())="","",INDEX(Listado!G:G,ROW()))</f>
        <v/>
      </c>
      <c r="U1868" s="17" t="str">
        <f>IF(INDEX(Listado!F:F,ROW())="","",INDEX(Listado!F:F,ROW()))</f>
        <v/>
      </c>
      <c r="V1868" s="17">
        <f>IF(COUNTA(INDEX(Listado!B:B,ROW()):INDEX(Listado!F:F,ROW()))&gt;0,1,0)</f>
        <v/>
      </c>
      <c r="W1868" s="17" t="str">
        <f>IF(INDEX(Listado!L:L,ROW())="","",INDEX(Listado!L:L,ROW()))</f>
        <v/>
      </c>
      <c r="X1868" s="17">
        <f>IF(N1868="","",IF(INDEX(Listado!$M:$M,N1868)="No","No","Sí"))</f>
        <v/>
      </c>
    </row>
    <row r="1869" spans="2:24" ht="14.25">
      <c r="N1869" s="17" t="str">
        <f>IF(V1869=0,"",IFERROR(LOOKUP(2,1/(INDEX(Listado!A:A,2):INDEX(Listado!A:A,ROW())&lt;&gt;""),ROW(INDEX(Listado!A:A,2):INDEX(Listado!A:A,ROW()))),""))</f>
        <v/>
      </c>
      <c r="O1869" s="17" t="str">
        <f>IFERROR(IF(N1869="","",IF(INDEX(Listado!M:M,N1869)="No",IF(INDEX(Listado!N:N,N1869)=0,"",INDEX(Listado!N:N,N1869)),IF(INDEX(Listado!I:I,N1869)=0,"",INDEX(Listado!I:I,N1869)))),"")</f>
        <v/>
      </c>
      <c r="P1869" s="17">
        <f t="shared" ca="1" si="88"/>
        <v/>
      </c>
      <c r="Q1869" s="17">
        <f>IFERROR(IF(AND(N1869&lt;&gt;"",ISNUMBER(O1869),O1869&gt;0,O1869&gt;=TODAY()-90),1,0),0)</f>
        <v/>
      </c>
      <c r="R1869" s="17" t="str">
        <f t="shared" si="90"/>
        <v/>
      </c>
      <c r="S1869" s="17" t="str">
        <f>IF(INDEX(Listado!A:A,ROW())="","",INDEX(Listado!A:A,ROW()))</f>
        <v/>
      </c>
      <c r="T1869" s="17" t="str">
        <f ca="1">IF(INDEX(Listado!G:G,ROW())="","",INDEX(Listado!G:G,ROW()))</f>
        <v/>
      </c>
      <c r="U1869" s="17" t="str">
        <f>IF(INDEX(Listado!F:F,ROW())="","",INDEX(Listado!F:F,ROW()))</f>
        <v/>
      </c>
      <c r="V1869" s="17">
        <f>IF(COUNTA(INDEX(Listado!B:B,ROW()):INDEX(Listado!F:F,ROW()))&gt;0,1,0)</f>
        <v/>
      </c>
      <c r="W1869" s="17" t="str">
        <f>IF(INDEX(Listado!L:L,ROW())="","",INDEX(Listado!L:L,ROW()))</f>
        <v/>
      </c>
      <c r="X1869" s="17">
        <f>IF(N1869="","",IF(INDEX(Listado!$M:$M,N1869)="No","No","Sí"))</f>
        <v/>
      </c>
    </row>
    <row r="1870" spans="2:24" ht="14.25">
      <c r="N1870" s="17" t="str">
        <f>IF(V1870=0,"",IFERROR(LOOKUP(2,1/(INDEX(Listado!A:A,2):INDEX(Listado!A:A,ROW())&lt;&gt;""),ROW(INDEX(Listado!A:A,2):INDEX(Listado!A:A,ROW()))),""))</f>
        <v/>
      </c>
      <c r="O1870" s="17" t="str">
        <f>IFERROR(IF(N1870="","",IF(INDEX(Listado!M:M,N1870)="No",IF(INDEX(Listado!N:N,N1870)=0,"",INDEX(Listado!N:N,N1870)),IF(INDEX(Listado!I:I,N1870)=0,"",INDEX(Listado!I:I,N1870)))),"")</f>
        <v/>
      </c>
      <c r="P1870" s="17">
        <f t="shared" ca="1" si="88"/>
        <v/>
      </c>
      <c r="Q1870" s="17">
        <f>IFERROR(IF(AND(N1870&lt;&gt;"",ISNUMBER(O1870),O1870&gt;0,O1870&gt;=TODAY()-90),1,0),0)</f>
        <v/>
      </c>
      <c r="R1870" s="17" t="str">
        <f t="shared" si="90"/>
        <v/>
      </c>
      <c r="S1870" s="17" t="str">
        <f>IF(INDEX(Listado!A:A,ROW())="","",INDEX(Listado!A:A,ROW()))</f>
        <v/>
      </c>
      <c r="T1870" s="17" t="str">
        <f ca="1">IF(INDEX(Listado!G:G,ROW())="","",INDEX(Listado!G:G,ROW()))</f>
        <v/>
      </c>
      <c r="U1870" s="17" t="str">
        <f>IF(INDEX(Listado!F:F,ROW())="","",INDEX(Listado!F:F,ROW()))</f>
        <v/>
      </c>
      <c r="V1870" s="17">
        <f>IF(COUNTA(INDEX(Listado!B:B,ROW()):INDEX(Listado!F:F,ROW()))&gt;0,1,0)</f>
        <v/>
      </c>
      <c r="W1870" s="17" t="str">
        <f>IF(INDEX(Listado!L:L,ROW())="","",INDEX(Listado!L:L,ROW()))</f>
        <v/>
      </c>
      <c r="X1870" s="17">
        <f>IF(N1870="","",IF(INDEX(Listado!$M:$M,N1870)="No","No","Sí"))</f>
        <v/>
      </c>
    </row>
    <row r="1871" spans="2:24" ht="14.25">
      <c r="N1871" s="17" t="str">
        <f>IF(V1871=0,"",IFERROR(LOOKUP(2,1/(INDEX(Listado!A:A,2):INDEX(Listado!A:A,ROW())&lt;&gt;""),ROW(INDEX(Listado!A:A,2):INDEX(Listado!A:A,ROW()))),""))</f>
        <v/>
      </c>
      <c r="O1871" s="17" t="str">
        <f>IFERROR(IF(N1871="","",IF(INDEX(Listado!M:M,N1871)="No",IF(INDEX(Listado!N:N,N1871)=0,"",INDEX(Listado!N:N,N1871)),IF(INDEX(Listado!I:I,N1871)=0,"",INDEX(Listado!I:I,N1871)))),"")</f>
        <v/>
      </c>
      <c r="P1871" s="17">
        <f t="shared" ca="1" si="88"/>
        <v/>
      </c>
      <c r="Q1871" s="17">
        <f>IFERROR(IF(AND(N1871&lt;&gt;"",ISNUMBER(O1871),O1871&gt;0,O1871&gt;=TODAY()-90),1,0),0)</f>
        <v/>
      </c>
      <c r="R1871" s="17" t="str">
        <f t="shared" si="90"/>
        <v/>
      </c>
      <c r="S1871" s="17" t="str">
        <f>IF(INDEX(Listado!A:A,ROW())="","",INDEX(Listado!A:A,ROW()))</f>
        <v/>
      </c>
      <c r="T1871" s="17" t="str">
        <f ca="1">IF(INDEX(Listado!G:G,ROW())="","",INDEX(Listado!G:G,ROW()))</f>
        <v/>
      </c>
      <c r="U1871" s="17" t="str">
        <f>IF(INDEX(Listado!F:F,ROW())="","",INDEX(Listado!F:F,ROW()))</f>
        <v/>
      </c>
      <c r="V1871" s="17">
        <f>IF(COUNTA(INDEX(Listado!B:B,ROW()):INDEX(Listado!F:F,ROW()))&gt;0,1,0)</f>
        <v/>
      </c>
      <c r="W1871" s="17" t="str">
        <f>IF(INDEX(Listado!L:L,ROW())="","",INDEX(Listado!L:L,ROW()))</f>
        <v/>
      </c>
      <c r="X1871" s="17">
        <f>IF(N1871="","",IF(INDEX(Listado!$M:$M,N1871)="No","No","Sí"))</f>
        <v/>
      </c>
    </row>
    <row r="1872" spans="2:24" ht="14.25">
      <c r="N1872" s="17" t="str">
        <f>IF(V1872=0,"",IFERROR(LOOKUP(2,1/(INDEX(Listado!A:A,2):INDEX(Listado!A:A,ROW())&lt;&gt;""),ROW(INDEX(Listado!A:A,2):INDEX(Listado!A:A,ROW()))),""))</f>
        <v/>
      </c>
      <c r="O1872" s="17" t="str">
        <f>IFERROR(IF(N1872="","",IF(INDEX(Listado!M:M,N1872)="No",IF(INDEX(Listado!N:N,N1872)=0,"",INDEX(Listado!N:N,N1872)),IF(INDEX(Listado!I:I,N1872)=0,"",INDEX(Listado!I:I,N1872)))),"")</f>
        <v/>
      </c>
      <c r="P1872" s="17">
        <f t="shared" ca="1" si="88"/>
        <v/>
      </c>
      <c r="Q1872" s="17">
        <f>IFERROR(IF(AND(N1872&lt;&gt;"",ISNUMBER(O1872),O1872&gt;0,O1872&gt;=TODAY()-90),1,0),0)</f>
        <v/>
      </c>
      <c r="R1872" s="17" t="str">
        <f t="shared" si="90"/>
        <v/>
      </c>
      <c r="S1872" s="17" t="str">
        <f>IF(INDEX(Listado!A:A,ROW())="","",INDEX(Listado!A:A,ROW()))</f>
        <v/>
      </c>
      <c r="T1872" s="17" t="str">
        <f ca="1">IF(INDEX(Listado!G:G,ROW())="","",INDEX(Listado!G:G,ROW()))</f>
        <v/>
      </c>
      <c r="U1872" s="17" t="str">
        <f>IF(INDEX(Listado!F:F,ROW())="","",INDEX(Listado!F:F,ROW()))</f>
        <v/>
      </c>
      <c r="V1872" s="17">
        <f>IF(COUNTA(INDEX(Listado!B:B,ROW()):INDEX(Listado!F:F,ROW()))&gt;0,1,0)</f>
        <v/>
      </c>
      <c r="W1872" s="17" t="str">
        <f>IF(INDEX(Listado!L:L,ROW())="","",INDEX(Listado!L:L,ROW()))</f>
        <v/>
      </c>
      <c r="X1872" s="17">
        <f>IF(N1872="","",IF(INDEX(Listado!$M:$M,N1872)="No","No","Sí"))</f>
        <v/>
      </c>
    </row>
    <row r="1873" spans="2:24" ht="14.25">
      <c r="N1873" s="17" t="str">
        <f>IF(V1873=0,"",IFERROR(LOOKUP(2,1/(INDEX(Listado!A:A,2):INDEX(Listado!A:A,ROW())&lt;&gt;""),ROW(INDEX(Listado!A:A,2):INDEX(Listado!A:A,ROW()))),""))</f>
        <v/>
      </c>
      <c r="O1873" s="17" t="str">
        <f>IFERROR(IF(N1873="","",IF(INDEX(Listado!M:M,N1873)="No",IF(INDEX(Listado!N:N,N1873)=0,"",INDEX(Listado!N:N,N1873)),IF(INDEX(Listado!I:I,N1873)=0,"",INDEX(Listado!I:I,N1873)))),"")</f>
        <v/>
      </c>
      <c r="P1873" s="17">
        <f t="shared" ca="1" si="88"/>
        <v/>
      </c>
      <c r="Q1873" s="17">
        <f>IFERROR(IF(AND(N1873&lt;&gt;"",ISNUMBER(O1873),O1873&gt;0,O1873&gt;=TODAY()-90),1,0),0)</f>
        <v/>
      </c>
      <c r="R1873" s="17" t="str">
        <f t="shared" si="90"/>
        <v/>
      </c>
      <c r="S1873" s="17" t="str">
        <f>IF(INDEX(Listado!A:A,ROW())="","",INDEX(Listado!A:A,ROW()))</f>
        <v/>
      </c>
      <c r="T1873" s="17" t="str">
        <f ca="1">IF(INDEX(Listado!G:G,ROW())="","",INDEX(Listado!G:G,ROW()))</f>
        <v/>
      </c>
      <c r="U1873" s="17" t="str">
        <f>IF(INDEX(Listado!F:F,ROW())="","",INDEX(Listado!F:F,ROW()))</f>
        <v/>
      </c>
      <c r="V1873" s="17">
        <f>IF(COUNTA(INDEX(Listado!B:B,ROW()):INDEX(Listado!F:F,ROW()))&gt;0,1,0)</f>
        <v/>
      </c>
      <c r="W1873" s="17" t="str">
        <f>IF(INDEX(Listado!L:L,ROW())="","",INDEX(Listado!L:L,ROW()))</f>
        <v/>
      </c>
      <c r="X1873" s="17">
        <f>IF(N1873="","",IF(INDEX(Listado!$M:$M,N1873)="No","No","Sí"))</f>
        <v/>
      </c>
    </row>
    <row r="1874" spans="2:24" ht="14.25">
      <c r="N1874" s="17" t="str">
        <f>IF(V1874=0,"",IFERROR(LOOKUP(2,1/(INDEX(Listado!A:A,2):INDEX(Listado!A:A,ROW())&lt;&gt;""),ROW(INDEX(Listado!A:A,2):INDEX(Listado!A:A,ROW()))),""))</f>
        <v/>
      </c>
      <c r="O1874" s="17" t="str">
        <f>IFERROR(IF(N1874="","",IF(INDEX(Listado!M:M,N1874)="No",IF(INDEX(Listado!N:N,N1874)=0,"",INDEX(Listado!N:N,N1874)),IF(INDEX(Listado!I:I,N1874)=0,"",INDEX(Listado!I:I,N1874)))),"")</f>
        <v/>
      </c>
      <c r="P1874" s="17">
        <f t="shared" ca="1" si="88"/>
        <v/>
      </c>
      <c r="Q1874" s="17">
        <f>IFERROR(IF(AND(N1874&lt;&gt;"",ISNUMBER(O1874),O1874&gt;0,O1874&gt;=TODAY()-90),1,0),0)</f>
        <v/>
      </c>
      <c r="R1874" s="17" t="str">
        <f t="shared" si="90"/>
        <v/>
      </c>
      <c r="S1874" s="17" t="str">
        <f>IF(INDEX(Listado!A:A,ROW())="","",INDEX(Listado!A:A,ROW()))</f>
        <v/>
      </c>
      <c r="T1874" s="17" t="str">
        <f ca="1">IF(INDEX(Listado!G:G,ROW())="","",INDEX(Listado!G:G,ROW()))</f>
        <v/>
      </c>
      <c r="U1874" s="17" t="str">
        <f>IF(INDEX(Listado!F:F,ROW())="","",INDEX(Listado!F:F,ROW()))</f>
        <v/>
      </c>
      <c r="V1874" s="17">
        <f>IF(COUNTA(INDEX(Listado!B:B,ROW()):INDEX(Listado!F:F,ROW()))&gt;0,1,0)</f>
        <v/>
      </c>
      <c r="W1874" s="17" t="str">
        <f>IF(INDEX(Listado!L:L,ROW())="","",INDEX(Listado!L:L,ROW()))</f>
        <v/>
      </c>
      <c r="X1874" s="17">
        <f>IF(N1874="","",IF(INDEX(Listado!$M:$M,N1874)="No","No","Sí"))</f>
        <v/>
      </c>
    </row>
    <row r="1875" spans="2:24" ht="14.25">
      <c r="N1875" s="17" t="str">
        <f>IF(V1875=0,"",IFERROR(LOOKUP(2,1/(INDEX(Listado!A:A,2):INDEX(Listado!A:A,ROW())&lt;&gt;""),ROW(INDEX(Listado!A:A,2):INDEX(Listado!A:A,ROW()))),""))</f>
        <v/>
      </c>
      <c r="O1875" s="17" t="str">
        <f>IFERROR(IF(N1875="","",IF(INDEX(Listado!M:M,N1875)="No",IF(INDEX(Listado!N:N,N1875)=0,"",INDEX(Listado!N:N,N1875)),IF(INDEX(Listado!I:I,N1875)=0,"",INDEX(Listado!I:I,N1875)))),"")</f>
        <v/>
      </c>
      <c r="P1875" s="17">
        <f t="shared" ca="1" si="88"/>
        <v/>
      </c>
      <c r="Q1875" s="17">
        <f>IFERROR(IF(AND(N1875&lt;&gt;"",ISNUMBER(O1875),O1875&gt;0,O1875&gt;=TODAY()-90),1,0),0)</f>
        <v/>
      </c>
      <c r="R1875" s="17" t="str">
        <f t="shared" si="90"/>
        <v/>
      </c>
      <c r="S1875" s="17" t="str">
        <f>IF(INDEX(Listado!A:A,ROW())="","",INDEX(Listado!A:A,ROW()))</f>
        <v/>
      </c>
      <c r="T1875" s="17" t="str">
        <f ca="1">IF(INDEX(Listado!G:G,ROW())="","",INDEX(Listado!G:G,ROW()))</f>
        <v/>
      </c>
      <c r="U1875" s="17" t="str">
        <f>IF(INDEX(Listado!F:F,ROW())="","",INDEX(Listado!F:F,ROW()))</f>
        <v/>
      </c>
      <c r="V1875" s="17">
        <f>IF(COUNTA(INDEX(Listado!B:B,ROW()):INDEX(Listado!F:F,ROW()))&gt;0,1,0)</f>
        <v/>
      </c>
      <c r="W1875" s="17" t="str">
        <f>IF(INDEX(Listado!L:L,ROW())="","",INDEX(Listado!L:L,ROW()))</f>
        <v/>
      </c>
      <c r="X1875" s="17">
        <f>IF(N1875="","",IF(INDEX(Listado!$M:$M,N1875)="No","No","Sí"))</f>
        <v/>
      </c>
    </row>
    <row r="1876" spans="2:24" ht="14.25">
      <c r="N1876" s="17" t="str">
        <f>IF(V1876=0,"",IFERROR(LOOKUP(2,1/(INDEX(Listado!A:A,2):INDEX(Listado!A:A,ROW())&lt;&gt;""),ROW(INDEX(Listado!A:A,2):INDEX(Listado!A:A,ROW()))),""))</f>
        <v/>
      </c>
      <c r="O1876" s="17" t="str">
        <f>IFERROR(IF(N1876="","",IF(INDEX(Listado!M:M,N1876)="No",IF(INDEX(Listado!N:N,N1876)=0,"",INDEX(Listado!N:N,N1876)),IF(INDEX(Listado!I:I,N1876)=0,"",INDEX(Listado!I:I,N1876)))),"")</f>
        <v/>
      </c>
      <c r="P1876" s="17">
        <f t="shared" ca="1" si="88"/>
        <v/>
      </c>
      <c r="Q1876" s="17">
        <f>IFERROR(IF(AND(N1876&lt;&gt;"",ISNUMBER(O1876),O1876&gt;0,O1876&gt;=TODAY()-90),1,0),0)</f>
        <v/>
      </c>
      <c r="R1876" s="17" t="str">
        <f t="shared" si="90"/>
        <v/>
      </c>
      <c r="S1876" s="17" t="str">
        <f>IF(INDEX(Listado!A:A,ROW())="","",INDEX(Listado!A:A,ROW()))</f>
        <v/>
      </c>
      <c r="T1876" s="17" t="str">
        <f ca="1">IF(INDEX(Listado!G:G,ROW())="","",INDEX(Listado!G:G,ROW()))</f>
        <v/>
      </c>
      <c r="U1876" s="17" t="str">
        <f>IF(INDEX(Listado!F:F,ROW())="","",INDEX(Listado!F:F,ROW()))</f>
        <v/>
      </c>
      <c r="V1876" s="17">
        <f>IF(COUNTA(INDEX(Listado!B:B,ROW()):INDEX(Listado!F:F,ROW()))&gt;0,1,0)</f>
        <v/>
      </c>
      <c r="W1876" s="17" t="str">
        <f>IF(INDEX(Listado!L:L,ROW())="","",INDEX(Listado!L:L,ROW()))</f>
        <v/>
      </c>
      <c r="X1876" s="17">
        <f>IF(N1876="","",IF(INDEX(Listado!$M:$M,N1876)="No","No","Sí"))</f>
        <v/>
      </c>
    </row>
    <row r="1877" spans="2:24" ht="14.25">
      <c r="N1877" s="17" t="str">
        <f>IF(V1877=0,"",IFERROR(LOOKUP(2,1/(INDEX(Listado!A:A,2):INDEX(Listado!A:A,ROW())&lt;&gt;""),ROW(INDEX(Listado!A:A,2):INDEX(Listado!A:A,ROW()))),""))</f>
        <v/>
      </c>
      <c r="O1877" s="17" t="str">
        <f>IFERROR(IF(N1877="","",IF(INDEX(Listado!M:M,N1877)="No",IF(INDEX(Listado!N:N,N1877)=0,"",INDEX(Listado!N:N,N1877)),IF(INDEX(Listado!I:I,N1877)=0,"",INDEX(Listado!I:I,N1877)))),"")</f>
        <v/>
      </c>
      <c r="P1877" s="17">
        <f t="shared" ca="1" si="88"/>
        <v/>
      </c>
      <c r="Q1877" s="17">
        <f>IFERROR(IF(AND(N1877&lt;&gt;"",ISNUMBER(O1877),O1877&gt;0,O1877&gt;=TODAY()-90),1,0),0)</f>
        <v/>
      </c>
      <c r="R1877" s="17" t="str">
        <f t="shared" si="90"/>
        <v/>
      </c>
      <c r="S1877" s="17" t="str">
        <f>IF(INDEX(Listado!A:A,ROW())="","",INDEX(Listado!A:A,ROW()))</f>
        <v/>
      </c>
      <c r="T1877" s="17" t="str">
        <f ca="1">IF(INDEX(Listado!G:G,ROW())="","",INDEX(Listado!G:G,ROW()))</f>
        <v/>
      </c>
      <c r="U1877" s="17" t="str">
        <f>IF(INDEX(Listado!F:F,ROW())="","",INDEX(Listado!F:F,ROW()))</f>
        <v/>
      </c>
      <c r="V1877" s="17">
        <f>IF(COUNTA(INDEX(Listado!B:B,ROW()):INDEX(Listado!F:F,ROW()))&gt;0,1,0)</f>
        <v/>
      </c>
      <c r="W1877" s="17" t="str">
        <f>IF(INDEX(Listado!L:L,ROW())="","",INDEX(Listado!L:L,ROW()))</f>
        <v/>
      </c>
      <c r="X1877" s="17">
        <f>IF(N1877="","",IF(INDEX(Listado!$M:$M,N1877)="No","No","Sí"))</f>
        <v/>
      </c>
    </row>
    <row r="1878" spans="2:24" ht="14.25">
      <c r="N1878" s="17" t="str">
        <f>IF(V1878=0,"",IFERROR(LOOKUP(2,1/(INDEX(Listado!A:A,2):INDEX(Listado!A:A,ROW())&lt;&gt;""),ROW(INDEX(Listado!A:A,2):INDEX(Listado!A:A,ROW()))),""))</f>
        <v/>
      </c>
      <c r="O1878" s="17" t="str">
        <f>IFERROR(IF(N1878="","",IF(INDEX(Listado!M:M,N1878)="No",IF(INDEX(Listado!N:N,N1878)=0,"",INDEX(Listado!N:N,N1878)),IF(INDEX(Listado!I:I,N1878)=0,"",INDEX(Listado!I:I,N1878)))),"")</f>
        <v/>
      </c>
      <c r="P1878" s="17">
        <f t="shared" ca="1" si="88"/>
        <v/>
      </c>
      <c r="Q1878" s="17">
        <f>IFERROR(IF(AND(N1878&lt;&gt;"",ISNUMBER(O1878),O1878&gt;0,O1878&gt;=TODAY()-90),1,0),0)</f>
        <v/>
      </c>
      <c r="R1878" s="17" t="str">
        <f t="shared" si="90"/>
        <v/>
      </c>
      <c r="S1878" s="17" t="str">
        <f>IF(INDEX(Listado!A:A,ROW())="","",INDEX(Listado!A:A,ROW()))</f>
        <v/>
      </c>
      <c r="T1878" s="17" t="str">
        <f ca="1">IF(INDEX(Listado!G:G,ROW())="","",INDEX(Listado!G:G,ROW()))</f>
        <v/>
      </c>
      <c r="U1878" s="17" t="str">
        <f>IF(INDEX(Listado!F:F,ROW())="","",INDEX(Listado!F:F,ROW()))</f>
        <v/>
      </c>
      <c r="V1878" s="17">
        <f>IF(COUNTA(INDEX(Listado!B:B,ROW()):INDEX(Listado!F:F,ROW()))&gt;0,1,0)</f>
        <v/>
      </c>
      <c r="W1878" s="17" t="str">
        <f>IF(INDEX(Listado!L:L,ROW())="","",INDEX(Listado!L:L,ROW()))</f>
        <v/>
      </c>
      <c r="X1878" s="17">
        <f>IF(N1878="","",IF(INDEX(Listado!$M:$M,N1878)="No","No","Sí"))</f>
        <v/>
      </c>
    </row>
    <row r="1879" spans="2:24" ht="14.25">
      <c r="N1879" s="17" t="str">
        <f>IF(V1879=0,"",IFERROR(LOOKUP(2,1/(INDEX(Listado!A:A,2):INDEX(Listado!A:A,ROW())&lt;&gt;""),ROW(INDEX(Listado!A:A,2):INDEX(Listado!A:A,ROW()))),""))</f>
        <v/>
      </c>
      <c r="O1879" s="17" t="str">
        <f>IFERROR(IF(N1879="","",IF(INDEX(Listado!M:M,N1879)="No",IF(INDEX(Listado!N:N,N1879)=0,"",INDEX(Listado!N:N,N1879)),IF(INDEX(Listado!I:I,N1879)=0,"",INDEX(Listado!I:I,N1879)))),"")</f>
        <v/>
      </c>
      <c r="P1879" s="17">
        <f t="shared" ca="1" si="88"/>
        <v/>
      </c>
      <c r="Q1879" s="17">
        <f>IFERROR(IF(AND(N1879&lt;&gt;"",ISNUMBER(O1879),O1879&gt;0,O1879&gt;=TODAY()-90),1,0),0)</f>
        <v/>
      </c>
      <c r="R1879" s="17" t="str">
        <f t="shared" si="90"/>
        <v/>
      </c>
      <c r="S1879" s="17" t="str">
        <f>IF(INDEX(Listado!A:A,ROW())="","",INDEX(Listado!A:A,ROW()))</f>
        <v/>
      </c>
      <c r="T1879" s="17" t="str">
        <f ca="1">IF(INDEX(Listado!G:G,ROW())="","",INDEX(Listado!G:G,ROW()))</f>
        <v/>
      </c>
      <c r="U1879" s="17" t="str">
        <f>IF(INDEX(Listado!F:F,ROW())="","",INDEX(Listado!F:F,ROW()))</f>
        <v/>
      </c>
      <c r="V1879" s="17">
        <f>IF(COUNTA(INDEX(Listado!B:B,ROW()):INDEX(Listado!F:F,ROW()))&gt;0,1,0)</f>
        <v/>
      </c>
      <c r="W1879" s="17" t="str">
        <f>IF(INDEX(Listado!L:L,ROW())="","",INDEX(Listado!L:L,ROW()))</f>
        <v/>
      </c>
      <c r="X1879" s="17">
        <f>IF(N1879="","",IF(INDEX(Listado!$M:$M,N1879)="No","No","Sí"))</f>
        <v/>
      </c>
    </row>
    <row r="1880" spans="2:24" ht="14.25">
      <c r="N1880" s="17" t="str">
        <f>IF(V1880=0,"",IFERROR(LOOKUP(2,1/(INDEX(Listado!A:A,2):INDEX(Listado!A:A,ROW())&lt;&gt;""),ROW(INDEX(Listado!A:A,2):INDEX(Listado!A:A,ROW()))),""))</f>
        <v/>
      </c>
      <c r="O1880" s="17" t="str">
        <f>IFERROR(IF(N1880="","",IF(INDEX(Listado!M:M,N1880)="No",IF(INDEX(Listado!N:N,N1880)=0,"",INDEX(Listado!N:N,N1880)),IF(INDEX(Listado!I:I,N1880)=0,"",INDEX(Listado!I:I,N1880)))),"")</f>
        <v/>
      </c>
      <c r="P1880" s="17">
        <f t="shared" ca="1" si="88"/>
        <v/>
      </c>
      <c r="Q1880" s="17">
        <f>IFERROR(IF(AND(N1880&lt;&gt;"",ISNUMBER(O1880),O1880&gt;0,O1880&gt;=TODAY()-90),1,0),0)</f>
        <v/>
      </c>
      <c r="R1880" s="17" t="str">
        <f t="shared" si="90"/>
        <v/>
      </c>
      <c r="S1880" s="17" t="str">
        <f>IF(INDEX(Listado!A:A,ROW())="","",INDEX(Listado!A:A,ROW()))</f>
        <v/>
      </c>
      <c r="T1880" s="17" t="str">
        <f ca="1">IF(INDEX(Listado!G:G,ROW())="","",INDEX(Listado!G:G,ROW()))</f>
        <v/>
      </c>
      <c r="U1880" s="17" t="str">
        <f>IF(INDEX(Listado!F:F,ROW())="","",INDEX(Listado!F:F,ROW()))</f>
        <v/>
      </c>
      <c r="V1880" s="17">
        <f>IF(COUNTA(INDEX(Listado!B:B,ROW()):INDEX(Listado!F:F,ROW()))&gt;0,1,0)</f>
        <v/>
      </c>
      <c r="W1880" s="17" t="str">
        <f>IF(INDEX(Listado!L:L,ROW())="","",INDEX(Listado!L:L,ROW()))</f>
        <v/>
      </c>
      <c r="X1880" s="17">
        <f>IF(N1880="","",IF(INDEX(Listado!$M:$M,N1880)="No","No","Sí"))</f>
        <v/>
      </c>
    </row>
    <row r="1881" spans="2:24" ht="14.25">
      <c r="N1881" s="17" t="str">
        <f>IF(V1881=0,"",IFERROR(LOOKUP(2,1/(INDEX(Listado!A:A,2):INDEX(Listado!A:A,ROW())&lt;&gt;""),ROW(INDEX(Listado!A:A,2):INDEX(Listado!A:A,ROW()))),""))</f>
        <v/>
      </c>
      <c r="O1881" s="17" t="str">
        <f>IFERROR(IF(N1881="","",IF(INDEX(Listado!M:M,N1881)="No",IF(INDEX(Listado!N:N,N1881)=0,"",INDEX(Listado!N:N,N1881)),IF(INDEX(Listado!I:I,N1881)=0,"",INDEX(Listado!I:I,N1881)))),"")</f>
        <v/>
      </c>
      <c r="P1881" s="17">
        <f t="shared" ca="1" si="88"/>
        <v/>
      </c>
      <c r="Q1881" s="17">
        <f>IFERROR(IF(AND(N1881&lt;&gt;"",ISNUMBER(O1881),O1881&gt;0,O1881&gt;=TODAY()-90),1,0),0)</f>
        <v/>
      </c>
      <c r="R1881" s="17" t="str">
        <f t="shared" si="90"/>
        <v/>
      </c>
      <c r="S1881" s="17" t="str">
        <f>IF(INDEX(Listado!A:A,ROW())="","",INDEX(Listado!A:A,ROW()))</f>
        <v/>
      </c>
      <c r="T1881" s="17" t="str">
        <f ca="1">IF(INDEX(Listado!G:G,ROW())="","",INDEX(Listado!G:G,ROW()))</f>
        <v/>
      </c>
      <c r="U1881" s="17" t="str">
        <f>IF(INDEX(Listado!F:F,ROW())="","",INDEX(Listado!F:F,ROW()))</f>
        <v/>
      </c>
      <c r="V1881" s="17">
        <f>IF(COUNTA(INDEX(Listado!B:B,ROW()):INDEX(Listado!F:F,ROW()))&gt;0,1,0)</f>
        <v/>
      </c>
      <c r="W1881" s="17" t="str">
        <f>IF(INDEX(Listado!L:L,ROW())="","",INDEX(Listado!L:L,ROW()))</f>
        <v/>
      </c>
      <c r="X1881" s="17">
        <f>IF(N1881="","",IF(INDEX(Listado!$M:$M,N1881)="No","No","Sí"))</f>
        <v/>
      </c>
    </row>
    <row r="1882" spans="2:24" ht="14.25">
      <c r="N1882" s="17" t="str">
        <f>IF(V1882=0,"",IFERROR(LOOKUP(2,1/(INDEX(Listado!A:A,2):INDEX(Listado!A:A,ROW())&lt;&gt;""),ROW(INDEX(Listado!A:A,2):INDEX(Listado!A:A,ROW()))),""))</f>
        <v/>
      </c>
      <c r="O1882" s="17" t="str">
        <f>IFERROR(IF(N1882="","",IF(INDEX(Listado!M:M,N1882)="No",IF(INDEX(Listado!N:N,N1882)=0,"",INDEX(Listado!N:N,N1882)),IF(INDEX(Listado!I:I,N1882)=0,"",INDEX(Listado!I:I,N1882)))),"")</f>
        <v/>
      </c>
      <c r="P1882" s="17">
        <f t="shared" ca="1" si="88"/>
        <v/>
      </c>
      <c r="Q1882" s="17">
        <f>IFERROR(IF(AND(N1882&lt;&gt;"",ISNUMBER(O1882),O1882&gt;0,O1882&gt;=TODAY()-90),1,0),0)</f>
        <v/>
      </c>
      <c r="R1882" s="17" t="str">
        <f t="shared" si="90"/>
        <v/>
      </c>
      <c r="S1882" s="17" t="str">
        <f>IF(INDEX(Listado!A:A,ROW())="","",INDEX(Listado!A:A,ROW()))</f>
        <v/>
      </c>
      <c r="T1882" s="17" t="str">
        <f ca="1">IF(INDEX(Listado!G:G,ROW())="","",INDEX(Listado!G:G,ROW()))</f>
        <v/>
      </c>
      <c r="U1882" s="17" t="str">
        <f>IF(INDEX(Listado!F:F,ROW())="","",INDEX(Listado!F:F,ROW()))</f>
        <v/>
      </c>
      <c r="V1882" s="17">
        <f>IF(COUNTA(INDEX(Listado!B:B,ROW()):INDEX(Listado!F:F,ROW()))&gt;0,1,0)</f>
        <v/>
      </c>
      <c r="W1882" s="17" t="str">
        <f>IF(INDEX(Listado!L:L,ROW())="","",INDEX(Listado!L:L,ROW()))</f>
        <v/>
      </c>
      <c r="X1882" s="17">
        <f>IF(N1882="","",IF(INDEX(Listado!$M:$M,N1882)="No","No","Sí"))</f>
        <v/>
      </c>
    </row>
    <row r="1883" spans="2:24" ht="14.25">
      <c r="N1883" s="17" t="str">
        <f>IF(V1883=0,"",IFERROR(LOOKUP(2,1/(INDEX(Listado!A:A,2):INDEX(Listado!A:A,ROW())&lt;&gt;""),ROW(INDEX(Listado!A:A,2):INDEX(Listado!A:A,ROW()))),""))</f>
        <v/>
      </c>
      <c r="O1883" s="17" t="str">
        <f>IFERROR(IF(N1883="","",IF(INDEX(Listado!M:M,N1883)="No",IF(INDEX(Listado!N:N,N1883)=0,"",INDEX(Listado!N:N,N1883)),IF(INDEX(Listado!I:I,N1883)=0,"",INDEX(Listado!I:I,N1883)))),"")</f>
        <v/>
      </c>
      <c r="P1883" s="17">
        <f t="shared" ca="1" si="88"/>
        <v/>
      </c>
      <c r="Q1883" s="17">
        <f>IFERROR(IF(AND(N1883&lt;&gt;"",ISNUMBER(O1883),O1883&gt;0,O1883&gt;=TODAY()-90),1,0),0)</f>
        <v/>
      </c>
      <c r="R1883" s="17" t="str">
        <f t="shared" si="90"/>
        <v/>
      </c>
      <c r="S1883" s="17" t="str">
        <f>IF(INDEX(Listado!A:A,ROW())="","",INDEX(Listado!A:A,ROW()))</f>
        <v/>
      </c>
      <c r="T1883" s="17" t="str">
        <f ca="1">IF(INDEX(Listado!G:G,ROW())="","",INDEX(Listado!G:G,ROW()))</f>
        <v/>
      </c>
      <c r="U1883" s="17" t="str">
        <f>IF(INDEX(Listado!F:F,ROW())="","",INDEX(Listado!F:F,ROW()))</f>
        <v/>
      </c>
      <c r="V1883" s="17">
        <f>IF(COUNTA(INDEX(Listado!B:B,ROW()):INDEX(Listado!F:F,ROW()))&gt;0,1,0)</f>
        <v/>
      </c>
      <c r="W1883" s="17" t="str">
        <f>IF(INDEX(Listado!L:L,ROW())="","",INDEX(Listado!L:L,ROW()))</f>
        <v/>
      </c>
      <c r="X1883" s="17">
        <f>IF(N1883="","",IF(INDEX(Listado!$M:$M,N1883)="No","No","Sí"))</f>
        <v/>
      </c>
    </row>
    <row r="1884" spans="2:24" ht="14.25">
      <c r="N1884" s="17" t="str">
        <f>IF(V1884=0,"",IFERROR(LOOKUP(2,1/(INDEX(Listado!A:A,2):INDEX(Listado!A:A,ROW())&lt;&gt;""),ROW(INDEX(Listado!A:A,2):INDEX(Listado!A:A,ROW()))),""))</f>
        <v/>
      </c>
      <c r="O1884" s="17" t="str">
        <f>IFERROR(IF(N1884="","",IF(INDEX(Listado!M:M,N1884)="No",IF(INDEX(Listado!N:N,N1884)=0,"",INDEX(Listado!N:N,N1884)),IF(INDEX(Listado!I:I,N1884)=0,"",INDEX(Listado!I:I,N1884)))),"")</f>
        <v/>
      </c>
      <c r="P1884" s="17">
        <f t="shared" ca="1" si="88"/>
        <v/>
      </c>
      <c r="Q1884" s="17">
        <f>IFERROR(IF(AND(N1884&lt;&gt;"",ISNUMBER(O1884),O1884&gt;0,O1884&gt;=TODAY()-90),1,0),0)</f>
        <v/>
      </c>
      <c r="R1884" s="17" t="str">
        <f t="shared" si="90"/>
        <v/>
      </c>
      <c r="S1884" s="17" t="str">
        <f>IF(INDEX(Listado!A:A,ROW())="","",INDEX(Listado!A:A,ROW()))</f>
        <v/>
      </c>
      <c r="T1884" s="17" t="str">
        <f ca="1">IF(INDEX(Listado!G:G,ROW())="","",INDEX(Listado!G:G,ROW()))</f>
        <v/>
      </c>
      <c r="U1884" s="17" t="str">
        <f>IF(INDEX(Listado!F:F,ROW())="","",INDEX(Listado!F:F,ROW()))</f>
        <v/>
      </c>
      <c r="V1884" s="17">
        <f>IF(COUNTA(INDEX(Listado!B:B,ROW()):INDEX(Listado!F:F,ROW()))&gt;0,1,0)</f>
        <v/>
      </c>
      <c r="W1884" s="17" t="str">
        <f>IF(INDEX(Listado!L:L,ROW())="","",INDEX(Listado!L:L,ROW()))</f>
        <v/>
      </c>
      <c r="X1884" s="17">
        <f>IF(N1884="","",IF(INDEX(Listado!$M:$M,N1884)="No","No","Sí"))</f>
        <v/>
      </c>
    </row>
    <row r="1885" spans="2:24" ht="14.25">
      <c r="N1885" s="17" t="str">
        <f>IF(V1885=0,"",IFERROR(LOOKUP(2,1/(INDEX(Listado!A:A,2):INDEX(Listado!A:A,ROW())&lt;&gt;""),ROW(INDEX(Listado!A:A,2):INDEX(Listado!A:A,ROW()))),""))</f>
        <v/>
      </c>
      <c r="O1885" s="17" t="str">
        <f>IFERROR(IF(N1885="","",IF(INDEX(Listado!M:M,N1885)="No",IF(INDEX(Listado!N:N,N1885)=0,"",INDEX(Listado!N:N,N1885)),IF(INDEX(Listado!I:I,N1885)=0,"",INDEX(Listado!I:I,N1885)))),"")</f>
        <v/>
      </c>
      <c r="P1885" s="17">
        <f t="shared" ca="1" si="88"/>
        <v/>
      </c>
      <c r="Q1885" s="17">
        <f>IFERROR(IF(AND(N1885&lt;&gt;"",ISNUMBER(O1885),O1885&gt;0,O1885&gt;=TODAY()-90),1,0),0)</f>
        <v/>
      </c>
      <c r="R1885" s="17" t="str">
        <f t="shared" si="90"/>
        <v/>
      </c>
      <c r="S1885" s="17" t="str">
        <f>IF(INDEX(Listado!A:A,ROW())="","",INDEX(Listado!A:A,ROW()))</f>
        <v/>
      </c>
      <c r="T1885" s="17" t="str">
        <f ca="1">IF(INDEX(Listado!G:G,ROW())="","",INDEX(Listado!G:G,ROW()))</f>
        <v/>
      </c>
      <c r="U1885" s="17" t="str">
        <f>IF(INDEX(Listado!F:F,ROW())="","",INDEX(Listado!F:F,ROW()))</f>
        <v/>
      </c>
      <c r="V1885" s="17">
        <f>IF(COUNTA(INDEX(Listado!B:B,ROW()):INDEX(Listado!F:F,ROW()))&gt;0,1,0)</f>
        <v/>
      </c>
      <c r="W1885" s="17" t="str">
        <f>IF(INDEX(Listado!L:L,ROW())="","",INDEX(Listado!L:L,ROW()))</f>
        <v/>
      </c>
      <c r="X1885" s="17">
        <f>IF(N1885="","",IF(INDEX(Listado!$M:$M,N1885)="No","No","Sí"))</f>
        <v/>
      </c>
    </row>
    <row r="1886" spans="2:24" ht="14.25">
      <c r="N1886" s="17" t="str">
        <f>IF(V1886=0,"",IFERROR(LOOKUP(2,1/(INDEX(Listado!A:A,2):INDEX(Listado!A:A,ROW())&lt;&gt;""),ROW(INDEX(Listado!A:A,2):INDEX(Listado!A:A,ROW()))),""))</f>
        <v/>
      </c>
      <c r="O1886" s="17" t="str">
        <f>IFERROR(IF(N1886="","",IF(INDEX(Listado!M:M,N1886)="No",IF(INDEX(Listado!N:N,N1886)=0,"",INDEX(Listado!N:N,N1886)),IF(INDEX(Listado!I:I,N1886)=0,"",INDEX(Listado!I:I,N1886)))),"")</f>
        <v/>
      </c>
      <c r="P1886" s="17">
        <f t="shared" ca="1" si="88"/>
        <v/>
      </c>
      <c r="Q1886" s="17">
        <f>IFERROR(IF(AND(N1886&lt;&gt;"",ISNUMBER(O1886),O1886&gt;0,O1886&gt;=TODAY()-90),1,0),0)</f>
        <v/>
      </c>
      <c r="R1886" s="17" t="str">
        <f t="shared" si="90"/>
        <v/>
      </c>
      <c r="S1886" s="17" t="str">
        <f>IF(INDEX(Listado!A:A,ROW())="","",INDEX(Listado!A:A,ROW()))</f>
        <v/>
      </c>
      <c r="T1886" s="17" t="str">
        <f ca="1">IF(INDEX(Listado!G:G,ROW())="","",INDEX(Listado!G:G,ROW()))</f>
        <v/>
      </c>
      <c r="U1886" s="17" t="str">
        <f>IF(INDEX(Listado!F:F,ROW())="","",INDEX(Listado!F:F,ROW()))</f>
        <v/>
      </c>
      <c r="V1886" s="17">
        <f>IF(COUNTA(INDEX(Listado!B:B,ROW()):INDEX(Listado!F:F,ROW()))&gt;0,1,0)</f>
        <v/>
      </c>
      <c r="W1886" s="17" t="str">
        <f>IF(INDEX(Listado!L:L,ROW())="","",INDEX(Listado!L:L,ROW()))</f>
        <v/>
      </c>
      <c r="X1886" s="17">
        <f>IF(N1886="","",IF(INDEX(Listado!$M:$M,N1886)="No","No","Sí"))</f>
        <v/>
      </c>
    </row>
    <row r="1887" spans="2:24" ht="14.25">
      <c r="N1887" s="17" t="str">
        <f>IF(V1887=0,"",IFERROR(LOOKUP(2,1/(INDEX(Listado!A:A,2):INDEX(Listado!A:A,ROW())&lt;&gt;""),ROW(INDEX(Listado!A:A,2):INDEX(Listado!A:A,ROW()))),""))</f>
        <v/>
      </c>
      <c r="O1887" s="17" t="str">
        <f>IFERROR(IF(N1887="","",IF(INDEX(Listado!M:M,N1887)="No",IF(INDEX(Listado!N:N,N1887)=0,"",INDEX(Listado!N:N,N1887)),IF(INDEX(Listado!I:I,N1887)=0,"",INDEX(Listado!I:I,N1887)))),"")</f>
        <v/>
      </c>
      <c r="P1887" s="17">
        <f t="shared" ca="1" si="88"/>
        <v/>
      </c>
      <c r="Q1887" s="17">
        <f>IFERROR(IF(AND(N1887&lt;&gt;"",ISNUMBER(O1887),O1887&gt;0,O1887&gt;=TODAY()-90),1,0),0)</f>
        <v/>
      </c>
      <c r="R1887" s="17" t="str">
        <f t="shared" si="90"/>
        <v/>
      </c>
      <c r="S1887" s="17" t="str">
        <f>IF(INDEX(Listado!A:A,ROW())="","",INDEX(Listado!A:A,ROW()))</f>
        <v/>
      </c>
      <c r="T1887" s="17" t="str">
        <f ca="1">IF(INDEX(Listado!G:G,ROW())="","",INDEX(Listado!G:G,ROW()))</f>
        <v/>
      </c>
      <c r="U1887" s="17" t="str">
        <f>IF(INDEX(Listado!F:F,ROW())="","",INDEX(Listado!F:F,ROW()))</f>
        <v/>
      </c>
      <c r="V1887" s="17">
        <f>IF(COUNTA(INDEX(Listado!B:B,ROW()):INDEX(Listado!F:F,ROW()))&gt;0,1,0)</f>
        <v/>
      </c>
      <c r="W1887" s="17" t="str">
        <f>IF(INDEX(Listado!L:L,ROW())="","",INDEX(Listado!L:L,ROW()))</f>
        <v/>
      </c>
      <c r="X1887" s="17">
        <f>IF(N1887="","",IF(INDEX(Listado!$M:$M,N1887)="No","No","Sí"))</f>
        <v/>
      </c>
    </row>
    <row r="1888" spans="2:24" ht="14.25">
      <c r="N1888" s="17" t="str">
        <f>IF(V1888=0,"",IFERROR(LOOKUP(2,1/(INDEX(Listado!A:A,2):INDEX(Listado!A:A,ROW())&lt;&gt;""),ROW(INDEX(Listado!A:A,2):INDEX(Listado!A:A,ROW()))),""))</f>
        <v/>
      </c>
      <c r="O1888" s="17" t="str">
        <f>IFERROR(IF(N1888="","",IF(INDEX(Listado!M:M,N1888)="No",IF(INDEX(Listado!N:N,N1888)=0,"",INDEX(Listado!N:N,N1888)),IF(INDEX(Listado!I:I,N1888)=0,"",INDEX(Listado!I:I,N1888)))),"")</f>
        <v/>
      </c>
      <c r="P1888" s="17">
        <f t="shared" ca="1" si="88"/>
        <v/>
      </c>
      <c r="Q1888" s="17">
        <f>IFERROR(IF(AND(N1888&lt;&gt;"",ISNUMBER(O1888),O1888&gt;0,O1888&gt;=TODAY()-90),1,0),0)</f>
        <v/>
      </c>
      <c r="R1888" s="17" t="str">
        <f t="shared" si="90"/>
        <v/>
      </c>
      <c r="S1888" s="17" t="str">
        <f>IF(INDEX(Listado!A:A,ROW())="","",INDEX(Listado!A:A,ROW()))</f>
        <v/>
      </c>
      <c r="T1888" s="17" t="str">
        <f ca="1">IF(INDEX(Listado!G:G,ROW())="","",INDEX(Listado!G:G,ROW()))</f>
        <v/>
      </c>
      <c r="U1888" s="17" t="str">
        <f>IF(INDEX(Listado!F:F,ROW())="","",INDEX(Listado!F:F,ROW()))</f>
        <v/>
      </c>
      <c r="V1888" s="17">
        <f>IF(COUNTA(INDEX(Listado!B:B,ROW()):INDEX(Listado!F:F,ROW()))&gt;0,1,0)</f>
        <v/>
      </c>
      <c r="W1888" s="17" t="str">
        <f>IF(INDEX(Listado!L:L,ROW())="","",INDEX(Listado!L:L,ROW()))</f>
        <v/>
      </c>
      <c r="X1888" s="17">
        <f>IF(N1888="","",IF(INDEX(Listado!$M:$M,N1888)="No","No","Sí"))</f>
        <v/>
      </c>
    </row>
    <row r="1889" spans="2:24" ht="14.25">
      <c r="N1889" s="17" t="str">
        <f>IF(V1889=0,"",IFERROR(LOOKUP(2,1/(INDEX(Listado!A:A,2):INDEX(Listado!A:A,ROW())&lt;&gt;""),ROW(INDEX(Listado!A:A,2):INDEX(Listado!A:A,ROW()))),""))</f>
        <v/>
      </c>
      <c r="O1889" s="17" t="str">
        <f>IFERROR(IF(N1889="","",IF(INDEX(Listado!M:M,N1889)="No",IF(INDEX(Listado!N:N,N1889)=0,"",INDEX(Listado!N:N,N1889)),IF(INDEX(Listado!I:I,N1889)=0,"",INDEX(Listado!I:I,N1889)))),"")</f>
        <v/>
      </c>
      <c r="P1889" s="17">
        <f t="shared" ca="1" si="88"/>
        <v/>
      </c>
      <c r="Q1889" s="17">
        <f>IFERROR(IF(AND(N1889&lt;&gt;"",ISNUMBER(O1889),O1889&gt;0,O1889&gt;=TODAY()-90),1,0),0)</f>
        <v/>
      </c>
      <c r="R1889" s="17" t="str">
        <f t="shared" si="90"/>
        <v/>
      </c>
      <c r="S1889" s="17" t="str">
        <f>IF(INDEX(Listado!A:A,ROW())="","",INDEX(Listado!A:A,ROW()))</f>
        <v/>
      </c>
      <c r="T1889" s="17" t="str">
        <f ca="1">IF(INDEX(Listado!G:G,ROW())="","",INDEX(Listado!G:G,ROW()))</f>
        <v/>
      </c>
      <c r="U1889" s="17" t="str">
        <f>IF(INDEX(Listado!F:F,ROW())="","",INDEX(Listado!F:F,ROW()))</f>
        <v/>
      </c>
      <c r="V1889" s="17">
        <f>IF(COUNTA(INDEX(Listado!B:B,ROW()):INDEX(Listado!F:F,ROW()))&gt;0,1,0)</f>
        <v/>
      </c>
      <c r="W1889" s="17" t="str">
        <f>IF(INDEX(Listado!L:L,ROW())="","",INDEX(Listado!L:L,ROW()))</f>
        <v/>
      </c>
      <c r="X1889" s="17">
        <f>IF(N1889="","",IF(INDEX(Listado!$M:$M,N1889)="No","No","Sí"))</f>
        <v/>
      </c>
    </row>
    <row r="1890" spans="2:24" ht="14.25">
      <c r="N1890" s="17" t="str">
        <f>IF(V1890=0,"",IFERROR(LOOKUP(2,1/(INDEX(Listado!A:A,2):INDEX(Listado!A:A,ROW())&lt;&gt;""),ROW(INDEX(Listado!A:A,2):INDEX(Listado!A:A,ROW()))),""))</f>
        <v/>
      </c>
      <c r="O1890" s="17" t="str">
        <f>IFERROR(IF(N1890="","",IF(INDEX(Listado!M:M,N1890)="No",IF(INDEX(Listado!N:N,N1890)=0,"",INDEX(Listado!N:N,N1890)),IF(INDEX(Listado!I:I,N1890)=0,"",INDEX(Listado!I:I,N1890)))),"")</f>
        <v/>
      </c>
      <c r="P1890" s="17">
        <f t="shared" ca="1" si="88"/>
        <v/>
      </c>
      <c r="Q1890" s="17">
        <f>IFERROR(IF(AND(N1890&lt;&gt;"",ISNUMBER(O1890),O1890&gt;0,O1890&gt;=TODAY()-90),1,0),0)</f>
        <v/>
      </c>
      <c r="R1890" s="17" t="str">
        <f t="shared" si="90"/>
        <v/>
      </c>
      <c r="S1890" s="17" t="str">
        <f>IF(INDEX(Listado!A:A,ROW())="","",INDEX(Listado!A:A,ROW()))</f>
        <v/>
      </c>
      <c r="T1890" s="17" t="str">
        <f ca="1">IF(INDEX(Listado!G:G,ROW())="","",INDEX(Listado!G:G,ROW()))</f>
        <v/>
      </c>
      <c r="U1890" s="17" t="str">
        <f>IF(INDEX(Listado!F:F,ROW())="","",INDEX(Listado!F:F,ROW()))</f>
        <v/>
      </c>
      <c r="V1890" s="17">
        <f>IF(COUNTA(INDEX(Listado!B:B,ROW()):INDEX(Listado!F:F,ROW()))&gt;0,1,0)</f>
        <v/>
      </c>
      <c r="W1890" s="17" t="str">
        <f>IF(INDEX(Listado!L:L,ROW())="","",INDEX(Listado!L:L,ROW()))</f>
        <v/>
      </c>
      <c r="X1890" s="17">
        <f>IF(N1890="","",IF(INDEX(Listado!$M:$M,N1890)="No","No","Sí"))</f>
        <v/>
      </c>
    </row>
    <row r="1891" spans="2:24" ht="14.25">
      <c r="N1891" s="17" t="str">
        <f>IF(V1891=0,"",IFERROR(LOOKUP(2,1/(INDEX(Listado!A:A,2):INDEX(Listado!A:A,ROW())&lt;&gt;""),ROW(INDEX(Listado!A:A,2):INDEX(Listado!A:A,ROW()))),""))</f>
        <v/>
      </c>
      <c r="O1891" s="17" t="str">
        <f>IFERROR(IF(N1891="","",IF(INDEX(Listado!M:M,N1891)="No",IF(INDEX(Listado!N:N,N1891)=0,"",INDEX(Listado!N:N,N1891)),IF(INDEX(Listado!I:I,N1891)=0,"",INDEX(Listado!I:I,N1891)))),"")</f>
        <v/>
      </c>
      <c r="P1891" s="17">
        <f t="shared" ca="1" si="88"/>
        <v/>
      </c>
      <c r="Q1891" s="17">
        <f>IFERROR(IF(AND(N1891&lt;&gt;"",ISNUMBER(O1891),O1891&gt;0,O1891&gt;=TODAY()-90),1,0),0)</f>
        <v/>
      </c>
      <c r="R1891" s="17" t="str">
        <f t="shared" si="90"/>
        <v/>
      </c>
      <c r="S1891" s="17" t="str">
        <f>IF(INDEX(Listado!A:A,ROW())="","",INDEX(Listado!A:A,ROW()))</f>
        <v/>
      </c>
      <c r="T1891" s="17" t="str">
        <f ca="1">IF(INDEX(Listado!G:G,ROW())="","",INDEX(Listado!G:G,ROW()))</f>
        <v/>
      </c>
      <c r="U1891" s="17" t="str">
        <f>IF(INDEX(Listado!F:F,ROW())="","",INDEX(Listado!F:F,ROW()))</f>
        <v/>
      </c>
      <c r="V1891" s="17">
        <f>IF(COUNTA(INDEX(Listado!B:B,ROW()):INDEX(Listado!F:F,ROW()))&gt;0,1,0)</f>
        <v/>
      </c>
      <c r="W1891" s="17" t="str">
        <f>IF(INDEX(Listado!L:L,ROW())="","",INDEX(Listado!L:L,ROW()))</f>
        <v/>
      </c>
      <c r="X1891" s="17">
        <f>IF(N1891="","",IF(INDEX(Listado!$M:$M,N1891)="No","No","Sí"))</f>
        <v/>
      </c>
    </row>
    <row r="1892" spans="2:24" ht="14.25">
      <c r="N1892" s="17" t="str">
        <f>IF(V1892=0,"",IFERROR(LOOKUP(2,1/(INDEX(Listado!A:A,2):INDEX(Listado!A:A,ROW())&lt;&gt;""),ROW(INDEX(Listado!A:A,2):INDEX(Listado!A:A,ROW()))),""))</f>
        <v/>
      </c>
      <c r="O1892" s="17" t="str">
        <f>IFERROR(IF(N1892="","",IF(INDEX(Listado!M:M,N1892)="No",IF(INDEX(Listado!N:N,N1892)=0,"",INDEX(Listado!N:N,N1892)),IF(INDEX(Listado!I:I,N1892)=0,"",INDEX(Listado!I:I,N1892)))),"")</f>
        <v/>
      </c>
      <c r="P1892" s="17">
        <f t="shared" ca="1" si="88"/>
        <v/>
      </c>
      <c r="Q1892" s="17">
        <f>IFERROR(IF(AND(N1892&lt;&gt;"",ISNUMBER(O1892),O1892&gt;0,O1892&gt;=TODAY()-90),1,0),0)</f>
        <v/>
      </c>
      <c r="R1892" s="17" t="str">
        <f t="shared" si="90"/>
        <v/>
      </c>
      <c r="S1892" s="17" t="str">
        <f>IF(INDEX(Listado!A:A,ROW())="","",INDEX(Listado!A:A,ROW()))</f>
        <v/>
      </c>
      <c r="T1892" s="17" t="str">
        <f ca="1">IF(INDEX(Listado!G:G,ROW())="","",INDEX(Listado!G:G,ROW()))</f>
        <v/>
      </c>
      <c r="U1892" s="17" t="str">
        <f>IF(INDEX(Listado!F:F,ROW())="","",INDEX(Listado!F:F,ROW()))</f>
        <v/>
      </c>
      <c r="V1892" s="17">
        <f>IF(COUNTA(INDEX(Listado!B:B,ROW()):INDEX(Listado!F:F,ROW()))&gt;0,1,0)</f>
        <v/>
      </c>
      <c r="W1892" s="17" t="str">
        <f>IF(INDEX(Listado!L:L,ROW())="","",INDEX(Listado!L:L,ROW()))</f>
        <v/>
      </c>
      <c r="X1892" s="17">
        <f>IF(N1892="","",IF(INDEX(Listado!$M:$M,N1892)="No","No","Sí"))</f>
        <v/>
      </c>
    </row>
    <row r="1893" spans="2:24" ht="14.25">
      <c r="N1893" s="17" t="str">
        <f>IF(V1893=0,"",IFERROR(LOOKUP(2,1/(INDEX(Listado!A:A,2):INDEX(Listado!A:A,ROW())&lt;&gt;""),ROW(INDEX(Listado!A:A,2):INDEX(Listado!A:A,ROW()))),""))</f>
        <v/>
      </c>
      <c r="O1893" s="17" t="str">
        <f>IFERROR(IF(N1893="","",IF(INDEX(Listado!M:M,N1893)="No",IF(INDEX(Listado!N:N,N1893)=0,"",INDEX(Listado!N:N,N1893)),IF(INDEX(Listado!I:I,N1893)=0,"",INDEX(Listado!I:I,N1893)))),"")</f>
        <v/>
      </c>
      <c r="P1893" s="17">
        <f t="shared" ca="1" si="88"/>
        <v/>
      </c>
      <c r="Q1893" s="17">
        <f>IFERROR(IF(AND(N1893&lt;&gt;"",ISNUMBER(O1893),O1893&gt;0,O1893&gt;=TODAY()-90),1,0),0)</f>
        <v/>
      </c>
      <c r="R1893" s="17" t="str">
        <f t="shared" si="90"/>
        <v/>
      </c>
      <c r="S1893" s="17" t="str">
        <f>IF(INDEX(Listado!A:A,ROW())="","",INDEX(Listado!A:A,ROW()))</f>
        <v/>
      </c>
      <c r="T1893" s="17" t="str">
        <f ca="1">IF(INDEX(Listado!G:G,ROW())="","",INDEX(Listado!G:G,ROW()))</f>
        <v/>
      </c>
      <c r="U1893" s="17" t="str">
        <f>IF(INDEX(Listado!F:F,ROW())="","",INDEX(Listado!F:F,ROW()))</f>
        <v/>
      </c>
      <c r="V1893" s="17">
        <f>IF(COUNTA(INDEX(Listado!B:B,ROW()):INDEX(Listado!F:F,ROW()))&gt;0,1,0)</f>
        <v/>
      </c>
      <c r="W1893" s="17" t="str">
        <f>IF(INDEX(Listado!L:L,ROW())="","",INDEX(Listado!L:L,ROW()))</f>
        <v/>
      </c>
      <c r="X1893" s="17">
        <f>IF(N1893="","",IF(INDEX(Listado!$M:$M,N1893)="No","No","Sí"))</f>
        <v/>
      </c>
    </row>
    <row r="1894" spans="2:24" ht="14.25">
      <c r="N1894" s="17" t="str">
        <f>IF(V1894=0,"",IFERROR(LOOKUP(2,1/(INDEX(Listado!A:A,2):INDEX(Listado!A:A,ROW())&lt;&gt;""),ROW(INDEX(Listado!A:A,2):INDEX(Listado!A:A,ROW()))),""))</f>
        <v/>
      </c>
      <c r="O1894" s="17" t="str">
        <f>IFERROR(IF(N1894="","",IF(INDEX(Listado!M:M,N1894)="No",IF(INDEX(Listado!N:N,N1894)=0,"",INDEX(Listado!N:N,N1894)),IF(INDEX(Listado!I:I,N1894)=0,"",INDEX(Listado!I:I,N1894)))),"")</f>
        <v/>
      </c>
      <c r="P1894" s="17">
        <f t="shared" ca="1" si="88"/>
        <v/>
      </c>
      <c r="Q1894" s="17">
        <f>IFERROR(IF(AND(N1894&lt;&gt;"",ISNUMBER(O1894),O1894&gt;0,O1894&gt;=TODAY()-90),1,0),0)</f>
        <v/>
      </c>
      <c r="R1894" s="17" t="str">
        <f t="shared" si="90"/>
        <v/>
      </c>
      <c r="S1894" s="17" t="str">
        <f>IF(INDEX(Listado!A:A,ROW())="","",INDEX(Listado!A:A,ROW()))</f>
        <v/>
      </c>
      <c r="T1894" s="17" t="str">
        <f ca="1">IF(INDEX(Listado!G:G,ROW())="","",INDEX(Listado!G:G,ROW()))</f>
        <v/>
      </c>
      <c r="U1894" s="17" t="str">
        <f>IF(INDEX(Listado!F:F,ROW())="","",INDEX(Listado!F:F,ROW()))</f>
        <v/>
      </c>
      <c r="V1894" s="17">
        <f>IF(COUNTA(INDEX(Listado!B:B,ROW()):INDEX(Listado!F:F,ROW()))&gt;0,1,0)</f>
        <v/>
      </c>
      <c r="W1894" s="17" t="str">
        <f>IF(INDEX(Listado!L:L,ROW())="","",INDEX(Listado!L:L,ROW()))</f>
        <v/>
      </c>
      <c r="X1894" s="17">
        <f>IF(N1894="","",IF(INDEX(Listado!$M:$M,N1894)="No","No","Sí"))</f>
        <v/>
      </c>
    </row>
    <row r="1895" spans="2:24" ht="14.25">
      <c r="N1895" s="17" t="str">
        <f>IF(V1895=0,"",IFERROR(LOOKUP(2,1/(INDEX(Listado!A:A,2):INDEX(Listado!A:A,ROW())&lt;&gt;""),ROW(INDEX(Listado!A:A,2):INDEX(Listado!A:A,ROW()))),""))</f>
        <v/>
      </c>
      <c r="O1895" s="17" t="str">
        <f>IFERROR(IF(N1895="","",IF(INDEX(Listado!M:M,N1895)="No",IF(INDEX(Listado!N:N,N1895)=0,"",INDEX(Listado!N:N,N1895)),IF(INDEX(Listado!I:I,N1895)=0,"",INDEX(Listado!I:I,N1895)))),"")</f>
        <v/>
      </c>
      <c r="P1895" s="17">
        <f t="shared" ca="1" si="88"/>
        <v/>
      </c>
      <c r="Q1895" s="17">
        <f>IFERROR(IF(AND(N1895&lt;&gt;"",ISNUMBER(O1895),O1895&gt;0,O1895&gt;=TODAY()-90),1,0),0)</f>
        <v/>
      </c>
      <c r="R1895" s="17" t="str">
        <f t="shared" si="90"/>
        <v/>
      </c>
      <c r="S1895" s="17" t="str">
        <f>IF(INDEX(Listado!A:A,ROW())="","",INDEX(Listado!A:A,ROW()))</f>
        <v/>
      </c>
      <c r="T1895" s="17" t="str">
        <f ca="1">IF(INDEX(Listado!G:G,ROW())="","",INDEX(Listado!G:G,ROW()))</f>
        <v/>
      </c>
      <c r="U1895" s="17" t="str">
        <f>IF(INDEX(Listado!F:F,ROW())="","",INDEX(Listado!F:F,ROW()))</f>
        <v/>
      </c>
      <c r="V1895" s="17">
        <f>IF(COUNTA(INDEX(Listado!B:B,ROW()):INDEX(Listado!F:F,ROW()))&gt;0,1,0)</f>
        <v/>
      </c>
      <c r="W1895" s="17" t="str">
        <f>IF(INDEX(Listado!L:L,ROW())="","",INDEX(Listado!L:L,ROW()))</f>
        <v/>
      </c>
      <c r="X1895" s="17">
        <f>IF(N1895="","",IF(INDEX(Listado!$M:$M,N1895)="No","No","Sí"))</f>
        <v/>
      </c>
    </row>
    <row r="1896" spans="2:24" ht="14.25">
      <c r="N1896" s="17" t="str">
        <f>IF(V1896=0,"",IFERROR(LOOKUP(2,1/(INDEX(Listado!A:A,2):INDEX(Listado!A:A,ROW())&lt;&gt;""),ROW(INDEX(Listado!A:A,2):INDEX(Listado!A:A,ROW()))),""))</f>
        <v/>
      </c>
      <c r="O1896" s="17" t="str">
        <f>IFERROR(IF(N1896="","",IF(INDEX(Listado!M:M,N1896)="No",IF(INDEX(Listado!N:N,N1896)=0,"",INDEX(Listado!N:N,N1896)),IF(INDEX(Listado!I:I,N1896)=0,"",INDEX(Listado!I:I,N1896)))),"")</f>
        <v/>
      </c>
      <c r="P1896" s="17">
        <f t="shared" ca="1" si="88"/>
        <v/>
      </c>
      <c r="Q1896" s="17">
        <f>IFERROR(IF(AND(N1896&lt;&gt;"",ISNUMBER(O1896),O1896&gt;0,O1896&gt;=TODAY()-90),1,0),0)</f>
        <v/>
      </c>
      <c r="R1896" s="17" t="str">
        <f t="shared" si="90"/>
        <v/>
      </c>
      <c r="S1896" s="17" t="str">
        <f>IF(INDEX(Listado!A:A,ROW())="","",INDEX(Listado!A:A,ROW()))</f>
        <v/>
      </c>
      <c r="T1896" s="17" t="str">
        <f ca="1">IF(INDEX(Listado!G:G,ROW())="","",INDEX(Listado!G:G,ROW()))</f>
        <v/>
      </c>
      <c r="U1896" s="17" t="str">
        <f>IF(INDEX(Listado!F:F,ROW())="","",INDEX(Listado!F:F,ROW()))</f>
        <v/>
      </c>
      <c r="V1896" s="17">
        <f>IF(COUNTA(INDEX(Listado!B:B,ROW()):INDEX(Listado!F:F,ROW()))&gt;0,1,0)</f>
        <v/>
      </c>
      <c r="W1896" s="17" t="str">
        <f>IF(INDEX(Listado!L:L,ROW())="","",INDEX(Listado!L:L,ROW()))</f>
        <v/>
      </c>
      <c r="X1896" s="17">
        <f>IF(N1896="","",IF(INDEX(Listado!$M:$M,N1896)="No","No","Sí"))</f>
        <v/>
      </c>
    </row>
    <row r="1897" spans="2:24" ht="14.25">
      <c r="N1897" s="17" t="str">
        <f>IF(V1897=0,"",IFERROR(LOOKUP(2,1/(INDEX(Listado!A:A,2):INDEX(Listado!A:A,ROW())&lt;&gt;""),ROW(INDEX(Listado!A:A,2):INDEX(Listado!A:A,ROW()))),""))</f>
        <v/>
      </c>
      <c r="O1897" s="17" t="str">
        <f>IFERROR(IF(N1897="","",IF(INDEX(Listado!M:M,N1897)="No",IF(INDEX(Listado!N:N,N1897)=0,"",INDEX(Listado!N:N,N1897)),IF(INDEX(Listado!I:I,N1897)=0,"",INDEX(Listado!I:I,N1897)))),"")</f>
        <v/>
      </c>
      <c r="P1897" s="17">
        <f t="shared" ca="1" si="88"/>
        <v/>
      </c>
      <c r="Q1897" s="17">
        <f>IFERROR(IF(AND(N1897&lt;&gt;"",ISNUMBER(O1897),O1897&gt;0,O1897&gt;=TODAY()-90),1,0),0)</f>
        <v/>
      </c>
      <c r="R1897" s="17" t="str">
        <f t="shared" si="90"/>
        <v/>
      </c>
      <c r="S1897" s="17" t="str">
        <f>IF(INDEX(Listado!A:A,ROW())="","",INDEX(Listado!A:A,ROW()))</f>
        <v/>
      </c>
      <c r="T1897" s="17" t="str">
        <f ca="1">IF(INDEX(Listado!G:G,ROW())="","",INDEX(Listado!G:G,ROW()))</f>
        <v/>
      </c>
      <c r="U1897" s="17" t="str">
        <f>IF(INDEX(Listado!F:F,ROW())="","",INDEX(Listado!F:F,ROW()))</f>
        <v/>
      </c>
      <c r="V1897" s="17">
        <f>IF(COUNTA(INDEX(Listado!B:B,ROW()):INDEX(Listado!F:F,ROW()))&gt;0,1,0)</f>
        <v/>
      </c>
      <c r="W1897" s="17" t="str">
        <f>IF(INDEX(Listado!L:L,ROW())="","",INDEX(Listado!L:L,ROW()))</f>
        <v/>
      </c>
      <c r="X1897" s="17">
        <f>IF(N1897="","",IF(INDEX(Listado!$M:$M,N1897)="No","No","Sí"))</f>
        <v/>
      </c>
    </row>
    <row r="1898" spans="2:24" ht="14.25">
      <c r="N1898" s="17" t="str">
        <f>IF(V1898=0,"",IFERROR(LOOKUP(2,1/(INDEX(Listado!A:A,2):INDEX(Listado!A:A,ROW())&lt;&gt;""),ROW(INDEX(Listado!A:A,2):INDEX(Listado!A:A,ROW()))),""))</f>
        <v/>
      </c>
      <c r="O1898" s="17" t="str">
        <f>IFERROR(IF(N1898="","",IF(INDEX(Listado!M:M,N1898)="No",IF(INDEX(Listado!N:N,N1898)=0,"",INDEX(Listado!N:N,N1898)),IF(INDEX(Listado!I:I,N1898)=0,"",INDEX(Listado!I:I,N1898)))),"")</f>
        <v/>
      </c>
      <c r="P1898" s="17">
        <f t="shared" ca="1" si="88"/>
        <v/>
      </c>
      <c r="Q1898" s="17">
        <f>IFERROR(IF(AND(N1898&lt;&gt;"",ISNUMBER(O1898),O1898&gt;0,O1898&gt;=TODAY()-90),1,0),0)</f>
        <v/>
      </c>
      <c r="R1898" s="17" t="str">
        <f t="shared" si="90"/>
        <v/>
      </c>
      <c r="S1898" s="17" t="str">
        <f>IF(INDEX(Listado!A:A,ROW())="","",INDEX(Listado!A:A,ROW()))</f>
        <v/>
      </c>
      <c r="T1898" s="17" t="str">
        <f ca="1">IF(INDEX(Listado!G:G,ROW())="","",INDEX(Listado!G:G,ROW()))</f>
        <v/>
      </c>
      <c r="U1898" s="17" t="str">
        <f>IF(INDEX(Listado!F:F,ROW())="","",INDEX(Listado!F:F,ROW()))</f>
        <v/>
      </c>
      <c r="V1898" s="17">
        <f>IF(COUNTA(INDEX(Listado!B:B,ROW()):INDEX(Listado!F:F,ROW()))&gt;0,1,0)</f>
        <v/>
      </c>
      <c r="W1898" s="17" t="str">
        <f>IF(INDEX(Listado!L:L,ROW())="","",INDEX(Listado!L:L,ROW()))</f>
        <v/>
      </c>
      <c r="X1898" s="17">
        <f>IF(N1898="","",IF(INDEX(Listado!$M:$M,N1898)="No","No","Sí"))</f>
        <v/>
      </c>
    </row>
    <row r="1899" spans="2:24" ht="14.25">
      <c r="N1899" s="17" t="str">
        <f>IF(V1899=0,"",IFERROR(LOOKUP(2,1/(INDEX(Listado!A:A,2):INDEX(Listado!A:A,ROW())&lt;&gt;""),ROW(INDEX(Listado!A:A,2):INDEX(Listado!A:A,ROW()))),""))</f>
        <v/>
      </c>
      <c r="O1899" s="17" t="str">
        <f>IFERROR(IF(N1899="","",IF(INDEX(Listado!M:M,N1899)="No",IF(INDEX(Listado!N:N,N1899)=0,"",INDEX(Listado!N:N,N1899)),IF(INDEX(Listado!I:I,N1899)=0,"",INDEX(Listado!I:I,N1899)))),"")</f>
        <v/>
      </c>
      <c r="P1899" s="17">
        <f t="shared" ca="1" si="88"/>
        <v/>
      </c>
      <c r="Q1899" s="17">
        <f>IFERROR(IF(AND(N1899&lt;&gt;"",ISNUMBER(O1899),O1899&gt;0,O1899&gt;=TODAY()-90),1,0),0)</f>
        <v/>
      </c>
      <c r="R1899" s="17" t="str">
        <f t="shared" si="90"/>
        <v/>
      </c>
      <c r="S1899" s="17" t="str">
        <f>IF(INDEX(Listado!A:A,ROW())="","",INDEX(Listado!A:A,ROW()))</f>
        <v/>
      </c>
      <c r="T1899" s="17" t="str">
        <f ca="1">IF(INDEX(Listado!G:G,ROW())="","",INDEX(Listado!G:G,ROW()))</f>
        <v/>
      </c>
      <c r="U1899" s="17" t="str">
        <f>IF(INDEX(Listado!F:F,ROW())="","",INDEX(Listado!F:F,ROW()))</f>
        <v/>
      </c>
      <c r="V1899" s="17">
        <f>IF(COUNTA(INDEX(Listado!B:B,ROW()):INDEX(Listado!F:F,ROW()))&gt;0,1,0)</f>
        <v/>
      </c>
      <c r="W1899" s="17" t="str">
        <f>IF(INDEX(Listado!L:L,ROW())="","",INDEX(Listado!L:L,ROW()))</f>
        <v/>
      </c>
      <c r="X1899" s="17">
        <f>IF(N1899="","",IF(INDEX(Listado!$M:$M,N1899)="No","No","Sí"))</f>
        <v/>
      </c>
    </row>
    <row r="1900" spans="2:24" ht="14.25">
      <c r="N1900" s="17" t="str">
        <f>IF(V1900=0,"",IFERROR(LOOKUP(2,1/(INDEX(Listado!A:A,2):INDEX(Listado!A:A,ROW())&lt;&gt;""),ROW(INDEX(Listado!A:A,2):INDEX(Listado!A:A,ROW()))),""))</f>
        <v/>
      </c>
      <c r="O1900" s="17" t="str">
        <f>IFERROR(IF(N1900="","",IF(INDEX(Listado!M:M,N1900)="No",IF(INDEX(Listado!N:N,N1900)=0,"",INDEX(Listado!N:N,N1900)),IF(INDEX(Listado!I:I,N1900)=0,"",INDEX(Listado!I:I,N1900)))),"")</f>
        <v/>
      </c>
      <c r="P1900" s="17">
        <f t="shared" ca="1" si="88"/>
        <v/>
      </c>
      <c r="Q1900" s="17">
        <f>IFERROR(IF(AND(N1900&lt;&gt;"",ISNUMBER(O1900),O1900&gt;0,O1900&gt;=TODAY()-90),1,0),0)</f>
        <v/>
      </c>
      <c r="R1900" s="17" t="str">
        <f t="shared" si="90"/>
        <v/>
      </c>
      <c r="S1900" s="17" t="str">
        <f>IF(INDEX(Listado!A:A,ROW())="","",INDEX(Listado!A:A,ROW()))</f>
        <v/>
      </c>
      <c r="T1900" s="17" t="str">
        <f ca="1">IF(INDEX(Listado!G:G,ROW())="","",INDEX(Listado!G:G,ROW()))</f>
        <v/>
      </c>
      <c r="U1900" s="17" t="str">
        <f>IF(INDEX(Listado!F:F,ROW())="","",INDEX(Listado!F:F,ROW()))</f>
        <v/>
      </c>
      <c r="V1900" s="17">
        <f>IF(COUNTA(INDEX(Listado!B:B,ROW()):INDEX(Listado!F:F,ROW()))&gt;0,1,0)</f>
        <v/>
      </c>
      <c r="W1900" s="17" t="str">
        <f>IF(INDEX(Listado!L:L,ROW())="","",INDEX(Listado!L:L,ROW()))</f>
        <v/>
      </c>
      <c r="X1900" s="17">
        <f>IF(N1900="","",IF(INDEX(Listado!$M:$M,N1900)="No","No","Sí"))</f>
        <v/>
      </c>
    </row>
    <row r="1901" spans="2:24" ht="14.25">
      <c r="N1901" s="17" t="str">
        <f>IF(V1901=0,"",IFERROR(LOOKUP(2,1/(INDEX(Listado!A:A,2):INDEX(Listado!A:A,ROW())&lt;&gt;""),ROW(INDEX(Listado!A:A,2):INDEX(Listado!A:A,ROW()))),""))</f>
        <v/>
      </c>
      <c r="O1901" s="17" t="str">
        <f>IFERROR(IF(N1901="","",IF(INDEX(Listado!M:M,N1901)="No",IF(INDEX(Listado!N:N,N1901)=0,"",INDEX(Listado!N:N,N1901)),IF(INDEX(Listado!I:I,N1901)=0,"",INDEX(Listado!I:I,N1901)))),"")</f>
        <v/>
      </c>
      <c r="P1901" s="17">
        <f t="shared" ca="1" si="88"/>
        <v/>
      </c>
      <c r="Q1901" s="17">
        <f>IFERROR(IF(AND(N1901&lt;&gt;"",ISNUMBER(O1901),O1901&gt;0,O1901&gt;=TODAY()-90),1,0),0)</f>
        <v/>
      </c>
      <c r="R1901" s="17" t="str">
        <f t="shared" si="90"/>
        <v/>
      </c>
      <c r="S1901" s="17" t="str">
        <f>IF(INDEX(Listado!A:A,ROW())="","",INDEX(Listado!A:A,ROW()))</f>
        <v/>
      </c>
      <c r="T1901" s="17" t="str">
        <f ca="1">IF(INDEX(Listado!G:G,ROW())="","",INDEX(Listado!G:G,ROW()))</f>
        <v/>
      </c>
      <c r="U1901" s="17" t="str">
        <f>IF(INDEX(Listado!F:F,ROW())="","",INDEX(Listado!F:F,ROW()))</f>
        <v/>
      </c>
      <c r="V1901" s="17">
        <f>IF(COUNTA(INDEX(Listado!B:B,ROW()):INDEX(Listado!F:F,ROW()))&gt;0,1,0)</f>
        <v/>
      </c>
      <c r="W1901" s="17" t="str">
        <f>IF(INDEX(Listado!L:L,ROW())="","",INDEX(Listado!L:L,ROW()))</f>
        <v/>
      </c>
      <c r="X1901" s="17">
        <f>IF(N1901="","",IF(INDEX(Listado!$M:$M,N1901)="No","No","Sí"))</f>
        <v/>
      </c>
    </row>
    <row r="1902" spans="2:24" ht="14.25">
      <c r="N1902" s="17" t="str">
        <f>IF(V1902=0,"",IFERROR(LOOKUP(2,1/(INDEX(Listado!A:A,2):INDEX(Listado!A:A,ROW())&lt;&gt;""),ROW(INDEX(Listado!A:A,2):INDEX(Listado!A:A,ROW()))),""))</f>
        <v/>
      </c>
      <c r="O1902" s="17" t="str">
        <f>IFERROR(IF(N1902="","",IF(INDEX(Listado!M:M,N1902)="No",IF(INDEX(Listado!N:N,N1902)=0,"",INDEX(Listado!N:N,N1902)),IF(INDEX(Listado!I:I,N1902)=0,"",INDEX(Listado!I:I,N1902)))),"")</f>
        <v/>
      </c>
      <c r="P1902" s="17">
        <f t="shared" ca="1" si="88"/>
        <v/>
      </c>
      <c r="Q1902" s="17">
        <f>IFERROR(IF(AND(N1902&lt;&gt;"",ISNUMBER(O1902),O1902&gt;0,O1902&gt;=TODAY()-90),1,0),0)</f>
        <v/>
      </c>
      <c r="R1902" s="17" t="str">
        <f t="shared" si="90"/>
        <v/>
      </c>
      <c r="S1902" s="17" t="str">
        <f>IF(INDEX(Listado!A:A,ROW())="","",INDEX(Listado!A:A,ROW()))</f>
        <v/>
      </c>
      <c r="T1902" s="17" t="str">
        <f ca="1">IF(INDEX(Listado!G:G,ROW())="","",INDEX(Listado!G:G,ROW()))</f>
        <v/>
      </c>
      <c r="U1902" s="17" t="str">
        <f>IF(INDEX(Listado!F:F,ROW())="","",INDEX(Listado!F:F,ROW()))</f>
        <v/>
      </c>
      <c r="V1902" s="17">
        <f>IF(COUNTA(INDEX(Listado!B:B,ROW()):INDEX(Listado!F:F,ROW()))&gt;0,1,0)</f>
        <v/>
      </c>
      <c r="W1902" s="17" t="str">
        <f>IF(INDEX(Listado!L:L,ROW())="","",INDEX(Listado!L:L,ROW()))</f>
        <v/>
      </c>
      <c r="X1902" s="17">
        <f>IF(N1902="","",IF(INDEX(Listado!$M:$M,N1902)="No","No","Sí"))</f>
        <v/>
      </c>
    </row>
    <row r="1903" spans="2:24" ht="14.25">
      <c r="N1903" s="17" t="str">
        <f>IF(V1903=0,"",IFERROR(LOOKUP(2,1/(INDEX(Listado!A:A,2):INDEX(Listado!A:A,ROW())&lt;&gt;""),ROW(INDEX(Listado!A:A,2):INDEX(Listado!A:A,ROW()))),""))</f>
        <v/>
      </c>
      <c r="O1903" s="17" t="str">
        <f>IFERROR(IF(N1903="","",IF(INDEX(Listado!M:M,N1903)="No",IF(INDEX(Listado!N:N,N1903)=0,"",INDEX(Listado!N:N,N1903)),IF(INDEX(Listado!I:I,N1903)=0,"",INDEX(Listado!I:I,N1903)))),"")</f>
        <v/>
      </c>
      <c r="P1903" s="17">
        <f t="shared" ca="1" si="88"/>
        <v/>
      </c>
      <c r="Q1903" s="17">
        <f>IFERROR(IF(AND(N1903&lt;&gt;"",ISNUMBER(O1903),O1903&gt;0,O1903&gt;=TODAY()-90),1,0),0)</f>
        <v/>
      </c>
      <c r="R1903" s="17" t="str">
        <f t="shared" si="90"/>
        <v/>
      </c>
      <c r="S1903" s="17" t="str">
        <f>IF(INDEX(Listado!A:A,ROW())="","",INDEX(Listado!A:A,ROW()))</f>
        <v/>
      </c>
      <c r="T1903" s="17" t="str">
        <f ca="1">IF(INDEX(Listado!G:G,ROW())="","",INDEX(Listado!G:G,ROW()))</f>
        <v/>
      </c>
      <c r="U1903" s="17" t="str">
        <f>IF(INDEX(Listado!F:F,ROW())="","",INDEX(Listado!F:F,ROW()))</f>
        <v/>
      </c>
      <c r="V1903" s="17">
        <f>IF(COUNTA(INDEX(Listado!B:B,ROW()):INDEX(Listado!F:F,ROW()))&gt;0,1,0)</f>
        <v/>
      </c>
      <c r="W1903" s="17" t="str">
        <f>IF(INDEX(Listado!L:L,ROW())="","",INDEX(Listado!L:L,ROW()))</f>
        <v/>
      </c>
      <c r="X1903" s="17">
        <f>IF(N1903="","",IF(INDEX(Listado!$M:$M,N1903)="No","No","Sí"))</f>
        <v/>
      </c>
    </row>
    <row r="1904" spans="2:24" ht="14.25">
      <c r="N1904" s="17" t="str">
        <f>IF(V1904=0,"",IFERROR(LOOKUP(2,1/(INDEX(Listado!A:A,2):INDEX(Listado!A:A,ROW())&lt;&gt;""),ROW(INDEX(Listado!A:A,2):INDEX(Listado!A:A,ROW()))),""))</f>
        <v/>
      </c>
      <c r="O1904" s="17" t="str">
        <f>IFERROR(IF(N1904="","",IF(INDEX(Listado!M:M,N1904)="No",IF(INDEX(Listado!N:N,N1904)=0,"",INDEX(Listado!N:N,N1904)),IF(INDEX(Listado!I:I,N1904)=0,"",INDEX(Listado!I:I,N1904)))),"")</f>
        <v/>
      </c>
      <c r="P1904" s="17">
        <f t="shared" ca="1" si="88"/>
        <v/>
      </c>
      <c r="Q1904" s="17">
        <f>IFERROR(IF(AND(N1904&lt;&gt;"",ISNUMBER(O1904),O1904&gt;0,O1904&gt;=TODAY()-90),1,0),0)</f>
        <v/>
      </c>
      <c r="R1904" s="17" t="str">
        <f t="shared" si="90"/>
        <v/>
      </c>
      <c r="S1904" s="17" t="str">
        <f>IF(INDEX(Listado!A:A,ROW())="","",INDEX(Listado!A:A,ROW()))</f>
        <v/>
      </c>
      <c r="T1904" s="17" t="str">
        <f ca="1">IF(INDEX(Listado!G:G,ROW())="","",INDEX(Listado!G:G,ROW()))</f>
        <v/>
      </c>
      <c r="U1904" s="17" t="str">
        <f>IF(INDEX(Listado!F:F,ROW())="","",INDEX(Listado!F:F,ROW()))</f>
        <v/>
      </c>
      <c r="V1904" s="17">
        <f>IF(COUNTA(INDEX(Listado!B:B,ROW()):INDEX(Listado!F:F,ROW()))&gt;0,1,0)</f>
        <v/>
      </c>
      <c r="W1904" s="17" t="str">
        <f>IF(INDEX(Listado!L:L,ROW())="","",INDEX(Listado!L:L,ROW()))</f>
        <v/>
      </c>
      <c r="X1904" s="17">
        <f>IF(N1904="","",IF(INDEX(Listado!$M:$M,N1904)="No","No","Sí"))</f>
        <v/>
      </c>
    </row>
    <row r="1905" spans="2:24" ht="14.25">
      <c r="N1905" s="17" t="str">
        <f>IF(V1905=0,"",IFERROR(LOOKUP(2,1/(INDEX(Listado!A:A,2):INDEX(Listado!A:A,ROW())&lt;&gt;""),ROW(INDEX(Listado!A:A,2):INDEX(Listado!A:A,ROW()))),""))</f>
        <v/>
      </c>
      <c r="O1905" s="17" t="str">
        <f>IFERROR(IF(N1905="","",IF(INDEX(Listado!M:M,N1905)="No",IF(INDEX(Listado!N:N,N1905)=0,"",INDEX(Listado!N:N,N1905)),IF(INDEX(Listado!I:I,N1905)=0,"",INDEX(Listado!I:I,N1905)))),"")</f>
        <v/>
      </c>
      <c r="P1905" s="17">
        <f t="shared" ca="1" si="88"/>
        <v/>
      </c>
      <c r="Q1905" s="17">
        <f>IFERROR(IF(AND(N1905&lt;&gt;"",ISNUMBER(O1905),O1905&gt;0,O1905&gt;=TODAY()-90),1,0),0)</f>
        <v/>
      </c>
      <c r="R1905" s="17" t="str">
        <f t="shared" si="90"/>
        <v/>
      </c>
      <c r="S1905" s="17" t="str">
        <f>IF(INDEX(Listado!A:A,ROW())="","",INDEX(Listado!A:A,ROW()))</f>
        <v/>
      </c>
      <c r="T1905" s="17" t="str">
        <f ca="1">IF(INDEX(Listado!G:G,ROW())="","",INDEX(Listado!G:G,ROW()))</f>
        <v/>
      </c>
      <c r="U1905" s="17" t="str">
        <f>IF(INDEX(Listado!F:F,ROW())="","",INDEX(Listado!F:F,ROW()))</f>
        <v/>
      </c>
      <c r="V1905" s="17">
        <f>IF(COUNTA(INDEX(Listado!B:B,ROW()):INDEX(Listado!F:F,ROW()))&gt;0,1,0)</f>
        <v/>
      </c>
      <c r="W1905" s="17" t="str">
        <f>IF(INDEX(Listado!L:L,ROW())="","",INDEX(Listado!L:L,ROW()))</f>
        <v/>
      </c>
      <c r="X1905" s="17">
        <f>IF(N1905="","",IF(INDEX(Listado!$M:$M,N1905)="No","No","Sí"))</f>
        <v/>
      </c>
    </row>
    <row r="1906" spans="2:24" ht="14.25">
      <c r="N1906" s="17" t="str">
        <f>IF(V1906=0,"",IFERROR(LOOKUP(2,1/(INDEX(Listado!A:A,2):INDEX(Listado!A:A,ROW())&lt;&gt;""),ROW(INDEX(Listado!A:A,2):INDEX(Listado!A:A,ROW()))),""))</f>
        <v/>
      </c>
      <c r="O1906" s="17" t="str">
        <f>IFERROR(IF(N1906="","",IF(INDEX(Listado!M:M,N1906)="No",IF(INDEX(Listado!N:N,N1906)=0,"",INDEX(Listado!N:N,N1906)),IF(INDEX(Listado!I:I,N1906)=0,"",INDEX(Listado!I:I,N1906)))),"")</f>
        <v/>
      </c>
      <c r="P1906" s="17">
        <f t="shared" ca="1" si="88"/>
        <v/>
      </c>
      <c r="Q1906" s="17">
        <f>IFERROR(IF(AND(N1906&lt;&gt;"",ISNUMBER(O1906),O1906&gt;0,O1906&gt;=TODAY()-90),1,0),0)</f>
        <v/>
      </c>
      <c r="R1906" s="17" t="str">
        <f t="shared" si="90"/>
        <v/>
      </c>
      <c r="S1906" s="17" t="str">
        <f>IF(INDEX(Listado!A:A,ROW())="","",INDEX(Listado!A:A,ROW()))</f>
        <v/>
      </c>
      <c r="T1906" s="17" t="str">
        <f ca="1">IF(INDEX(Listado!G:G,ROW())="","",INDEX(Listado!G:G,ROW()))</f>
        <v/>
      </c>
      <c r="U1906" s="17" t="str">
        <f>IF(INDEX(Listado!F:F,ROW())="","",INDEX(Listado!F:F,ROW()))</f>
        <v/>
      </c>
      <c r="V1906" s="17">
        <f>IF(COUNTA(INDEX(Listado!B:B,ROW()):INDEX(Listado!F:F,ROW()))&gt;0,1,0)</f>
        <v/>
      </c>
      <c r="W1906" s="17" t="str">
        <f>IF(INDEX(Listado!L:L,ROW())="","",INDEX(Listado!L:L,ROW()))</f>
        <v/>
      </c>
      <c r="X1906" s="17">
        <f>IF(N1906="","",IF(INDEX(Listado!$M:$M,N1906)="No","No","Sí"))</f>
        <v/>
      </c>
    </row>
    <row r="1907" spans="2:24" ht="14.25">
      <c r="N1907" s="17" t="str">
        <f>IF(V1907=0,"",IFERROR(LOOKUP(2,1/(INDEX(Listado!A:A,2):INDEX(Listado!A:A,ROW())&lt;&gt;""),ROW(INDEX(Listado!A:A,2):INDEX(Listado!A:A,ROW()))),""))</f>
        <v/>
      </c>
      <c r="O1907" s="17" t="str">
        <f>IFERROR(IF(N1907="","",IF(INDEX(Listado!M:M,N1907)="No",IF(INDEX(Listado!N:N,N1907)=0,"",INDEX(Listado!N:N,N1907)),IF(INDEX(Listado!I:I,N1907)=0,"",INDEX(Listado!I:I,N1907)))),"")</f>
        <v/>
      </c>
      <c r="P1907" s="17">
        <f t="shared" ca="1" si="88"/>
        <v/>
      </c>
      <c r="Q1907" s="17">
        <f>IFERROR(IF(AND(N1907&lt;&gt;"",ISNUMBER(O1907),O1907&gt;0,O1907&gt;=TODAY()-90),1,0),0)</f>
        <v/>
      </c>
      <c r="R1907" s="17" t="str">
        <f t="shared" si="90"/>
        <v/>
      </c>
      <c r="S1907" s="17" t="str">
        <f>IF(INDEX(Listado!A:A,ROW())="","",INDEX(Listado!A:A,ROW()))</f>
        <v/>
      </c>
      <c r="T1907" s="17" t="str">
        <f ca="1">IF(INDEX(Listado!G:G,ROW())="","",INDEX(Listado!G:G,ROW()))</f>
        <v/>
      </c>
      <c r="U1907" s="17" t="str">
        <f>IF(INDEX(Listado!F:F,ROW())="","",INDEX(Listado!F:F,ROW()))</f>
        <v/>
      </c>
      <c r="V1907" s="17">
        <f>IF(COUNTA(INDEX(Listado!B:B,ROW()):INDEX(Listado!F:F,ROW()))&gt;0,1,0)</f>
        <v/>
      </c>
      <c r="W1907" s="17" t="str">
        <f>IF(INDEX(Listado!L:L,ROW())="","",INDEX(Listado!L:L,ROW()))</f>
        <v/>
      </c>
      <c r="X1907" s="17">
        <f>IF(N1907="","",IF(INDEX(Listado!$M:$M,N1907)="No","No","Sí"))</f>
        <v/>
      </c>
    </row>
    <row r="1908" spans="2:24" ht="14.25">
      <c r="N1908" s="17" t="str">
        <f>IF(V1908=0,"",IFERROR(LOOKUP(2,1/(INDEX(Listado!A:A,2):INDEX(Listado!A:A,ROW())&lt;&gt;""),ROW(INDEX(Listado!A:A,2):INDEX(Listado!A:A,ROW()))),""))</f>
        <v/>
      </c>
      <c r="O1908" s="17" t="str">
        <f>IFERROR(IF(N1908="","",IF(INDEX(Listado!M:M,N1908)="No",IF(INDEX(Listado!N:N,N1908)=0,"",INDEX(Listado!N:N,N1908)),IF(INDEX(Listado!I:I,N1908)=0,"",INDEX(Listado!I:I,N1908)))),"")</f>
        <v/>
      </c>
      <c r="P1908" s="17">
        <f t="shared" ca="1" si="88"/>
        <v/>
      </c>
      <c r="Q1908" s="17">
        <f>IFERROR(IF(AND(N1908&lt;&gt;"",ISNUMBER(O1908),O1908&gt;0,O1908&gt;=TODAY()-90),1,0),0)</f>
        <v/>
      </c>
      <c r="R1908" s="17" t="str">
        <f t="shared" si="90"/>
        <v/>
      </c>
      <c r="S1908" s="17" t="str">
        <f>IF(INDEX(Listado!A:A,ROW())="","",INDEX(Listado!A:A,ROW()))</f>
        <v/>
      </c>
      <c r="T1908" s="17" t="str">
        <f ca="1">IF(INDEX(Listado!G:G,ROW())="","",INDEX(Listado!G:G,ROW()))</f>
        <v/>
      </c>
      <c r="U1908" s="17" t="str">
        <f>IF(INDEX(Listado!F:F,ROW())="","",INDEX(Listado!F:F,ROW()))</f>
        <v/>
      </c>
      <c r="V1908" s="17">
        <f>IF(COUNTA(INDEX(Listado!B:B,ROW()):INDEX(Listado!F:F,ROW()))&gt;0,1,0)</f>
        <v/>
      </c>
      <c r="W1908" s="17" t="str">
        <f>IF(INDEX(Listado!L:L,ROW())="","",INDEX(Listado!L:L,ROW()))</f>
        <v/>
      </c>
      <c r="X1908" s="17">
        <f>IF(N1908="","",IF(INDEX(Listado!$M:$M,N1908)="No","No","Sí"))</f>
        <v/>
      </c>
    </row>
    <row r="1909" spans="2:24" ht="14.25">
      <c r="N1909" s="17" t="str">
        <f>IF(V1909=0,"",IFERROR(LOOKUP(2,1/(INDEX(Listado!A:A,2):INDEX(Listado!A:A,ROW())&lt;&gt;""),ROW(INDEX(Listado!A:A,2):INDEX(Listado!A:A,ROW()))),""))</f>
        <v/>
      </c>
      <c r="O1909" s="17" t="str">
        <f>IFERROR(IF(N1909="","",IF(INDEX(Listado!M:M,N1909)="No",IF(INDEX(Listado!N:N,N1909)=0,"",INDEX(Listado!N:N,N1909)),IF(INDEX(Listado!I:I,N1909)=0,"",INDEX(Listado!I:I,N1909)))),"")</f>
        <v/>
      </c>
      <c r="P1909" s="17">
        <f t="shared" ca="1" si="88"/>
        <v/>
      </c>
      <c r="Q1909" s="17">
        <f>IFERROR(IF(AND(N1909&lt;&gt;"",ISNUMBER(O1909),O1909&gt;0,O1909&gt;=TODAY()-90),1,0),0)</f>
        <v/>
      </c>
      <c r="R1909" s="17" t="str">
        <f t="shared" si="90"/>
        <v/>
      </c>
      <c r="S1909" s="17" t="str">
        <f>IF(INDEX(Listado!A:A,ROW())="","",INDEX(Listado!A:A,ROW()))</f>
        <v/>
      </c>
      <c r="T1909" s="17" t="str">
        <f ca="1">IF(INDEX(Listado!G:G,ROW())="","",INDEX(Listado!G:G,ROW()))</f>
        <v/>
      </c>
      <c r="U1909" s="17" t="str">
        <f>IF(INDEX(Listado!F:F,ROW())="","",INDEX(Listado!F:F,ROW()))</f>
        <v/>
      </c>
      <c r="V1909" s="17">
        <f>IF(COUNTA(INDEX(Listado!B:B,ROW()):INDEX(Listado!F:F,ROW()))&gt;0,1,0)</f>
        <v/>
      </c>
      <c r="W1909" s="17" t="str">
        <f>IF(INDEX(Listado!L:L,ROW())="","",INDEX(Listado!L:L,ROW()))</f>
        <v/>
      </c>
      <c r="X1909" s="17">
        <f>IF(N1909="","",IF(INDEX(Listado!$M:$M,N1909)="No","No","Sí"))</f>
        <v/>
      </c>
    </row>
    <row r="1910" spans="2:24" ht="14.25">
      <c r="N1910" s="17" t="str">
        <f>IF(V1910=0,"",IFERROR(LOOKUP(2,1/(INDEX(Listado!A:A,2):INDEX(Listado!A:A,ROW())&lt;&gt;""),ROW(INDEX(Listado!A:A,2):INDEX(Listado!A:A,ROW()))),""))</f>
        <v/>
      </c>
      <c r="O1910" s="17" t="str">
        <f>IFERROR(IF(N1910="","",IF(INDEX(Listado!M:M,N1910)="No",IF(INDEX(Listado!N:N,N1910)=0,"",INDEX(Listado!N:N,N1910)),IF(INDEX(Listado!I:I,N1910)=0,"",INDEX(Listado!I:I,N1910)))),"")</f>
        <v/>
      </c>
      <c r="P1910" s="17">
        <f t="shared" ca="1" si="88"/>
        <v/>
      </c>
      <c r="Q1910" s="17">
        <f>IFERROR(IF(AND(N1910&lt;&gt;"",ISNUMBER(O1910),O1910&gt;0,O1910&gt;=TODAY()-90),1,0),0)</f>
        <v/>
      </c>
      <c r="R1910" s="17" t="str">
        <f t="shared" si="90"/>
        <v/>
      </c>
      <c r="S1910" s="17" t="str">
        <f>IF(INDEX(Listado!A:A,ROW())="","",INDEX(Listado!A:A,ROW()))</f>
        <v/>
      </c>
      <c r="T1910" s="17" t="str">
        <f ca="1">IF(INDEX(Listado!G:G,ROW())="","",INDEX(Listado!G:G,ROW()))</f>
        <v/>
      </c>
      <c r="U1910" s="17" t="str">
        <f>IF(INDEX(Listado!F:F,ROW())="","",INDEX(Listado!F:F,ROW()))</f>
        <v/>
      </c>
      <c r="V1910" s="17">
        <f>IF(COUNTA(INDEX(Listado!B:B,ROW()):INDEX(Listado!F:F,ROW()))&gt;0,1,0)</f>
        <v/>
      </c>
      <c r="W1910" s="17" t="str">
        <f>IF(INDEX(Listado!L:L,ROW())="","",INDEX(Listado!L:L,ROW()))</f>
        <v/>
      </c>
      <c r="X1910" s="17">
        <f>IF(N1910="","",IF(INDEX(Listado!$M:$M,N1910)="No","No","Sí"))</f>
        <v/>
      </c>
    </row>
    <row r="1911" spans="2:24" ht="14.25">
      <c r="N1911" s="17" t="str">
        <f>IF(V1911=0,"",IFERROR(LOOKUP(2,1/(INDEX(Listado!A:A,2):INDEX(Listado!A:A,ROW())&lt;&gt;""),ROW(INDEX(Listado!A:A,2):INDEX(Listado!A:A,ROW()))),""))</f>
        <v/>
      </c>
      <c r="O1911" s="17" t="str">
        <f>IFERROR(IF(N1911="","",IF(INDEX(Listado!M:M,N1911)="No",IF(INDEX(Listado!N:N,N1911)=0,"",INDEX(Listado!N:N,N1911)),IF(INDEX(Listado!I:I,N1911)=0,"",INDEX(Listado!I:I,N1911)))),"")</f>
        <v/>
      </c>
      <c r="P1911" s="17">
        <f t="shared" ca="1" si="88"/>
        <v/>
      </c>
      <c r="Q1911" s="17">
        <f>IFERROR(IF(AND(N1911&lt;&gt;"",ISNUMBER(O1911),O1911&gt;0,O1911&gt;=TODAY()-90),1,0),0)</f>
        <v/>
      </c>
      <c r="R1911" s="17" t="str">
        <f t="shared" si="90"/>
        <v/>
      </c>
      <c r="S1911" s="17" t="str">
        <f>IF(INDEX(Listado!A:A,ROW())="","",INDEX(Listado!A:A,ROW()))</f>
        <v/>
      </c>
      <c r="T1911" s="17" t="str">
        <f ca="1">IF(INDEX(Listado!G:G,ROW())="","",INDEX(Listado!G:G,ROW()))</f>
        <v/>
      </c>
      <c r="U1911" s="17" t="str">
        <f>IF(INDEX(Listado!F:F,ROW())="","",INDEX(Listado!F:F,ROW()))</f>
        <v/>
      </c>
      <c r="V1911" s="17">
        <f>IF(COUNTA(INDEX(Listado!B:B,ROW()):INDEX(Listado!F:F,ROW()))&gt;0,1,0)</f>
        <v/>
      </c>
      <c r="W1911" s="17" t="str">
        <f>IF(INDEX(Listado!L:L,ROW())="","",INDEX(Listado!L:L,ROW()))</f>
        <v/>
      </c>
      <c r="X1911" s="17">
        <f>IF(N1911="","",IF(INDEX(Listado!$M:$M,N1911)="No","No","Sí"))</f>
        <v/>
      </c>
    </row>
    <row r="1912" spans="2:24" ht="14.25">
      <c r="N1912" s="17" t="str">
        <f>IF(V1912=0,"",IFERROR(LOOKUP(2,1/(INDEX(Listado!A:A,2):INDEX(Listado!A:A,ROW())&lt;&gt;""),ROW(INDEX(Listado!A:A,2):INDEX(Listado!A:A,ROW()))),""))</f>
        <v/>
      </c>
      <c r="O1912" s="17" t="str">
        <f>IFERROR(IF(N1912="","",IF(INDEX(Listado!M:M,N1912)="No",IF(INDEX(Listado!N:N,N1912)=0,"",INDEX(Listado!N:N,N1912)),IF(INDEX(Listado!I:I,N1912)=0,"",INDEX(Listado!I:I,N1912)))),"")</f>
        <v/>
      </c>
      <c r="P1912" s="17">
        <f t="shared" ca="1" si="88"/>
        <v/>
      </c>
      <c r="Q1912" s="17">
        <f>IFERROR(IF(AND(N1912&lt;&gt;"",ISNUMBER(O1912),O1912&gt;0,O1912&gt;=TODAY()-90),1,0),0)</f>
        <v/>
      </c>
      <c r="R1912" s="17" t="str">
        <f t="shared" si="90"/>
        <v/>
      </c>
      <c r="S1912" s="17" t="str">
        <f>IF(INDEX(Listado!A:A,ROW())="","",INDEX(Listado!A:A,ROW()))</f>
        <v/>
      </c>
      <c r="T1912" s="17" t="str">
        <f ca="1">IF(INDEX(Listado!G:G,ROW())="","",INDEX(Listado!G:G,ROW()))</f>
        <v/>
      </c>
      <c r="U1912" s="17" t="str">
        <f>IF(INDEX(Listado!F:F,ROW())="","",INDEX(Listado!F:F,ROW()))</f>
        <v/>
      </c>
      <c r="V1912" s="17">
        <f>IF(COUNTA(INDEX(Listado!B:B,ROW()):INDEX(Listado!F:F,ROW()))&gt;0,1,0)</f>
        <v/>
      </c>
      <c r="W1912" s="17" t="str">
        <f>IF(INDEX(Listado!L:L,ROW())="","",INDEX(Listado!L:L,ROW()))</f>
        <v/>
      </c>
      <c r="X1912" s="17">
        <f>IF(N1912="","",IF(INDEX(Listado!$M:$M,N1912)="No","No","Sí"))</f>
        <v/>
      </c>
    </row>
    <row r="1913" spans="2:24" ht="14.25">
      <c r="N1913" s="17" t="str">
        <f>IF(V1913=0,"",IFERROR(LOOKUP(2,1/(INDEX(Listado!A:A,2):INDEX(Listado!A:A,ROW())&lt;&gt;""),ROW(INDEX(Listado!A:A,2):INDEX(Listado!A:A,ROW()))),""))</f>
        <v/>
      </c>
      <c r="O1913" s="17" t="str">
        <f>IFERROR(IF(N1913="","",IF(INDEX(Listado!M:M,N1913)="No",IF(INDEX(Listado!N:N,N1913)=0,"",INDEX(Listado!N:N,N1913)),IF(INDEX(Listado!I:I,N1913)=0,"",INDEX(Listado!I:I,N1913)))),"")</f>
        <v/>
      </c>
      <c r="P1913" s="17">
        <f t="shared" ca="1" si="88"/>
        <v/>
      </c>
      <c r="Q1913" s="17">
        <f>IFERROR(IF(AND(N1913&lt;&gt;"",ISNUMBER(O1913),O1913&gt;0,O1913&gt;=TODAY()-90),1,0),0)</f>
        <v/>
      </c>
      <c r="R1913" s="17" t="str">
        <f t="shared" si="90"/>
        <v/>
      </c>
      <c r="S1913" s="17" t="str">
        <f>IF(INDEX(Listado!A:A,ROW())="","",INDEX(Listado!A:A,ROW()))</f>
        <v/>
      </c>
      <c r="T1913" s="17" t="str">
        <f ca="1">IF(INDEX(Listado!G:G,ROW())="","",INDEX(Listado!G:G,ROW()))</f>
        <v/>
      </c>
      <c r="U1913" s="17" t="str">
        <f>IF(INDEX(Listado!F:F,ROW())="","",INDEX(Listado!F:F,ROW()))</f>
        <v/>
      </c>
      <c r="V1913" s="17">
        <f>IF(COUNTA(INDEX(Listado!B:B,ROW()):INDEX(Listado!F:F,ROW()))&gt;0,1,0)</f>
        <v/>
      </c>
      <c r="W1913" s="17" t="str">
        <f>IF(INDEX(Listado!L:L,ROW())="","",INDEX(Listado!L:L,ROW()))</f>
        <v/>
      </c>
      <c r="X1913" s="17">
        <f>IF(N1913="","",IF(INDEX(Listado!$M:$M,N1913)="No","No","Sí"))</f>
        <v/>
      </c>
    </row>
    <row r="1914" spans="2:24" ht="14.25">
      <c r="N1914" s="17" t="str">
        <f>IF(V1914=0,"",IFERROR(LOOKUP(2,1/(INDEX(Listado!A:A,2):INDEX(Listado!A:A,ROW())&lt;&gt;""),ROW(INDEX(Listado!A:A,2):INDEX(Listado!A:A,ROW()))),""))</f>
        <v/>
      </c>
      <c r="O1914" s="17" t="str">
        <f>IFERROR(IF(N1914="","",IF(INDEX(Listado!M:M,N1914)="No",IF(INDEX(Listado!N:N,N1914)=0,"",INDEX(Listado!N:N,N1914)),IF(INDEX(Listado!I:I,N1914)=0,"",INDEX(Listado!I:I,N1914)))),"")</f>
        <v/>
      </c>
      <c r="P1914" s="17">
        <f t="shared" ca="1" si="88"/>
        <v/>
      </c>
      <c r="Q1914" s="17">
        <f>IFERROR(IF(AND(N1914&lt;&gt;"",ISNUMBER(O1914),O1914&gt;0,O1914&gt;=TODAY()-90),1,0),0)</f>
        <v/>
      </c>
      <c r="R1914" s="17" t="str">
        <f t="shared" si="90"/>
        <v/>
      </c>
      <c r="S1914" s="17" t="str">
        <f>IF(INDEX(Listado!A:A,ROW())="","",INDEX(Listado!A:A,ROW()))</f>
        <v/>
      </c>
      <c r="T1914" s="17" t="str">
        <f ca="1">IF(INDEX(Listado!G:G,ROW())="","",INDEX(Listado!G:G,ROW()))</f>
        <v/>
      </c>
      <c r="U1914" s="17" t="str">
        <f>IF(INDEX(Listado!F:F,ROW())="","",INDEX(Listado!F:F,ROW()))</f>
        <v/>
      </c>
      <c r="V1914" s="17">
        <f>IF(COUNTA(INDEX(Listado!B:B,ROW()):INDEX(Listado!F:F,ROW()))&gt;0,1,0)</f>
        <v/>
      </c>
      <c r="W1914" s="17" t="str">
        <f>IF(INDEX(Listado!L:L,ROW())="","",INDEX(Listado!L:L,ROW()))</f>
        <v/>
      </c>
      <c r="X1914" s="17">
        <f>IF(N1914="","",IF(INDEX(Listado!$M:$M,N1914)="No","No","Sí"))</f>
        <v/>
      </c>
    </row>
    <row r="1915" spans="2:24" ht="14.25">
      <c r="N1915" s="17" t="str">
        <f>IF(V1915=0,"",IFERROR(LOOKUP(2,1/(INDEX(Listado!A:A,2):INDEX(Listado!A:A,ROW())&lt;&gt;""),ROW(INDEX(Listado!A:A,2):INDEX(Listado!A:A,ROW()))),""))</f>
        <v/>
      </c>
      <c r="O1915" s="17" t="str">
        <f>IFERROR(IF(N1915="","",IF(INDEX(Listado!M:M,N1915)="No",IF(INDEX(Listado!N:N,N1915)=0,"",INDEX(Listado!N:N,N1915)),IF(INDEX(Listado!I:I,N1915)=0,"",INDEX(Listado!I:I,N1915)))),"")</f>
        <v/>
      </c>
      <c r="P1915" s="17">
        <f t="shared" ca="1" si="88"/>
        <v/>
      </c>
      <c r="Q1915" s="17">
        <f>IFERROR(IF(AND(N1915&lt;&gt;"",ISNUMBER(O1915),O1915&gt;0,O1915&gt;=TODAY()-90),1,0),0)</f>
        <v/>
      </c>
      <c r="R1915" s="17" t="str">
        <f t="shared" si="90"/>
        <v/>
      </c>
      <c r="S1915" s="17" t="str">
        <f>IF(INDEX(Listado!A:A,ROW())="","",INDEX(Listado!A:A,ROW()))</f>
        <v/>
      </c>
      <c r="T1915" s="17" t="str">
        <f ca="1">IF(INDEX(Listado!G:G,ROW())="","",INDEX(Listado!G:G,ROW()))</f>
        <v/>
      </c>
      <c r="U1915" s="17" t="str">
        <f>IF(INDEX(Listado!F:F,ROW())="","",INDEX(Listado!F:F,ROW()))</f>
        <v/>
      </c>
      <c r="V1915" s="17">
        <f>IF(COUNTA(INDEX(Listado!B:B,ROW()):INDEX(Listado!F:F,ROW()))&gt;0,1,0)</f>
        <v/>
      </c>
      <c r="W1915" s="17" t="str">
        <f>IF(INDEX(Listado!L:L,ROW())="","",INDEX(Listado!L:L,ROW()))</f>
        <v/>
      </c>
      <c r="X1915" s="17">
        <f>IF(N1915="","",IF(INDEX(Listado!$M:$M,N1915)="No","No","Sí"))</f>
        <v/>
      </c>
    </row>
    <row r="1916" spans="2:24" ht="14.25">
      <c r="N1916" s="17" t="str">
        <f>IF(V1916=0,"",IFERROR(LOOKUP(2,1/(INDEX(Listado!A:A,2):INDEX(Listado!A:A,ROW())&lt;&gt;""),ROW(INDEX(Listado!A:A,2):INDEX(Listado!A:A,ROW()))),""))</f>
        <v/>
      </c>
      <c r="O1916" s="17" t="str">
        <f>IFERROR(IF(N1916="","",IF(INDEX(Listado!M:M,N1916)="No",IF(INDEX(Listado!N:N,N1916)=0,"",INDEX(Listado!N:N,N1916)),IF(INDEX(Listado!I:I,N1916)=0,"",INDEX(Listado!I:I,N1916)))),"")</f>
        <v/>
      </c>
      <c r="P1916" s="17">
        <f t="shared" ca="1" si="88"/>
        <v/>
      </c>
      <c r="Q1916" s="17">
        <f>IFERROR(IF(AND(N1916&lt;&gt;"",ISNUMBER(O1916),O1916&gt;0,O1916&gt;=TODAY()-90),1,0),0)</f>
        <v/>
      </c>
      <c r="R1916" s="17" t="str">
        <f t="shared" si="90"/>
        <v/>
      </c>
      <c r="S1916" s="17" t="str">
        <f>IF(INDEX(Listado!A:A,ROW())="","",INDEX(Listado!A:A,ROW()))</f>
        <v/>
      </c>
      <c r="T1916" s="17" t="str">
        <f ca="1">IF(INDEX(Listado!G:G,ROW())="","",INDEX(Listado!G:G,ROW()))</f>
        <v/>
      </c>
      <c r="U1916" s="17" t="str">
        <f>IF(INDEX(Listado!F:F,ROW())="","",INDEX(Listado!F:F,ROW()))</f>
        <v/>
      </c>
      <c r="V1916" s="17">
        <f>IF(COUNTA(INDEX(Listado!B:B,ROW()):INDEX(Listado!F:F,ROW()))&gt;0,1,0)</f>
        <v/>
      </c>
      <c r="W1916" s="17" t="str">
        <f>IF(INDEX(Listado!L:L,ROW())="","",INDEX(Listado!L:L,ROW()))</f>
        <v/>
      </c>
      <c r="X1916" s="17">
        <f>IF(N1916="","",IF(INDEX(Listado!$M:$M,N1916)="No","No","Sí"))</f>
        <v/>
      </c>
    </row>
    <row r="1917" spans="2:24" ht="14.25">
      <c r="N1917" s="17" t="str">
        <f>IF(V1917=0,"",IFERROR(LOOKUP(2,1/(INDEX(Listado!A:A,2):INDEX(Listado!A:A,ROW())&lt;&gt;""),ROW(INDEX(Listado!A:A,2):INDEX(Listado!A:A,ROW()))),""))</f>
        <v/>
      </c>
      <c r="O1917" s="17" t="str">
        <f>IFERROR(IF(N1917="","",IF(INDEX(Listado!M:M,N1917)="No",IF(INDEX(Listado!N:N,N1917)=0,"",INDEX(Listado!N:N,N1917)),IF(INDEX(Listado!I:I,N1917)=0,"",INDEX(Listado!I:I,N1917)))),"")</f>
        <v/>
      </c>
      <c r="P1917" s="17">
        <f t="shared" ca="1" si="88"/>
        <v/>
      </c>
      <c r="Q1917" s="17">
        <f>IFERROR(IF(AND(N1917&lt;&gt;"",ISNUMBER(O1917),O1917&gt;0,O1917&gt;=TODAY()-90),1,0),0)</f>
        <v/>
      </c>
      <c r="R1917" s="17" t="str">
        <f t="shared" si="90"/>
        <v/>
      </c>
      <c r="S1917" s="17" t="str">
        <f>IF(INDEX(Listado!A:A,ROW())="","",INDEX(Listado!A:A,ROW()))</f>
        <v/>
      </c>
      <c r="T1917" s="17" t="str">
        <f ca="1">IF(INDEX(Listado!G:G,ROW())="","",INDEX(Listado!G:G,ROW()))</f>
        <v/>
      </c>
      <c r="U1917" s="17" t="str">
        <f>IF(INDEX(Listado!F:F,ROW())="","",INDEX(Listado!F:F,ROW()))</f>
        <v/>
      </c>
      <c r="V1917" s="17">
        <f>IF(COUNTA(INDEX(Listado!B:B,ROW()):INDEX(Listado!F:F,ROW()))&gt;0,1,0)</f>
        <v/>
      </c>
      <c r="W1917" s="17" t="str">
        <f>IF(INDEX(Listado!L:L,ROW())="","",INDEX(Listado!L:L,ROW()))</f>
        <v/>
      </c>
      <c r="X1917" s="17">
        <f>IF(N1917="","",IF(INDEX(Listado!$M:$M,N1917)="No","No","Sí"))</f>
        <v/>
      </c>
    </row>
    <row r="1918" spans="2:24" ht="14.25">
      <c r="N1918" s="17" t="str">
        <f>IF(V1918=0,"",IFERROR(LOOKUP(2,1/(INDEX(Listado!A:A,2):INDEX(Listado!A:A,ROW())&lt;&gt;""),ROW(INDEX(Listado!A:A,2):INDEX(Listado!A:A,ROW()))),""))</f>
        <v/>
      </c>
      <c r="O1918" s="17" t="str">
        <f>IFERROR(IF(N1918="","",IF(INDEX(Listado!M:M,N1918)="No",IF(INDEX(Listado!N:N,N1918)=0,"",INDEX(Listado!N:N,N1918)),IF(INDEX(Listado!I:I,N1918)=0,"",INDEX(Listado!I:I,N1918)))),"")</f>
        <v/>
      </c>
      <c r="P1918" s="17">
        <f t="shared" ca="1" si="88"/>
        <v/>
      </c>
      <c r="Q1918" s="17">
        <f>IFERROR(IF(AND(N1918&lt;&gt;"",ISNUMBER(O1918),O1918&gt;0,O1918&gt;=TODAY()-90),1,0),0)</f>
        <v/>
      </c>
      <c r="R1918" s="17" t="str">
        <f t="shared" si="90"/>
        <v/>
      </c>
      <c r="S1918" s="17" t="str">
        <f>IF(INDEX(Listado!A:A,ROW())="","",INDEX(Listado!A:A,ROW()))</f>
        <v/>
      </c>
      <c r="T1918" s="17" t="str">
        <f ca="1">IF(INDEX(Listado!G:G,ROW())="","",INDEX(Listado!G:G,ROW()))</f>
        <v/>
      </c>
      <c r="U1918" s="17" t="str">
        <f>IF(INDEX(Listado!F:F,ROW())="","",INDEX(Listado!F:F,ROW()))</f>
        <v/>
      </c>
      <c r="V1918" s="17">
        <f>IF(COUNTA(INDEX(Listado!B:B,ROW()):INDEX(Listado!F:F,ROW()))&gt;0,1,0)</f>
        <v/>
      </c>
      <c r="W1918" s="17" t="str">
        <f>IF(INDEX(Listado!L:L,ROW())="","",INDEX(Listado!L:L,ROW()))</f>
        <v/>
      </c>
      <c r="X1918" s="17">
        <f>IF(N1918="","",IF(INDEX(Listado!$M:$M,N1918)="No","No","Sí"))</f>
        <v/>
      </c>
    </row>
    <row r="1919" spans="2:24" ht="14.25">
      <c r="N1919" s="17" t="str">
        <f>IF(V1919=0,"",IFERROR(LOOKUP(2,1/(INDEX(Listado!A:A,2):INDEX(Listado!A:A,ROW())&lt;&gt;""),ROW(INDEX(Listado!A:A,2):INDEX(Listado!A:A,ROW()))),""))</f>
        <v/>
      </c>
      <c r="O1919" s="17" t="str">
        <f>IFERROR(IF(N1919="","",IF(INDEX(Listado!M:M,N1919)="No",IF(INDEX(Listado!N:N,N1919)=0,"",INDEX(Listado!N:N,N1919)),IF(INDEX(Listado!I:I,N1919)=0,"",INDEX(Listado!I:I,N1919)))),"")</f>
        <v/>
      </c>
      <c r="P1919" s="17">
        <f t="shared" ca="1" si="88"/>
        <v/>
      </c>
      <c r="Q1919" s="17">
        <f>IFERROR(IF(AND(N1919&lt;&gt;"",ISNUMBER(O1919),O1919&gt;0,O1919&gt;=TODAY()-90),1,0),0)</f>
        <v/>
      </c>
      <c r="R1919" s="17" t="str">
        <f t="shared" si="90"/>
        <v/>
      </c>
      <c r="S1919" s="17" t="str">
        <f>IF(INDEX(Listado!A:A,ROW())="","",INDEX(Listado!A:A,ROW()))</f>
        <v/>
      </c>
      <c r="T1919" s="17" t="str">
        <f ca="1">IF(INDEX(Listado!G:G,ROW())="","",INDEX(Listado!G:G,ROW()))</f>
        <v/>
      </c>
      <c r="U1919" s="17" t="str">
        <f>IF(INDEX(Listado!F:F,ROW())="","",INDEX(Listado!F:F,ROW()))</f>
        <v/>
      </c>
      <c r="V1919" s="17">
        <f>IF(COUNTA(INDEX(Listado!B:B,ROW()):INDEX(Listado!F:F,ROW()))&gt;0,1,0)</f>
        <v/>
      </c>
      <c r="W1919" s="17" t="str">
        <f>IF(INDEX(Listado!L:L,ROW())="","",INDEX(Listado!L:L,ROW()))</f>
        <v/>
      </c>
      <c r="X1919" s="17">
        <f>IF(N1919="","",IF(INDEX(Listado!$M:$M,N1919)="No","No","Sí"))</f>
        <v/>
      </c>
    </row>
    <row r="1920" spans="2:24" ht="14.25">
      <c r="N1920" s="17" t="str">
        <f>IF(V1920=0,"",IFERROR(LOOKUP(2,1/(INDEX(Listado!A:A,2):INDEX(Listado!A:A,ROW())&lt;&gt;""),ROW(INDEX(Listado!A:A,2):INDEX(Listado!A:A,ROW()))),""))</f>
        <v/>
      </c>
      <c r="O1920" s="17" t="str">
        <f>IFERROR(IF(N1920="","",IF(INDEX(Listado!M:M,N1920)="No",IF(INDEX(Listado!N:N,N1920)=0,"",INDEX(Listado!N:N,N1920)),IF(INDEX(Listado!I:I,N1920)=0,"",INDEX(Listado!I:I,N1920)))),"")</f>
        <v/>
      </c>
      <c r="P1920" s="17">
        <f t="shared" ca="1" si="88"/>
        <v/>
      </c>
      <c r="Q1920" s="17">
        <f>IFERROR(IF(AND(N1920&lt;&gt;"",ISNUMBER(O1920),O1920&gt;0,O1920&gt;=TODAY()-90),1,0),0)</f>
        <v/>
      </c>
      <c r="R1920" s="17" t="str">
        <f t="shared" si="90"/>
        <v/>
      </c>
      <c r="S1920" s="17" t="str">
        <f>IF(INDEX(Listado!A:A,ROW())="","",INDEX(Listado!A:A,ROW()))</f>
        <v/>
      </c>
      <c r="T1920" s="17" t="str">
        <f ca="1">IF(INDEX(Listado!G:G,ROW())="","",INDEX(Listado!G:G,ROW()))</f>
        <v/>
      </c>
      <c r="U1920" s="17" t="str">
        <f>IF(INDEX(Listado!F:F,ROW())="","",INDEX(Listado!F:F,ROW()))</f>
        <v/>
      </c>
      <c r="V1920" s="17">
        <f>IF(COUNTA(INDEX(Listado!B:B,ROW()):INDEX(Listado!F:F,ROW()))&gt;0,1,0)</f>
        <v/>
      </c>
      <c r="W1920" s="17" t="str">
        <f>IF(INDEX(Listado!L:L,ROW())="","",INDEX(Listado!L:L,ROW()))</f>
        <v/>
      </c>
      <c r="X1920" s="17">
        <f>IF(N1920="","",IF(INDEX(Listado!$M:$M,N1920)="No","No","Sí"))</f>
        <v/>
      </c>
    </row>
    <row r="1921" spans="2:24" ht="14.25">
      <c r="N1921" s="17" t="str">
        <f>IF(V1921=0,"",IFERROR(LOOKUP(2,1/(INDEX(Listado!A:A,2):INDEX(Listado!A:A,ROW())&lt;&gt;""),ROW(INDEX(Listado!A:A,2):INDEX(Listado!A:A,ROW()))),""))</f>
        <v/>
      </c>
      <c r="O1921" s="17" t="str">
        <f>IFERROR(IF(N1921="","",IF(INDEX(Listado!M:M,N1921)="No",IF(INDEX(Listado!N:N,N1921)=0,"",INDEX(Listado!N:N,N1921)),IF(INDEX(Listado!I:I,N1921)=0,"",INDEX(Listado!I:I,N1921)))),"")</f>
        <v/>
      </c>
      <c r="P1921" s="17">
        <f t="shared" ca="1" si="88"/>
        <v/>
      </c>
      <c r="Q1921" s="17">
        <f>IFERROR(IF(AND(N1921&lt;&gt;"",ISNUMBER(O1921),O1921&gt;0,O1921&gt;=TODAY()-90),1,0),0)</f>
        <v/>
      </c>
      <c r="R1921" s="17" t="str">
        <f t="shared" si="90"/>
        <v/>
      </c>
      <c r="S1921" s="17" t="str">
        <f>IF(INDEX(Listado!A:A,ROW())="","",INDEX(Listado!A:A,ROW()))</f>
        <v/>
      </c>
      <c r="T1921" s="17" t="str">
        <f ca="1">IF(INDEX(Listado!G:G,ROW())="","",INDEX(Listado!G:G,ROW()))</f>
        <v/>
      </c>
      <c r="U1921" s="17" t="str">
        <f>IF(INDEX(Listado!F:F,ROW())="","",INDEX(Listado!F:F,ROW()))</f>
        <v/>
      </c>
      <c r="V1921" s="17">
        <f>IF(COUNTA(INDEX(Listado!B:B,ROW()):INDEX(Listado!F:F,ROW()))&gt;0,1,0)</f>
        <v/>
      </c>
      <c r="W1921" s="17" t="str">
        <f>IF(INDEX(Listado!L:L,ROW())="","",INDEX(Listado!L:L,ROW()))</f>
        <v/>
      </c>
      <c r="X1921" s="17">
        <f>IF(N1921="","",IF(INDEX(Listado!$M:$M,N1921)="No","No","Sí"))</f>
        <v/>
      </c>
    </row>
    <row r="1922" spans="2:24" ht="14.25">
      <c r="N1922" s="17" t="str">
        <f>IF(V1922=0,"",IFERROR(LOOKUP(2,1/(INDEX(Listado!A:A,2):INDEX(Listado!A:A,ROW())&lt;&gt;""),ROW(INDEX(Listado!A:A,2):INDEX(Listado!A:A,ROW()))),""))</f>
        <v/>
      </c>
      <c r="O1922" s="17" t="str">
        <f>IFERROR(IF(N1922="","",IF(INDEX(Listado!M:M,N1922)="No",IF(INDEX(Listado!N:N,N1922)=0,"",INDEX(Listado!N:N,N1922)),IF(INDEX(Listado!I:I,N1922)=0,"",INDEX(Listado!I:I,N1922)))),"")</f>
        <v/>
      </c>
      <c r="P1922" s="17">
        <f t="shared" ref="P1922:P1985" ca="1" si="91">IF(W1922="",0,IFERROR(IF(AND(ISNUMBER(W1922),W1922=INT(W1922),ISNUMBER(O1922),O1922&gt;0,W1922&gt;=TODAY(),W1922&lt;=O1922+90),0,1),1))</f>
        <v/>
      </c>
      <c r="Q1922" s="17">
        <f>IFERROR(IF(AND(N1922&lt;&gt;"",ISNUMBER(O1922),O1922&gt;0,O1922&gt;=TODAY()-90),1,0),0)</f>
        <v/>
      </c>
      <c r="R1922" s="17" t="str">
        <f t="shared" ref="R1922:R1985" si="93">IF(S1922="","",COUNTIFS($N$2:$N$2999,ROW(),$Q$2:$Q$2999,1))</f>
        <v/>
      </c>
      <c r="S1922" s="17" t="str">
        <f>IF(INDEX(Listado!A:A,ROW())="","",INDEX(Listado!A:A,ROW()))</f>
        <v/>
      </c>
      <c r="T1922" s="17" t="str">
        <f ca="1">IF(INDEX(Listado!G:G,ROW())="","",INDEX(Listado!G:G,ROW()))</f>
        <v/>
      </c>
      <c r="U1922" s="17" t="str">
        <f>IF(INDEX(Listado!F:F,ROW())="","",INDEX(Listado!F:F,ROW()))</f>
        <v/>
      </c>
      <c r="V1922" s="17">
        <f>IF(COUNTA(INDEX(Listado!B:B,ROW()):INDEX(Listado!F:F,ROW()))&gt;0,1,0)</f>
        <v/>
      </c>
      <c r="W1922" s="17" t="str">
        <f>IF(INDEX(Listado!L:L,ROW())="","",INDEX(Listado!L:L,ROW()))</f>
        <v/>
      </c>
      <c r="X1922" s="17">
        <f>IF(N1922="","",IF(INDEX(Listado!$M:$M,N1922)="No","No","Sí"))</f>
        <v/>
      </c>
    </row>
    <row r="1923" spans="2:24" ht="14.25">
      <c r="N1923" s="17" t="str">
        <f>IF(V1923=0,"",IFERROR(LOOKUP(2,1/(INDEX(Listado!A:A,2):INDEX(Listado!A:A,ROW())&lt;&gt;""),ROW(INDEX(Listado!A:A,2):INDEX(Listado!A:A,ROW()))),""))</f>
        <v/>
      </c>
      <c r="O1923" s="17" t="str">
        <f>IFERROR(IF(N1923="","",IF(INDEX(Listado!M:M,N1923)="No",IF(INDEX(Listado!N:N,N1923)=0,"",INDEX(Listado!N:N,N1923)),IF(INDEX(Listado!I:I,N1923)=0,"",INDEX(Listado!I:I,N1923)))),"")</f>
        <v/>
      </c>
      <c r="P1923" s="17">
        <f t="shared" ca="1" si="91"/>
        <v/>
      </c>
      <c r="Q1923" s="17">
        <f>IFERROR(IF(AND(N1923&lt;&gt;"",ISNUMBER(O1923),O1923&gt;0,O1923&gt;=TODAY()-90),1,0),0)</f>
        <v/>
      </c>
      <c r="R1923" s="17" t="str">
        <f t="shared" si="93"/>
        <v/>
      </c>
      <c r="S1923" s="17" t="str">
        <f>IF(INDEX(Listado!A:A,ROW())="","",INDEX(Listado!A:A,ROW()))</f>
        <v/>
      </c>
      <c r="T1923" s="17" t="str">
        <f ca="1">IF(INDEX(Listado!G:G,ROW())="","",INDEX(Listado!G:G,ROW()))</f>
        <v/>
      </c>
      <c r="U1923" s="17" t="str">
        <f>IF(INDEX(Listado!F:F,ROW())="","",INDEX(Listado!F:F,ROW()))</f>
        <v/>
      </c>
      <c r="V1923" s="17">
        <f>IF(COUNTA(INDEX(Listado!B:B,ROW()):INDEX(Listado!F:F,ROW()))&gt;0,1,0)</f>
        <v/>
      </c>
      <c r="W1923" s="17" t="str">
        <f>IF(INDEX(Listado!L:L,ROW())="","",INDEX(Listado!L:L,ROW()))</f>
        <v/>
      </c>
      <c r="X1923" s="17">
        <f>IF(N1923="","",IF(INDEX(Listado!$M:$M,N1923)="No","No","Sí"))</f>
        <v/>
      </c>
    </row>
    <row r="1924" spans="2:24" ht="14.25">
      <c r="N1924" s="17" t="str">
        <f>IF(V1924=0,"",IFERROR(LOOKUP(2,1/(INDEX(Listado!A:A,2):INDEX(Listado!A:A,ROW())&lt;&gt;""),ROW(INDEX(Listado!A:A,2):INDEX(Listado!A:A,ROW()))),""))</f>
        <v/>
      </c>
      <c r="O1924" s="17" t="str">
        <f>IFERROR(IF(N1924="","",IF(INDEX(Listado!M:M,N1924)="No",IF(INDEX(Listado!N:N,N1924)=0,"",INDEX(Listado!N:N,N1924)),IF(INDEX(Listado!I:I,N1924)=0,"",INDEX(Listado!I:I,N1924)))),"")</f>
        <v/>
      </c>
      <c r="P1924" s="17">
        <f t="shared" ca="1" si="91"/>
        <v/>
      </c>
      <c r="Q1924" s="17">
        <f>IFERROR(IF(AND(N1924&lt;&gt;"",ISNUMBER(O1924),O1924&gt;0,O1924&gt;=TODAY()-90),1,0),0)</f>
        <v/>
      </c>
      <c r="R1924" s="17" t="str">
        <f t="shared" si="93"/>
        <v/>
      </c>
      <c r="S1924" s="17" t="str">
        <f>IF(INDEX(Listado!A:A,ROW())="","",INDEX(Listado!A:A,ROW()))</f>
        <v/>
      </c>
      <c r="T1924" s="17" t="str">
        <f ca="1">IF(INDEX(Listado!G:G,ROW())="","",INDEX(Listado!G:G,ROW()))</f>
        <v/>
      </c>
      <c r="U1924" s="17" t="str">
        <f>IF(INDEX(Listado!F:F,ROW())="","",INDEX(Listado!F:F,ROW()))</f>
        <v/>
      </c>
      <c r="V1924" s="17">
        <f>IF(COUNTA(INDEX(Listado!B:B,ROW()):INDEX(Listado!F:F,ROW()))&gt;0,1,0)</f>
        <v/>
      </c>
      <c r="W1924" s="17" t="str">
        <f>IF(INDEX(Listado!L:L,ROW())="","",INDEX(Listado!L:L,ROW()))</f>
        <v/>
      </c>
      <c r="X1924" s="17">
        <f>IF(N1924="","",IF(INDEX(Listado!$M:$M,N1924)="No","No","Sí"))</f>
        <v/>
      </c>
    </row>
    <row r="1925" spans="2:24" ht="14.25">
      <c r="N1925" s="17" t="str">
        <f>IF(V1925=0,"",IFERROR(LOOKUP(2,1/(INDEX(Listado!A:A,2):INDEX(Listado!A:A,ROW())&lt;&gt;""),ROW(INDEX(Listado!A:A,2):INDEX(Listado!A:A,ROW()))),""))</f>
        <v/>
      </c>
      <c r="O1925" s="17" t="str">
        <f>IFERROR(IF(N1925="","",IF(INDEX(Listado!M:M,N1925)="No",IF(INDEX(Listado!N:N,N1925)=0,"",INDEX(Listado!N:N,N1925)),IF(INDEX(Listado!I:I,N1925)=0,"",INDEX(Listado!I:I,N1925)))),"")</f>
        <v/>
      </c>
      <c r="P1925" s="17">
        <f t="shared" ca="1" si="91"/>
        <v/>
      </c>
      <c r="Q1925" s="17">
        <f>IFERROR(IF(AND(N1925&lt;&gt;"",ISNUMBER(O1925),O1925&gt;0,O1925&gt;=TODAY()-90),1,0),0)</f>
        <v/>
      </c>
      <c r="R1925" s="17" t="str">
        <f t="shared" si="93"/>
        <v/>
      </c>
      <c r="S1925" s="17" t="str">
        <f>IF(INDEX(Listado!A:A,ROW())="","",INDEX(Listado!A:A,ROW()))</f>
        <v/>
      </c>
      <c r="T1925" s="17" t="str">
        <f ca="1">IF(INDEX(Listado!G:G,ROW())="","",INDEX(Listado!G:G,ROW()))</f>
        <v/>
      </c>
      <c r="U1925" s="17" t="str">
        <f>IF(INDEX(Listado!F:F,ROW())="","",INDEX(Listado!F:F,ROW()))</f>
        <v/>
      </c>
      <c r="V1925" s="17">
        <f>IF(COUNTA(INDEX(Listado!B:B,ROW()):INDEX(Listado!F:F,ROW()))&gt;0,1,0)</f>
        <v/>
      </c>
      <c r="W1925" s="17" t="str">
        <f>IF(INDEX(Listado!L:L,ROW())="","",INDEX(Listado!L:L,ROW()))</f>
        <v/>
      </c>
      <c r="X1925" s="17">
        <f>IF(N1925="","",IF(INDEX(Listado!$M:$M,N1925)="No","No","Sí"))</f>
        <v/>
      </c>
    </row>
    <row r="1926" spans="2:24" ht="14.25">
      <c r="N1926" s="17" t="str">
        <f>IF(V1926=0,"",IFERROR(LOOKUP(2,1/(INDEX(Listado!A:A,2):INDEX(Listado!A:A,ROW())&lt;&gt;""),ROW(INDEX(Listado!A:A,2):INDEX(Listado!A:A,ROW()))),""))</f>
        <v/>
      </c>
      <c r="O1926" s="17" t="str">
        <f>IFERROR(IF(N1926="","",IF(INDEX(Listado!M:M,N1926)="No",IF(INDEX(Listado!N:N,N1926)=0,"",INDEX(Listado!N:N,N1926)),IF(INDEX(Listado!I:I,N1926)=0,"",INDEX(Listado!I:I,N1926)))),"")</f>
        <v/>
      </c>
      <c r="P1926" s="17">
        <f t="shared" ca="1" si="91"/>
        <v/>
      </c>
      <c r="Q1926" s="17">
        <f>IFERROR(IF(AND(N1926&lt;&gt;"",ISNUMBER(O1926),O1926&gt;0,O1926&gt;=TODAY()-90),1,0),0)</f>
        <v/>
      </c>
      <c r="R1926" s="17" t="str">
        <f t="shared" si="93"/>
        <v/>
      </c>
      <c r="S1926" s="17" t="str">
        <f>IF(INDEX(Listado!A:A,ROW())="","",INDEX(Listado!A:A,ROW()))</f>
        <v/>
      </c>
      <c r="T1926" s="17" t="str">
        <f ca="1">IF(INDEX(Listado!G:G,ROW())="","",INDEX(Listado!G:G,ROW()))</f>
        <v/>
      </c>
      <c r="U1926" s="17" t="str">
        <f>IF(INDEX(Listado!F:F,ROW())="","",INDEX(Listado!F:F,ROW()))</f>
        <v/>
      </c>
      <c r="V1926" s="17">
        <f>IF(COUNTA(INDEX(Listado!B:B,ROW()):INDEX(Listado!F:F,ROW()))&gt;0,1,0)</f>
        <v/>
      </c>
      <c r="W1926" s="17" t="str">
        <f>IF(INDEX(Listado!L:L,ROW())="","",INDEX(Listado!L:L,ROW()))</f>
        <v/>
      </c>
      <c r="X1926" s="17">
        <f>IF(N1926="","",IF(INDEX(Listado!$M:$M,N1926)="No","No","Sí"))</f>
        <v/>
      </c>
    </row>
    <row r="1927" spans="2:24" ht="14.25">
      <c r="N1927" s="17" t="str">
        <f>IF(V1927=0,"",IFERROR(LOOKUP(2,1/(INDEX(Listado!A:A,2):INDEX(Listado!A:A,ROW())&lt;&gt;""),ROW(INDEX(Listado!A:A,2):INDEX(Listado!A:A,ROW()))),""))</f>
        <v/>
      </c>
      <c r="O1927" s="17" t="str">
        <f>IFERROR(IF(N1927="","",IF(INDEX(Listado!M:M,N1927)="No",IF(INDEX(Listado!N:N,N1927)=0,"",INDEX(Listado!N:N,N1927)),IF(INDEX(Listado!I:I,N1927)=0,"",INDEX(Listado!I:I,N1927)))),"")</f>
        <v/>
      </c>
      <c r="P1927" s="17">
        <f t="shared" ca="1" si="91"/>
        <v/>
      </c>
      <c r="Q1927" s="17">
        <f>IFERROR(IF(AND(N1927&lt;&gt;"",ISNUMBER(O1927),O1927&gt;0,O1927&gt;=TODAY()-90),1,0),0)</f>
        <v/>
      </c>
      <c r="R1927" s="17" t="str">
        <f t="shared" si="93"/>
        <v/>
      </c>
      <c r="S1927" s="17" t="str">
        <f>IF(INDEX(Listado!A:A,ROW())="","",INDEX(Listado!A:A,ROW()))</f>
        <v/>
      </c>
      <c r="T1927" s="17" t="str">
        <f ca="1">IF(INDEX(Listado!G:G,ROW())="","",INDEX(Listado!G:G,ROW()))</f>
        <v/>
      </c>
      <c r="U1927" s="17" t="str">
        <f>IF(INDEX(Listado!F:F,ROW())="","",INDEX(Listado!F:F,ROW()))</f>
        <v/>
      </c>
      <c r="V1927" s="17">
        <f>IF(COUNTA(INDEX(Listado!B:B,ROW()):INDEX(Listado!F:F,ROW()))&gt;0,1,0)</f>
        <v/>
      </c>
      <c r="W1927" s="17" t="str">
        <f>IF(INDEX(Listado!L:L,ROW())="","",INDEX(Listado!L:L,ROW()))</f>
        <v/>
      </c>
      <c r="X1927" s="17">
        <f>IF(N1927="","",IF(INDEX(Listado!$M:$M,N1927)="No","No","Sí"))</f>
        <v/>
      </c>
    </row>
    <row r="1928" spans="2:24" ht="14.25">
      <c r="N1928" s="17" t="str">
        <f>IF(V1928=0,"",IFERROR(LOOKUP(2,1/(INDEX(Listado!A:A,2):INDEX(Listado!A:A,ROW())&lt;&gt;""),ROW(INDEX(Listado!A:A,2):INDEX(Listado!A:A,ROW()))),""))</f>
        <v/>
      </c>
      <c r="O1928" s="17" t="str">
        <f>IFERROR(IF(N1928="","",IF(INDEX(Listado!M:M,N1928)="No",IF(INDEX(Listado!N:N,N1928)=0,"",INDEX(Listado!N:N,N1928)),IF(INDEX(Listado!I:I,N1928)=0,"",INDEX(Listado!I:I,N1928)))),"")</f>
        <v/>
      </c>
      <c r="P1928" s="17">
        <f t="shared" ca="1" si="91"/>
        <v/>
      </c>
      <c r="Q1928" s="17">
        <f>IFERROR(IF(AND(N1928&lt;&gt;"",ISNUMBER(O1928),O1928&gt;0,O1928&gt;=TODAY()-90),1,0),0)</f>
        <v/>
      </c>
      <c r="R1928" s="17" t="str">
        <f t="shared" si="93"/>
        <v/>
      </c>
      <c r="S1928" s="17" t="str">
        <f>IF(INDEX(Listado!A:A,ROW())="","",INDEX(Listado!A:A,ROW()))</f>
        <v/>
      </c>
      <c r="T1928" s="17" t="str">
        <f ca="1">IF(INDEX(Listado!G:G,ROW())="","",INDEX(Listado!G:G,ROW()))</f>
        <v/>
      </c>
      <c r="U1928" s="17" t="str">
        <f>IF(INDEX(Listado!F:F,ROW())="","",INDEX(Listado!F:F,ROW()))</f>
        <v/>
      </c>
      <c r="V1928" s="17">
        <f>IF(COUNTA(INDEX(Listado!B:B,ROW()):INDEX(Listado!F:F,ROW()))&gt;0,1,0)</f>
        <v/>
      </c>
      <c r="W1928" s="17" t="str">
        <f>IF(INDEX(Listado!L:L,ROW())="","",INDEX(Listado!L:L,ROW()))</f>
        <v/>
      </c>
      <c r="X1928" s="17">
        <f>IF(N1928="","",IF(INDEX(Listado!$M:$M,N1928)="No","No","Sí"))</f>
        <v/>
      </c>
    </row>
    <row r="1929" spans="2:24" ht="14.25">
      <c r="N1929" s="17" t="str">
        <f>IF(V1929=0,"",IFERROR(LOOKUP(2,1/(INDEX(Listado!A:A,2):INDEX(Listado!A:A,ROW())&lt;&gt;""),ROW(INDEX(Listado!A:A,2):INDEX(Listado!A:A,ROW()))),""))</f>
        <v/>
      </c>
      <c r="O1929" s="17" t="str">
        <f>IFERROR(IF(N1929="","",IF(INDEX(Listado!M:M,N1929)="No",IF(INDEX(Listado!N:N,N1929)=0,"",INDEX(Listado!N:N,N1929)),IF(INDEX(Listado!I:I,N1929)=0,"",INDEX(Listado!I:I,N1929)))),"")</f>
        <v/>
      </c>
      <c r="P1929" s="17">
        <f t="shared" ca="1" si="91"/>
        <v/>
      </c>
      <c r="Q1929" s="17">
        <f>IFERROR(IF(AND(N1929&lt;&gt;"",ISNUMBER(O1929),O1929&gt;0,O1929&gt;=TODAY()-90),1,0),0)</f>
        <v/>
      </c>
      <c r="R1929" s="17" t="str">
        <f t="shared" si="93"/>
        <v/>
      </c>
      <c r="S1929" s="17" t="str">
        <f>IF(INDEX(Listado!A:A,ROW())="","",INDEX(Listado!A:A,ROW()))</f>
        <v/>
      </c>
      <c r="T1929" s="17" t="str">
        <f ca="1">IF(INDEX(Listado!G:G,ROW())="","",INDEX(Listado!G:G,ROW()))</f>
        <v/>
      </c>
      <c r="U1929" s="17" t="str">
        <f>IF(INDEX(Listado!F:F,ROW())="","",INDEX(Listado!F:F,ROW()))</f>
        <v/>
      </c>
      <c r="V1929" s="17">
        <f>IF(COUNTA(INDEX(Listado!B:B,ROW()):INDEX(Listado!F:F,ROW()))&gt;0,1,0)</f>
        <v/>
      </c>
      <c r="W1929" s="17" t="str">
        <f>IF(INDEX(Listado!L:L,ROW())="","",INDEX(Listado!L:L,ROW()))</f>
        <v/>
      </c>
      <c r="X1929" s="17">
        <f>IF(N1929="","",IF(INDEX(Listado!$M:$M,N1929)="No","No","Sí"))</f>
        <v/>
      </c>
    </row>
    <row r="1930" spans="2:24" ht="14.25">
      <c r="N1930" s="17" t="str">
        <f>IF(V1930=0,"",IFERROR(LOOKUP(2,1/(INDEX(Listado!A:A,2):INDEX(Listado!A:A,ROW())&lt;&gt;""),ROW(INDEX(Listado!A:A,2):INDEX(Listado!A:A,ROW()))),""))</f>
        <v/>
      </c>
      <c r="O1930" s="17" t="str">
        <f>IFERROR(IF(N1930="","",IF(INDEX(Listado!M:M,N1930)="No",IF(INDEX(Listado!N:N,N1930)=0,"",INDEX(Listado!N:N,N1930)),IF(INDEX(Listado!I:I,N1930)=0,"",INDEX(Listado!I:I,N1930)))),"")</f>
        <v/>
      </c>
      <c r="P1930" s="17">
        <f t="shared" ca="1" si="91"/>
        <v/>
      </c>
      <c r="Q1930" s="17">
        <f>IFERROR(IF(AND(N1930&lt;&gt;"",ISNUMBER(O1930),O1930&gt;0,O1930&gt;=TODAY()-90),1,0),0)</f>
        <v/>
      </c>
      <c r="R1930" s="17" t="str">
        <f t="shared" si="93"/>
        <v/>
      </c>
      <c r="S1930" s="17" t="str">
        <f>IF(INDEX(Listado!A:A,ROW())="","",INDEX(Listado!A:A,ROW()))</f>
        <v/>
      </c>
      <c r="T1930" s="17" t="str">
        <f ca="1">IF(INDEX(Listado!G:G,ROW())="","",INDEX(Listado!G:G,ROW()))</f>
        <v/>
      </c>
      <c r="U1930" s="17" t="str">
        <f>IF(INDEX(Listado!F:F,ROW())="","",INDEX(Listado!F:F,ROW()))</f>
        <v/>
      </c>
      <c r="V1930" s="17">
        <f>IF(COUNTA(INDEX(Listado!B:B,ROW()):INDEX(Listado!F:F,ROW()))&gt;0,1,0)</f>
        <v/>
      </c>
      <c r="W1930" s="17" t="str">
        <f>IF(INDEX(Listado!L:L,ROW())="","",INDEX(Listado!L:L,ROW()))</f>
        <v/>
      </c>
      <c r="X1930" s="17">
        <f>IF(N1930="","",IF(INDEX(Listado!$M:$M,N1930)="No","No","Sí"))</f>
        <v/>
      </c>
    </row>
    <row r="1931" spans="2:24" ht="14.25">
      <c r="N1931" s="17" t="str">
        <f>IF(V1931=0,"",IFERROR(LOOKUP(2,1/(INDEX(Listado!A:A,2):INDEX(Listado!A:A,ROW())&lt;&gt;""),ROW(INDEX(Listado!A:A,2):INDEX(Listado!A:A,ROW()))),""))</f>
        <v/>
      </c>
      <c r="O1931" s="17" t="str">
        <f>IFERROR(IF(N1931="","",IF(INDEX(Listado!M:M,N1931)="No",IF(INDEX(Listado!N:N,N1931)=0,"",INDEX(Listado!N:N,N1931)),IF(INDEX(Listado!I:I,N1931)=0,"",INDEX(Listado!I:I,N1931)))),"")</f>
        <v/>
      </c>
      <c r="P1931" s="17">
        <f t="shared" ca="1" si="91"/>
        <v/>
      </c>
      <c r="Q1931" s="17">
        <f>IFERROR(IF(AND(N1931&lt;&gt;"",ISNUMBER(O1931),O1931&gt;0,O1931&gt;=TODAY()-90),1,0),0)</f>
        <v/>
      </c>
      <c r="R1931" s="17" t="str">
        <f t="shared" si="93"/>
        <v/>
      </c>
      <c r="S1931" s="17" t="str">
        <f>IF(INDEX(Listado!A:A,ROW())="","",INDEX(Listado!A:A,ROW()))</f>
        <v/>
      </c>
      <c r="T1931" s="17" t="str">
        <f ca="1">IF(INDEX(Listado!G:G,ROW())="","",INDEX(Listado!G:G,ROW()))</f>
        <v/>
      </c>
      <c r="U1931" s="17" t="str">
        <f>IF(INDEX(Listado!F:F,ROW())="","",INDEX(Listado!F:F,ROW()))</f>
        <v/>
      </c>
      <c r="V1931" s="17">
        <f>IF(COUNTA(INDEX(Listado!B:B,ROW()):INDEX(Listado!F:F,ROW()))&gt;0,1,0)</f>
        <v/>
      </c>
      <c r="W1931" s="17" t="str">
        <f>IF(INDEX(Listado!L:L,ROW())="","",INDEX(Listado!L:L,ROW()))</f>
        <v/>
      </c>
      <c r="X1931" s="17">
        <f>IF(N1931="","",IF(INDEX(Listado!$M:$M,N1931)="No","No","Sí"))</f>
        <v/>
      </c>
    </row>
    <row r="1932" spans="2:24" ht="14.25">
      <c r="N1932" s="17" t="str">
        <f>IF(V1932=0,"",IFERROR(LOOKUP(2,1/(INDEX(Listado!A:A,2):INDEX(Listado!A:A,ROW())&lt;&gt;""),ROW(INDEX(Listado!A:A,2):INDEX(Listado!A:A,ROW()))),""))</f>
        <v/>
      </c>
      <c r="O1932" s="17" t="str">
        <f>IFERROR(IF(N1932="","",IF(INDEX(Listado!M:M,N1932)="No",IF(INDEX(Listado!N:N,N1932)=0,"",INDEX(Listado!N:N,N1932)),IF(INDEX(Listado!I:I,N1932)=0,"",INDEX(Listado!I:I,N1932)))),"")</f>
        <v/>
      </c>
      <c r="P1932" s="17">
        <f t="shared" ca="1" si="91"/>
        <v/>
      </c>
      <c r="Q1932" s="17">
        <f>IFERROR(IF(AND(N1932&lt;&gt;"",ISNUMBER(O1932),O1932&gt;0,O1932&gt;=TODAY()-90),1,0),0)</f>
        <v/>
      </c>
      <c r="R1932" s="17" t="str">
        <f t="shared" si="93"/>
        <v/>
      </c>
      <c r="S1932" s="17" t="str">
        <f>IF(INDEX(Listado!A:A,ROW())="","",INDEX(Listado!A:A,ROW()))</f>
        <v/>
      </c>
      <c r="T1932" s="17" t="str">
        <f ca="1">IF(INDEX(Listado!G:G,ROW())="","",INDEX(Listado!G:G,ROW()))</f>
        <v/>
      </c>
      <c r="U1932" s="17" t="str">
        <f>IF(INDEX(Listado!F:F,ROW())="","",INDEX(Listado!F:F,ROW()))</f>
        <v/>
      </c>
      <c r="V1932" s="17">
        <f>IF(COUNTA(INDEX(Listado!B:B,ROW()):INDEX(Listado!F:F,ROW()))&gt;0,1,0)</f>
        <v/>
      </c>
      <c r="W1932" s="17" t="str">
        <f>IF(INDEX(Listado!L:L,ROW())="","",INDEX(Listado!L:L,ROW()))</f>
        <v/>
      </c>
      <c r="X1932" s="17">
        <f>IF(N1932="","",IF(INDEX(Listado!$M:$M,N1932)="No","No","Sí"))</f>
        <v/>
      </c>
    </row>
    <row r="1933" spans="2:24" ht="14.25">
      <c r="N1933" s="17" t="str">
        <f>IF(V1933=0,"",IFERROR(LOOKUP(2,1/(INDEX(Listado!A:A,2):INDEX(Listado!A:A,ROW())&lt;&gt;""),ROW(INDEX(Listado!A:A,2):INDEX(Listado!A:A,ROW()))),""))</f>
        <v/>
      </c>
      <c r="O1933" s="17" t="str">
        <f>IFERROR(IF(N1933="","",IF(INDEX(Listado!M:M,N1933)="No",IF(INDEX(Listado!N:N,N1933)=0,"",INDEX(Listado!N:N,N1933)),IF(INDEX(Listado!I:I,N1933)=0,"",INDEX(Listado!I:I,N1933)))),"")</f>
        <v/>
      </c>
      <c r="P1933" s="17">
        <f t="shared" ca="1" si="91"/>
        <v/>
      </c>
      <c r="Q1933" s="17">
        <f>IFERROR(IF(AND(N1933&lt;&gt;"",ISNUMBER(O1933),O1933&gt;0,O1933&gt;=TODAY()-90),1,0),0)</f>
        <v/>
      </c>
      <c r="R1933" s="17" t="str">
        <f t="shared" si="93"/>
        <v/>
      </c>
      <c r="S1933" s="17" t="str">
        <f>IF(INDEX(Listado!A:A,ROW())="","",INDEX(Listado!A:A,ROW()))</f>
        <v/>
      </c>
      <c r="T1933" s="17" t="str">
        <f ca="1">IF(INDEX(Listado!G:G,ROW())="","",INDEX(Listado!G:G,ROW()))</f>
        <v/>
      </c>
      <c r="U1933" s="17" t="str">
        <f>IF(INDEX(Listado!F:F,ROW())="","",INDEX(Listado!F:F,ROW()))</f>
        <v/>
      </c>
      <c r="V1933" s="17">
        <f>IF(COUNTA(INDEX(Listado!B:B,ROW()):INDEX(Listado!F:F,ROW()))&gt;0,1,0)</f>
        <v/>
      </c>
      <c r="W1933" s="17" t="str">
        <f>IF(INDEX(Listado!L:L,ROW())="","",INDEX(Listado!L:L,ROW()))</f>
        <v/>
      </c>
      <c r="X1933" s="17">
        <f>IF(N1933="","",IF(INDEX(Listado!$M:$M,N1933)="No","No","Sí"))</f>
        <v/>
      </c>
    </row>
    <row r="1934" spans="2:24" ht="14.25">
      <c r="N1934" s="17" t="str">
        <f>IF(V1934=0,"",IFERROR(LOOKUP(2,1/(INDEX(Listado!A:A,2):INDEX(Listado!A:A,ROW())&lt;&gt;""),ROW(INDEX(Listado!A:A,2):INDEX(Listado!A:A,ROW()))),""))</f>
        <v/>
      </c>
      <c r="O1934" s="17" t="str">
        <f>IFERROR(IF(N1934="","",IF(INDEX(Listado!M:M,N1934)="No",IF(INDEX(Listado!N:N,N1934)=0,"",INDEX(Listado!N:N,N1934)),IF(INDEX(Listado!I:I,N1934)=0,"",INDEX(Listado!I:I,N1934)))),"")</f>
        <v/>
      </c>
      <c r="P1934" s="17">
        <f t="shared" ca="1" si="91"/>
        <v/>
      </c>
      <c r="Q1934" s="17">
        <f>IFERROR(IF(AND(N1934&lt;&gt;"",ISNUMBER(O1934),O1934&gt;0,O1934&gt;=TODAY()-90),1,0),0)</f>
        <v/>
      </c>
      <c r="R1934" s="17" t="str">
        <f t="shared" si="93"/>
        <v/>
      </c>
      <c r="S1934" s="17" t="str">
        <f>IF(INDEX(Listado!A:A,ROW())="","",INDEX(Listado!A:A,ROW()))</f>
        <v/>
      </c>
      <c r="T1934" s="17" t="str">
        <f ca="1">IF(INDEX(Listado!G:G,ROW())="","",INDEX(Listado!G:G,ROW()))</f>
        <v/>
      </c>
      <c r="U1934" s="17" t="str">
        <f>IF(INDEX(Listado!F:F,ROW())="","",INDEX(Listado!F:F,ROW()))</f>
        <v/>
      </c>
      <c r="V1934" s="17">
        <f>IF(COUNTA(INDEX(Listado!B:B,ROW()):INDEX(Listado!F:F,ROW()))&gt;0,1,0)</f>
        <v/>
      </c>
      <c r="W1934" s="17" t="str">
        <f>IF(INDEX(Listado!L:L,ROW())="","",INDEX(Listado!L:L,ROW()))</f>
        <v/>
      </c>
      <c r="X1934" s="17">
        <f>IF(N1934="","",IF(INDEX(Listado!$M:$M,N1934)="No","No","Sí"))</f>
        <v/>
      </c>
    </row>
    <row r="1935" spans="2:24" ht="14.25">
      <c r="N1935" s="17" t="str">
        <f>IF(V1935=0,"",IFERROR(LOOKUP(2,1/(INDEX(Listado!A:A,2):INDEX(Listado!A:A,ROW())&lt;&gt;""),ROW(INDEX(Listado!A:A,2):INDEX(Listado!A:A,ROW()))),""))</f>
        <v/>
      </c>
      <c r="O1935" s="17" t="str">
        <f>IFERROR(IF(N1935="","",IF(INDEX(Listado!M:M,N1935)="No",IF(INDEX(Listado!N:N,N1935)=0,"",INDEX(Listado!N:N,N1935)),IF(INDEX(Listado!I:I,N1935)=0,"",INDEX(Listado!I:I,N1935)))),"")</f>
        <v/>
      </c>
      <c r="P1935" s="17">
        <f t="shared" ca="1" si="91"/>
        <v/>
      </c>
      <c r="Q1935" s="17">
        <f>IFERROR(IF(AND(N1935&lt;&gt;"",ISNUMBER(O1935),O1935&gt;0,O1935&gt;=TODAY()-90),1,0),0)</f>
        <v/>
      </c>
      <c r="R1935" s="17" t="str">
        <f t="shared" si="93"/>
        <v/>
      </c>
      <c r="S1935" s="17" t="str">
        <f>IF(INDEX(Listado!A:A,ROW())="","",INDEX(Listado!A:A,ROW()))</f>
        <v/>
      </c>
      <c r="T1935" s="17" t="str">
        <f ca="1">IF(INDEX(Listado!G:G,ROW())="","",INDEX(Listado!G:G,ROW()))</f>
        <v/>
      </c>
      <c r="U1935" s="17" t="str">
        <f>IF(INDEX(Listado!F:F,ROW())="","",INDEX(Listado!F:F,ROW()))</f>
        <v/>
      </c>
      <c r="V1935" s="17">
        <f>IF(COUNTA(INDEX(Listado!B:B,ROW()):INDEX(Listado!F:F,ROW()))&gt;0,1,0)</f>
        <v/>
      </c>
      <c r="W1935" s="17" t="str">
        <f>IF(INDEX(Listado!L:L,ROW())="","",INDEX(Listado!L:L,ROW()))</f>
        <v/>
      </c>
      <c r="X1935" s="17">
        <f>IF(N1935="","",IF(INDEX(Listado!$M:$M,N1935)="No","No","Sí"))</f>
        <v/>
      </c>
    </row>
    <row r="1936" spans="2:24" ht="14.25">
      <c r="N1936" s="17" t="str">
        <f>IF(V1936=0,"",IFERROR(LOOKUP(2,1/(INDEX(Listado!A:A,2):INDEX(Listado!A:A,ROW())&lt;&gt;""),ROW(INDEX(Listado!A:A,2):INDEX(Listado!A:A,ROW()))),""))</f>
        <v/>
      </c>
      <c r="O1936" s="17" t="str">
        <f>IFERROR(IF(N1936="","",IF(INDEX(Listado!M:M,N1936)="No",IF(INDEX(Listado!N:N,N1936)=0,"",INDEX(Listado!N:N,N1936)),IF(INDEX(Listado!I:I,N1936)=0,"",INDEX(Listado!I:I,N1936)))),"")</f>
        <v/>
      </c>
      <c r="P1936" s="17">
        <f t="shared" ca="1" si="91"/>
        <v/>
      </c>
      <c r="Q1936" s="17">
        <f>IFERROR(IF(AND(N1936&lt;&gt;"",ISNUMBER(O1936),O1936&gt;0,O1936&gt;=TODAY()-90),1,0),0)</f>
        <v/>
      </c>
      <c r="R1936" s="17" t="str">
        <f t="shared" si="93"/>
        <v/>
      </c>
      <c r="S1936" s="17" t="str">
        <f>IF(INDEX(Listado!A:A,ROW())="","",INDEX(Listado!A:A,ROW()))</f>
        <v/>
      </c>
      <c r="T1936" s="17" t="str">
        <f ca="1">IF(INDEX(Listado!G:G,ROW())="","",INDEX(Listado!G:G,ROW()))</f>
        <v/>
      </c>
      <c r="U1936" s="17" t="str">
        <f>IF(INDEX(Listado!F:F,ROW())="","",INDEX(Listado!F:F,ROW()))</f>
        <v/>
      </c>
      <c r="V1936" s="17">
        <f>IF(COUNTA(INDEX(Listado!B:B,ROW()):INDEX(Listado!F:F,ROW()))&gt;0,1,0)</f>
        <v/>
      </c>
      <c r="W1936" s="17" t="str">
        <f>IF(INDEX(Listado!L:L,ROW())="","",INDEX(Listado!L:L,ROW()))</f>
        <v/>
      </c>
      <c r="X1936" s="17">
        <f>IF(N1936="","",IF(INDEX(Listado!$M:$M,N1936)="No","No","Sí"))</f>
        <v/>
      </c>
    </row>
    <row r="1937" spans="2:24" ht="14.25">
      <c r="N1937" s="17" t="str">
        <f>IF(V1937=0,"",IFERROR(LOOKUP(2,1/(INDEX(Listado!A:A,2):INDEX(Listado!A:A,ROW())&lt;&gt;""),ROW(INDEX(Listado!A:A,2):INDEX(Listado!A:A,ROW()))),""))</f>
        <v/>
      </c>
      <c r="O1937" s="17" t="str">
        <f>IFERROR(IF(N1937="","",IF(INDEX(Listado!M:M,N1937)="No",IF(INDEX(Listado!N:N,N1937)=0,"",INDEX(Listado!N:N,N1937)),IF(INDEX(Listado!I:I,N1937)=0,"",INDEX(Listado!I:I,N1937)))),"")</f>
        <v/>
      </c>
      <c r="P1937" s="17">
        <f t="shared" ca="1" si="91"/>
        <v/>
      </c>
      <c r="Q1937" s="17">
        <f>IFERROR(IF(AND(N1937&lt;&gt;"",ISNUMBER(O1937),O1937&gt;0,O1937&gt;=TODAY()-90),1,0),0)</f>
        <v/>
      </c>
      <c r="R1937" s="17" t="str">
        <f t="shared" si="93"/>
        <v/>
      </c>
      <c r="S1937" s="17" t="str">
        <f>IF(INDEX(Listado!A:A,ROW())="","",INDEX(Listado!A:A,ROW()))</f>
        <v/>
      </c>
      <c r="T1937" s="17" t="str">
        <f ca="1">IF(INDEX(Listado!G:G,ROW())="","",INDEX(Listado!G:G,ROW()))</f>
        <v/>
      </c>
      <c r="U1937" s="17" t="str">
        <f>IF(INDEX(Listado!F:F,ROW())="","",INDEX(Listado!F:F,ROW()))</f>
        <v/>
      </c>
      <c r="V1937" s="17">
        <f>IF(COUNTA(INDEX(Listado!B:B,ROW()):INDEX(Listado!F:F,ROW()))&gt;0,1,0)</f>
        <v/>
      </c>
      <c r="W1937" s="17" t="str">
        <f>IF(INDEX(Listado!L:L,ROW())="","",INDEX(Listado!L:L,ROW()))</f>
        <v/>
      </c>
      <c r="X1937" s="17">
        <f>IF(N1937="","",IF(INDEX(Listado!$M:$M,N1937)="No","No","Sí"))</f>
        <v/>
      </c>
    </row>
    <row r="1938" spans="2:24" ht="14.25">
      <c r="N1938" s="17" t="str">
        <f>IF(V1938=0,"",IFERROR(LOOKUP(2,1/(INDEX(Listado!A:A,2):INDEX(Listado!A:A,ROW())&lt;&gt;""),ROW(INDEX(Listado!A:A,2):INDEX(Listado!A:A,ROW()))),""))</f>
        <v/>
      </c>
      <c r="O1938" s="17" t="str">
        <f>IFERROR(IF(N1938="","",IF(INDEX(Listado!M:M,N1938)="No",IF(INDEX(Listado!N:N,N1938)=0,"",INDEX(Listado!N:N,N1938)),IF(INDEX(Listado!I:I,N1938)=0,"",INDEX(Listado!I:I,N1938)))),"")</f>
        <v/>
      </c>
      <c r="P1938" s="17">
        <f t="shared" ca="1" si="91"/>
        <v/>
      </c>
      <c r="Q1938" s="17">
        <f>IFERROR(IF(AND(N1938&lt;&gt;"",ISNUMBER(O1938),O1938&gt;0,O1938&gt;=TODAY()-90),1,0),0)</f>
        <v/>
      </c>
      <c r="R1938" s="17" t="str">
        <f t="shared" si="93"/>
        <v/>
      </c>
      <c r="S1938" s="17" t="str">
        <f>IF(INDEX(Listado!A:A,ROW())="","",INDEX(Listado!A:A,ROW()))</f>
        <v/>
      </c>
      <c r="T1938" s="17" t="str">
        <f ca="1">IF(INDEX(Listado!G:G,ROW())="","",INDEX(Listado!G:G,ROW()))</f>
        <v/>
      </c>
      <c r="U1938" s="17" t="str">
        <f>IF(INDEX(Listado!F:F,ROW())="","",INDEX(Listado!F:F,ROW()))</f>
        <v/>
      </c>
      <c r="V1938" s="17">
        <f>IF(COUNTA(INDEX(Listado!B:B,ROW()):INDEX(Listado!F:F,ROW()))&gt;0,1,0)</f>
        <v/>
      </c>
      <c r="W1938" s="17" t="str">
        <f>IF(INDEX(Listado!L:L,ROW())="","",INDEX(Listado!L:L,ROW()))</f>
        <v/>
      </c>
      <c r="X1938" s="17">
        <f>IF(N1938="","",IF(INDEX(Listado!$M:$M,N1938)="No","No","Sí"))</f>
        <v/>
      </c>
    </row>
    <row r="1939" spans="2:24" ht="14.25">
      <c r="N1939" s="17" t="str">
        <f>IF(V1939=0,"",IFERROR(LOOKUP(2,1/(INDEX(Listado!A:A,2):INDEX(Listado!A:A,ROW())&lt;&gt;""),ROW(INDEX(Listado!A:A,2):INDEX(Listado!A:A,ROW()))),""))</f>
        <v/>
      </c>
      <c r="O1939" s="17" t="str">
        <f>IFERROR(IF(N1939="","",IF(INDEX(Listado!M:M,N1939)="No",IF(INDEX(Listado!N:N,N1939)=0,"",INDEX(Listado!N:N,N1939)),IF(INDEX(Listado!I:I,N1939)=0,"",INDEX(Listado!I:I,N1939)))),"")</f>
        <v/>
      </c>
      <c r="P1939" s="17">
        <f t="shared" ca="1" si="91"/>
        <v/>
      </c>
      <c r="Q1939" s="17">
        <f>IFERROR(IF(AND(N1939&lt;&gt;"",ISNUMBER(O1939),O1939&gt;0,O1939&gt;=TODAY()-90),1,0),0)</f>
        <v/>
      </c>
      <c r="R1939" s="17" t="str">
        <f t="shared" si="93"/>
        <v/>
      </c>
      <c r="S1939" s="17" t="str">
        <f>IF(INDEX(Listado!A:A,ROW())="","",INDEX(Listado!A:A,ROW()))</f>
        <v/>
      </c>
      <c r="T1939" s="17" t="str">
        <f ca="1">IF(INDEX(Listado!G:G,ROW())="","",INDEX(Listado!G:G,ROW()))</f>
        <v/>
      </c>
      <c r="U1939" s="17" t="str">
        <f>IF(INDEX(Listado!F:F,ROW())="","",INDEX(Listado!F:F,ROW()))</f>
        <v/>
      </c>
      <c r="V1939" s="17">
        <f>IF(COUNTA(INDEX(Listado!B:B,ROW()):INDEX(Listado!F:F,ROW()))&gt;0,1,0)</f>
        <v/>
      </c>
      <c r="W1939" s="17" t="str">
        <f>IF(INDEX(Listado!L:L,ROW())="","",INDEX(Listado!L:L,ROW()))</f>
        <v/>
      </c>
      <c r="X1939" s="17">
        <f>IF(N1939="","",IF(INDEX(Listado!$M:$M,N1939)="No","No","Sí"))</f>
        <v/>
      </c>
    </row>
    <row r="1940" spans="2:24" ht="14.25">
      <c r="N1940" s="17" t="str">
        <f>IF(V1940=0,"",IFERROR(LOOKUP(2,1/(INDEX(Listado!A:A,2):INDEX(Listado!A:A,ROW())&lt;&gt;""),ROW(INDEX(Listado!A:A,2):INDEX(Listado!A:A,ROW()))),""))</f>
        <v/>
      </c>
      <c r="O1940" s="17" t="str">
        <f>IFERROR(IF(N1940="","",IF(INDEX(Listado!M:M,N1940)="No",IF(INDEX(Listado!N:N,N1940)=0,"",INDEX(Listado!N:N,N1940)),IF(INDEX(Listado!I:I,N1940)=0,"",INDEX(Listado!I:I,N1940)))),"")</f>
        <v/>
      </c>
      <c r="P1940" s="17">
        <f t="shared" ca="1" si="91"/>
        <v/>
      </c>
      <c r="Q1940" s="17">
        <f>IFERROR(IF(AND(N1940&lt;&gt;"",ISNUMBER(O1940),O1940&gt;0,O1940&gt;=TODAY()-90),1,0),0)</f>
        <v/>
      </c>
      <c r="R1940" s="17" t="str">
        <f t="shared" si="93"/>
        <v/>
      </c>
      <c r="S1940" s="17" t="str">
        <f>IF(INDEX(Listado!A:A,ROW())="","",INDEX(Listado!A:A,ROW()))</f>
        <v/>
      </c>
      <c r="T1940" s="17" t="str">
        <f ca="1">IF(INDEX(Listado!G:G,ROW())="","",INDEX(Listado!G:G,ROW()))</f>
        <v/>
      </c>
      <c r="U1940" s="17" t="str">
        <f>IF(INDEX(Listado!F:F,ROW())="","",INDEX(Listado!F:F,ROW()))</f>
        <v/>
      </c>
      <c r="V1940" s="17">
        <f>IF(COUNTA(INDEX(Listado!B:B,ROW()):INDEX(Listado!F:F,ROW()))&gt;0,1,0)</f>
        <v/>
      </c>
      <c r="W1940" s="17" t="str">
        <f>IF(INDEX(Listado!L:L,ROW())="","",INDEX(Listado!L:L,ROW()))</f>
        <v/>
      </c>
      <c r="X1940" s="17">
        <f>IF(N1940="","",IF(INDEX(Listado!$M:$M,N1940)="No","No","Sí"))</f>
        <v/>
      </c>
    </row>
    <row r="1941" spans="2:24" ht="14.25">
      <c r="N1941" s="17" t="str">
        <f>IF(V1941=0,"",IFERROR(LOOKUP(2,1/(INDEX(Listado!A:A,2):INDEX(Listado!A:A,ROW())&lt;&gt;""),ROW(INDEX(Listado!A:A,2):INDEX(Listado!A:A,ROW()))),""))</f>
        <v/>
      </c>
      <c r="O1941" s="17" t="str">
        <f>IFERROR(IF(N1941="","",IF(INDEX(Listado!M:M,N1941)="No",IF(INDEX(Listado!N:N,N1941)=0,"",INDEX(Listado!N:N,N1941)),IF(INDEX(Listado!I:I,N1941)=0,"",INDEX(Listado!I:I,N1941)))),"")</f>
        <v/>
      </c>
      <c r="P1941" s="17">
        <f t="shared" ca="1" si="91"/>
        <v/>
      </c>
      <c r="Q1941" s="17">
        <f>IFERROR(IF(AND(N1941&lt;&gt;"",ISNUMBER(O1941),O1941&gt;0,O1941&gt;=TODAY()-90),1,0),0)</f>
        <v/>
      </c>
      <c r="R1941" s="17" t="str">
        <f t="shared" si="93"/>
        <v/>
      </c>
      <c r="S1941" s="17" t="str">
        <f>IF(INDEX(Listado!A:A,ROW())="","",INDEX(Listado!A:A,ROW()))</f>
        <v/>
      </c>
      <c r="T1941" s="17" t="str">
        <f ca="1">IF(INDEX(Listado!G:G,ROW())="","",INDEX(Listado!G:G,ROW()))</f>
        <v/>
      </c>
      <c r="U1941" s="17" t="str">
        <f>IF(INDEX(Listado!F:F,ROW())="","",INDEX(Listado!F:F,ROW()))</f>
        <v/>
      </c>
      <c r="V1941" s="17">
        <f>IF(COUNTA(INDEX(Listado!B:B,ROW()):INDEX(Listado!F:F,ROW()))&gt;0,1,0)</f>
        <v/>
      </c>
      <c r="W1941" s="17" t="str">
        <f>IF(INDEX(Listado!L:L,ROW())="","",INDEX(Listado!L:L,ROW()))</f>
        <v/>
      </c>
      <c r="X1941" s="17">
        <f>IF(N1941="","",IF(INDEX(Listado!$M:$M,N1941)="No","No","Sí"))</f>
        <v/>
      </c>
    </row>
    <row r="1942" spans="2:24" ht="14.25">
      <c r="N1942" s="17" t="str">
        <f>IF(V1942=0,"",IFERROR(LOOKUP(2,1/(INDEX(Listado!A:A,2):INDEX(Listado!A:A,ROW())&lt;&gt;""),ROW(INDEX(Listado!A:A,2):INDEX(Listado!A:A,ROW()))),""))</f>
        <v/>
      </c>
      <c r="O1942" s="17" t="str">
        <f>IFERROR(IF(N1942="","",IF(INDEX(Listado!M:M,N1942)="No",IF(INDEX(Listado!N:N,N1942)=0,"",INDEX(Listado!N:N,N1942)),IF(INDEX(Listado!I:I,N1942)=0,"",INDEX(Listado!I:I,N1942)))),"")</f>
        <v/>
      </c>
      <c r="P1942" s="17">
        <f t="shared" ca="1" si="91"/>
        <v/>
      </c>
      <c r="Q1942" s="17">
        <f>IFERROR(IF(AND(N1942&lt;&gt;"",ISNUMBER(O1942),O1942&gt;0,O1942&gt;=TODAY()-90),1,0),0)</f>
        <v/>
      </c>
      <c r="R1942" s="17" t="str">
        <f t="shared" si="93"/>
        <v/>
      </c>
      <c r="S1942" s="17" t="str">
        <f>IF(INDEX(Listado!A:A,ROW())="","",INDEX(Listado!A:A,ROW()))</f>
        <v/>
      </c>
      <c r="T1942" s="17" t="str">
        <f ca="1">IF(INDEX(Listado!G:G,ROW())="","",INDEX(Listado!G:G,ROW()))</f>
        <v/>
      </c>
      <c r="U1942" s="17" t="str">
        <f>IF(INDEX(Listado!F:F,ROW())="","",INDEX(Listado!F:F,ROW()))</f>
        <v/>
      </c>
      <c r="V1942" s="17">
        <f>IF(COUNTA(INDEX(Listado!B:B,ROW()):INDEX(Listado!F:F,ROW()))&gt;0,1,0)</f>
        <v/>
      </c>
      <c r="W1942" s="17" t="str">
        <f>IF(INDEX(Listado!L:L,ROW())="","",INDEX(Listado!L:L,ROW()))</f>
        <v/>
      </c>
      <c r="X1942" s="17">
        <f>IF(N1942="","",IF(INDEX(Listado!$M:$M,N1942)="No","No","Sí"))</f>
        <v/>
      </c>
    </row>
    <row r="1943" spans="2:24" ht="14.25">
      <c r="N1943" s="17" t="str">
        <f>IF(V1943=0,"",IFERROR(LOOKUP(2,1/(INDEX(Listado!A:A,2):INDEX(Listado!A:A,ROW())&lt;&gt;""),ROW(INDEX(Listado!A:A,2):INDEX(Listado!A:A,ROW()))),""))</f>
        <v/>
      </c>
      <c r="O1943" s="17" t="str">
        <f>IFERROR(IF(N1943="","",IF(INDEX(Listado!M:M,N1943)="No",IF(INDEX(Listado!N:N,N1943)=0,"",INDEX(Listado!N:N,N1943)),IF(INDEX(Listado!I:I,N1943)=0,"",INDEX(Listado!I:I,N1943)))),"")</f>
        <v/>
      </c>
      <c r="P1943" s="17">
        <f t="shared" ca="1" si="91"/>
        <v/>
      </c>
      <c r="Q1943" s="17">
        <f>IFERROR(IF(AND(N1943&lt;&gt;"",ISNUMBER(O1943),O1943&gt;0,O1943&gt;=TODAY()-90),1,0),0)</f>
        <v/>
      </c>
      <c r="R1943" s="17" t="str">
        <f t="shared" si="93"/>
        <v/>
      </c>
      <c r="S1943" s="17" t="str">
        <f>IF(INDEX(Listado!A:A,ROW())="","",INDEX(Listado!A:A,ROW()))</f>
        <v/>
      </c>
      <c r="T1943" s="17" t="str">
        <f ca="1">IF(INDEX(Listado!G:G,ROW())="","",INDEX(Listado!G:G,ROW()))</f>
        <v/>
      </c>
      <c r="U1943" s="17" t="str">
        <f>IF(INDEX(Listado!F:F,ROW())="","",INDEX(Listado!F:F,ROW()))</f>
        <v/>
      </c>
      <c r="V1943" s="17">
        <f>IF(COUNTA(INDEX(Listado!B:B,ROW()):INDEX(Listado!F:F,ROW()))&gt;0,1,0)</f>
        <v/>
      </c>
      <c r="W1943" s="17" t="str">
        <f>IF(INDEX(Listado!L:L,ROW())="","",INDEX(Listado!L:L,ROW()))</f>
        <v/>
      </c>
      <c r="X1943" s="17">
        <f>IF(N1943="","",IF(INDEX(Listado!$M:$M,N1943)="No","No","Sí"))</f>
        <v/>
      </c>
    </row>
    <row r="1944" spans="2:24" ht="14.25">
      <c r="N1944" s="17" t="str">
        <f>IF(V1944=0,"",IFERROR(LOOKUP(2,1/(INDEX(Listado!A:A,2):INDEX(Listado!A:A,ROW())&lt;&gt;""),ROW(INDEX(Listado!A:A,2):INDEX(Listado!A:A,ROW()))),""))</f>
        <v/>
      </c>
      <c r="O1944" s="17" t="str">
        <f>IFERROR(IF(N1944="","",IF(INDEX(Listado!M:M,N1944)="No",IF(INDEX(Listado!N:N,N1944)=0,"",INDEX(Listado!N:N,N1944)),IF(INDEX(Listado!I:I,N1944)=0,"",INDEX(Listado!I:I,N1944)))),"")</f>
        <v/>
      </c>
      <c r="P1944" s="17">
        <f t="shared" ca="1" si="91"/>
        <v/>
      </c>
      <c r="Q1944" s="17">
        <f>IFERROR(IF(AND(N1944&lt;&gt;"",ISNUMBER(O1944),O1944&gt;0,O1944&gt;=TODAY()-90),1,0),0)</f>
        <v/>
      </c>
      <c r="R1944" s="17" t="str">
        <f t="shared" si="93"/>
        <v/>
      </c>
      <c r="S1944" s="17" t="str">
        <f>IF(INDEX(Listado!A:A,ROW())="","",INDEX(Listado!A:A,ROW()))</f>
        <v/>
      </c>
      <c r="T1944" s="17" t="str">
        <f ca="1">IF(INDEX(Listado!G:G,ROW())="","",INDEX(Listado!G:G,ROW()))</f>
        <v/>
      </c>
      <c r="U1944" s="17" t="str">
        <f>IF(INDEX(Listado!F:F,ROW())="","",INDEX(Listado!F:F,ROW()))</f>
        <v/>
      </c>
      <c r="V1944" s="17">
        <f>IF(COUNTA(INDEX(Listado!B:B,ROW()):INDEX(Listado!F:F,ROW()))&gt;0,1,0)</f>
        <v/>
      </c>
      <c r="W1944" s="17" t="str">
        <f>IF(INDEX(Listado!L:L,ROW())="","",INDEX(Listado!L:L,ROW()))</f>
        <v/>
      </c>
      <c r="X1944" s="17">
        <f>IF(N1944="","",IF(INDEX(Listado!$M:$M,N1944)="No","No","Sí"))</f>
        <v/>
      </c>
    </row>
    <row r="1945" spans="2:24" ht="14.25">
      <c r="N1945" s="17" t="str">
        <f>IF(V1945=0,"",IFERROR(LOOKUP(2,1/(INDEX(Listado!A:A,2):INDEX(Listado!A:A,ROW())&lt;&gt;""),ROW(INDEX(Listado!A:A,2):INDEX(Listado!A:A,ROW()))),""))</f>
        <v/>
      </c>
      <c r="O1945" s="17" t="str">
        <f>IFERROR(IF(N1945="","",IF(INDEX(Listado!M:M,N1945)="No",IF(INDEX(Listado!N:N,N1945)=0,"",INDEX(Listado!N:N,N1945)),IF(INDEX(Listado!I:I,N1945)=0,"",INDEX(Listado!I:I,N1945)))),"")</f>
        <v/>
      </c>
      <c r="P1945" s="17">
        <f t="shared" ca="1" si="91"/>
        <v/>
      </c>
      <c r="Q1945" s="17">
        <f>IFERROR(IF(AND(N1945&lt;&gt;"",ISNUMBER(O1945),O1945&gt;0,O1945&gt;=TODAY()-90),1,0),0)</f>
        <v/>
      </c>
      <c r="R1945" s="17" t="str">
        <f t="shared" si="93"/>
        <v/>
      </c>
      <c r="S1945" s="17" t="str">
        <f>IF(INDEX(Listado!A:A,ROW())="","",INDEX(Listado!A:A,ROW()))</f>
        <v/>
      </c>
      <c r="T1945" s="17" t="str">
        <f ca="1">IF(INDEX(Listado!G:G,ROW())="","",INDEX(Listado!G:G,ROW()))</f>
        <v/>
      </c>
      <c r="U1945" s="17" t="str">
        <f>IF(INDEX(Listado!F:F,ROW())="","",INDEX(Listado!F:F,ROW()))</f>
        <v/>
      </c>
      <c r="V1945" s="17">
        <f>IF(COUNTA(INDEX(Listado!B:B,ROW()):INDEX(Listado!F:F,ROW()))&gt;0,1,0)</f>
        <v/>
      </c>
      <c r="W1945" s="17" t="str">
        <f>IF(INDEX(Listado!L:L,ROW())="","",INDEX(Listado!L:L,ROW()))</f>
        <v/>
      </c>
      <c r="X1945" s="17">
        <f>IF(N1945="","",IF(INDEX(Listado!$M:$M,N1945)="No","No","Sí"))</f>
        <v/>
      </c>
    </row>
    <row r="1946" spans="2:24" ht="14.25">
      <c r="N1946" s="17" t="str">
        <f>IF(V1946=0,"",IFERROR(LOOKUP(2,1/(INDEX(Listado!A:A,2):INDEX(Listado!A:A,ROW())&lt;&gt;""),ROW(INDEX(Listado!A:A,2):INDEX(Listado!A:A,ROW()))),""))</f>
        <v/>
      </c>
      <c r="O1946" s="17" t="str">
        <f>IFERROR(IF(N1946="","",IF(INDEX(Listado!M:M,N1946)="No",IF(INDEX(Listado!N:N,N1946)=0,"",INDEX(Listado!N:N,N1946)),IF(INDEX(Listado!I:I,N1946)=0,"",INDEX(Listado!I:I,N1946)))),"")</f>
        <v/>
      </c>
      <c r="P1946" s="17">
        <f t="shared" ca="1" si="91"/>
        <v/>
      </c>
      <c r="Q1946" s="17">
        <f>IFERROR(IF(AND(N1946&lt;&gt;"",ISNUMBER(O1946),O1946&gt;0,O1946&gt;=TODAY()-90),1,0),0)</f>
        <v/>
      </c>
      <c r="R1946" s="17" t="str">
        <f t="shared" si="93"/>
        <v/>
      </c>
      <c r="S1946" s="17" t="str">
        <f>IF(INDEX(Listado!A:A,ROW())="","",INDEX(Listado!A:A,ROW()))</f>
        <v/>
      </c>
      <c r="T1946" s="17" t="str">
        <f ca="1">IF(INDEX(Listado!G:G,ROW())="","",INDEX(Listado!G:G,ROW()))</f>
        <v/>
      </c>
      <c r="U1946" s="17" t="str">
        <f>IF(INDEX(Listado!F:F,ROW())="","",INDEX(Listado!F:F,ROW()))</f>
        <v/>
      </c>
      <c r="V1946" s="17">
        <f>IF(COUNTA(INDEX(Listado!B:B,ROW()):INDEX(Listado!F:F,ROW()))&gt;0,1,0)</f>
        <v/>
      </c>
      <c r="W1946" s="17" t="str">
        <f>IF(INDEX(Listado!L:L,ROW())="","",INDEX(Listado!L:L,ROW()))</f>
        <v/>
      </c>
      <c r="X1946" s="17">
        <f>IF(N1946="","",IF(INDEX(Listado!$M:$M,N1946)="No","No","Sí"))</f>
        <v/>
      </c>
    </row>
    <row r="1947" spans="2:24" ht="14.25">
      <c r="N1947" s="17" t="str">
        <f>IF(V1947=0,"",IFERROR(LOOKUP(2,1/(INDEX(Listado!A:A,2):INDEX(Listado!A:A,ROW())&lt;&gt;""),ROW(INDEX(Listado!A:A,2):INDEX(Listado!A:A,ROW()))),""))</f>
        <v/>
      </c>
      <c r="O1947" s="17" t="str">
        <f>IFERROR(IF(N1947="","",IF(INDEX(Listado!M:M,N1947)="No",IF(INDEX(Listado!N:N,N1947)=0,"",INDEX(Listado!N:N,N1947)),IF(INDEX(Listado!I:I,N1947)=0,"",INDEX(Listado!I:I,N1947)))),"")</f>
        <v/>
      </c>
      <c r="P1947" s="17">
        <f t="shared" ca="1" si="91"/>
        <v/>
      </c>
      <c r="Q1947" s="17">
        <f>IFERROR(IF(AND(N1947&lt;&gt;"",ISNUMBER(O1947),O1947&gt;0,O1947&gt;=TODAY()-90),1,0),0)</f>
        <v/>
      </c>
      <c r="R1947" s="17" t="str">
        <f t="shared" si="93"/>
        <v/>
      </c>
      <c r="S1947" s="17" t="str">
        <f>IF(INDEX(Listado!A:A,ROW())="","",INDEX(Listado!A:A,ROW()))</f>
        <v/>
      </c>
      <c r="T1947" s="17" t="str">
        <f ca="1">IF(INDEX(Listado!G:G,ROW())="","",INDEX(Listado!G:G,ROW()))</f>
        <v/>
      </c>
      <c r="U1947" s="17" t="str">
        <f>IF(INDEX(Listado!F:F,ROW())="","",INDEX(Listado!F:F,ROW()))</f>
        <v/>
      </c>
      <c r="V1947" s="17">
        <f>IF(COUNTA(INDEX(Listado!B:B,ROW()):INDEX(Listado!F:F,ROW()))&gt;0,1,0)</f>
        <v/>
      </c>
      <c r="W1947" s="17" t="str">
        <f>IF(INDEX(Listado!L:L,ROW())="","",INDEX(Listado!L:L,ROW()))</f>
        <v/>
      </c>
      <c r="X1947" s="17">
        <f>IF(N1947="","",IF(INDEX(Listado!$M:$M,N1947)="No","No","Sí"))</f>
        <v/>
      </c>
    </row>
    <row r="1948" spans="2:24" ht="14.25">
      <c r="N1948" s="17" t="str">
        <f>IF(V1948=0,"",IFERROR(LOOKUP(2,1/(INDEX(Listado!A:A,2):INDEX(Listado!A:A,ROW())&lt;&gt;""),ROW(INDEX(Listado!A:A,2):INDEX(Listado!A:A,ROW()))),""))</f>
        <v/>
      </c>
      <c r="O1948" s="17" t="str">
        <f>IFERROR(IF(N1948="","",IF(INDEX(Listado!M:M,N1948)="No",IF(INDEX(Listado!N:N,N1948)=0,"",INDEX(Listado!N:N,N1948)),IF(INDEX(Listado!I:I,N1948)=0,"",INDEX(Listado!I:I,N1948)))),"")</f>
        <v/>
      </c>
      <c r="P1948" s="17">
        <f t="shared" ca="1" si="91"/>
        <v/>
      </c>
      <c r="Q1948" s="17">
        <f>IFERROR(IF(AND(N1948&lt;&gt;"",ISNUMBER(O1948),O1948&gt;0,O1948&gt;=TODAY()-90),1,0),0)</f>
        <v/>
      </c>
      <c r="R1948" s="17" t="str">
        <f t="shared" si="93"/>
        <v/>
      </c>
      <c r="S1948" s="17" t="str">
        <f>IF(INDEX(Listado!A:A,ROW())="","",INDEX(Listado!A:A,ROW()))</f>
        <v/>
      </c>
      <c r="T1948" s="17" t="str">
        <f ca="1">IF(INDEX(Listado!G:G,ROW())="","",INDEX(Listado!G:G,ROW()))</f>
        <v/>
      </c>
      <c r="U1948" s="17" t="str">
        <f>IF(INDEX(Listado!F:F,ROW())="","",INDEX(Listado!F:F,ROW()))</f>
        <v/>
      </c>
      <c r="V1948" s="17">
        <f>IF(COUNTA(INDEX(Listado!B:B,ROW()):INDEX(Listado!F:F,ROW()))&gt;0,1,0)</f>
        <v/>
      </c>
      <c r="W1948" s="17" t="str">
        <f>IF(INDEX(Listado!L:L,ROW())="","",INDEX(Listado!L:L,ROW()))</f>
        <v/>
      </c>
      <c r="X1948" s="17">
        <f>IF(N1948="","",IF(INDEX(Listado!$M:$M,N1948)="No","No","Sí"))</f>
        <v/>
      </c>
    </row>
    <row r="1949" spans="2:24" ht="14.25">
      <c r="N1949" s="17" t="str">
        <f>IF(V1949=0,"",IFERROR(LOOKUP(2,1/(INDEX(Listado!A:A,2):INDEX(Listado!A:A,ROW())&lt;&gt;""),ROW(INDEX(Listado!A:A,2):INDEX(Listado!A:A,ROW()))),""))</f>
        <v/>
      </c>
      <c r="O1949" s="17" t="str">
        <f>IFERROR(IF(N1949="","",IF(INDEX(Listado!M:M,N1949)="No",IF(INDEX(Listado!N:N,N1949)=0,"",INDEX(Listado!N:N,N1949)),IF(INDEX(Listado!I:I,N1949)=0,"",INDEX(Listado!I:I,N1949)))),"")</f>
        <v/>
      </c>
      <c r="P1949" s="17">
        <f t="shared" ca="1" si="91"/>
        <v/>
      </c>
      <c r="Q1949" s="17">
        <f>IFERROR(IF(AND(N1949&lt;&gt;"",ISNUMBER(O1949),O1949&gt;0,O1949&gt;=TODAY()-90),1,0),0)</f>
        <v/>
      </c>
      <c r="R1949" s="17" t="str">
        <f t="shared" si="93"/>
        <v/>
      </c>
      <c r="S1949" s="17" t="str">
        <f>IF(INDEX(Listado!A:A,ROW())="","",INDEX(Listado!A:A,ROW()))</f>
        <v/>
      </c>
      <c r="T1949" s="17" t="str">
        <f ca="1">IF(INDEX(Listado!G:G,ROW())="","",INDEX(Listado!G:G,ROW()))</f>
        <v/>
      </c>
      <c r="U1949" s="17" t="str">
        <f>IF(INDEX(Listado!F:F,ROW())="","",INDEX(Listado!F:F,ROW()))</f>
        <v/>
      </c>
      <c r="V1949" s="17">
        <f>IF(COUNTA(INDEX(Listado!B:B,ROW()):INDEX(Listado!F:F,ROW()))&gt;0,1,0)</f>
        <v/>
      </c>
      <c r="W1949" s="17" t="str">
        <f>IF(INDEX(Listado!L:L,ROW())="","",INDEX(Listado!L:L,ROW()))</f>
        <v/>
      </c>
      <c r="X1949" s="17">
        <f>IF(N1949="","",IF(INDEX(Listado!$M:$M,N1949)="No","No","Sí"))</f>
        <v/>
      </c>
    </row>
    <row r="1950" spans="2:24" ht="14.25">
      <c r="N1950" s="17" t="str">
        <f>IF(V1950=0,"",IFERROR(LOOKUP(2,1/(INDEX(Listado!A:A,2):INDEX(Listado!A:A,ROW())&lt;&gt;""),ROW(INDEX(Listado!A:A,2):INDEX(Listado!A:A,ROW()))),""))</f>
        <v/>
      </c>
      <c r="O1950" s="17" t="str">
        <f>IFERROR(IF(N1950="","",IF(INDEX(Listado!M:M,N1950)="No",IF(INDEX(Listado!N:N,N1950)=0,"",INDEX(Listado!N:N,N1950)),IF(INDEX(Listado!I:I,N1950)=0,"",INDEX(Listado!I:I,N1950)))),"")</f>
        <v/>
      </c>
      <c r="P1950" s="17">
        <f t="shared" ca="1" si="91"/>
        <v/>
      </c>
      <c r="Q1950" s="17">
        <f>IFERROR(IF(AND(N1950&lt;&gt;"",ISNUMBER(O1950),O1950&gt;0,O1950&gt;=TODAY()-90),1,0),0)</f>
        <v/>
      </c>
      <c r="R1950" s="17" t="str">
        <f t="shared" si="93"/>
        <v/>
      </c>
      <c r="S1950" s="17" t="str">
        <f>IF(INDEX(Listado!A:A,ROW())="","",INDEX(Listado!A:A,ROW()))</f>
        <v/>
      </c>
      <c r="T1950" s="17" t="str">
        <f ca="1">IF(INDEX(Listado!G:G,ROW())="","",INDEX(Listado!G:G,ROW()))</f>
        <v/>
      </c>
      <c r="U1950" s="17" t="str">
        <f>IF(INDEX(Listado!F:F,ROW())="","",INDEX(Listado!F:F,ROW()))</f>
        <v/>
      </c>
      <c r="V1950" s="17">
        <f>IF(COUNTA(INDEX(Listado!B:B,ROW()):INDEX(Listado!F:F,ROW()))&gt;0,1,0)</f>
        <v/>
      </c>
      <c r="W1950" s="17" t="str">
        <f>IF(INDEX(Listado!L:L,ROW())="","",INDEX(Listado!L:L,ROW()))</f>
        <v/>
      </c>
      <c r="X1950" s="17">
        <f>IF(N1950="","",IF(INDEX(Listado!$M:$M,N1950)="No","No","Sí"))</f>
        <v/>
      </c>
    </row>
    <row r="1951" spans="2:24" ht="14.25">
      <c r="N1951" s="17" t="str">
        <f>IF(V1951=0,"",IFERROR(LOOKUP(2,1/(INDEX(Listado!A:A,2):INDEX(Listado!A:A,ROW())&lt;&gt;""),ROW(INDEX(Listado!A:A,2):INDEX(Listado!A:A,ROW()))),""))</f>
        <v/>
      </c>
      <c r="O1951" s="17" t="str">
        <f>IFERROR(IF(N1951="","",IF(INDEX(Listado!M:M,N1951)="No",IF(INDEX(Listado!N:N,N1951)=0,"",INDEX(Listado!N:N,N1951)),IF(INDEX(Listado!I:I,N1951)=0,"",INDEX(Listado!I:I,N1951)))),"")</f>
        <v/>
      </c>
      <c r="P1951" s="17">
        <f t="shared" ca="1" si="91"/>
        <v/>
      </c>
      <c r="Q1951" s="17">
        <f>IFERROR(IF(AND(N1951&lt;&gt;"",ISNUMBER(O1951),O1951&gt;0,O1951&gt;=TODAY()-90),1,0),0)</f>
        <v/>
      </c>
      <c r="R1951" s="17" t="str">
        <f t="shared" si="93"/>
        <v/>
      </c>
      <c r="S1951" s="17" t="str">
        <f>IF(INDEX(Listado!A:A,ROW())="","",INDEX(Listado!A:A,ROW()))</f>
        <v/>
      </c>
      <c r="T1951" s="17" t="str">
        <f ca="1">IF(INDEX(Listado!G:G,ROW())="","",INDEX(Listado!G:G,ROW()))</f>
        <v/>
      </c>
      <c r="U1951" s="17" t="str">
        <f>IF(INDEX(Listado!F:F,ROW())="","",INDEX(Listado!F:F,ROW()))</f>
        <v/>
      </c>
      <c r="V1951" s="17">
        <f>IF(COUNTA(INDEX(Listado!B:B,ROW()):INDEX(Listado!F:F,ROW()))&gt;0,1,0)</f>
        <v/>
      </c>
      <c r="W1951" s="17" t="str">
        <f>IF(INDEX(Listado!L:L,ROW())="","",INDEX(Listado!L:L,ROW()))</f>
        <v/>
      </c>
      <c r="X1951" s="17">
        <f>IF(N1951="","",IF(INDEX(Listado!$M:$M,N1951)="No","No","Sí"))</f>
        <v/>
      </c>
    </row>
    <row r="1952" spans="2:24" ht="14.25">
      <c r="N1952" s="17" t="str">
        <f>IF(V1952=0,"",IFERROR(LOOKUP(2,1/(INDEX(Listado!A:A,2):INDEX(Listado!A:A,ROW())&lt;&gt;""),ROW(INDEX(Listado!A:A,2):INDEX(Listado!A:A,ROW()))),""))</f>
        <v/>
      </c>
      <c r="O1952" s="17" t="str">
        <f>IFERROR(IF(N1952="","",IF(INDEX(Listado!M:M,N1952)="No",IF(INDEX(Listado!N:N,N1952)=0,"",INDEX(Listado!N:N,N1952)),IF(INDEX(Listado!I:I,N1952)=0,"",INDEX(Listado!I:I,N1952)))),"")</f>
        <v/>
      </c>
      <c r="P1952" s="17">
        <f t="shared" ca="1" si="91"/>
        <v/>
      </c>
      <c r="Q1952" s="17">
        <f>IFERROR(IF(AND(N1952&lt;&gt;"",ISNUMBER(O1952),O1952&gt;0,O1952&gt;=TODAY()-90),1,0),0)</f>
        <v/>
      </c>
      <c r="R1952" s="17" t="str">
        <f t="shared" si="93"/>
        <v/>
      </c>
      <c r="S1952" s="17" t="str">
        <f>IF(INDEX(Listado!A:A,ROW())="","",INDEX(Listado!A:A,ROW()))</f>
        <v/>
      </c>
      <c r="T1952" s="17" t="str">
        <f ca="1">IF(INDEX(Listado!G:G,ROW())="","",INDEX(Listado!G:G,ROW()))</f>
        <v/>
      </c>
      <c r="U1952" s="17" t="str">
        <f>IF(INDEX(Listado!F:F,ROW())="","",INDEX(Listado!F:F,ROW()))</f>
        <v/>
      </c>
      <c r="V1952" s="17">
        <f>IF(COUNTA(INDEX(Listado!B:B,ROW()):INDEX(Listado!F:F,ROW()))&gt;0,1,0)</f>
        <v/>
      </c>
      <c r="W1952" s="17" t="str">
        <f>IF(INDEX(Listado!L:L,ROW())="","",INDEX(Listado!L:L,ROW()))</f>
        <v/>
      </c>
      <c r="X1952" s="17">
        <f>IF(N1952="","",IF(INDEX(Listado!$M:$M,N1952)="No","No","Sí"))</f>
        <v/>
      </c>
    </row>
    <row r="1953" spans="2:24" ht="14.25">
      <c r="N1953" s="17" t="str">
        <f>IF(V1953=0,"",IFERROR(LOOKUP(2,1/(INDEX(Listado!A:A,2):INDEX(Listado!A:A,ROW())&lt;&gt;""),ROW(INDEX(Listado!A:A,2):INDEX(Listado!A:A,ROW()))),""))</f>
        <v/>
      </c>
      <c r="O1953" s="17" t="str">
        <f>IFERROR(IF(N1953="","",IF(INDEX(Listado!M:M,N1953)="No",IF(INDEX(Listado!N:N,N1953)=0,"",INDEX(Listado!N:N,N1953)),IF(INDEX(Listado!I:I,N1953)=0,"",INDEX(Listado!I:I,N1953)))),"")</f>
        <v/>
      </c>
      <c r="P1953" s="17">
        <f t="shared" ca="1" si="91"/>
        <v/>
      </c>
      <c r="Q1953" s="17">
        <f>IFERROR(IF(AND(N1953&lt;&gt;"",ISNUMBER(O1953),O1953&gt;0,O1953&gt;=TODAY()-90),1,0),0)</f>
        <v/>
      </c>
      <c r="R1953" s="17" t="str">
        <f t="shared" si="93"/>
        <v/>
      </c>
      <c r="S1953" s="17" t="str">
        <f>IF(INDEX(Listado!A:A,ROW())="","",INDEX(Listado!A:A,ROW()))</f>
        <v/>
      </c>
      <c r="T1953" s="17" t="str">
        <f ca="1">IF(INDEX(Listado!G:G,ROW())="","",INDEX(Listado!G:G,ROW()))</f>
        <v/>
      </c>
      <c r="U1953" s="17" t="str">
        <f>IF(INDEX(Listado!F:F,ROW())="","",INDEX(Listado!F:F,ROW()))</f>
        <v/>
      </c>
      <c r="V1953" s="17">
        <f>IF(COUNTA(INDEX(Listado!B:B,ROW()):INDEX(Listado!F:F,ROW()))&gt;0,1,0)</f>
        <v/>
      </c>
      <c r="W1953" s="17" t="str">
        <f>IF(INDEX(Listado!L:L,ROW())="","",INDEX(Listado!L:L,ROW()))</f>
        <v/>
      </c>
      <c r="X1953" s="17">
        <f>IF(N1953="","",IF(INDEX(Listado!$M:$M,N1953)="No","No","Sí"))</f>
        <v/>
      </c>
    </row>
    <row r="1954" spans="2:24" ht="14.25">
      <c r="N1954" s="17" t="str">
        <f>IF(V1954=0,"",IFERROR(LOOKUP(2,1/(INDEX(Listado!A:A,2):INDEX(Listado!A:A,ROW())&lt;&gt;""),ROW(INDEX(Listado!A:A,2):INDEX(Listado!A:A,ROW()))),""))</f>
        <v/>
      </c>
      <c r="O1954" s="17" t="str">
        <f>IFERROR(IF(N1954="","",IF(INDEX(Listado!M:M,N1954)="No",IF(INDEX(Listado!N:N,N1954)=0,"",INDEX(Listado!N:N,N1954)),IF(INDEX(Listado!I:I,N1954)=0,"",INDEX(Listado!I:I,N1954)))),"")</f>
        <v/>
      </c>
      <c r="P1954" s="17">
        <f t="shared" ca="1" si="91"/>
        <v/>
      </c>
      <c r="Q1954" s="17">
        <f>IFERROR(IF(AND(N1954&lt;&gt;"",ISNUMBER(O1954),O1954&gt;0,O1954&gt;=TODAY()-90),1,0),0)</f>
        <v/>
      </c>
      <c r="R1954" s="17" t="str">
        <f t="shared" si="93"/>
        <v/>
      </c>
      <c r="S1954" s="17" t="str">
        <f>IF(INDEX(Listado!A:A,ROW())="","",INDEX(Listado!A:A,ROW()))</f>
        <v/>
      </c>
      <c r="T1954" s="17" t="str">
        <f ca="1">IF(INDEX(Listado!G:G,ROW())="","",INDEX(Listado!G:G,ROW()))</f>
        <v/>
      </c>
      <c r="U1954" s="17" t="str">
        <f>IF(INDEX(Listado!F:F,ROW())="","",INDEX(Listado!F:F,ROW()))</f>
        <v/>
      </c>
      <c r="V1954" s="17">
        <f>IF(COUNTA(INDEX(Listado!B:B,ROW()):INDEX(Listado!F:F,ROW()))&gt;0,1,0)</f>
        <v/>
      </c>
      <c r="W1954" s="17" t="str">
        <f>IF(INDEX(Listado!L:L,ROW())="","",INDEX(Listado!L:L,ROW()))</f>
        <v/>
      </c>
      <c r="X1954" s="17">
        <f>IF(N1954="","",IF(INDEX(Listado!$M:$M,N1954)="No","No","Sí"))</f>
        <v/>
      </c>
    </row>
    <row r="1955" spans="2:24" ht="14.25">
      <c r="N1955" s="17" t="str">
        <f>IF(V1955=0,"",IFERROR(LOOKUP(2,1/(INDEX(Listado!A:A,2):INDEX(Listado!A:A,ROW())&lt;&gt;""),ROW(INDEX(Listado!A:A,2):INDEX(Listado!A:A,ROW()))),""))</f>
        <v/>
      </c>
      <c r="O1955" s="17" t="str">
        <f>IFERROR(IF(N1955="","",IF(INDEX(Listado!M:M,N1955)="No",IF(INDEX(Listado!N:N,N1955)=0,"",INDEX(Listado!N:N,N1955)),IF(INDEX(Listado!I:I,N1955)=0,"",INDEX(Listado!I:I,N1955)))),"")</f>
        <v/>
      </c>
      <c r="P1955" s="17">
        <f t="shared" ca="1" si="91"/>
        <v/>
      </c>
      <c r="Q1955" s="17">
        <f>IFERROR(IF(AND(N1955&lt;&gt;"",ISNUMBER(O1955),O1955&gt;0,O1955&gt;=TODAY()-90),1,0),0)</f>
        <v/>
      </c>
      <c r="R1955" s="17" t="str">
        <f t="shared" si="93"/>
        <v/>
      </c>
      <c r="S1955" s="17" t="str">
        <f>IF(INDEX(Listado!A:A,ROW())="","",INDEX(Listado!A:A,ROW()))</f>
        <v/>
      </c>
      <c r="T1955" s="17" t="str">
        <f ca="1">IF(INDEX(Listado!G:G,ROW())="","",INDEX(Listado!G:G,ROW()))</f>
        <v/>
      </c>
      <c r="U1955" s="17" t="str">
        <f>IF(INDEX(Listado!F:F,ROW())="","",INDEX(Listado!F:F,ROW()))</f>
        <v/>
      </c>
      <c r="V1955" s="17">
        <f>IF(COUNTA(INDEX(Listado!B:B,ROW()):INDEX(Listado!F:F,ROW()))&gt;0,1,0)</f>
        <v/>
      </c>
      <c r="W1955" s="17" t="str">
        <f>IF(INDEX(Listado!L:L,ROW())="","",INDEX(Listado!L:L,ROW()))</f>
        <v/>
      </c>
      <c r="X1955" s="17">
        <f>IF(N1955="","",IF(INDEX(Listado!$M:$M,N1955)="No","No","Sí"))</f>
        <v/>
      </c>
    </row>
    <row r="1956" spans="2:24" ht="14.25">
      <c r="N1956" s="17" t="str">
        <f>IF(V1956=0,"",IFERROR(LOOKUP(2,1/(INDEX(Listado!A:A,2):INDEX(Listado!A:A,ROW())&lt;&gt;""),ROW(INDEX(Listado!A:A,2):INDEX(Listado!A:A,ROW()))),""))</f>
        <v/>
      </c>
      <c r="O1956" s="17" t="str">
        <f>IFERROR(IF(N1956="","",IF(INDEX(Listado!M:M,N1956)="No",IF(INDEX(Listado!N:N,N1956)=0,"",INDEX(Listado!N:N,N1956)),IF(INDEX(Listado!I:I,N1956)=0,"",INDEX(Listado!I:I,N1956)))),"")</f>
        <v/>
      </c>
      <c r="P1956" s="17">
        <f t="shared" ca="1" si="91"/>
        <v/>
      </c>
      <c r="Q1956" s="17">
        <f>IFERROR(IF(AND(N1956&lt;&gt;"",ISNUMBER(O1956),O1956&gt;0,O1956&gt;=TODAY()-90),1,0),0)</f>
        <v/>
      </c>
      <c r="R1956" s="17" t="str">
        <f t="shared" si="93"/>
        <v/>
      </c>
      <c r="S1956" s="17" t="str">
        <f>IF(INDEX(Listado!A:A,ROW())="","",INDEX(Listado!A:A,ROW()))</f>
        <v/>
      </c>
      <c r="T1956" s="17" t="str">
        <f ca="1">IF(INDEX(Listado!G:G,ROW())="","",INDEX(Listado!G:G,ROW()))</f>
        <v/>
      </c>
      <c r="U1956" s="17" t="str">
        <f>IF(INDEX(Listado!F:F,ROW())="","",INDEX(Listado!F:F,ROW()))</f>
        <v/>
      </c>
      <c r="V1956" s="17">
        <f>IF(COUNTA(INDEX(Listado!B:B,ROW()):INDEX(Listado!F:F,ROW()))&gt;0,1,0)</f>
        <v/>
      </c>
      <c r="W1956" s="17" t="str">
        <f>IF(INDEX(Listado!L:L,ROW())="","",INDEX(Listado!L:L,ROW()))</f>
        <v/>
      </c>
      <c r="X1956" s="17">
        <f>IF(N1956="","",IF(INDEX(Listado!$M:$M,N1956)="No","No","Sí"))</f>
        <v/>
      </c>
    </row>
    <row r="1957" spans="2:24" ht="14.25">
      <c r="N1957" s="17" t="str">
        <f>IF(V1957=0,"",IFERROR(LOOKUP(2,1/(INDEX(Listado!A:A,2):INDEX(Listado!A:A,ROW())&lt;&gt;""),ROW(INDEX(Listado!A:A,2):INDEX(Listado!A:A,ROW()))),""))</f>
        <v/>
      </c>
      <c r="O1957" s="17" t="str">
        <f>IFERROR(IF(N1957="","",IF(INDEX(Listado!M:M,N1957)="No",IF(INDEX(Listado!N:N,N1957)=0,"",INDEX(Listado!N:N,N1957)),IF(INDEX(Listado!I:I,N1957)=0,"",INDEX(Listado!I:I,N1957)))),"")</f>
        <v/>
      </c>
      <c r="P1957" s="17">
        <f t="shared" ca="1" si="91"/>
        <v/>
      </c>
      <c r="Q1957" s="17">
        <f>IFERROR(IF(AND(N1957&lt;&gt;"",ISNUMBER(O1957),O1957&gt;0,O1957&gt;=TODAY()-90),1,0),0)</f>
        <v/>
      </c>
      <c r="R1957" s="17" t="str">
        <f t="shared" si="93"/>
        <v/>
      </c>
      <c r="S1957" s="17" t="str">
        <f>IF(INDEX(Listado!A:A,ROW())="","",INDEX(Listado!A:A,ROW()))</f>
        <v/>
      </c>
      <c r="T1957" s="17" t="str">
        <f ca="1">IF(INDEX(Listado!G:G,ROW())="","",INDEX(Listado!G:G,ROW()))</f>
        <v/>
      </c>
      <c r="U1957" s="17" t="str">
        <f>IF(INDEX(Listado!F:F,ROW())="","",INDEX(Listado!F:F,ROW()))</f>
        <v/>
      </c>
      <c r="V1957" s="17">
        <f>IF(COUNTA(INDEX(Listado!B:B,ROW()):INDEX(Listado!F:F,ROW()))&gt;0,1,0)</f>
        <v/>
      </c>
      <c r="W1957" s="17" t="str">
        <f>IF(INDEX(Listado!L:L,ROW())="","",INDEX(Listado!L:L,ROW()))</f>
        <v/>
      </c>
      <c r="X1957" s="17">
        <f>IF(N1957="","",IF(INDEX(Listado!$M:$M,N1957)="No","No","Sí"))</f>
        <v/>
      </c>
    </row>
    <row r="1958" spans="2:24" ht="14.25">
      <c r="N1958" s="17" t="str">
        <f>IF(V1958=0,"",IFERROR(LOOKUP(2,1/(INDEX(Listado!A:A,2):INDEX(Listado!A:A,ROW())&lt;&gt;""),ROW(INDEX(Listado!A:A,2):INDEX(Listado!A:A,ROW()))),""))</f>
        <v/>
      </c>
      <c r="O1958" s="17" t="str">
        <f>IFERROR(IF(N1958="","",IF(INDEX(Listado!M:M,N1958)="No",IF(INDEX(Listado!N:N,N1958)=0,"",INDEX(Listado!N:N,N1958)),IF(INDEX(Listado!I:I,N1958)=0,"",INDEX(Listado!I:I,N1958)))),"")</f>
        <v/>
      </c>
      <c r="P1958" s="17">
        <f t="shared" ca="1" si="91"/>
        <v/>
      </c>
      <c r="Q1958" s="17">
        <f>IFERROR(IF(AND(N1958&lt;&gt;"",ISNUMBER(O1958),O1958&gt;0,O1958&gt;=TODAY()-90),1,0),0)</f>
        <v/>
      </c>
      <c r="R1958" s="17" t="str">
        <f t="shared" si="93"/>
        <v/>
      </c>
      <c r="S1958" s="17" t="str">
        <f>IF(INDEX(Listado!A:A,ROW())="","",INDEX(Listado!A:A,ROW()))</f>
        <v/>
      </c>
      <c r="T1958" s="17" t="str">
        <f ca="1">IF(INDEX(Listado!G:G,ROW())="","",INDEX(Listado!G:G,ROW()))</f>
        <v/>
      </c>
      <c r="U1958" s="17" t="str">
        <f>IF(INDEX(Listado!F:F,ROW())="","",INDEX(Listado!F:F,ROW()))</f>
        <v/>
      </c>
      <c r="V1958" s="17">
        <f>IF(COUNTA(INDEX(Listado!B:B,ROW()):INDEX(Listado!F:F,ROW()))&gt;0,1,0)</f>
        <v/>
      </c>
      <c r="W1958" s="17" t="str">
        <f>IF(INDEX(Listado!L:L,ROW())="","",INDEX(Listado!L:L,ROW()))</f>
        <v/>
      </c>
      <c r="X1958" s="17">
        <f>IF(N1958="","",IF(INDEX(Listado!$M:$M,N1958)="No","No","Sí"))</f>
        <v/>
      </c>
    </row>
    <row r="1959" spans="2:24" ht="14.25">
      <c r="N1959" s="17" t="str">
        <f>IF(V1959=0,"",IFERROR(LOOKUP(2,1/(INDEX(Listado!A:A,2):INDEX(Listado!A:A,ROW())&lt;&gt;""),ROW(INDEX(Listado!A:A,2):INDEX(Listado!A:A,ROW()))),""))</f>
        <v/>
      </c>
      <c r="O1959" s="17" t="str">
        <f>IFERROR(IF(N1959="","",IF(INDEX(Listado!M:M,N1959)="No",IF(INDEX(Listado!N:N,N1959)=0,"",INDEX(Listado!N:N,N1959)),IF(INDEX(Listado!I:I,N1959)=0,"",INDEX(Listado!I:I,N1959)))),"")</f>
        <v/>
      </c>
      <c r="P1959" s="17">
        <f t="shared" ca="1" si="91"/>
        <v/>
      </c>
      <c r="Q1959" s="17">
        <f>IFERROR(IF(AND(N1959&lt;&gt;"",ISNUMBER(O1959),O1959&gt;0,O1959&gt;=TODAY()-90),1,0),0)</f>
        <v/>
      </c>
      <c r="R1959" s="17" t="str">
        <f t="shared" si="93"/>
        <v/>
      </c>
      <c r="S1959" s="17" t="str">
        <f>IF(INDEX(Listado!A:A,ROW())="","",INDEX(Listado!A:A,ROW()))</f>
        <v/>
      </c>
      <c r="T1959" s="17" t="str">
        <f ca="1">IF(INDEX(Listado!G:G,ROW())="","",INDEX(Listado!G:G,ROW()))</f>
        <v/>
      </c>
      <c r="U1959" s="17" t="str">
        <f>IF(INDEX(Listado!F:F,ROW())="","",INDEX(Listado!F:F,ROW()))</f>
        <v/>
      </c>
      <c r="V1959" s="17">
        <f>IF(COUNTA(INDEX(Listado!B:B,ROW()):INDEX(Listado!F:F,ROW()))&gt;0,1,0)</f>
        <v/>
      </c>
      <c r="W1959" s="17" t="str">
        <f>IF(INDEX(Listado!L:L,ROW())="","",INDEX(Listado!L:L,ROW()))</f>
        <v/>
      </c>
      <c r="X1959" s="17">
        <f>IF(N1959="","",IF(INDEX(Listado!$M:$M,N1959)="No","No","Sí"))</f>
        <v/>
      </c>
    </row>
    <row r="1960" spans="2:24" ht="14.25">
      <c r="N1960" s="17" t="str">
        <f>IF(V1960=0,"",IFERROR(LOOKUP(2,1/(INDEX(Listado!A:A,2):INDEX(Listado!A:A,ROW())&lt;&gt;""),ROW(INDEX(Listado!A:A,2):INDEX(Listado!A:A,ROW()))),""))</f>
        <v/>
      </c>
      <c r="O1960" s="17" t="str">
        <f>IFERROR(IF(N1960="","",IF(INDEX(Listado!M:M,N1960)="No",IF(INDEX(Listado!N:N,N1960)=0,"",INDEX(Listado!N:N,N1960)),IF(INDEX(Listado!I:I,N1960)=0,"",INDEX(Listado!I:I,N1960)))),"")</f>
        <v/>
      </c>
      <c r="P1960" s="17">
        <f t="shared" ca="1" si="91"/>
        <v/>
      </c>
      <c r="Q1960" s="17">
        <f>IFERROR(IF(AND(N1960&lt;&gt;"",ISNUMBER(O1960),O1960&gt;0,O1960&gt;=TODAY()-90),1,0),0)</f>
        <v/>
      </c>
      <c r="R1960" s="17" t="str">
        <f t="shared" si="93"/>
        <v/>
      </c>
      <c r="S1960" s="17" t="str">
        <f>IF(INDEX(Listado!A:A,ROW())="","",INDEX(Listado!A:A,ROW()))</f>
        <v/>
      </c>
      <c r="T1960" s="17" t="str">
        <f ca="1">IF(INDEX(Listado!G:G,ROW())="","",INDEX(Listado!G:G,ROW()))</f>
        <v/>
      </c>
      <c r="U1960" s="17" t="str">
        <f>IF(INDEX(Listado!F:F,ROW())="","",INDEX(Listado!F:F,ROW()))</f>
        <v/>
      </c>
      <c r="V1960" s="17">
        <f>IF(COUNTA(INDEX(Listado!B:B,ROW()):INDEX(Listado!F:F,ROW()))&gt;0,1,0)</f>
        <v/>
      </c>
      <c r="W1960" s="17" t="str">
        <f>IF(INDEX(Listado!L:L,ROW())="","",INDEX(Listado!L:L,ROW()))</f>
        <v/>
      </c>
      <c r="X1960" s="17">
        <f>IF(N1960="","",IF(INDEX(Listado!$M:$M,N1960)="No","No","Sí"))</f>
        <v/>
      </c>
    </row>
    <row r="1961" spans="2:24" ht="14.25">
      <c r="N1961" s="17" t="str">
        <f>IF(V1961=0,"",IFERROR(LOOKUP(2,1/(INDEX(Listado!A:A,2):INDEX(Listado!A:A,ROW())&lt;&gt;""),ROW(INDEX(Listado!A:A,2):INDEX(Listado!A:A,ROW()))),""))</f>
        <v/>
      </c>
      <c r="O1961" s="17" t="str">
        <f>IFERROR(IF(N1961="","",IF(INDEX(Listado!M:M,N1961)="No",IF(INDEX(Listado!N:N,N1961)=0,"",INDEX(Listado!N:N,N1961)),IF(INDEX(Listado!I:I,N1961)=0,"",INDEX(Listado!I:I,N1961)))),"")</f>
        <v/>
      </c>
      <c r="P1961" s="17">
        <f t="shared" ca="1" si="91"/>
        <v/>
      </c>
      <c r="Q1961" s="17">
        <f>IFERROR(IF(AND(N1961&lt;&gt;"",ISNUMBER(O1961),O1961&gt;0,O1961&gt;=TODAY()-90),1,0),0)</f>
        <v/>
      </c>
      <c r="R1961" s="17" t="str">
        <f t="shared" si="93"/>
        <v/>
      </c>
      <c r="S1961" s="17" t="str">
        <f>IF(INDEX(Listado!A:A,ROW())="","",INDEX(Listado!A:A,ROW()))</f>
        <v/>
      </c>
      <c r="T1961" s="17" t="str">
        <f ca="1">IF(INDEX(Listado!G:G,ROW())="","",INDEX(Listado!G:G,ROW()))</f>
        <v/>
      </c>
      <c r="U1961" s="17" t="str">
        <f>IF(INDEX(Listado!F:F,ROW())="","",INDEX(Listado!F:F,ROW()))</f>
        <v/>
      </c>
      <c r="V1961" s="17">
        <f>IF(COUNTA(INDEX(Listado!B:B,ROW()):INDEX(Listado!F:F,ROW()))&gt;0,1,0)</f>
        <v/>
      </c>
      <c r="W1961" s="17" t="str">
        <f>IF(INDEX(Listado!L:L,ROW())="","",INDEX(Listado!L:L,ROW()))</f>
        <v/>
      </c>
      <c r="X1961" s="17">
        <f>IF(N1961="","",IF(INDEX(Listado!$M:$M,N1961)="No","No","Sí"))</f>
        <v/>
      </c>
    </row>
    <row r="1962" spans="2:24" ht="14.25">
      <c r="N1962" s="17" t="str">
        <f>IF(V1962=0,"",IFERROR(LOOKUP(2,1/(INDEX(Listado!A:A,2):INDEX(Listado!A:A,ROW())&lt;&gt;""),ROW(INDEX(Listado!A:A,2):INDEX(Listado!A:A,ROW()))),""))</f>
        <v/>
      </c>
      <c r="O1962" s="17" t="str">
        <f>IFERROR(IF(N1962="","",IF(INDEX(Listado!M:M,N1962)="No",IF(INDEX(Listado!N:N,N1962)=0,"",INDEX(Listado!N:N,N1962)),IF(INDEX(Listado!I:I,N1962)=0,"",INDEX(Listado!I:I,N1962)))),"")</f>
        <v/>
      </c>
      <c r="P1962" s="17">
        <f t="shared" ca="1" si="91"/>
        <v/>
      </c>
      <c r="Q1962" s="17">
        <f>IFERROR(IF(AND(N1962&lt;&gt;"",ISNUMBER(O1962),O1962&gt;0,O1962&gt;=TODAY()-90),1,0),0)</f>
        <v/>
      </c>
      <c r="R1962" s="17" t="str">
        <f t="shared" si="93"/>
        <v/>
      </c>
      <c r="S1962" s="17" t="str">
        <f>IF(INDEX(Listado!A:A,ROW())="","",INDEX(Listado!A:A,ROW()))</f>
        <v/>
      </c>
      <c r="T1962" s="17" t="str">
        <f ca="1">IF(INDEX(Listado!G:G,ROW())="","",INDEX(Listado!G:G,ROW()))</f>
        <v/>
      </c>
      <c r="U1962" s="17" t="str">
        <f>IF(INDEX(Listado!F:F,ROW())="","",INDEX(Listado!F:F,ROW()))</f>
        <v/>
      </c>
      <c r="V1962" s="17">
        <f>IF(COUNTA(INDEX(Listado!B:B,ROW()):INDEX(Listado!F:F,ROW()))&gt;0,1,0)</f>
        <v/>
      </c>
      <c r="W1962" s="17" t="str">
        <f>IF(INDEX(Listado!L:L,ROW())="","",INDEX(Listado!L:L,ROW()))</f>
        <v/>
      </c>
      <c r="X1962" s="17">
        <f>IF(N1962="","",IF(INDEX(Listado!$M:$M,N1962)="No","No","Sí"))</f>
        <v/>
      </c>
    </row>
    <row r="1963" spans="2:24" ht="14.25">
      <c r="N1963" s="17" t="str">
        <f>IF(V1963=0,"",IFERROR(LOOKUP(2,1/(INDEX(Listado!A:A,2):INDEX(Listado!A:A,ROW())&lt;&gt;""),ROW(INDEX(Listado!A:A,2):INDEX(Listado!A:A,ROW()))),""))</f>
        <v/>
      </c>
      <c r="O1963" s="17" t="str">
        <f>IFERROR(IF(N1963="","",IF(INDEX(Listado!M:M,N1963)="No",IF(INDEX(Listado!N:N,N1963)=0,"",INDEX(Listado!N:N,N1963)),IF(INDEX(Listado!I:I,N1963)=0,"",INDEX(Listado!I:I,N1963)))),"")</f>
        <v/>
      </c>
      <c r="P1963" s="17">
        <f t="shared" ca="1" si="91"/>
        <v/>
      </c>
      <c r="Q1963" s="17">
        <f>IFERROR(IF(AND(N1963&lt;&gt;"",ISNUMBER(O1963),O1963&gt;0,O1963&gt;=TODAY()-90),1,0),0)</f>
        <v/>
      </c>
      <c r="R1963" s="17" t="str">
        <f t="shared" si="93"/>
        <v/>
      </c>
      <c r="S1963" s="17" t="str">
        <f>IF(INDEX(Listado!A:A,ROW())="","",INDEX(Listado!A:A,ROW()))</f>
        <v/>
      </c>
      <c r="T1963" s="17" t="str">
        <f ca="1">IF(INDEX(Listado!G:G,ROW())="","",INDEX(Listado!G:G,ROW()))</f>
        <v/>
      </c>
      <c r="U1963" s="17" t="str">
        <f>IF(INDEX(Listado!F:F,ROW())="","",INDEX(Listado!F:F,ROW()))</f>
        <v/>
      </c>
      <c r="V1963" s="17">
        <f>IF(COUNTA(INDEX(Listado!B:B,ROW()):INDEX(Listado!F:F,ROW()))&gt;0,1,0)</f>
        <v/>
      </c>
      <c r="W1963" s="17" t="str">
        <f>IF(INDEX(Listado!L:L,ROW())="","",INDEX(Listado!L:L,ROW()))</f>
        <v/>
      </c>
      <c r="X1963" s="17">
        <f>IF(N1963="","",IF(INDEX(Listado!$M:$M,N1963)="No","No","Sí"))</f>
        <v/>
      </c>
    </row>
    <row r="1964" spans="2:24" ht="14.25">
      <c r="N1964" s="17" t="str">
        <f>IF(V1964=0,"",IFERROR(LOOKUP(2,1/(INDEX(Listado!A:A,2):INDEX(Listado!A:A,ROW())&lt;&gt;""),ROW(INDEX(Listado!A:A,2):INDEX(Listado!A:A,ROW()))),""))</f>
        <v/>
      </c>
      <c r="O1964" s="17" t="str">
        <f>IFERROR(IF(N1964="","",IF(INDEX(Listado!M:M,N1964)="No",IF(INDEX(Listado!N:N,N1964)=0,"",INDEX(Listado!N:N,N1964)),IF(INDEX(Listado!I:I,N1964)=0,"",INDEX(Listado!I:I,N1964)))),"")</f>
        <v/>
      </c>
      <c r="P1964" s="17">
        <f t="shared" ca="1" si="91"/>
        <v/>
      </c>
      <c r="Q1964" s="17">
        <f>IFERROR(IF(AND(N1964&lt;&gt;"",ISNUMBER(O1964),O1964&gt;0,O1964&gt;=TODAY()-90),1,0),0)</f>
        <v/>
      </c>
      <c r="R1964" s="17" t="str">
        <f t="shared" si="93"/>
        <v/>
      </c>
      <c r="S1964" s="17" t="str">
        <f>IF(INDEX(Listado!A:A,ROW())="","",INDEX(Listado!A:A,ROW()))</f>
        <v/>
      </c>
      <c r="T1964" s="17" t="str">
        <f ca="1">IF(INDEX(Listado!G:G,ROW())="","",INDEX(Listado!G:G,ROW()))</f>
        <v/>
      </c>
      <c r="U1964" s="17" t="str">
        <f>IF(INDEX(Listado!F:F,ROW())="","",INDEX(Listado!F:F,ROW()))</f>
        <v/>
      </c>
      <c r="V1964" s="17">
        <f>IF(COUNTA(INDEX(Listado!B:B,ROW()):INDEX(Listado!F:F,ROW()))&gt;0,1,0)</f>
        <v/>
      </c>
      <c r="W1964" s="17" t="str">
        <f>IF(INDEX(Listado!L:L,ROW())="","",INDEX(Listado!L:L,ROW()))</f>
        <v/>
      </c>
      <c r="X1964" s="17">
        <f>IF(N1964="","",IF(INDEX(Listado!$M:$M,N1964)="No","No","Sí"))</f>
        <v/>
      </c>
    </row>
    <row r="1965" spans="2:24" ht="14.25">
      <c r="N1965" s="17" t="str">
        <f>IF(V1965=0,"",IFERROR(LOOKUP(2,1/(INDEX(Listado!A:A,2):INDEX(Listado!A:A,ROW())&lt;&gt;""),ROW(INDEX(Listado!A:A,2):INDEX(Listado!A:A,ROW()))),""))</f>
        <v/>
      </c>
      <c r="O1965" s="17" t="str">
        <f>IFERROR(IF(N1965="","",IF(INDEX(Listado!M:M,N1965)="No",IF(INDEX(Listado!N:N,N1965)=0,"",INDEX(Listado!N:N,N1965)),IF(INDEX(Listado!I:I,N1965)=0,"",INDEX(Listado!I:I,N1965)))),"")</f>
        <v/>
      </c>
      <c r="P1965" s="17">
        <f t="shared" ca="1" si="91"/>
        <v/>
      </c>
      <c r="Q1965" s="17">
        <f>IFERROR(IF(AND(N1965&lt;&gt;"",ISNUMBER(O1965),O1965&gt;0,O1965&gt;=TODAY()-90),1,0),0)</f>
        <v/>
      </c>
      <c r="R1965" s="17" t="str">
        <f t="shared" si="93"/>
        <v/>
      </c>
      <c r="S1965" s="17" t="str">
        <f>IF(INDEX(Listado!A:A,ROW())="","",INDEX(Listado!A:A,ROW()))</f>
        <v/>
      </c>
      <c r="T1965" s="17" t="str">
        <f ca="1">IF(INDEX(Listado!G:G,ROW())="","",INDEX(Listado!G:G,ROW()))</f>
        <v/>
      </c>
      <c r="U1965" s="17" t="str">
        <f>IF(INDEX(Listado!F:F,ROW())="","",INDEX(Listado!F:F,ROW()))</f>
        <v/>
      </c>
      <c r="V1965" s="17">
        <f>IF(COUNTA(INDEX(Listado!B:B,ROW()):INDEX(Listado!F:F,ROW()))&gt;0,1,0)</f>
        <v/>
      </c>
      <c r="W1965" s="17" t="str">
        <f>IF(INDEX(Listado!L:L,ROW())="","",INDEX(Listado!L:L,ROW()))</f>
        <v/>
      </c>
      <c r="X1965" s="17">
        <f>IF(N1965="","",IF(INDEX(Listado!$M:$M,N1965)="No","No","Sí"))</f>
        <v/>
      </c>
    </row>
    <row r="1966" spans="2:24" ht="14.25">
      <c r="N1966" s="17" t="str">
        <f>IF(V1966=0,"",IFERROR(LOOKUP(2,1/(INDEX(Listado!A:A,2):INDEX(Listado!A:A,ROW())&lt;&gt;""),ROW(INDEX(Listado!A:A,2):INDEX(Listado!A:A,ROW()))),""))</f>
        <v/>
      </c>
      <c r="O1966" s="17" t="str">
        <f>IFERROR(IF(N1966="","",IF(INDEX(Listado!M:M,N1966)="No",IF(INDEX(Listado!N:N,N1966)=0,"",INDEX(Listado!N:N,N1966)),IF(INDEX(Listado!I:I,N1966)=0,"",INDEX(Listado!I:I,N1966)))),"")</f>
        <v/>
      </c>
      <c r="P1966" s="17">
        <f t="shared" ca="1" si="91"/>
        <v/>
      </c>
      <c r="Q1966" s="17">
        <f>IFERROR(IF(AND(N1966&lt;&gt;"",ISNUMBER(O1966),O1966&gt;0,O1966&gt;=TODAY()-90),1,0),0)</f>
        <v/>
      </c>
      <c r="R1966" s="17" t="str">
        <f t="shared" si="93"/>
        <v/>
      </c>
      <c r="S1966" s="17" t="str">
        <f>IF(INDEX(Listado!A:A,ROW())="","",INDEX(Listado!A:A,ROW()))</f>
        <v/>
      </c>
      <c r="T1966" s="17" t="str">
        <f ca="1">IF(INDEX(Listado!G:G,ROW())="","",INDEX(Listado!G:G,ROW()))</f>
        <v/>
      </c>
      <c r="U1966" s="17" t="str">
        <f>IF(INDEX(Listado!F:F,ROW())="","",INDEX(Listado!F:F,ROW()))</f>
        <v/>
      </c>
      <c r="V1966" s="17">
        <f>IF(COUNTA(INDEX(Listado!B:B,ROW()):INDEX(Listado!F:F,ROW()))&gt;0,1,0)</f>
        <v/>
      </c>
      <c r="W1966" s="17" t="str">
        <f>IF(INDEX(Listado!L:L,ROW())="","",INDEX(Listado!L:L,ROW()))</f>
        <v/>
      </c>
      <c r="X1966" s="17">
        <f>IF(N1966="","",IF(INDEX(Listado!$M:$M,N1966)="No","No","Sí"))</f>
        <v/>
      </c>
    </row>
    <row r="1967" spans="2:24" ht="14.25">
      <c r="N1967" s="17" t="str">
        <f>IF(V1967=0,"",IFERROR(LOOKUP(2,1/(INDEX(Listado!A:A,2):INDEX(Listado!A:A,ROW())&lt;&gt;""),ROW(INDEX(Listado!A:A,2):INDEX(Listado!A:A,ROW()))),""))</f>
        <v/>
      </c>
      <c r="O1967" s="17" t="str">
        <f>IFERROR(IF(N1967="","",IF(INDEX(Listado!M:M,N1967)="No",IF(INDEX(Listado!N:N,N1967)=0,"",INDEX(Listado!N:N,N1967)),IF(INDEX(Listado!I:I,N1967)=0,"",INDEX(Listado!I:I,N1967)))),"")</f>
        <v/>
      </c>
      <c r="P1967" s="17">
        <f t="shared" ca="1" si="91"/>
        <v/>
      </c>
      <c r="Q1967" s="17">
        <f>IFERROR(IF(AND(N1967&lt;&gt;"",ISNUMBER(O1967),O1967&gt;0,O1967&gt;=TODAY()-90),1,0),0)</f>
        <v/>
      </c>
      <c r="R1967" s="17" t="str">
        <f t="shared" si="93"/>
        <v/>
      </c>
      <c r="S1967" s="17" t="str">
        <f>IF(INDEX(Listado!A:A,ROW())="","",INDEX(Listado!A:A,ROW()))</f>
        <v/>
      </c>
      <c r="T1967" s="17" t="str">
        <f ca="1">IF(INDEX(Listado!G:G,ROW())="","",INDEX(Listado!G:G,ROW()))</f>
        <v/>
      </c>
      <c r="U1967" s="17" t="str">
        <f>IF(INDEX(Listado!F:F,ROW())="","",INDEX(Listado!F:F,ROW()))</f>
        <v/>
      </c>
      <c r="V1967" s="17">
        <f>IF(COUNTA(INDEX(Listado!B:B,ROW()):INDEX(Listado!F:F,ROW()))&gt;0,1,0)</f>
        <v/>
      </c>
      <c r="W1967" s="17" t="str">
        <f>IF(INDEX(Listado!L:L,ROW())="","",INDEX(Listado!L:L,ROW()))</f>
        <v/>
      </c>
      <c r="X1967" s="17">
        <f>IF(N1967="","",IF(INDEX(Listado!$M:$M,N1967)="No","No","Sí"))</f>
        <v/>
      </c>
    </row>
    <row r="1968" spans="2:24" ht="14.25">
      <c r="N1968" s="17" t="str">
        <f>IF(V1968=0,"",IFERROR(LOOKUP(2,1/(INDEX(Listado!A:A,2):INDEX(Listado!A:A,ROW())&lt;&gt;""),ROW(INDEX(Listado!A:A,2):INDEX(Listado!A:A,ROW()))),""))</f>
        <v/>
      </c>
      <c r="O1968" s="17" t="str">
        <f>IFERROR(IF(N1968="","",IF(INDEX(Listado!M:M,N1968)="No",IF(INDEX(Listado!N:N,N1968)=0,"",INDEX(Listado!N:N,N1968)),IF(INDEX(Listado!I:I,N1968)=0,"",INDEX(Listado!I:I,N1968)))),"")</f>
        <v/>
      </c>
      <c r="P1968" s="17">
        <f t="shared" ca="1" si="91"/>
        <v/>
      </c>
      <c r="Q1968" s="17">
        <f>IFERROR(IF(AND(N1968&lt;&gt;"",ISNUMBER(O1968),O1968&gt;0,O1968&gt;=TODAY()-90),1,0),0)</f>
        <v/>
      </c>
      <c r="R1968" s="17" t="str">
        <f t="shared" si="93"/>
        <v/>
      </c>
      <c r="S1968" s="17" t="str">
        <f>IF(INDEX(Listado!A:A,ROW())="","",INDEX(Listado!A:A,ROW()))</f>
        <v/>
      </c>
      <c r="T1968" s="17" t="str">
        <f ca="1">IF(INDEX(Listado!G:G,ROW())="","",INDEX(Listado!G:G,ROW()))</f>
        <v/>
      </c>
      <c r="U1968" s="17" t="str">
        <f>IF(INDEX(Listado!F:F,ROW())="","",INDEX(Listado!F:F,ROW()))</f>
        <v/>
      </c>
      <c r="V1968" s="17">
        <f>IF(COUNTA(INDEX(Listado!B:B,ROW()):INDEX(Listado!F:F,ROW()))&gt;0,1,0)</f>
        <v/>
      </c>
      <c r="W1968" s="17" t="str">
        <f>IF(INDEX(Listado!L:L,ROW())="","",INDEX(Listado!L:L,ROW()))</f>
        <v/>
      </c>
      <c r="X1968" s="17">
        <f>IF(N1968="","",IF(INDEX(Listado!$M:$M,N1968)="No","No","Sí"))</f>
        <v/>
      </c>
    </row>
    <row r="1969" spans="2:24" ht="14.25">
      <c r="N1969" s="17" t="str">
        <f>IF(V1969=0,"",IFERROR(LOOKUP(2,1/(INDEX(Listado!A:A,2):INDEX(Listado!A:A,ROW())&lt;&gt;""),ROW(INDEX(Listado!A:A,2):INDEX(Listado!A:A,ROW()))),""))</f>
        <v/>
      </c>
      <c r="O1969" s="17" t="str">
        <f>IFERROR(IF(N1969="","",IF(INDEX(Listado!M:M,N1969)="No",IF(INDEX(Listado!N:N,N1969)=0,"",INDEX(Listado!N:N,N1969)),IF(INDEX(Listado!I:I,N1969)=0,"",INDEX(Listado!I:I,N1969)))),"")</f>
        <v/>
      </c>
      <c r="P1969" s="17">
        <f t="shared" ca="1" si="91"/>
        <v/>
      </c>
      <c r="Q1969" s="17">
        <f>IFERROR(IF(AND(N1969&lt;&gt;"",ISNUMBER(O1969),O1969&gt;0,O1969&gt;=TODAY()-90),1,0),0)</f>
        <v/>
      </c>
      <c r="R1969" s="17" t="str">
        <f t="shared" si="93"/>
        <v/>
      </c>
      <c r="S1969" s="17" t="str">
        <f>IF(INDEX(Listado!A:A,ROW())="","",INDEX(Listado!A:A,ROW()))</f>
        <v/>
      </c>
      <c r="T1969" s="17" t="str">
        <f ca="1">IF(INDEX(Listado!G:G,ROW())="","",INDEX(Listado!G:G,ROW()))</f>
        <v/>
      </c>
      <c r="U1969" s="17" t="str">
        <f>IF(INDEX(Listado!F:F,ROW())="","",INDEX(Listado!F:F,ROW()))</f>
        <v/>
      </c>
      <c r="V1969" s="17">
        <f>IF(COUNTA(INDEX(Listado!B:B,ROW()):INDEX(Listado!F:F,ROW()))&gt;0,1,0)</f>
        <v/>
      </c>
      <c r="W1969" s="17" t="str">
        <f>IF(INDEX(Listado!L:L,ROW())="","",INDEX(Listado!L:L,ROW()))</f>
        <v/>
      </c>
      <c r="X1969" s="17">
        <f>IF(N1969="","",IF(INDEX(Listado!$M:$M,N1969)="No","No","Sí"))</f>
        <v/>
      </c>
    </row>
    <row r="1970" spans="2:24" ht="14.25">
      <c r="N1970" s="17" t="str">
        <f>IF(V1970=0,"",IFERROR(LOOKUP(2,1/(INDEX(Listado!A:A,2):INDEX(Listado!A:A,ROW())&lt;&gt;""),ROW(INDEX(Listado!A:A,2):INDEX(Listado!A:A,ROW()))),""))</f>
        <v/>
      </c>
      <c r="O1970" s="17" t="str">
        <f>IFERROR(IF(N1970="","",IF(INDEX(Listado!M:M,N1970)="No",IF(INDEX(Listado!N:N,N1970)=0,"",INDEX(Listado!N:N,N1970)),IF(INDEX(Listado!I:I,N1970)=0,"",INDEX(Listado!I:I,N1970)))),"")</f>
        <v/>
      </c>
      <c r="P1970" s="17">
        <f t="shared" ca="1" si="91"/>
        <v/>
      </c>
      <c r="Q1970" s="17">
        <f>IFERROR(IF(AND(N1970&lt;&gt;"",ISNUMBER(O1970),O1970&gt;0,O1970&gt;=TODAY()-90),1,0),0)</f>
        <v/>
      </c>
      <c r="R1970" s="17" t="str">
        <f t="shared" si="93"/>
        <v/>
      </c>
      <c r="S1970" s="17" t="str">
        <f>IF(INDEX(Listado!A:A,ROW())="","",INDEX(Listado!A:A,ROW()))</f>
        <v/>
      </c>
      <c r="T1970" s="17" t="str">
        <f ca="1">IF(INDEX(Listado!G:G,ROW())="","",INDEX(Listado!G:G,ROW()))</f>
        <v/>
      </c>
      <c r="U1970" s="17" t="str">
        <f>IF(INDEX(Listado!F:F,ROW())="","",INDEX(Listado!F:F,ROW()))</f>
        <v/>
      </c>
      <c r="V1970" s="17">
        <f>IF(COUNTA(INDEX(Listado!B:B,ROW()):INDEX(Listado!F:F,ROW()))&gt;0,1,0)</f>
        <v/>
      </c>
      <c r="W1970" s="17" t="str">
        <f>IF(INDEX(Listado!L:L,ROW())="","",INDEX(Listado!L:L,ROW()))</f>
        <v/>
      </c>
      <c r="X1970" s="17">
        <f>IF(N1970="","",IF(INDEX(Listado!$M:$M,N1970)="No","No","Sí"))</f>
        <v/>
      </c>
    </row>
    <row r="1971" spans="2:24" ht="14.25">
      <c r="N1971" s="17" t="str">
        <f>IF(V1971=0,"",IFERROR(LOOKUP(2,1/(INDEX(Listado!A:A,2):INDEX(Listado!A:A,ROW())&lt;&gt;""),ROW(INDEX(Listado!A:A,2):INDEX(Listado!A:A,ROW()))),""))</f>
        <v/>
      </c>
      <c r="O1971" s="17" t="str">
        <f>IFERROR(IF(N1971="","",IF(INDEX(Listado!M:M,N1971)="No",IF(INDEX(Listado!N:N,N1971)=0,"",INDEX(Listado!N:N,N1971)),IF(INDEX(Listado!I:I,N1971)=0,"",INDEX(Listado!I:I,N1971)))),"")</f>
        <v/>
      </c>
      <c r="P1971" s="17">
        <f t="shared" ca="1" si="91"/>
        <v/>
      </c>
      <c r="Q1971" s="17">
        <f>IFERROR(IF(AND(N1971&lt;&gt;"",ISNUMBER(O1971),O1971&gt;0,O1971&gt;=TODAY()-90),1,0),0)</f>
        <v/>
      </c>
      <c r="R1971" s="17" t="str">
        <f t="shared" si="93"/>
        <v/>
      </c>
      <c r="S1971" s="17" t="str">
        <f>IF(INDEX(Listado!A:A,ROW())="","",INDEX(Listado!A:A,ROW()))</f>
        <v/>
      </c>
      <c r="T1971" s="17" t="str">
        <f ca="1">IF(INDEX(Listado!G:G,ROW())="","",INDEX(Listado!G:G,ROW()))</f>
        <v/>
      </c>
      <c r="U1971" s="17" t="str">
        <f>IF(INDEX(Listado!F:F,ROW())="","",INDEX(Listado!F:F,ROW()))</f>
        <v/>
      </c>
      <c r="V1971" s="17">
        <f>IF(COUNTA(INDEX(Listado!B:B,ROW()):INDEX(Listado!F:F,ROW()))&gt;0,1,0)</f>
        <v/>
      </c>
      <c r="W1971" s="17" t="str">
        <f>IF(INDEX(Listado!L:L,ROW())="","",INDEX(Listado!L:L,ROW()))</f>
        <v/>
      </c>
      <c r="X1971" s="17">
        <f>IF(N1971="","",IF(INDEX(Listado!$M:$M,N1971)="No","No","Sí"))</f>
        <v/>
      </c>
    </row>
    <row r="1972" spans="2:24" ht="14.25">
      <c r="N1972" s="17" t="str">
        <f>IF(V1972=0,"",IFERROR(LOOKUP(2,1/(INDEX(Listado!A:A,2):INDEX(Listado!A:A,ROW())&lt;&gt;""),ROW(INDEX(Listado!A:A,2):INDEX(Listado!A:A,ROW()))),""))</f>
        <v/>
      </c>
      <c r="O1972" s="17" t="str">
        <f>IFERROR(IF(N1972="","",IF(INDEX(Listado!M:M,N1972)="No",IF(INDEX(Listado!N:N,N1972)=0,"",INDEX(Listado!N:N,N1972)),IF(INDEX(Listado!I:I,N1972)=0,"",INDEX(Listado!I:I,N1972)))),"")</f>
        <v/>
      </c>
      <c r="P1972" s="17">
        <f t="shared" ca="1" si="91"/>
        <v/>
      </c>
      <c r="Q1972" s="17">
        <f>IFERROR(IF(AND(N1972&lt;&gt;"",ISNUMBER(O1972),O1972&gt;0,O1972&gt;=TODAY()-90),1,0),0)</f>
        <v/>
      </c>
      <c r="R1972" s="17" t="str">
        <f t="shared" si="93"/>
        <v/>
      </c>
      <c r="S1972" s="17" t="str">
        <f>IF(INDEX(Listado!A:A,ROW())="","",INDEX(Listado!A:A,ROW()))</f>
        <v/>
      </c>
      <c r="T1972" s="17" t="str">
        <f ca="1">IF(INDEX(Listado!G:G,ROW())="","",INDEX(Listado!G:G,ROW()))</f>
        <v/>
      </c>
      <c r="U1972" s="17" t="str">
        <f>IF(INDEX(Listado!F:F,ROW())="","",INDEX(Listado!F:F,ROW()))</f>
        <v/>
      </c>
      <c r="V1972" s="17">
        <f>IF(COUNTA(INDEX(Listado!B:B,ROW()):INDEX(Listado!F:F,ROW()))&gt;0,1,0)</f>
        <v/>
      </c>
      <c r="W1972" s="17" t="str">
        <f>IF(INDEX(Listado!L:L,ROW())="","",INDEX(Listado!L:L,ROW()))</f>
        <v/>
      </c>
      <c r="X1972" s="17">
        <f>IF(N1972="","",IF(INDEX(Listado!$M:$M,N1972)="No","No","Sí"))</f>
        <v/>
      </c>
    </row>
    <row r="1973" spans="2:24" ht="14.25">
      <c r="N1973" s="17" t="str">
        <f>IF(V1973=0,"",IFERROR(LOOKUP(2,1/(INDEX(Listado!A:A,2):INDEX(Listado!A:A,ROW())&lt;&gt;""),ROW(INDEX(Listado!A:A,2):INDEX(Listado!A:A,ROW()))),""))</f>
        <v/>
      </c>
      <c r="O1973" s="17" t="str">
        <f>IFERROR(IF(N1973="","",IF(INDEX(Listado!M:M,N1973)="No",IF(INDEX(Listado!N:N,N1973)=0,"",INDEX(Listado!N:N,N1973)),IF(INDEX(Listado!I:I,N1973)=0,"",INDEX(Listado!I:I,N1973)))),"")</f>
        <v/>
      </c>
      <c r="P1973" s="17">
        <f t="shared" ca="1" si="91"/>
        <v/>
      </c>
      <c r="Q1973" s="17">
        <f>IFERROR(IF(AND(N1973&lt;&gt;"",ISNUMBER(O1973),O1973&gt;0,O1973&gt;=TODAY()-90),1,0),0)</f>
        <v/>
      </c>
      <c r="R1973" s="17" t="str">
        <f t="shared" si="93"/>
        <v/>
      </c>
      <c r="S1973" s="17" t="str">
        <f>IF(INDEX(Listado!A:A,ROW())="","",INDEX(Listado!A:A,ROW()))</f>
        <v/>
      </c>
      <c r="T1973" s="17" t="str">
        <f ca="1">IF(INDEX(Listado!G:G,ROW())="","",INDEX(Listado!G:G,ROW()))</f>
        <v/>
      </c>
      <c r="U1973" s="17" t="str">
        <f>IF(INDEX(Listado!F:F,ROW())="","",INDEX(Listado!F:F,ROW()))</f>
        <v/>
      </c>
      <c r="V1973" s="17">
        <f>IF(COUNTA(INDEX(Listado!B:B,ROW()):INDEX(Listado!F:F,ROW()))&gt;0,1,0)</f>
        <v/>
      </c>
      <c r="W1973" s="17" t="str">
        <f>IF(INDEX(Listado!L:L,ROW())="","",INDEX(Listado!L:L,ROW()))</f>
        <v/>
      </c>
      <c r="X1973" s="17">
        <f>IF(N1973="","",IF(INDEX(Listado!$M:$M,N1973)="No","No","Sí"))</f>
        <v/>
      </c>
    </row>
    <row r="1974" spans="2:24" ht="14.25">
      <c r="N1974" s="17" t="str">
        <f>IF(V1974=0,"",IFERROR(LOOKUP(2,1/(INDEX(Listado!A:A,2):INDEX(Listado!A:A,ROW())&lt;&gt;""),ROW(INDEX(Listado!A:A,2):INDEX(Listado!A:A,ROW()))),""))</f>
        <v/>
      </c>
      <c r="O1974" s="17" t="str">
        <f>IFERROR(IF(N1974="","",IF(INDEX(Listado!M:M,N1974)="No",IF(INDEX(Listado!N:N,N1974)=0,"",INDEX(Listado!N:N,N1974)),IF(INDEX(Listado!I:I,N1974)=0,"",INDEX(Listado!I:I,N1974)))),"")</f>
        <v/>
      </c>
      <c r="P1974" s="17">
        <f t="shared" ca="1" si="91"/>
        <v/>
      </c>
      <c r="Q1974" s="17">
        <f>IFERROR(IF(AND(N1974&lt;&gt;"",ISNUMBER(O1974),O1974&gt;0,O1974&gt;=TODAY()-90),1,0),0)</f>
        <v/>
      </c>
      <c r="R1974" s="17" t="str">
        <f t="shared" si="93"/>
        <v/>
      </c>
      <c r="S1974" s="17" t="str">
        <f>IF(INDEX(Listado!A:A,ROW())="","",INDEX(Listado!A:A,ROW()))</f>
        <v/>
      </c>
      <c r="T1974" s="17" t="str">
        <f ca="1">IF(INDEX(Listado!G:G,ROW())="","",INDEX(Listado!G:G,ROW()))</f>
        <v/>
      </c>
      <c r="U1974" s="17" t="str">
        <f>IF(INDEX(Listado!F:F,ROW())="","",INDEX(Listado!F:F,ROW()))</f>
        <v/>
      </c>
      <c r="V1974" s="17">
        <f>IF(COUNTA(INDEX(Listado!B:B,ROW()):INDEX(Listado!F:F,ROW()))&gt;0,1,0)</f>
        <v/>
      </c>
      <c r="W1974" s="17" t="str">
        <f>IF(INDEX(Listado!L:L,ROW())="","",INDEX(Listado!L:L,ROW()))</f>
        <v/>
      </c>
      <c r="X1974" s="17">
        <f>IF(N1974="","",IF(INDEX(Listado!$M:$M,N1974)="No","No","Sí"))</f>
        <v/>
      </c>
    </row>
    <row r="1975" spans="2:24" ht="14.25">
      <c r="N1975" s="17" t="str">
        <f>IF(V1975=0,"",IFERROR(LOOKUP(2,1/(INDEX(Listado!A:A,2):INDEX(Listado!A:A,ROW())&lt;&gt;""),ROW(INDEX(Listado!A:A,2):INDEX(Listado!A:A,ROW()))),""))</f>
        <v/>
      </c>
      <c r="O1975" s="17" t="str">
        <f>IFERROR(IF(N1975="","",IF(INDEX(Listado!M:M,N1975)="No",IF(INDEX(Listado!N:N,N1975)=0,"",INDEX(Listado!N:N,N1975)),IF(INDEX(Listado!I:I,N1975)=0,"",INDEX(Listado!I:I,N1975)))),"")</f>
        <v/>
      </c>
      <c r="P1975" s="17">
        <f t="shared" ca="1" si="91"/>
        <v/>
      </c>
      <c r="Q1975" s="17">
        <f>IFERROR(IF(AND(N1975&lt;&gt;"",ISNUMBER(O1975),O1975&gt;0,O1975&gt;=TODAY()-90),1,0),0)</f>
        <v/>
      </c>
      <c r="R1975" s="17" t="str">
        <f t="shared" si="93"/>
        <v/>
      </c>
      <c r="S1975" s="17" t="str">
        <f>IF(INDEX(Listado!A:A,ROW())="","",INDEX(Listado!A:A,ROW()))</f>
        <v/>
      </c>
      <c r="T1975" s="17" t="str">
        <f ca="1">IF(INDEX(Listado!G:G,ROW())="","",INDEX(Listado!G:G,ROW()))</f>
        <v/>
      </c>
      <c r="U1975" s="17" t="str">
        <f>IF(INDEX(Listado!F:F,ROW())="","",INDEX(Listado!F:F,ROW()))</f>
        <v/>
      </c>
      <c r="V1975" s="17">
        <f>IF(COUNTA(INDEX(Listado!B:B,ROW()):INDEX(Listado!F:F,ROW()))&gt;0,1,0)</f>
        <v/>
      </c>
      <c r="W1975" s="17" t="str">
        <f>IF(INDEX(Listado!L:L,ROW())="","",INDEX(Listado!L:L,ROW()))</f>
        <v/>
      </c>
      <c r="X1975" s="17">
        <f>IF(N1975="","",IF(INDEX(Listado!$M:$M,N1975)="No","No","Sí"))</f>
        <v/>
      </c>
    </row>
    <row r="1976" spans="2:24" ht="14.25">
      <c r="N1976" s="17" t="str">
        <f>IF(V1976=0,"",IFERROR(LOOKUP(2,1/(INDEX(Listado!A:A,2):INDEX(Listado!A:A,ROW())&lt;&gt;""),ROW(INDEX(Listado!A:A,2):INDEX(Listado!A:A,ROW()))),""))</f>
        <v/>
      </c>
      <c r="O1976" s="17" t="str">
        <f>IFERROR(IF(N1976="","",IF(INDEX(Listado!M:M,N1976)="No",IF(INDEX(Listado!N:N,N1976)=0,"",INDEX(Listado!N:N,N1976)),IF(INDEX(Listado!I:I,N1976)=0,"",INDEX(Listado!I:I,N1976)))),"")</f>
        <v/>
      </c>
      <c r="P1976" s="17">
        <f t="shared" ca="1" si="91"/>
        <v/>
      </c>
      <c r="Q1976" s="17">
        <f>IFERROR(IF(AND(N1976&lt;&gt;"",ISNUMBER(O1976),O1976&gt;0,O1976&gt;=TODAY()-90),1,0),0)</f>
        <v/>
      </c>
      <c r="R1976" s="17" t="str">
        <f t="shared" si="93"/>
        <v/>
      </c>
      <c r="S1976" s="17" t="str">
        <f>IF(INDEX(Listado!A:A,ROW())="","",INDEX(Listado!A:A,ROW()))</f>
        <v/>
      </c>
      <c r="T1976" s="17" t="str">
        <f ca="1">IF(INDEX(Listado!G:G,ROW())="","",INDEX(Listado!G:G,ROW()))</f>
        <v/>
      </c>
      <c r="U1976" s="17" t="str">
        <f>IF(INDEX(Listado!F:F,ROW())="","",INDEX(Listado!F:F,ROW()))</f>
        <v/>
      </c>
      <c r="V1976" s="17">
        <f>IF(COUNTA(INDEX(Listado!B:B,ROW()):INDEX(Listado!F:F,ROW()))&gt;0,1,0)</f>
        <v/>
      </c>
      <c r="W1976" s="17" t="str">
        <f>IF(INDEX(Listado!L:L,ROW())="","",INDEX(Listado!L:L,ROW()))</f>
        <v/>
      </c>
      <c r="X1976" s="17">
        <f>IF(N1976="","",IF(INDEX(Listado!$M:$M,N1976)="No","No","Sí"))</f>
        <v/>
      </c>
    </row>
    <row r="1977" spans="2:24" ht="14.25">
      <c r="N1977" s="17" t="str">
        <f>IF(V1977=0,"",IFERROR(LOOKUP(2,1/(INDEX(Listado!A:A,2):INDEX(Listado!A:A,ROW())&lt;&gt;""),ROW(INDEX(Listado!A:A,2):INDEX(Listado!A:A,ROW()))),""))</f>
        <v/>
      </c>
      <c r="O1977" s="17" t="str">
        <f>IFERROR(IF(N1977="","",IF(INDEX(Listado!M:M,N1977)="No",IF(INDEX(Listado!N:N,N1977)=0,"",INDEX(Listado!N:N,N1977)),IF(INDEX(Listado!I:I,N1977)=0,"",INDEX(Listado!I:I,N1977)))),"")</f>
        <v/>
      </c>
      <c r="P1977" s="17">
        <f t="shared" ca="1" si="91"/>
        <v/>
      </c>
      <c r="Q1977" s="17">
        <f>IFERROR(IF(AND(N1977&lt;&gt;"",ISNUMBER(O1977),O1977&gt;0,O1977&gt;=TODAY()-90),1,0),0)</f>
        <v/>
      </c>
      <c r="R1977" s="17" t="str">
        <f t="shared" si="93"/>
        <v/>
      </c>
      <c r="S1977" s="17" t="str">
        <f>IF(INDEX(Listado!A:A,ROW())="","",INDEX(Listado!A:A,ROW()))</f>
        <v/>
      </c>
      <c r="T1977" s="17" t="str">
        <f ca="1">IF(INDEX(Listado!G:G,ROW())="","",INDEX(Listado!G:G,ROW()))</f>
        <v/>
      </c>
      <c r="U1977" s="17" t="str">
        <f>IF(INDEX(Listado!F:F,ROW())="","",INDEX(Listado!F:F,ROW()))</f>
        <v/>
      </c>
      <c r="V1977" s="17">
        <f>IF(COUNTA(INDEX(Listado!B:B,ROW()):INDEX(Listado!F:F,ROW()))&gt;0,1,0)</f>
        <v/>
      </c>
      <c r="W1977" s="17" t="str">
        <f>IF(INDEX(Listado!L:L,ROW())="","",INDEX(Listado!L:L,ROW()))</f>
        <v/>
      </c>
      <c r="X1977" s="17">
        <f>IF(N1977="","",IF(INDEX(Listado!$M:$M,N1977)="No","No","Sí"))</f>
        <v/>
      </c>
    </row>
    <row r="1978" spans="2:24" ht="14.25">
      <c r="N1978" s="17" t="str">
        <f>IF(V1978=0,"",IFERROR(LOOKUP(2,1/(INDEX(Listado!A:A,2):INDEX(Listado!A:A,ROW())&lt;&gt;""),ROW(INDEX(Listado!A:A,2):INDEX(Listado!A:A,ROW()))),""))</f>
        <v/>
      </c>
      <c r="O1978" s="17" t="str">
        <f>IFERROR(IF(N1978="","",IF(INDEX(Listado!M:M,N1978)="No",IF(INDEX(Listado!N:N,N1978)=0,"",INDEX(Listado!N:N,N1978)),IF(INDEX(Listado!I:I,N1978)=0,"",INDEX(Listado!I:I,N1978)))),"")</f>
        <v/>
      </c>
      <c r="P1978" s="17">
        <f t="shared" ca="1" si="91"/>
        <v/>
      </c>
      <c r="Q1978" s="17">
        <f>IFERROR(IF(AND(N1978&lt;&gt;"",ISNUMBER(O1978),O1978&gt;0,O1978&gt;=TODAY()-90),1,0),0)</f>
        <v/>
      </c>
      <c r="R1978" s="17" t="str">
        <f t="shared" si="93"/>
        <v/>
      </c>
      <c r="S1978" s="17" t="str">
        <f>IF(INDEX(Listado!A:A,ROW())="","",INDEX(Listado!A:A,ROW()))</f>
        <v/>
      </c>
      <c r="T1978" s="17" t="str">
        <f ca="1">IF(INDEX(Listado!G:G,ROW())="","",INDEX(Listado!G:G,ROW()))</f>
        <v/>
      </c>
      <c r="U1978" s="17" t="str">
        <f>IF(INDEX(Listado!F:F,ROW())="","",INDEX(Listado!F:F,ROW()))</f>
        <v/>
      </c>
      <c r="V1978" s="17">
        <f>IF(COUNTA(INDEX(Listado!B:B,ROW()):INDEX(Listado!F:F,ROW()))&gt;0,1,0)</f>
        <v/>
      </c>
      <c r="W1978" s="17" t="str">
        <f>IF(INDEX(Listado!L:L,ROW())="","",INDEX(Listado!L:L,ROW()))</f>
        <v/>
      </c>
      <c r="X1978" s="17">
        <f>IF(N1978="","",IF(INDEX(Listado!$M:$M,N1978)="No","No","Sí"))</f>
        <v/>
      </c>
    </row>
    <row r="1979" spans="2:24" ht="14.25">
      <c r="N1979" s="17" t="str">
        <f>IF(V1979=0,"",IFERROR(LOOKUP(2,1/(INDEX(Listado!A:A,2):INDEX(Listado!A:A,ROW())&lt;&gt;""),ROW(INDEX(Listado!A:A,2):INDEX(Listado!A:A,ROW()))),""))</f>
        <v/>
      </c>
      <c r="O1979" s="17" t="str">
        <f>IFERROR(IF(N1979="","",IF(INDEX(Listado!M:M,N1979)="No",IF(INDEX(Listado!N:N,N1979)=0,"",INDEX(Listado!N:N,N1979)),IF(INDEX(Listado!I:I,N1979)=0,"",INDEX(Listado!I:I,N1979)))),"")</f>
        <v/>
      </c>
      <c r="P1979" s="17">
        <f t="shared" ca="1" si="91"/>
        <v/>
      </c>
      <c r="Q1979" s="17">
        <f>IFERROR(IF(AND(N1979&lt;&gt;"",ISNUMBER(O1979),O1979&gt;0,O1979&gt;=TODAY()-90),1,0),0)</f>
        <v/>
      </c>
      <c r="R1979" s="17" t="str">
        <f t="shared" si="93"/>
        <v/>
      </c>
      <c r="S1979" s="17" t="str">
        <f>IF(INDEX(Listado!A:A,ROW())="","",INDEX(Listado!A:A,ROW()))</f>
        <v/>
      </c>
      <c r="T1979" s="17" t="str">
        <f ca="1">IF(INDEX(Listado!G:G,ROW())="","",INDEX(Listado!G:G,ROW()))</f>
        <v/>
      </c>
      <c r="U1979" s="17" t="str">
        <f>IF(INDEX(Listado!F:F,ROW())="","",INDEX(Listado!F:F,ROW()))</f>
        <v/>
      </c>
      <c r="V1979" s="17">
        <f>IF(COUNTA(INDEX(Listado!B:B,ROW()):INDEX(Listado!F:F,ROW()))&gt;0,1,0)</f>
        <v/>
      </c>
      <c r="W1979" s="17" t="str">
        <f>IF(INDEX(Listado!L:L,ROW())="","",INDEX(Listado!L:L,ROW()))</f>
        <v/>
      </c>
      <c r="X1979" s="17">
        <f>IF(N1979="","",IF(INDEX(Listado!$M:$M,N1979)="No","No","Sí"))</f>
        <v/>
      </c>
    </row>
    <row r="1980" spans="2:24" ht="14.25">
      <c r="N1980" s="17" t="str">
        <f>IF(V1980=0,"",IFERROR(LOOKUP(2,1/(INDEX(Listado!A:A,2):INDEX(Listado!A:A,ROW())&lt;&gt;""),ROW(INDEX(Listado!A:A,2):INDEX(Listado!A:A,ROW()))),""))</f>
        <v/>
      </c>
      <c r="O1980" s="17" t="str">
        <f>IFERROR(IF(N1980="","",IF(INDEX(Listado!M:M,N1980)="No",IF(INDEX(Listado!N:N,N1980)=0,"",INDEX(Listado!N:N,N1980)),IF(INDEX(Listado!I:I,N1980)=0,"",INDEX(Listado!I:I,N1980)))),"")</f>
        <v/>
      </c>
      <c r="P1980" s="17">
        <f t="shared" ca="1" si="91"/>
        <v/>
      </c>
      <c r="Q1980" s="17">
        <f>IFERROR(IF(AND(N1980&lt;&gt;"",ISNUMBER(O1980),O1980&gt;0,O1980&gt;=TODAY()-90),1,0),0)</f>
        <v/>
      </c>
      <c r="R1980" s="17" t="str">
        <f t="shared" si="93"/>
        <v/>
      </c>
      <c r="S1980" s="17" t="str">
        <f>IF(INDEX(Listado!A:A,ROW())="","",INDEX(Listado!A:A,ROW()))</f>
        <v/>
      </c>
      <c r="T1980" s="17" t="str">
        <f ca="1">IF(INDEX(Listado!G:G,ROW())="","",INDEX(Listado!G:G,ROW()))</f>
        <v/>
      </c>
      <c r="U1980" s="17" t="str">
        <f>IF(INDEX(Listado!F:F,ROW())="","",INDEX(Listado!F:F,ROW()))</f>
        <v/>
      </c>
      <c r="V1980" s="17">
        <f>IF(COUNTA(INDEX(Listado!B:B,ROW()):INDEX(Listado!F:F,ROW()))&gt;0,1,0)</f>
        <v/>
      </c>
      <c r="W1980" s="17" t="str">
        <f>IF(INDEX(Listado!L:L,ROW())="","",INDEX(Listado!L:L,ROW()))</f>
        <v/>
      </c>
      <c r="X1980" s="17">
        <f>IF(N1980="","",IF(INDEX(Listado!$M:$M,N1980)="No","No","Sí"))</f>
        <v/>
      </c>
    </row>
    <row r="1981" spans="2:24" ht="14.25">
      <c r="N1981" s="17" t="str">
        <f>IF(V1981=0,"",IFERROR(LOOKUP(2,1/(INDEX(Listado!A:A,2):INDEX(Listado!A:A,ROW())&lt;&gt;""),ROW(INDEX(Listado!A:A,2):INDEX(Listado!A:A,ROW()))),""))</f>
        <v/>
      </c>
      <c r="O1981" s="17" t="str">
        <f>IFERROR(IF(N1981="","",IF(INDEX(Listado!M:M,N1981)="No",IF(INDEX(Listado!N:N,N1981)=0,"",INDEX(Listado!N:N,N1981)),IF(INDEX(Listado!I:I,N1981)=0,"",INDEX(Listado!I:I,N1981)))),"")</f>
        <v/>
      </c>
      <c r="P1981" s="17">
        <f t="shared" ca="1" si="91"/>
        <v/>
      </c>
      <c r="Q1981" s="17">
        <f>IFERROR(IF(AND(N1981&lt;&gt;"",ISNUMBER(O1981),O1981&gt;0,O1981&gt;=TODAY()-90),1,0),0)</f>
        <v/>
      </c>
      <c r="R1981" s="17" t="str">
        <f t="shared" si="93"/>
        <v/>
      </c>
      <c r="S1981" s="17" t="str">
        <f>IF(INDEX(Listado!A:A,ROW())="","",INDEX(Listado!A:A,ROW()))</f>
        <v/>
      </c>
      <c r="T1981" s="17" t="str">
        <f ca="1">IF(INDEX(Listado!G:G,ROW())="","",INDEX(Listado!G:G,ROW()))</f>
        <v/>
      </c>
      <c r="U1981" s="17" t="str">
        <f>IF(INDEX(Listado!F:F,ROW())="","",INDEX(Listado!F:F,ROW()))</f>
        <v/>
      </c>
      <c r="V1981" s="17">
        <f>IF(COUNTA(INDEX(Listado!B:B,ROW()):INDEX(Listado!F:F,ROW()))&gt;0,1,0)</f>
        <v/>
      </c>
      <c r="W1981" s="17" t="str">
        <f>IF(INDEX(Listado!L:L,ROW())="","",INDEX(Listado!L:L,ROW()))</f>
        <v/>
      </c>
      <c r="X1981" s="17">
        <f>IF(N1981="","",IF(INDEX(Listado!$M:$M,N1981)="No","No","Sí"))</f>
        <v/>
      </c>
    </row>
    <row r="1982" spans="2:24" ht="14.25">
      <c r="N1982" s="17" t="str">
        <f>IF(V1982=0,"",IFERROR(LOOKUP(2,1/(INDEX(Listado!A:A,2):INDEX(Listado!A:A,ROW())&lt;&gt;""),ROW(INDEX(Listado!A:A,2):INDEX(Listado!A:A,ROW()))),""))</f>
        <v/>
      </c>
      <c r="O1982" s="17" t="str">
        <f>IFERROR(IF(N1982="","",IF(INDEX(Listado!M:M,N1982)="No",IF(INDEX(Listado!N:N,N1982)=0,"",INDEX(Listado!N:N,N1982)),IF(INDEX(Listado!I:I,N1982)=0,"",INDEX(Listado!I:I,N1982)))),"")</f>
        <v/>
      </c>
      <c r="P1982" s="17">
        <f t="shared" ca="1" si="91"/>
        <v/>
      </c>
      <c r="Q1982" s="17">
        <f>IFERROR(IF(AND(N1982&lt;&gt;"",ISNUMBER(O1982),O1982&gt;0,O1982&gt;=TODAY()-90),1,0),0)</f>
        <v/>
      </c>
      <c r="R1982" s="17" t="str">
        <f t="shared" si="93"/>
        <v/>
      </c>
      <c r="S1982" s="17" t="str">
        <f>IF(INDEX(Listado!A:A,ROW())="","",INDEX(Listado!A:A,ROW()))</f>
        <v/>
      </c>
      <c r="T1982" s="17" t="str">
        <f ca="1">IF(INDEX(Listado!G:G,ROW())="","",INDEX(Listado!G:G,ROW()))</f>
        <v/>
      </c>
      <c r="U1982" s="17" t="str">
        <f>IF(INDEX(Listado!F:F,ROW())="","",INDEX(Listado!F:F,ROW()))</f>
        <v/>
      </c>
      <c r="V1982" s="17">
        <f>IF(COUNTA(INDEX(Listado!B:B,ROW()):INDEX(Listado!F:F,ROW()))&gt;0,1,0)</f>
        <v/>
      </c>
      <c r="W1982" s="17" t="str">
        <f>IF(INDEX(Listado!L:L,ROW())="","",INDEX(Listado!L:L,ROW()))</f>
        <v/>
      </c>
      <c r="X1982" s="17">
        <f>IF(N1982="","",IF(INDEX(Listado!$M:$M,N1982)="No","No","Sí"))</f>
        <v/>
      </c>
    </row>
    <row r="1983" spans="2:24" ht="14.25">
      <c r="N1983" s="17" t="str">
        <f>IF(V1983=0,"",IFERROR(LOOKUP(2,1/(INDEX(Listado!A:A,2):INDEX(Listado!A:A,ROW())&lt;&gt;""),ROW(INDEX(Listado!A:A,2):INDEX(Listado!A:A,ROW()))),""))</f>
        <v/>
      </c>
      <c r="O1983" s="17" t="str">
        <f>IFERROR(IF(N1983="","",IF(INDEX(Listado!M:M,N1983)="No",IF(INDEX(Listado!N:N,N1983)=0,"",INDEX(Listado!N:N,N1983)),IF(INDEX(Listado!I:I,N1983)=0,"",INDEX(Listado!I:I,N1983)))),"")</f>
        <v/>
      </c>
      <c r="P1983" s="17">
        <f t="shared" ca="1" si="91"/>
        <v/>
      </c>
      <c r="Q1983" s="17">
        <f>IFERROR(IF(AND(N1983&lt;&gt;"",ISNUMBER(O1983),O1983&gt;0,O1983&gt;=TODAY()-90),1,0),0)</f>
        <v/>
      </c>
      <c r="R1983" s="17" t="str">
        <f t="shared" si="93"/>
        <v/>
      </c>
      <c r="S1983" s="17" t="str">
        <f>IF(INDEX(Listado!A:A,ROW())="","",INDEX(Listado!A:A,ROW()))</f>
        <v/>
      </c>
      <c r="T1983" s="17" t="str">
        <f ca="1">IF(INDEX(Listado!G:G,ROW())="","",INDEX(Listado!G:G,ROW()))</f>
        <v/>
      </c>
      <c r="U1983" s="17" t="str">
        <f>IF(INDEX(Listado!F:F,ROW())="","",INDEX(Listado!F:F,ROW()))</f>
        <v/>
      </c>
      <c r="V1983" s="17">
        <f>IF(COUNTA(INDEX(Listado!B:B,ROW()):INDEX(Listado!F:F,ROW()))&gt;0,1,0)</f>
        <v/>
      </c>
      <c r="W1983" s="17" t="str">
        <f>IF(INDEX(Listado!L:L,ROW())="","",INDEX(Listado!L:L,ROW()))</f>
        <v/>
      </c>
      <c r="X1983" s="17">
        <f>IF(N1983="","",IF(INDEX(Listado!$M:$M,N1983)="No","No","Sí"))</f>
        <v/>
      </c>
    </row>
    <row r="1984" spans="2:24" ht="14.25">
      <c r="N1984" s="17" t="str">
        <f>IF(V1984=0,"",IFERROR(LOOKUP(2,1/(INDEX(Listado!A:A,2):INDEX(Listado!A:A,ROW())&lt;&gt;""),ROW(INDEX(Listado!A:A,2):INDEX(Listado!A:A,ROW()))),""))</f>
        <v/>
      </c>
      <c r="O1984" s="17" t="str">
        <f>IFERROR(IF(N1984="","",IF(INDEX(Listado!M:M,N1984)="No",IF(INDEX(Listado!N:N,N1984)=0,"",INDEX(Listado!N:N,N1984)),IF(INDEX(Listado!I:I,N1984)=0,"",INDEX(Listado!I:I,N1984)))),"")</f>
        <v/>
      </c>
      <c r="P1984" s="17">
        <f t="shared" ca="1" si="91"/>
        <v/>
      </c>
      <c r="Q1984" s="17">
        <f>IFERROR(IF(AND(N1984&lt;&gt;"",ISNUMBER(O1984),O1984&gt;0,O1984&gt;=TODAY()-90),1,0),0)</f>
        <v/>
      </c>
      <c r="R1984" s="17" t="str">
        <f t="shared" si="93"/>
        <v/>
      </c>
      <c r="S1984" s="17" t="str">
        <f>IF(INDEX(Listado!A:A,ROW())="","",INDEX(Listado!A:A,ROW()))</f>
        <v/>
      </c>
      <c r="T1984" s="17" t="str">
        <f ca="1">IF(INDEX(Listado!G:G,ROW())="","",INDEX(Listado!G:G,ROW()))</f>
        <v/>
      </c>
      <c r="U1984" s="17" t="str">
        <f>IF(INDEX(Listado!F:F,ROW())="","",INDEX(Listado!F:F,ROW()))</f>
        <v/>
      </c>
      <c r="V1984" s="17">
        <f>IF(COUNTA(INDEX(Listado!B:B,ROW()):INDEX(Listado!F:F,ROW()))&gt;0,1,0)</f>
        <v/>
      </c>
      <c r="W1984" s="17" t="str">
        <f>IF(INDEX(Listado!L:L,ROW())="","",INDEX(Listado!L:L,ROW()))</f>
        <v/>
      </c>
      <c r="X1984" s="17">
        <f>IF(N1984="","",IF(INDEX(Listado!$M:$M,N1984)="No","No","Sí"))</f>
        <v/>
      </c>
    </row>
    <row r="1985" spans="2:24" ht="14.25">
      <c r="N1985" s="17" t="str">
        <f>IF(V1985=0,"",IFERROR(LOOKUP(2,1/(INDEX(Listado!A:A,2):INDEX(Listado!A:A,ROW())&lt;&gt;""),ROW(INDEX(Listado!A:A,2):INDEX(Listado!A:A,ROW()))),""))</f>
        <v/>
      </c>
      <c r="O1985" s="17" t="str">
        <f>IFERROR(IF(N1985="","",IF(INDEX(Listado!M:M,N1985)="No",IF(INDEX(Listado!N:N,N1985)=0,"",INDEX(Listado!N:N,N1985)),IF(INDEX(Listado!I:I,N1985)=0,"",INDEX(Listado!I:I,N1985)))),"")</f>
        <v/>
      </c>
      <c r="P1985" s="17">
        <f t="shared" ca="1" si="91"/>
        <v/>
      </c>
      <c r="Q1985" s="17">
        <f>IFERROR(IF(AND(N1985&lt;&gt;"",ISNUMBER(O1985),O1985&gt;0,O1985&gt;=TODAY()-90),1,0),0)</f>
        <v/>
      </c>
      <c r="R1985" s="17" t="str">
        <f t="shared" si="93"/>
        <v/>
      </c>
      <c r="S1985" s="17" t="str">
        <f>IF(INDEX(Listado!A:A,ROW())="","",INDEX(Listado!A:A,ROW()))</f>
        <v/>
      </c>
      <c r="T1985" s="17" t="str">
        <f ca="1">IF(INDEX(Listado!G:G,ROW())="","",INDEX(Listado!G:G,ROW()))</f>
        <v/>
      </c>
      <c r="U1985" s="17" t="str">
        <f>IF(INDEX(Listado!F:F,ROW())="","",INDEX(Listado!F:F,ROW()))</f>
        <v/>
      </c>
      <c r="V1985" s="17">
        <f>IF(COUNTA(INDEX(Listado!B:B,ROW()):INDEX(Listado!F:F,ROW()))&gt;0,1,0)</f>
        <v/>
      </c>
      <c r="W1985" s="17" t="str">
        <f>IF(INDEX(Listado!L:L,ROW())="","",INDEX(Listado!L:L,ROW()))</f>
        <v/>
      </c>
      <c r="X1985" s="17">
        <f>IF(N1985="","",IF(INDEX(Listado!$M:$M,N1985)="No","No","Sí"))</f>
        <v/>
      </c>
    </row>
    <row r="1986" spans="2:24" ht="14.25">
      <c r="N1986" s="17" t="str">
        <f>IF(V1986=0,"",IFERROR(LOOKUP(2,1/(INDEX(Listado!A:A,2):INDEX(Listado!A:A,ROW())&lt;&gt;""),ROW(INDEX(Listado!A:A,2):INDEX(Listado!A:A,ROW()))),""))</f>
        <v/>
      </c>
      <c r="O1986" s="17" t="str">
        <f>IFERROR(IF(N1986="","",IF(INDEX(Listado!M:M,N1986)="No",IF(INDEX(Listado!N:N,N1986)=0,"",INDEX(Listado!N:N,N1986)),IF(INDEX(Listado!I:I,N1986)=0,"",INDEX(Listado!I:I,N1986)))),"")</f>
        <v/>
      </c>
      <c r="P1986" s="17">
        <f t="shared" ref="P1986:P2049" ca="1" si="94">IF(W1986="",0,IFERROR(IF(AND(ISNUMBER(W1986),W1986=INT(W1986),ISNUMBER(O1986),O1986&gt;0,W1986&gt;=TODAY(),W1986&lt;=O1986+90),0,1),1))</f>
        <v/>
      </c>
      <c r="Q1986" s="17">
        <f>IFERROR(IF(AND(N1986&lt;&gt;"",ISNUMBER(O1986),O1986&gt;0,O1986&gt;=TODAY()-90),1,0),0)</f>
        <v/>
      </c>
      <c r="R1986" s="17" t="str">
        <f t="shared" ref="R1986:R2049" si="96">IF(S1986="","",COUNTIFS($N$2:$N$2999,ROW(),$Q$2:$Q$2999,1))</f>
        <v/>
      </c>
      <c r="S1986" s="17" t="str">
        <f>IF(INDEX(Listado!A:A,ROW())="","",INDEX(Listado!A:A,ROW()))</f>
        <v/>
      </c>
      <c r="T1986" s="17" t="str">
        <f ca="1">IF(INDEX(Listado!G:G,ROW())="","",INDEX(Listado!G:G,ROW()))</f>
        <v/>
      </c>
      <c r="U1986" s="17" t="str">
        <f>IF(INDEX(Listado!F:F,ROW())="","",INDEX(Listado!F:F,ROW()))</f>
        <v/>
      </c>
      <c r="V1986" s="17">
        <f>IF(COUNTA(INDEX(Listado!B:B,ROW()):INDEX(Listado!F:F,ROW()))&gt;0,1,0)</f>
        <v/>
      </c>
      <c r="W1986" s="17" t="str">
        <f>IF(INDEX(Listado!L:L,ROW())="","",INDEX(Listado!L:L,ROW()))</f>
        <v/>
      </c>
      <c r="X1986" s="17">
        <f>IF(N1986="","",IF(INDEX(Listado!$M:$M,N1986)="No","No","Sí"))</f>
        <v/>
      </c>
    </row>
    <row r="1987" spans="2:24" ht="14.25">
      <c r="N1987" s="17" t="str">
        <f>IF(V1987=0,"",IFERROR(LOOKUP(2,1/(INDEX(Listado!A:A,2):INDEX(Listado!A:A,ROW())&lt;&gt;""),ROW(INDEX(Listado!A:A,2):INDEX(Listado!A:A,ROW()))),""))</f>
        <v/>
      </c>
      <c r="O1987" s="17" t="str">
        <f>IFERROR(IF(N1987="","",IF(INDEX(Listado!M:M,N1987)="No",IF(INDEX(Listado!N:N,N1987)=0,"",INDEX(Listado!N:N,N1987)),IF(INDEX(Listado!I:I,N1987)=0,"",INDEX(Listado!I:I,N1987)))),"")</f>
        <v/>
      </c>
      <c r="P1987" s="17">
        <f t="shared" ca="1" si="94"/>
        <v/>
      </c>
      <c r="Q1987" s="17">
        <f>IFERROR(IF(AND(N1987&lt;&gt;"",ISNUMBER(O1987),O1987&gt;0,O1987&gt;=TODAY()-90),1,0),0)</f>
        <v/>
      </c>
      <c r="R1987" s="17" t="str">
        <f t="shared" si="96"/>
        <v/>
      </c>
      <c r="S1987" s="17" t="str">
        <f>IF(INDEX(Listado!A:A,ROW())="","",INDEX(Listado!A:A,ROW()))</f>
        <v/>
      </c>
      <c r="T1987" s="17" t="str">
        <f ca="1">IF(INDEX(Listado!G:G,ROW())="","",INDEX(Listado!G:G,ROW()))</f>
        <v/>
      </c>
      <c r="U1987" s="17" t="str">
        <f>IF(INDEX(Listado!F:F,ROW())="","",INDEX(Listado!F:F,ROW()))</f>
        <v/>
      </c>
      <c r="V1987" s="17">
        <f>IF(COUNTA(INDEX(Listado!B:B,ROW()):INDEX(Listado!F:F,ROW()))&gt;0,1,0)</f>
        <v/>
      </c>
      <c r="W1987" s="17" t="str">
        <f>IF(INDEX(Listado!L:L,ROW())="","",INDEX(Listado!L:L,ROW()))</f>
        <v/>
      </c>
      <c r="X1987" s="17">
        <f>IF(N1987="","",IF(INDEX(Listado!$M:$M,N1987)="No","No","Sí"))</f>
        <v/>
      </c>
    </row>
    <row r="1988" spans="2:24" ht="14.25">
      <c r="N1988" s="17" t="str">
        <f>IF(V1988=0,"",IFERROR(LOOKUP(2,1/(INDEX(Listado!A:A,2):INDEX(Listado!A:A,ROW())&lt;&gt;""),ROW(INDEX(Listado!A:A,2):INDEX(Listado!A:A,ROW()))),""))</f>
        <v/>
      </c>
      <c r="O1988" s="17" t="str">
        <f>IFERROR(IF(N1988="","",IF(INDEX(Listado!M:M,N1988)="No",IF(INDEX(Listado!N:N,N1988)=0,"",INDEX(Listado!N:N,N1988)),IF(INDEX(Listado!I:I,N1988)=0,"",INDEX(Listado!I:I,N1988)))),"")</f>
        <v/>
      </c>
      <c r="P1988" s="17">
        <f t="shared" ca="1" si="94"/>
        <v/>
      </c>
      <c r="Q1988" s="17">
        <f>IFERROR(IF(AND(N1988&lt;&gt;"",ISNUMBER(O1988),O1988&gt;0,O1988&gt;=TODAY()-90),1,0),0)</f>
        <v/>
      </c>
      <c r="R1988" s="17" t="str">
        <f t="shared" si="96"/>
        <v/>
      </c>
      <c r="S1988" s="17" t="str">
        <f>IF(INDEX(Listado!A:A,ROW())="","",INDEX(Listado!A:A,ROW()))</f>
        <v/>
      </c>
      <c r="T1988" s="17" t="str">
        <f ca="1">IF(INDEX(Listado!G:G,ROW())="","",INDEX(Listado!G:G,ROW()))</f>
        <v/>
      </c>
      <c r="U1988" s="17" t="str">
        <f>IF(INDEX(Listado!F:F,ROW())="","",INDEX(Listado!F:F,ROW()))</f>
        <v/>
      </c>
      <c r="V1988" s="17">
        <f>IF(COUNTA(INDEX(Listado!B:B,ROW()):INDEX(Listado!F:F,ROW()))&gt;0,1,0)</f>
        <v/>
      </c>
      <c r="W1988" s="17" t="str">
        <f>IF(INDEX(Listado!L:L,ROW())="","",INDEX(Listado!L:L,ROW()))</f>
        <v/>
      </c>
      <c r="X1988" s="17">
        <f>IF(N1988="","",IF(INDEX(Listado!$M:$M,N1988)="No","No","Sí"))</f>
        <v/>
      </c>
    </row>
    <row r="1989" spans="2:24" ht="14.25">
      <c r="N1989" s="17" t="str">
        <f>IF(V1989=0,"",IFERROR(LOOKUP(2,1/(INDEX(Listado!A:A,2):INDEX(Listado!A:A,ROW())&lt;&gt;""),ROW(INDEX(Listado!A:A,2):INDEX(Listado!A:A,ROW()))),""))</f>
        <v/>
      </c>
      <c r="O1989" s="17" t="str">
        <f>IFERROR(IF(N1989="","",IF(INDEX(Listado!M:M,N1989)="No",IF(INDEX(Listado!N:N,N1989)=0,"",INDEX(Listado!N:N,N1989)),IF(INDEX(Listado!I:I,N1989)=0,"",INDEX(Listado!I:I,N1989)))),"")</f>
        <v/>
      </c>
      <c r="P1989" s="17">
        <f t="shared" ca="1" si="94"/>
        <v/>
      </c>
      <c r="Q1989" s="17">
        <f>IFERROR(IF(AND(N1989&lt;&gt;"",ISNUMBER(O1989),O1989&gt;0,O1989&gt;=TODAY()-90),1,0),0)</f>
        <v/>
      </c>
      <c r="R1989" s="17" t="str">
        <f t="shared" si="96"/>
        <v/>
      </c>
      <c r="S1989" s="17" t="str">
        <f>IF(INDEX(Listado!A:A,ROW())="","",INDEX(Listado!A:A,ROW()))</f>
        <v/>
      </c>
      <c r="T1989" s="17" t="str">
        <f ca="1">IF(INDEX(Listado!G:G,ROW())="","",INDEX(Listado!G:G,ROW()))</f>
        <v/>
      </c>
      <c r="U1989" s="17" t="str">
        <f>IF(INDEX(Listado!F:F,ROW())="","",INDEX(Listado!F:F,ROW()))</f>
        <v/>
      </c>
      <c r="V1989" s="17">
        <f>IF(COUNTA(INDEX(Listado!B:B,ROW()):INDEX(Listado!F:F,ROW()))&gt;0,1,0)</f>
        <v/>
      </c>
      <c r="W1989" s="17" t="str">
        <f>IF(INDEX(Listado!L:L,ROW())="","",INDEX(Listado!L:L,ROW()))</f>
        <v/>
      </c>
      <c r="X1989" s="17">
        <f>IF(N1989="","",IF(INDEX(Listado!$M:$M,N1989)="No","No","Sí"))</f>
        <v/>
      </c>
    </row>
    <row r="1990" spans="2:24" ht="14.25">
      <c r="N1990" s="17" t="str">
        <f>IF(V1990=0,"",IFERROR(LOOKUP(2,1/(INDEX(Listado!A:A,2):INDEX(Listado!A:A,ROW())&lt;&gt;""),ROW(INDEX(Listado!A:A,2):INDEX(Listado!A:A,ROW()))),""))</f>
        <v/>
      </c>
      <c r="O1990" s="17" t="str">
        <f>IFERROR(IF(N1990="","",IF(INDEX(Listado!M:M,N1990)="No",IF(INDEX(Listado!N:N,N1990)=0,"",INDEX(Listado!N:N,N1990)),IF(INDEX(Listado!I:I,N1990)=0,"",INDEX(Listado!I:I,N1990)))),"")</f>
        <v/>
      </c>
      <c r="P1990" s="17">
        <f t="shared" ca="1" si="94"/>
        <v/>
      </c>
      <c r="Q1990" s="17">
        <f>IFERROR(IF(AND(N1990&lt;&gt;"",ISNUMBER(O1990),O1990&gt;0,O1990&gt;=TODAY()-90),1,0),0)</f>
        <v/>
      </c>
      <c r="R1990" s="17" t="str">
        <f t="shared" si="96"/>
        <v/>
      </c>
      <c r="S1990" s="17" t="str">
        <f>IF(INDEX(Listado!A:A,ROW())="","",INDEX(Listado!A:A,ROW()))</f>
        <v/>
      </c>
      <c r="T1990" s="17" t="str">
        <f ca="1">IF(INDEX(Listado!G:G,ROW())="","",INDEX(Listado!G:G,ROW()))</f>
        <v/>
      </c>
      <c r="U1990" s="17" t="str">
        <f>IF(INDEX(Listado!F:F,ROW())="","",INDEX(Listado!F:F,ROW()))</f>
        <v/>
      </c>
      <c r="V1990" s="17">
        <f>IF(COUNTA(INDEX(Listado!B:B,ROW()):INDEX(Listado!F:F,ROW()))&gt;0,1,0)</f>
        <v/>
      </c>
      <c r="W1990" s="17" t="str">
        <f>IF(INDEX(Listado!L:L,ROW())="","",INDEX(Listado!L:L,ROW()))</f>
        <v/>
      </c>
      <c r="X1990" s="17">
        <f>IF(N1990="","",IF(INDEX(Listado!$M:$M,N1990)="No","No","Sí"))</f>
        <v/>
      </c>
    </row>
    <row r="1991" spans="2:24" ht="14.25">
      <c r="N1991" s="17" t="str">
        <f>IF(V1991=0,"",IFERROR(LOOKUP(2,1/(INDEX(Listado!A:A,2):INDEX(Listado!A:A,ROW())&lt;&gt;""),ROW(INDEX(Listado!A:A,2):INDEX(Listado!A:A,ROW()))),""))</f>
        <v/>
      </c>
      <c r="O1991" s="17" t="str">
        <f>IFERROR(IF(N1991="","",IF(INDEX(Listado!M:M,N1991)="No",IF(INDEX(Listado!N:N,N1991)=0,"",INDEX(Listado!N:N,N1991)),IF(INDEX(Listado!I:I,N1991)=0,"",INDEX(Listado!I:I,N1991)))),"")</f>
        <v/>
      </c>
      <c r="P1991" s="17">
        <f t="shared" ca="1" si="94"/>
        <v/>
      </c>
      <c r="Q1991" s="17">
        <f>IFERROR(IF(AND(N1991&lt;&gt;"",ISNUMBER(O1991),O1991&gt;0,O1991&gt;=TODAY()-90),1,0),0)</f>
        <v/>
      </c>
      <c r="R1991" s="17" t="str">
        <f t="shared" si="96"/>
        <v/>
      </c>
      <c r="S1991" s="17" t="str">
        <f>IF(INDEX(Listado!A:A,ROW())="","",INDEX(Listado!A:A,ROW()))</f>
        <v/>
      </c>
      <c r="T1991" s="17" t="str">
        <f ca="1">IF(INDEX(Listado!G:G,ROW())="","",INDEX(Listado!G:G,ROW()))</f>
        <v/>
      </c>
      <c r="U1991" s="17" t="str">
        <f>IF(INDEX(Listado!F:F,ROW())="","",INDEX(Listado!F:F,ROW()))</f>
        <v/>
      </c>
      <c r="V1991" s="17">
        <f>IF(COUNTA(INDEX(Listado!B:B,ROW()):INDEX(Listado!F:F,ROW()))&gt;0,1,0)</f>
        <v/>
      </c>
      <c r="W1991" s="17" t="str">
        <f>IF(INDEX(Listado!L:L,ROW())="","",INDEX(Listado!L:L,ROW()))</f>
        <v/>
      </c>
      <c r="X1991" s="17">
        <f>IF(N1991="","",IF(INDEX(Listado!$M:$M,N1991)="No","No","Sí"))</f>
        <v/>
      </c>
    </row>
    <row r="1992" spans="2:24" ht="14.25">
      <c r="N1992" s="17" t="str">
        <f>IF(V1992=0,"",IFERROR(LOOKUP(2,1/(INDEX(Listado!A:A,2):INDEX(Listado!A:A,ROW())&lt;&gt;""),ROW(INDEX(Listado!A:A,2):INDEX(Listado!A:A,ROW()))),""))</f>
        <v/>
      </c>
      <c r="O1992" s="17" t="str">
        <f>IFERROR(IF(N1992="","",IF(INDEX(Listado!M:M,N1992)="No",IF(INDEX(Listado!N:N,N1992)=0,"",INDEX(Listado!N:N,N1992)),IF(INDEX(Listado!I:I,N1992)=0,"",INDEX(Listado!I:I,N1992)))),"")</f>
        <v/>
      </c>
      <c r="P1992" s="17">
        <f t="shared" ca="1" si="94"/>
        <v/>
      </c>
      <c r="Q1992" s="17">
        <f>IFERROR(IF(AND(N1992&lt;&gt;"",ISNUMBER(O1992),O1992&gt;0,O1992&gt;=TODAY()-90),1,0),0)</f>
        <v/>
      </c>
      <c r="R1992" s="17" t="str">
        <f t="shared" si="96"/>
        <v/>
      </c>
      <c r="S1992" s="17" t="str">
        <f>IF(INDEX(Listado!A:A,ROW())="","",INDEX(Listado!A:A,ROW()))</f>
        <v/>
      </c>
      <c r="T1992" s="17" t="str">
        <f ca="1">IF(INDEX(Listado!G:G,ROW())="","",INDEX(Listado!G:G,ROW()))</f>
        <v/>
      </c>
      <c r="U1992" s="17" t="str">
        <f>IF(INDEX(Listado!F:F,ROW())="","",INDEX(Listado!F:F,ROW()))</f>
        <v/>
      </c>
      <c r="V1992" s="17">
        <f>IF(COUNTA(INDEX(Listado!B:B,ROW()):INDEX(Listado!F:F,ROW()))&gt;0,1,0)</f>
        <v/>
      </c>
      <c r="W1992" s="17" t="str">
        <f>IF(INDEX(Listado!L:L,ROW())="","",INDEX(Listado!L:L,ROW()))</f>
        <v/>
      </c>
      <c r="X1992" s="17">
        <f>IF(N1992="","",IF(INDEX(Listado!$M:$M,N1992)="No","No","Sí"))</f>
        <v/>
      </c>
    </row>
    <row r="1993" spans="2:24" ht="14.25">
      <c r="N1993" s="17" t="str">
        <f>IF(V1993=0,"",IFERROR(LOOKUP(2,1/(INDEX(Listado!A:A,2):INDEX(Listado!A:A,ROW())&lt;&gt;""),ROW(INDEX(Listado!A:A,2):INDEX(Listado!A:A,ROW()))),""))</f>
        <v/>
      </c>
      <c r="O1993" s="17" t="str">
        <f>IFERROR(IF(N1993="","",IF(INDEX(Listado!M:M,N1993)="No",IF(INDEX(Listado!N:N,N1993)=0,"",INDEX(Listado!N:N,N1993)),IF(INDEX(Listado!I:I,N1993)=0,"",INDEX(Listado!I:I,N1993)))),"")</f>
        <v/>
      </c>
      <c r="P1993" s="17">
        <f t="shared" ca="1" si="94"/>
        <v/>
      </c>
      <c r="Q1993" s="17">
        <f>IFERROR(IF(AND(N1993&lt;&gt;"",ISNUMBER(O1993),O1993&gt;0,O1993&gt;=TODAY()-90),1,0),0)</f>
        <v/>
      </c>
      <c r="R1993" s="17" t="str">
        <f t="shared" si="96"/>
        <v/>
      </c>
      <c r="S1993" s="17" t="str">
        <f>IF(INDEX(Listado!A:A,ROW())="","",INDEX(Listado!A:A,ROW()))</f>
        <v/>
      </c>
      <c r="T1993" s="17" t="str">
        <f ca="1">IF(INDEX(Listado!G:G,ROW())="","",INDEX(Listado!G:G,ROW()))</f>
        <v/>
      </c>
      <c r="U1993" s="17" t="str">
        <f>IF(INDEX(Listado!F:F,ROW())="","",INDEX(Listado!F:F,ROW()))</f>
        <v/>
      </c>
      <c r="V1993" s="17">
        <f>IF(COUNTA(INDEX(Listado!B:B,ROW()):INDEX(Listado!F:F,ROW()))&gt;0,1,0)</f>
        <v/>
      </c>
      <c r="W1993" s="17" t="str">
        <f>IF(INDEX(Listado!L:L,ROW())="","",INDEX(Listado!L:L,ROW()))</f>
        <v/>
      </c>
      <c r="X1993" s="17">
        <f>IF(N1993="","",IF(INDEX(Listado!$M:$M,N1993)="No","No","Sí"))</f>
        <v/>
      </c>
    </row>
    <row r="1994" spans="2:24" ht="14.25">
      <c r="N1994" s="17" t="str">
        <f>IF(V1994=0,"",IFERROR(LOOKUP(2,1/(INDEX(Listado!A:A,2):INDEX(Listado!A:A,ROW())&lt;&gt;""),ROW(INDEX(Listado!A:A,2):INDEX(Listado!A:A,ROW()))),""))</f>
        <v/>
      </c>
      <c r="O1994" s="17" t="str">
        <f>IFERROR(IF(N1994="","",IF(INDEX(Listado!M:M,N1994)="No",IF(INDEX(Listado!N:N,N1994)=0,"",INDEX(Listado!N:N,N1994)),IF(INDEX(Listado!I:I,N1994)=0,"",INDEX(Listado!I:I,N1994)))),"")</f>
        <v/>
      </c>
      <c r="P1994" s="17">
        <f t="shared" ca="1" si="94"/>
        <v/>
      </c>
      <c r="Q1994" s="17">
        <f>IFERROR(IF(AND(N1994&lt;&gt;"",ISNUMBER(O1994),O1994&gt;0,O1994&gt;=TODAY()-90),1,0),0)</f>
        <v/>
      </c>
      <c r="R1994" s="17" t="str">
        <f t="shared" si="96"/>
        <v/>
      </c>
      <c r="S1994" s="17" t="str">
        <f>IF(INDEX(Listado!A:A,ROW())="","",INDEX(Listado!A:A,ROW()))</f>
        <v/>
      </c>
      <c r="T1994" s="17" t="str">
        <f ca="1">IF(INDEX(Listado!G:G,ROW())="","",INDEX(Listado!G:G,ROW()))</f>
        <v/>
      </c>
      <c r="U1994" s="17" t="str">
        <f>IF(INDEX(Listado!F:F,ROW())="","",INDEX(Listado!F:F,ROW()))</f>
        <v/>
      </c>
      <c r="V1994" s="17">
        <f>IF(COUNTA(INDEX(Listado!B:B,ROW()):INDEX(Listado!F:F,ROW()))&gt;0,1,0)</f>
        <v/>
      </c>
      <c r="W1994" s="17" t="str">
        <f>IF(INDEX(Listado!L:L,ROW())="","",INDEX(Listado!L:L,ROW()))</f>
        <v/>
      </c>
      <c r="X1994" s="17">
        <f>IF(N1994="","",IF(INDEX(Listado!$M:$M,N1994)="No","No","Sí"))</f>
        <v/>
      </c>
    </row>
    <row r="1995" spans="2:24" ht="14.25">
      <c r="N1995" s="17" t="str">
        <f>IF(V1995=0,"",IFERROR(LOOKUP(2,1/(INDEX(Listado!A:A,2):INDEX(Listado!A:A,ROW())&lt;&gt;""),ROW(INDEX(Listado!A:A,2):INDEX(Listado!A:A,ROW()))),""))</f>
        <v/>
      </c>
      <c r="O1995" s="17" t="str">
        <f>IFERROR(IF(N1995="","",IF(INDEX(Listado!M:M,N1995)="No",IF(INDEX(Listado!N:N,N1995)=0,"",INDEX(Listado!N:N,N1995)),IF(INDEX(Listado!I:I,N1995)=0,"",INDEX(Listado!I:I,N1995)))),"")</f>
        <v/>
      </c>
      <c r="P1995" s="17">
        <f t="shared" ca="1" si="94"/>
        <v/>
      </c>
      <c r="Q1995" s="17">
        <f>IFERROR(IF(AND(N1995&lt;&gt;"",ISNUMBER(O1995),O1995&gt;0,O1995&gt;=TODAY()-90),1,0),0)</f>
        <v/>
      </c>
      <c r="R1995" s="17" t="str">
        <f t="shared" si="96"/>
        <v/>
      </c>
      <c r="S1995" s="17" t="str">
        <f>IF(INDEX(Listado!A:A,ROW())="","",INDEX(Listado!A:A,ROW()))</f>
        <v/>
      </c>
      <c r="T1995" s="17" t="str">
        <f ca="1">IF(INDEX(Listado!G:G,ROW())="","",INDEX(Listado!G:G,ROW()))</f>
        <v/>
      </c>
      <c r="U1995" s="17" t="str">
        <f>IF(INDEX(Listado!F:F,ROW())="","",INDEX(Listado!F:F,ROW()))</f>
        <v/>
      </c>
      <c r="V1995" s="17">
        <f>IF(COUNTA(INDEX(Listado!B:B,ROW()):INDEX(Listado!F:F,ROW()))&gt;0,1,0)</f>
        <v/>
      </c>
      <c r="W1995" s="17" t="str">
        <f>IF(INDEX(Listado!L:L,ROW())="","",INDEX(Listado!L:L,ROW()))</f>
        <v/>
      </c>
      <c r="X1995" s="17">
        <f>IF(N1995="","",IF(INDEX(Listado!$M:$M,N1995)="No","No","Sí"))</f>
        <v/>
      </c>
    </row>
    <row r="1996" spans="2:24" ht="14.25">
      <c r="N1996" s="17" t="str">
        <f>IF(V1996=0,"",IFERROR(LOOKUP(2,1/(INDEX(Listado!A:A,2):INDEX(Listado!A:A,ROW())&lt;&gt;""),ROW(INDEX(Listado!A:A,2):INDEX(Listado!A:A,ROW()))),""))</f>
        <v/>
      </c>
      <c r="O1996" s="17" t="str">
        <f>IFERROR(IF(N1996="","",IF(INDEX(Listado!M:M,N1996)="No",IF(INDEX(Listado!N:N,N1996)=0,"",INDEX(Listado!N:N,N1996)),IF(INDEX(Listado!I:I,N1996)=0,"",INDEX(Listado!I:I,N1996)))),"")</f>
        <v/>
      </c>
      <c r="P1996" s="17">
        <f t="shared" ca="1" si="94"/>
        <v/>
      </c>
      <c r="Q1996" s="17">
        <f>IFERROR(IF(AND(N1996&lt;&gt;"",ISNUMBER(O1996),O1996&gt;0,O1996&gt;=TODAY()-90),1,0),0)</f>
        <v/>
      </c>
      <c r="R1996" s="17" t="str">
        <f t="shared" si="96"/>
        <v/>
      </c>
      <c r="S1996" s="17" t="str">
        <f>IF(INDEX(Listado!A:A,ROW())="","",INDEX(Listado!A:A,ROW()))</f>
        <v/>
      </c>
      <c r="T1996" s="17" t="str">
        <f ca="1">IF(INDEX(Listado!G:G,ROW())="","",INDEX(Listado!G:G,ROW()))</f>
        <v/>
      </c>
      <c r="U1996" s="17" t="str">
        <f>IF(INDEX(Listado!F:F,ROW())="","",INDEX(Listado!F:F,ROW()))</f>
        <v/>
      </c>
      <c r="V1996" s="17">
        <f>IF(COUNTA(INDEX(Listado!B:B,ROW()):INDEX(Listado!F:F,ROW()))&gt;0,1,0)</f>
        <v/>
      </c>
      <c r="W1996" s="17" t="str">
        <f>IF(INDEX(Listado!L:L,ROW())="","",INDEX(Listado!L:L,ROW()))</f>
        <v/>
      </c>
      <c r="X1996" s="17">
        <f>IF(N1996="","",IF(INDEX(Listado!$M:$M,N1996)="No","No","Sí"))</f>
        <v/>
      </c>
    </row>
    <row r="1997" spans="2:24" ht="14.25">
      <c r="N1997" s="17" t="str">
        <f>IF(V1997=0,"",IFERROR(LOOKUP(2,1/(INDEX(Listado!A:A,2):INDEX(Listado!A:A,ROW())&lt;&gt;""),ROW(INDEX(Listado!A:A,2):INDEX(Listado!A:A,ROW()))),""))</f>
        <v/>
      </c>
      <c r="O1997" s="17" t="str">
        <f>IFERROR(IF(N1997="","",IF(INDEX(Listado!M:M,N1997)="No",IF(INDEX(Listado!N:N,N1997)=0,"",INDEX(Listado!N:N,N1997)),IF(INDEX(Listado!I:I,N1997)=0,"",INDEX(Listado!I:I,N1997)))),"")</f>
        <v/>
      </c>
      <c r="P1997" s="17">
        <f t="shared" ca="1" si="94"/>
        <v/>
      </c>
      <c r="Q1997" s="17">
        <f>IFERROR(IF(AND(N1997&lt;&gt;"",ISNUMBER(O1997),O1997&gt;0,O1997&gt;=TODAY()-90),1,0),0)</f>
        <v/>
      </c>
      <c r="R1997" s="17" t="str">
        <f t="shared" si="96"/>
        <v/>
      </c>
      <c r="S1997" s="17" t="str">
        <f>IF(INDEX(Listado!A:A,ROW())="","",INDEX(Listado!A:A,ROW()))</f>
        <v/>
      </c>
      <c r="T1997" s="17" t="str">
        <f ca="1">IF(INDEX(Listado!G:G,ROW())="","",INDEX(Listado!G:G,ROW()))</f>
        <v/>
      </c>
      <c r="U1997" s="17" t="str">
        <f>IF(INDEX(Listado!F:F,ROW())="","",INDEX(Listado!F:F,ROW()))</f>
        <v/>
      </c>
      <c r="V1997" s="17">
        <f>IF(COUNTA(INDEX(Listado!B:B,ROW()):INDEX(Listado!F:F,ROW()))&gt;0,1,0)</f>
        <v/>
      </c>
      <c r="W1997" s="17" t="str">
        <f>IF(INDEX(Listado!L:L,ROW())="","",INDEX(Listado!L:L,ROW()))</f>
        <v/>
      </c>
      <c r="X1997" s="17">
        <f>IF(N1997="","",IF(INDEX(Listado!$M:$M,N1997)="No","No","Sí"))</f>
        <v/>
      </c>
    </row>
    <row r="1998" spans="2:24" ht="14.25">
      <c r="N1998" s="17" t="str">
        <f>IF(V1998=0,"",IFERROR(LOOKUP(2,1/(INDEX(Listado!A:A,2):INDEX(Listado!A:A,ROW())&lt;&gt;""),ROW(INDEX(Listado!A:A,2):INDEX(Listado!A:A,ROW()))),""))</f>
        <v/>
      </c>
      <c r="O1998" s="17" t="str">
        <f>IFERROR(IF(N1998="","",IF(INDEX(Listado!M:M,N1998)="No",IF(INDEX(Listado!N:N,N1998)=0,"",INDEX(Listado!N:N,N1998)),IF(INDEX(Listado!I:I,N1998)=0,"",INDEX(Listado!I:I,N1998)))),"")</f>
        <v/>
      </c>
      <c r="P1998" s="17">
        <f t="shared" ca="1" si="94"/>
        <v/>
      </c>
      <c r="Q1998" s="17">
        <f>IFERROR(IF(AND(N1998&lt;&gt;"",ISNUMBER(O1998),O1998&gt;0,O1998&gt;=TODAY()-90),1,0),0)</f>
        <v/>
      </c>
      <c r="R1998" s="17" t="str">
        <f t="shared" si="96"/>
        <v/>
      </c>
      <c r="S1998" s="17" t="str">
        <f>IF(INDEX(Listado!A:A,ROW())="","",INDEX(Listado!A:A,ROW()))</f>
        <v/>
      </c>
      <c r="T1998" s="17" t="str">
        <f ca="1">IF(INDEX(Listado!G:G,ROW())="","",INDEX(Listado!G:G,ROW()))</f>
        <v/>
      </c>
      <c r="U1998" s="17" t="str">
        <f>IF(INDEX(Listado!F:F,ROW())="","",INDEX(Listado!F:F,ROW()))</f>
        <v/>
      </c>
      <c r="V1998" s="17">
        <f>IF(COUNTA(INDEX(Listado!B:B,ROW()):INDEX(Listado!F:F,ROW()))&gt;0,1,0)</f>
        <v/>
      </c>
      <c r="W1998" s="17" t="str">
        <f>IF(INDEX(Listado!L:L,ROW())="","",INDEX(Listado!L:L,ROW()))</f>
        <v/>
      </c>
      <c r="X1998" s="17">
        <f>IF(N1998="","",IF(INDEX(Listado!$M:$M,N1998)="No","No","Sí"))</f>
        <v/>
      </c>
    </row>
    <row r="1999" spans="2:24" ht="14.25">
      <c r="N1999" s="17" t="str">
        <f>IF(V1999=0,"",IFERROR(LOOKUP(2,1/(INDEX(Listado!A:A,2):INDEX(Listado!A:A,ROW())&lt;&gt;""),ROW(INDEX(Listado!A:A,2):INDEX(Listado!A:A,ROW()))),""))</f>
        <v/>
      </c>
      <c r="O1999" s="17" t="str">
        <f>IFERROR(IF(N1999="","",IF(INDEX(Listado!M:M,N1999)="No",IF(INDEX(Listado!N:N,N1999)=0,"",INDEX(Listado!N:N,N1999)),IF(INDEX(Listado!I:I,N1999)=0,"",INDEX(Listado!I:I,N1999)))),"")</f>
        <v/>
      </c>
      <c r="P1999" s="17">
        <f t="shared" ca="1" si="94"/>
        <v/>
      </c>
      <c r="Q1999" s="17">
        <f>IFERROR(IF(AND(N1999&lt;&gt;"",ISNUMBER(O1999),O1999&gt;0,O1999&gt;=TODAY()-90),1,0),0)</f>
        <v/>
      </c>
      <c r="R1999" s="17" t="str">
        <f t="shared" si="96"/>
        <v/>
      </c>
      <c r="S1999" s="17" t="str">
        <f>IF(INDEX(Listado!A:A,ROW())="","",INDEX(Listado!A:A,ROW()))</f>
        <v/>
      </c>
      <c r="T1999" s="17" t="str">
        <f ca="1">IF(INDEX(Listado!G:G,ROW())="","",INDEX(Listado!G:G,ROW()))</f>
        <v/>
      </c>
      <c r="U1999" s="17" t="str">
        <f>IF(INDEX(Listado!F:F,ROW())="","",INDEX(Listado!F:F,ROW()))</f>
        <v/>
      </c>
      <c r="V1999" s="17">
        <f>IF(COUNTA(INDEX(Listado!B:B,ROW()):INDEX(Listado!F:F,ROW()))&gt;0,1,0)</f>
        <v/>
      </c>
      <c r="W1999" s="17" t="str">
        <f>IF(INDEX(Listado!L:L,ROW())="","",INDEX(Listado!L:L,ROW()))</f>
        <v/>
      </c>
      <c r="X1999" s="17">
        <f>IF(N1999="","",IF(INDEX(Listado!$M:$M,N1999)="No","No","Sí"))</f>
        <v/>
      </c>
    </row>
    <row r="2000" spans="2:24" ht="14.25">
      <c r="N2000" s="17" t="str">
        <f>IF(V2000=0,"",IFERROR(LOOKUP(2,1/(INDEX(Listado!A:A,2):INDEX(Listado!A:A,ROW())&lt;&gt;""),ROW(INDEX(Listado!A:A,2):INDEX(Listado!A:A,ROW()))),""))</f>
        <v/>
      </c>
      <c r="O2000" s="17" t="str">
        <f>IFERROR(IF(N2000="","",IF(INDEX(Listado!M:M,N2000)="No",IF(INDEX(Listado!N:N,N2000)=0,"",INDEX(Listado!N:N,N2000)),IF(INDEX(Listado!I:I,N2000)=0,"",INDEX(Listado!I:I,N2000)))),"")</f>
        <v/>
      </c>
      <c r="P2000" s="17">
        <f t="shared" ca="1" si="94"/>
        <v/>
      </c>
      <c r="Q2000" s="17">
        <f>IFERROR(IF(AND(N2000&lt;&gt;"",ISNUMBER(O2000),O2000&gt;0,O2000&gt;=TODAY()-90),1,0),0)</f>
        <v/>
      </c>
      <c r="R2000" s="17" t="str">
        <f t="shared" si="96"/>
        <v/>
      </c>
      <c r="S2000" s="17" t="str">
        <f>IF(INDEX(Listado!A:A,ROW())="","",INDEX(Listado!A:A,ROW()))</f>
        <v/>
      </c>
      <c r="T2000" s="17" t="str">
        <f ca="1">IF(INDEX(Listado!G:G,ROW())="","",INDEX(Listado!G:G,ROW()))</f>
        <v/>
      </c>
      <c r="U2000" s="17" t="str">
        <f>IF(INDEX(Listado!F:F,ROW())="","",INDEX(Listado!F:F,ROW()))</f>
        <v/>
      </c>
      <c r="V2000" s="17">
        <f>IF(COUNTA(INDEX(Listado!B:B,ROW()):INDEX(Listado!F:F,ROW()))&gt;0,1,0)</f>
        <v/>
      </c>
      <c r="W2000" s="17" t="str">
        <f>IF(INDEX(Listado!L:L,ROW())="","",INDEX(Listado!L:L,ROW()))</f>
        <v/>
      </c>
      <c r="X2000" s="17">
        <f>IF(N2000="","",IF(INDEX(Listado!$M:$M,N2000)="No","No","Sí"))</f>
        <v/>
      </c>
    </row>
    <row r="2001" spans="2:24" ht="14.25">
      <c r="N2001" s="17" t="str">
        <f>IF(V2001=0,"",IFERROR(LOOKUP(2,1/(INDEX(Listado!A:A,2):INDEX(Listado!A:A,ROW())&lt;&gt;""),ROW(INDEX(Listado!A:A,2):INDEX(Listado!A:A,ROW()))),""))</f>
        <v/>
      </c>
      <c r="O2001" s="17" t="str">
        <f>IFERROR(IF(N2001="","",IF(INDEX(Listado!M:M,N2001)="No",IF(INDEX(Listado!N:N,N2001)=0,"",INDEX(Listado!N:N,N2001)),IF(INDEX(Listado!I:I,N2001)=0,"",INDEX(Listado!I:I,N2001)))),"")</f>
        <v/>
      </c>
      <c r="P2001" s="17">
        <f t="shared" ca="1" si="94"/>
        <v/>
      </c>
      <c r="Q2001" s="17">
        <f>IFERROR(IF(AND(N2001&lt;&gt;"",ISNUMBER(O2001),O2001&gt;0,O2001&gt;=TODAY()-90),1,0),0)</f>
        <v/>
      </c>
      <c r="R2001" s="17" t="str">
        <f t="shared" si="96"/>
        <v/>
      </c>
      <c r="S2001" s="17" t="str">
        <f>IF(INDEX(Listado!A:A,ROW())="","",INDEX(Listado!A:A,ROW()))</f>
        <v/>
      </c>
      <c r="T2001" s="17" t="str">
        <f ca="1">IF(INDEX(Listado!G:G,ROW())="","",INDEX(Listado!G:G,ROW()))</f>
        <v/>
      </c>
      <c r="U2001" s="17" t="str">
        <f>IF(INDEX(Listado!F:F,ROW())="","",INDEX(Listado!F:F,ROW()))</f>
        <v/>
      </c>
      <c r="V2001" s="17">
        <f>IF(COUNTA(INDEX(Listado!B:B,ROW()):INDEX(Listado!F:F,ROW()))&gt;0,1,0)</f>
        <v/>
      </c>
      <c r="W2001" s="17" t="str">
        <f>IF(INDEX(Listado!L:L,ROW())="","",INDEX(Listado!L:L,ROW()))</f>
        <v/>
      </c>
      <c r="X2001" s="17">
        <f>IF(N2001="","",IF(INDEX(Listado!$M:$M,N2001)="No","No","Sí"))</f>
        <v/>
      </c>
    </row>
    <row r="2002" spans="2:24" ht="14.25">
      <c r="N2002" s="17" t="str">
        <f>IF(V2002=0,"",IFERROR(LOOKUP(2,1/(INDEX(Listado!A:A,2):INDEX(Listado!A:A,ROW())&lt;&gt;""),ROW(INDEX(Listado!A:A,2):INDEX(Listado!A:A,ROW()))),""))</f>
        <v/>
      </c>
      <c r="O2002" s="17" t="str">
        <f>IFERROR(IF(N2002="","",IF(INDEX(Listado!M:M,N2002)="No",IF(INDEX(Listado!N:N,N2002)=0,"",INDEX(Listado!N:N,N2002)),IF(INDEX(Listado!I:I,N2002)=0,"",INDEX(Listado!I:I,N2002)))),"")</f>
        <v/>
      </c>
      <c r="P2002" s="17">
        <f t="shared" ca="1" si="94"/>
        <v/>
      </c>
      <c r="Q2002" s="17">
        <f>IFERROR(IF(AND(N2002&lt;&gt;"",ISNUMBER(O2002),O2002&gt;0,O2002&gt;=TODAY()-90),1,0),0)</f>
        <v/>
      </c>
      <c r="R2002" s="17" t="str">
        <f t="shared" si="96"/>
        <v/>
      </c>
      <c r="S2002" s="17" t="str">
        <f>IF(INDEX(Listado!A:A,ROW())="","",INDEX(Listado!A:A,ROW()))</f>
        <v/>
      </c>
      <c r="T2002" s="17" t="str">
        <f ca="1">IF(INDEX(Listado!G:G,ROW())="","",INDEX(Listado!G:G,ROW()))</f>
        <v/>
      </c>
      <c r="U2002" s="17" t="str">
        <f>IF(INDEX(Listado!F:F,ROW())="","",INDEX(Listado!F:F,ROW()))</f>
        <v/>
      </c>
      <c r="V2002" s="17">
        <f>IF(COUNTA(INDEX(Listado!B:B,ROW()):INDEX(Listado!F:F,ROW()))&gt;0,1,0)</f>
        <v/>
      </c>
      <c r="W2002" s="17" t="str">
        <f>IF(INDEX(Listado!L:L,ROW())="","",INDEX(Listado!L:L,ROW()))</f>
        <v/>
      </c>
      <c r="X2002" s="17">
        <f>IF(N2002="","",IF(INDEX(Listado!$M:$M,N2002)="No","No","Sí"))</f>
        <v/>
      </c>
    </row>
    <row r="2003" spans="2:24" ht="14.25">
      <c r="N2003" s="17" t="str">
        <f>IF(V2003=0,"",IFERROR(LOOKUP(2,1/(INDEX(Listado!A:A,2):INDEX(Listado!A:A,ROW())&lt;&gt;""),ROW(INDEX(Listado!A:A,2):INDEX(Listado!A:A,ROW()))),""))</f>
        <v/>
      </c>
      <c r="O2003" s="17" t="str">
        <f>IFERROR(IF(N2003="","",IF(INDEX(Listado!M:M,N2003)="No",IF(INDEX(Listado!N:N,N2003)=0,"",INDEX(Listado!N:N,N2003)),IF(INDEX(Listado!I:I,N2003)=0,"",INDEX(Listado!I:I,N2003)))),"")</f>
        <v/>
      </c>
      <c r="P2003" s="17">
        <f t="shared" ca="1" si="94"/>
        <v/>
      </c>
      <c r="Q2003" s="17">
        <f>IFERROR(IF(AND(N2003&lt;&gt;"",ISNUMBER(O2003),O2003&gt;0,O2003&gt;=TODAY()-90),1,0),0)</f>
        <v/>
      </c>
      <c r="R2003" s="17" t="str">
        <f t="shared" si="96"/>
        <v/>
      </c>
      <c r="S2003" s="17" t="str">
        <f>IF(INDEX(Listado!A:A,ROW())="","",INDEX(Listado!A:A,ROW()))</f>
        <v/>
      </c>
      <c r="T2003" s="17" t="str">
        <f ca="1">IF(INDEX(Listado!G:G,ROW())="","",INDEX(Listado!G:G,ROW()))</f>
        <v/>
      </c>
      <c r="U2003" s="17" t="str">
        <f>IF(INDEX(Listado!F:F,ROW())="","",INDEX(Listado!F:F,ROW()))</f>
        <v/>
      </c>
      <c r="V2003" s="17">
        <f>IF(COUNTA(INDEX(Listado!B:B,ROW()):INDEX(Listado!F:F,ROW()))&gt;0,1,0)</f>
        <v/>
      </c>
      <c r="W2003" s="17" t="str">
        <f>IF(INDEX(Listado!L:L,ROW())="","",INDEX(Listado!L:L,ROW()))</f>
        <v/>
      </c>
      <c r="X2003" s="17">
        <f>IF(N2003="","",IF(INDEX(Listado!$M:$M,N2003)="No","No","Sí"))</f>
        <v/>
      </c>
    </row>
    <row r="2004" spans="2:24" ht="14.25">
      <c r="N2004" s="17" t="str">
        <f>IF(V2004=0,"",IFERROR(LOOKUP(2,1/(INDEX(Listado!A:A,2):INDEX(Listado!A:A,ROW())&lt;&gt;""),ROW(INDEX(Listado!A:A,2):INDEX(Listado!A:A,ROW()))),""))</f>
        <v/>
      </c>
      <c r="O2004" s="17" t="str">
        <f>IFERROR(IF(N2004="","",IF(INDEX(Listado!M:M,N2004)="No",IF(INDEX(Listado!N:N,N2004)=0,"",INDEX(Listado!N:N,N2004)),IF(INDEX(Listado!I:I,N2004)=0,"",INDEX(Listado!I:I,N2004)))),"")</f>
        <v/>
      </c>
      <c r="P2004" s="17">
        <f t="shared" ca="1" si="94"/>
        <v/>
      </c>
      <c r="Q2004" s="17">
        <f>IFERROR(IF(AND(N2004&lt;&gt;"",ISNUMBER(O2004),O2004&gt;0,O2004&gt;=TODAY()-90),1,0),0)</f>
        <v/>
      </c>
      <c r="R2004" s="17" t="str">
        <f t="shared" si="96"/>
        <v/>
      </c>
      <c r="S2004" s="17" t="str">
        <f>IF(INDEX(Listado!A:A,ROW())="","",INDEX(Listado!A:A,ROW()))</f>
        <v/>
      </c>
      <c r="T2004" s="17" t="str">
        <f ca="1">IF(INDEX(Listado!G:G,ROW())="","",INDEX(Listado!G:G,ROW()))</f>
        <v/>
      </c>
      <c r="U2004" s="17" t="str">
        <f>IF(INDEX(Listado!F:F,ROW())="","",INDEX(Listado!F:F,ROW()))</f>
        <v/>
      </c>
      <c r="V2004" s="17">
        <f>IF(COUNTA(INDEX(Listado!B:B,ROW()):INDEX(Listado!F:F,ROW()))&gt;0,1,0)</f>
        <v/>
      </c>
      <c r="W2004" s="17" t="str">
        <f>IF(INDEX(Listado!L:L,ROW())="","",INDEX(Listado!L:L,ROW()))</f>
        <v/>
      </c>
      <c r="X2004" s="17">
        <f>IF(N2004="","",IF(INDEX(Listado!$M:$M,N2004)="No","No","Sí"))</f>
        <v/>
      </c>
    </row>
    <row r="2005" spans="2:24" ht="14.25">
      <c r="N2005" s="17" t="str">
        <f>IF(V2005=0,"",IFERROR(LOOKUP(2,1/(INDEX(Listado!A:A,2):INDEX(Listado!A:A,ROW())&lt;&gt;""),ROW(INDEX(Listado!A:A,2):INDEX(Listado!A:A,ROW()))),""))</f>
        <v/>
      </c>
      <c r="O2005" s="17" t="str">
        <f>IFERROR(IF(N2005="","",IF(INDEX(Listado!M:M,N2005)="No",IF(INDEX(Listado!N:N,N2005)=0,"",INDEX(Listado!N:N,N2005)),IF(INDEX(Listado!I:I,N2005)=0,"",INDEX(Listado!I:I,N2005)))),"")</f>
        <v/>
      </c>
      <c r="P2005" s="17">
        <f t="shared" ca="1" si="94"/>
        <v/>
      </c>
      <c r="Q2005" s="17">
        <f>IFERROR(IF(AND(N2005&lt;&gt;"",ISNUMBER(O2005),O2005&gt;0,O2005&gt;=TODAY()-90),1,0),0)</f>
        <v/>
      </c>
      <c r="R2005" s="17" t="str">
        <f t="shared" si="96"/>
        <v/>
      </c>
      <c r="S2005" s="17" t="str">
        <f>IF(INDEX(Listado!A:A,ROW())="","",INDEX(Listado!A:A,ROW()))</f>
        <v/>
      </c>
      <c r="T2005" s="17" t="str">
        <f ca="1">IF(INDEX(Listado!G:G,ROW())="","",INDEX(Listado!G:G,ROW()))</f>
        <v/>
      </c>
      <c r="U2005" s="17" t="str">
        <f>IF(INDEX(Listado!F:F,ROW())="","",INDEX(Listado!F:F,ROW()))</f>
        <v/>
      </c>
      <c r="V2005" s="17">
        <f>IF(COUNTA(INDEX(Listado!B:B,ROW()):INDEX(Listado!F:F,ROW()))&gt;0,1,0)</f>
        <v/>
      </c>
      <c r="W2005" s="17" t="str">
        <f>IF(INDEX(Listado!L:L,ROW())="","",INDEX(Listado!L:L,ROW()))</f>
        <v/>
      </c>
      <c r="X2005" s="17">
        <f>IF(N2005="","",IF(INDEX(Listado!$M:$M,N2005)="No","No","Sí"))</f>
        <v/>
      </c>
    </row>
    <row r="2006" spans="2:24" ht="14.25">
      <c r="N2006" s="17" t="str">
        <f>IF(V2006=0,"",IFERROR(LOOKUP(2,1/(INDEX(Listado!A:A,2):INDEX(Listado!A:A,ROW())&lt;&gt;""),ROW(INDEX(Listado!A:A,2):INDEX(Listado!A:A,ROW()))),""))</f>
        <v/>
      </c>
      <c r="O2006" s="17" t="str">
        <f>IFERROR(IF(N2006="","",IF(INDEX(Listado!M:M,N2006)="No",IF(INDEX(Listado!N:N,N2006)=0,"",INDEX(Listado!N:N,N2006)),IF(INDEX(Listado!I:I,N2006)=0,"",INDEX(Listado!I:I,N2006)))),"")</f>
        <v/>
      </c>
      <c r="P2006" s="17">
        <f t="shared" ca="1" si="94"/>
        <v/>
      </c>
      <c r="Q2006" s="17">
        <f>IFERROR(IF(AND(N2006&lt;&gt;"",ISNUMBER(O2006),O2006&gt;0,O2006&gt;=TODAY()-90),1,0),0)</f>
        <v/>
      </c>
      <c r="R2006" s="17" t="str">
        <f t="shared" si="96"/>
        <v/>
      </c>
      <c r="S2006" s="17" t="str">
        <f>IF(INDEX(Listado!A:A,ROW())="","",INDEX(Listado!A:A,ROW()))</f>
        <v/>
      </c>
      <c r="T2006" s="17" t="str">
        <f ca="1">IF(INDEX(Listado!G:G,ROW())="","",INDEX(Listado!G:G,ROW()))</f>
        <v/>
      </c>
      <c r="U2006" s="17" t="str">
        <f>IF(INDEX(Listado!F:F,ROW())="","",INDEX(Listado!F:F,ROW()))</f>
        <v/>
      </c>
      <c r="V2006" s="17">
        <f>IF(COUNTA(INDEX(Listado!B:B,ROW()):INDEX(Listado!F:F,ROW()))&gt;0,1,0)</f>
        <v/>
      </c>
      <c r="W2006" s="17" t="str">
        <f>IF(INDEX(Listado!L:L,ROW())="","",INDEX(Listado!L:L,ROW()))</f>
        <v/>
      </c>
      <c r="X2006" s="17">
        <f>IF(N2006="","",IF(INDEX(Listado!$M:$M,N2006)="No","No","Sí"))</f>
        <v/>
      </c>
    </row>
    <row r="2007" spans="2:24" ht="14.25">
      <c r="N2007" s="17" t="str">
        <f>IF(V2007=0,"",IFERROR(LOOKUP(2,1/(INDEX(Listado!A:A,2):INDEX(Listado!A:A,ROW())&lt;&gt;""),ROW(INDEX(Listado!A:A,2):INDEX(Listado!A:A,ROW()))),""))</f>
        <v/>
      </c>
      <c r="O2007" s="17" t="str">
        <f>IFERROR(IF(N2007="","",IF(INDEX(Listado!M:M,N2007)="No",IF(INDEX(Listado!N:N,N2007)=0,"",INDEX(Listado!N:N,N2007)),IF(INDEX(Listado!I:I,N2007)=0,"",INDEX(Listado!I:I,N2007)))),"")</f>
        <v/>
      </c>
      <c r="P2007" s="17">
        <f t="shared" ca="1" si="94"/>
        <v/>
      </c>
      <c r="Q2007" s="17">
        <f>IFERROR(IF(AND(N2007&lt;&gt;"",ISNUMBER(O2007),O2007&gt;0,O2007&gt;=TODAY()-90),1,0),0)</f>
        <v/>
      </c>
      <c r="R2007" s="17" t="str">
        <f t="shared" si="96"/>
        <v/>
      </c>
      <c r="S2007" s="17" t="str">
        <f>IF(INDEX(Listado!A:A,ROW())="","",INDEX(Listado!A:A,ROW()))</f>
        <v/>
      </c>
      <c r="T2007" s="17" t="str">
        <f ca="1">IF(INDEX(Listado!G:G,ROW())="","",INDEX(Listado!G:G,ROW()))</f>
        <v/>
      </c>
      <c r="U2007" s="17" t="str">
        <f>IF(INDEX(Listado!F:F,ROW())="","",INDEX(Listado!F:F,ROW()))</f>
        <v/>
      </c>
      <c r="V2007" s="17">
        <f>IF(COUNTA(INDEX(Listado!B:B,ROW()):INDEX(Listado!F:F,ROW()))&gt;0,1,0)</f>
        <v/>
      </c>
      <c r="W2007" s="17" t="str">
        <f>IF(INDEX(Listado!L:L,ROW())="","",INDEX(Listado!L:L,ROW()))</f>
        <v/>
      </c>
      <c r="X2007" s="17">
        <f>IF(N2007="","",IF(INDEX(Listado!$M:$M,N2007)="No","No","Sí"))</f>
        <v/>
      </c>
    </row>
    <row r="2008" spans="2:24" ht="14.25">
      <c r="N2008" s="17" t="str">
        <f>IF(V2008=0,"",IFERROR(LOOKUP(2,1/(INDEX(Listado!A:A,2):INDEX(Listado!A:A,ROW())&lt;&gt;""),ROW(INDEX(Listado!A:A,2):INDEX(Listado!A:A,ROW()))),""))</f>
        <v/>
      </c>
      <c r="O2008" s="17" t="str">
        <f>IFERROR(IF(N2008="","",IF(INDEX(Listado!M:M,N2008)="No",IF(INDEX(Listado!N:N,N2008)=0,"",INDEX(Listado!N:N,N2008)),IF(INDEX(Listado!I:I,N2008)=0,"",INDEX(Listado!I:I,N2008)))),"")</f>
        <v/>
      </c>
      <c r="P2008" s="17">
        <f t="shared" ca="1" si="94"/>
        <v/>
      </c>
      <c r="Q2008" s="17">
        <f>IFERROR(IF(AND(N2008&lt;&gt;"",ISNUMBER(O2008),O2008&gt;0,O2008&gt;=TODAY()-90),1,0),0)</f>
        <v/>
      </c>
      <c r="R2008" s="17" t="str">
        <f t="shared" si="96"/>
        <v/>
      </c>
      <c r="S2008" s="17" t="str">
        <f>IF(INDEX(Listado!A:A,ROW())="","",INDEX(Listado!A:A,ROW()))</f>
        <v/>
      </c>
      <c r="T2008" s="17" t="str">
        <f ca="1">IF(INDEX(Listado!G:G,ROW())="","",INDEX(Listado!G:G,ROW()))</f>
        <v/>
      </c>
      <c r="U2008" s="17" t="str">
        <f>IF(INDEX(Listado!F:F,ROW())="","",INDEX(Listado!F:F,ROW()))</f>
        <v/>
      </c>
      <c r="V2008" s="17">
        <f>IF(COUNTA(INDEX(Listado!B:B,ROW()):INDEX(Listado!F:F,ROW()))&gt;0,1,0)</f>
        <v/>
      </c>
      <c r="W2008" s="17" t="str">
        <f>IF(INDEX(Listado!L:L,ROW())="","",INDEX(Listado!L:L,ROW()))</f>
        <v/>
      </c>
      <c r="X2008" s="17">
        <f>IF(N2008="","",IF(INDEX(Listado!$M:$M,N2008)="No","No","Sí"))</f>
        <v/>
      </c>
    </row>
    <row r="2009" spans="2:24" ht="14.25">
      <c r="N2009" s="17" t="str">
        <f>IF(V2009=0,"",IFERROR(LOOKUP(2,1/(INDEX(Listado!A:A,2):INDEX(Listado!A:A,ROW())&lt;&gt;""),ROW(INDEX(Listado!A:A,2):INDEX(Listado!A:A,ROW()))),""))</f>
        <v/>
      </c>
      <c r="O2009" s="17" t="str">
        <f>IFERROR(IF(N2009="","",IF(INDEX(Listado!M:M,N2009)="No",IF(INDEX(Listado!N:N,N2009)=0,"",INDEX(Listado!N:N,N2009)),IF(INDEX(Listado!I:I,N2009)=0,"",INDEX(Listado!I:I,N2009)))),"")</f>
        <v/>
      </c>
      <c r="P2009" s="17">
        <f t="shared" ca="1" si="94"/>
        <v/>
      </c>
      <c r="Q2009" s="17">
        <f>IFERROR(IF(AND(N2009&lt;&gt;"",ISNUMBER(O2009),O2009&gt;0,O2009&gt;=TODAY()-90),1,0),0)</f>
        <v/>
      </c>
      <c r="R2009" s="17" t="str">
        <f t="shared" si="96"/>
        <v/>
      </c>
      <c r="S2009" s="17" t="str">
        <f>IF(INDEX(Listado!A:A,ROW())="","",INDEX(Listado!A:A,ROW()))</f>
        <v/>
      </c>
      <c r="T2009" s="17" t="str">
        <f ca="1">IF(INDEX(Listado!G:G,ROW())="","",INDEX(Listado!G:G,ROW()))</f>
        <v/>
      </c>
      <c r="U2009" s="17" t="str">
        <f>IF(INDEX(Listado!F:F,ROW())="","",INDEX(Listado!F:F,ROW()))</f>
        <v/>
      </c>
      <c r="V2009" s="17">
        <f>IF(COUNTA(INDEX(Listado!B:B,ROW()):INDEX(Listado!F:F,ROW()))&gt;0,1,0)</f>
        <v/>
      </c>
      <c r="W2009" s="17" t="str">
        <f>IF(INDEX(Listado!L:L,ROW())="","",INDEX(Listado!L:L,ROW()))</f>
        <v/>
      </c>
      <c r="X2009" s="17">
        <f>IF(N2009="","",IF(INDEX(Listado!$M:$M,N2009)="No","No","Sí"))</f>
        <v/>
      </c>
    </row>
    <row r="2010" spans="2:24" ht="14.25">
      <c r="N2010" s="17" t="str">
        <f>IF(V2010=0,"",IFERROR(LOOKUP(2,1/(INDEX(Listado!A:A,2):INDEX(Listado!A:A,ROW())&lt;&gt;""),ROW(INDEX(Listado!A:A,2):INDEX(Listado!A:A,ROW()))),""))</f>
        <v/>
      </c>
      <c r="O2010" s="17" t="str">
        <f>IFERROR(IF(N2010="","",IF(INDEX(Listado!M:M,N2010)="No",IF(INDEX(Listado!N:N,N2010)=0,"",INDEX(Listado!N:N,N2010)),IF(INDEX(Listado!I:I,N2010)=0,"",INDEX(Listado!I:I,N2010)))),"")</f>
        <v/>
      </c>
      <c r="P2010" s="17">
        <f t="shared" ca="1" si="94"/>
        <v/>
      </c>
      <c r="Q2010" s="17">
        <f>IFERROR(IF(AND(N2010&lt;&gt;"",ISNUMBER(O2010),O2010&gt;0,O2010&gt;=TODAY()-90),1,0),0)</f>
        <v/>
      </c>
      <c r="R2010" s="17" t="str">
        <f t="shared" si="96"/>
        <v/>
      </c>
      <c r="S2010" s="17" t="str">
        <f>IF(INDEX(Listado!A:A,ROW())="","",INDEX(Listado!A:A,ROW()))</f>
        <v/>
      </c>
      <c r="T2010" s="17" t="str">
        <f ca="1">IF(INDEX(Listado!G:G,ROW())="","",INDEX(Listado!G:G,ROW()))</f>
        <v/>
      </c>
      <c r="U2010" s="17" t="str">
        <f>IF(INDEX(Listado!F:F,ROW())="","",INDEX(Listado!F:F,ROW()))</f>
        <v/>
      </c>
      <c r="V2010" s="17">
        <f>IF(COUNTA(INDEX(Listado!B:B,ROW()):INDEX(Listado!F:F,ROW()))&gt;0,1,0)</f>
        <v/>
      </c>
      <c r="W2010" s="17" t="str">
        <f>IF(INDEX(Listado!L:L,ROW())="","",INDEX(Listado!L:L,ROW()))</f>
        <v/>
      </c>
      <c r="X2010" s="17">
        <f>IF(N2010="","",IF(INDEX(Listado!$M:$M,N2010)="No","No","Sí"))</f>
        <v/>
      </c>
    </row>
    <row r="2011" spans="2:24" ht="14.25">
      <c r="N2011" s="17" t="str">
        <f>IF(V2011=0,"",IFERROR(LOOKUP(2,1/(INDEX(Listado!A:A,2):INDEX(Listado!A:A,ROW())&lt;&gt;""),ROW(INDEX(Listado!A:A,2):INDEX(Listado!A:A,ROW()))),""))</f>
        <v/>
      </c>
      <c r="O2011" s="17" t="str">
        <f>IFERROR(IF(N2011="","",IF(INDEX(Listado!M:M,N2011)="No",IF(INDEX(Listado!N:N,N2011)=0,"",INDEX(Listado!N:N,N2011)),IF(INDEX(Listado!I:I,N2011)=0,"",INDEX(Listado!I:I,N2011)))),"")</f>
        <v/>
      </c>
      <c r="P2011" s="17">
        <f t="shared" ca="1" si="94"/>
        <v/>
      </c>
      <c r="Q2011" s="17">
        <f>IFERROR(IF(AND(N2011&lt;&gt;"",ISNUMBER(O2011),O2011&gt;0,O2011&gt;=TODAY()-90),1,0),0)</f>
        <v/>
      </c>
      <c r="R2011" s="17" t="str">
        <f t="shared" si="96"/>
        <v/>
      </c>
      <c r="S2011" s="17" t="str">
        <f>IF(INDEX(Listado!A:A,ROW())="","",INDEX(Listado!A:A,ROW()))</f>
        <v/>
      </c>
      <c r="T2011" s="17" t="str">
        <f ca="1">IF(INDEX(Listado!G:G,ROW())="","",INDEX(Listado!G:G,ROW()))</f>
        <v/>
      </c>
      <c r="U2011" s="17" t="str">
        <f>IF(INDEX(Listado!F:F,ROW())="","",INDEX(Listado!F:F,ROW()))</f>
        <v/>
      </c>
      <c r="V2011" s="17">
        <f>IF(COUNTA(INDEX(Listado!B:B,ROW()):INDEX(Listado!F:F,ROW()))&gt;0,1,0)</f>
        <v/>
      </c>
      <c r="W2011" s="17" t="str">
        <f>IF(INDEX(Listado!L:L,ROW())="","",INDEX(Listado!L:L,ROW()))</f>
        <v/>
      </c>
      <c r="X2011" s="17">
        <f>IF(N2011="","",IF(INDEX(Listado!$M:$M,N2011)="No","No","Sí"))</f>
        <v/>
      </c>
    </row>
    <row r="2012" spans="2:24" ht="14.25">
      <c r="N2012" s="17" t="str">
        <f>IF(V2012=0,"",IFERROR(LOOKUP(2,1/(INDEX(Listado!A:A,2):INDEX(Listado!A:A,ROW())&lt;&gt;""),ROW(INDEX(Listado!A:A,2):INDEX(Listado!A:A,ROW()))),""))</f>
        <v/>
      </c>
      <c r="O2012" s="17" t="str">
        <f>IFERROR(IF(N2012="","",IF(INDEX(Listado!M:M,N2012)="No",IF(INDEX(Listado!N:N,N2012)=0,"",INDEX(Listado!N:N,N2012)),IF(INDEX(Listado!I:I,N2012)=0,"",INDEX(Listado!I:I,N2012)))),"")</f>
        <v/>
      </c>
      <c r="P2012" s="17">
        <f t="shared" ca="1" si="94"/>
        <v/>
      </c>
      <c r="Q2012" s="17">
        <f>IFERROR(IF(AND(N2012&lt;&gt;"",ISNUMBER(O2012),O2012&gt;0,O2012&gt;=TODAY()-90),1,0),0)</f>
        <v/>
      </c>
      <c r="R2012" s="17" t="str">
        <f t="shared" si="96"/>
        <v/>
      </c>
      <c r="S2012" s="17" t="str">
        <f>IF(INDEX(Listado!A:A,ROW())="","",INDEX(Listado!A:A,ROW()))</f>
        <v/>
      </c>
      <c r="T2012" s="17" t="str">
        <f ca="1">IF(INDEX(Listado!G:G,ROW())="","",INDEX(Listado!G:G,ROW()))</f>
        <v/>
      </c>
      <c r="U2012" s="17" t="str">
        <f>IF(INDEX(Listado!F:F,ROW())="","",INDEX(Listado!F:F,ROW()))</f>
        <v/>
      </c>
      <c r="V2012" s="17">
        <f>IF(COUNTA(INDEX(Listado!B:B,ROW()):INDEX(Listado!F:F,ROW()))&gt;0,1,0)</f>
        <v/>
      </c>
      <c r="W2012" s="17" t="str">
        <f>IF(INDEX(Listado!L:L,ROW())="","",INDEX(Listado!L:L,ROW()))</f>
        <v/>
      </c>
      <c r="X2012" s="17">
        <f>IF(N2012="","",IF(INDEX(Listado!$M:$M,N2012)="No","No","Sí"))</f>
        <v/>
      </c>
    </row>
    <row r="2013" spans="2:24" ht="14.25">
      <c r="N2013" s="17" t="str">
        <f>IF(V2013=0,"",IFERROR(LOOKUP(2,1/(INDEX(Listado!A:A,2):INDEX(Listado!A:A,ROW())&lt;&gt;""),ROW(INDEX(Listado!A:A,2):INDEX(Listado!A:A,ROW()))),""))</f>
        <v/>
      </c>
      <c r="O2013" s="17" t="str">
        <f>IFERROR(IF(N2013="","",IF(INDEX(Listado!M:M,N2013)="No",IF(INDEX(Listado!N:N,N2013)=0,"",INDEX(Listado!N:N,N2013)),IF(INDEX(Listado!I:I,N2013)=0,"",INDEX(Listado!I:I,N2013)))),"")</f>
        <v/>
      </c>
      <c r="P2013" s="17">
        <f t="shared" ca="1" si="94"/>
        <v/>
      </c>
      <c r="Q2013" s="17">
        <f>IFERROR(IF(AND(N2013&lt;&gt;"",ISNUMBER(O2013),O2013&gt;0,O2013&gt;=TODAY()-90),1,0),0)</f>
        <v/>
      </c>
      <c r="R2013" s="17" t="str">
        <f t="shared" si="96"/>
        <v/>
      </c>
      <c r="S2013" s="17" t="str">
        <f>IF(INDEX(Listado!A:A,ROW())="","",INDEX(Listado!A:A,ROW()))</f>
        <v/>
      </c>
      <c r="T2013" s="17" t="str">
        <f ca="1">IF(INDEX(Listado!G:G,ROW())="","",INDEX(Listado!G:G,ROW()))</f>
        <v/>
      </c>
      <c r="U2013" s="17" t="str">
        <f>IF(INDEX(Listado!F:F,ROW())="","",INDEX(Listado!F:F,ROW()))</f>
        <v/>
      </c>
      <c r="V2013" s="17">
        <f>IF(COUNTA(INDEX(Listado!B:B,ROW()):INDEX(Listado!F:F,ROW()))&gt;0,1,0)</f>
        <v/>
      </c>
      <c r="W2013" s="17" t="str">
        <f>IF(INDEX(Listado!L:L,ROW())="","",INDEX(Listado!L:L,ROW()))</f>
        <v/>
      </c>
      <c r="X2013" s="17">
        <f>IF(N2013="","",IF(INDEX(Listado!$M:$M,N2013)="No","No","Sí"))</f>
        <v/>
      </c>
    </row>
    <row r="2014" spans="2:24" ht="14.25">
      <c r="N2014" s="17" t="str">
        <f>IF(V2014=0,"",IFERROR(LOOKUP(2,1/(INDEX(Listado!A:A,2):INDEX(Listado!A:A,ROW())&lt;&gt;""),ROW(INDEX(Listado!A:A,2):INDEX(Listado!A:A,ROW()))),""))</f>
        <v/>
      </c>
      <c r="O2014" s="17" t="str">
        <f>IFERROR(IF(N2014="","",IF(INDEX(Listado!M:M,N2014)="No",IF(INDEX(Listado!N:N,N2014)=0,"",INDEX(Listado!N:N,N2014)),IF(INDEX(Listado!I:I,N2014)=0,"",INDEX(Listado!I:I,N2014)))),"")</f>
        <v/>
      </c>
      <c r="P2014" s="17">
        <f t="shared" ca="1" si="94"/>
        <v/>
      </c>
      <c r="Q2014" s="17">
        <f>IFERROR(IF(AND(N2014&lt;&gt;"",ISNUMBER(O2014),O2014&gt;0,O2014&gt;=TODAY()-90),1,0),0)</f>
        <v/>
      </c>
      <c r="R2014" s="17" t="str">
        <f t="shared" si="96"/>
        <v/>
      </c>
      <c r="S2014" s="17" t="str">
        <f>IF(INDEX(Listado!A:A,ROW())="","",INDEX(Listado!A:A,ROW()))</f>
        <v/>
      </c>
      <c r="T2014" s="17" t="str">
        <f ca="1">IF(INDEX(Listado!G:G,ROW())="","",INDEX(Listado!G:G,ROW()))</f>
        <v/>
      </c>
      <c r="U2014" s="17" t="str">
        <f>IF(INDEX(Listado!F:F,ROW())="","",INDEX(Listado!F:F,ROW()))</f>
        <v/>
      </c>
      <c r="V2014" s="17">
        <f>IF(COUNTA(INDEX(Listado!B:B,ROW()):INDEX(Listado!F:F,ROW()))&gt;0,1,0)</f>
        <v/>
      </c>
      <c r="W2014" s="17" t="str">
        <f>IF(INDEX(Listado!L:L,ROW())="","",INDEX(Listado!L:L,ROW()))</f>
        <v/>
      </c>
      <c r="X2014" s="17">
        <f>IF(N2014="","",IF(INDEX(Listado!$M:$M,N2014)="No","No","Sí"))</f>
        <v/>
      </c>
    </row>
    <row r="2015" spans="2:24" ht="14.25">
      <c r="N2015" s="17" t="str">
        <f>IF(V2015=0,"",IFERROR(LOOKUP(2,1/(INDEX(Listado!A:A,2):INDEX(Listado!A:A,ROW())&lt;&gt;""),ROW(INDEX(Listado!A:A,2):INDEX(Listado!A:A,ROW()))),""))</f>
        <v/>
      </c>
      <c r="O2015" s="17" t="str">
        <f>IFERROR(IF(N2015="","",IF(INDEX(Listado!M:M,N2015)="No",IF(INDEX(Listado!N:N,N2015)=0,"",INDEX(Listado!N:N,N2015)),IF(INDEX(Listado!I:I,N2015)=0,"",INDEX(Listado!I:I,N2015)))),"")</f>
        <v/>
      </c>
      <c r="P2015" s="17">
        <f t="shared" ca="1" si="94"/>
        <v/>
      </c>
      <c r="Q2015" s="17">
        <f>IFERROR(IF(AND(N2015&lt;&gt;"",ISNUMBER(O2015),O2015&gt;0,O2015&gt;=TODAY()-90),1,0),0)</f>
        <v/>
      </c>
      <c r="R2015" s="17" t="str">
        <f t="shared" si="96"/>
        <v/>
      </c>
      <c r="S2015" s="17" t="str">
        <f>IF(INDEX(Listado!A:A,ROW())="","",INDEX(Listado!A:A,ROW()))</f>
        <v/>
      </c>
      <c r="T2015" s="17" t="str">
        <f ca="1">IF(INDEX(Listado!G:G,ROW())="","",INDEX(Listado!G:G,ROW()))</f>
        <v/>
      </c>
      <c r="U2015" s="17" t="str">
        <f>IF(INDEX(Listado!F:F,ROW())="","",INDEX(Listado!F:F,ROW()))</f>
        <v/>
      </c>
      <c r="V2015" s="17">
        <f>IF(COUNTA(INDEX(Listado!B:B,ROW()):INDEX(Listado!F:F,ROW()))&gt;0,1,0)</f>
        <v/>
      </c>
      <c r="W2015" s="17" t="str">
        <f>IF(INDEX(Listado!L:L,ROW())="","",INDEX(Listado!L:L,ROW()))</f>
        <v/>
      </c>
      <c r="X2015" s="17">
        <f>IF(N2015="","",IF(INDEX(Listado!$M:$M,N2015)="No","No","Sí"))</f>
        <v/>
      </c>
    </row>
    <row r="2016" spans="2:24" ht="14.25">
      <c r="N2016" s="17" t="str">
        <f>IF(V2016=0,"",IFERROR(LOOKUP(2,1/(INDEX(Listado!A:A,2):INDEX(Listado!A:A,ROW())&lt;&gt;""),ROW(INDEX(Listado!A:A,2):INDEX(Listado!A:A,ROW()))),""))</f>
        <v/>
      </c>
      <c r="O2016" s="17" t="str">
        <f>IFERROR(IF(N2016="","",IF(INDEX(Listado!M:M,N2016)="No",IF(INDEX(Listado!N:N,N2016)=0,"",INDEX(Listado!N:N,N2016)),IF(INDEX(Listado!I:I,N2016)=0,"",INDEX(Listado!I:I,N2016)))),"")</f>
        <v/>
      </c>
      <c r="P2016" s="17">
        <f t="shared" ca="1" si="94"/>
        <v/>
      </c>
      <c r="Q2016" s="17">
        <f>IFERROR(IF(AND(N2016&lt;&gt;"",ISNUMBER(O2016),O2016&gt;0,O2016&gt;=TODAY()-90),1,0),0)</f>
        <v/>
      </c>
      <c r="R2016" s="17" t="str">
        <f t="shared" si="96"/>
        <v/>
      </c>
      <c r="S2016" s="17" t="str">
        <f>IF(INDEX(Listado!A:A,ROW())="","",INDEX(Listado!A:A,ROW()))</f>
        <v/>
      </c>
      <c r="T2016" s="17" t="str">
        <f ca="1">IF(INDEX(Listado!G:G,ROW())="","",INDEX(Listado!G:G,ROW()))</f>
        <v/>
      </c>
      <c r="U2016" s="17" t="str">
        <f>IF(INDEX(Listado!F:F,ROW())="","",INDEX(Listado!F:F,ROW()))</f>
        <v/>
      </c>
      <c r="V2016" s="17">
        <f>IF(COUNTA(INDEX(Listado!B:B,ROW()):INDEX(Listado!F:F,ROW()))&gt;0,1,0)</f>
        <v/>
      </c>
      <c r="W2016" s="17" t="str">
        <f>IF(INDEX(Listado!L:L,ROW())="","",INDEX(Listado!L:L,ROW()))</f>
        <v/>
      </c>
      <c r="X2016" s="17">
        <f>IF(N2016="","",IF(INDEX(Listado!$M:$M,N2016)="No","No","Sí"))</f>
        <v/>
      </c>
    </row>
    <row r="2017" spans="2:24" ht="14.25">
      <c r="N2017" s="17" t="str">
        <f>IF(V2017=0,"",IFERROR(LOOKUP(2,1/(INDEX(Listado!A:A,2):INDEX(Listado!A:A,ROW())&lt;&gt;""),ROW(INDEX(Listado!A:A,2):INDEX(Listado!A:A,ROW()))),""))</f>
        <v/>
      </c>
      <c r="O2017" s="17" t="str">
        <f>IFERROR(IF(N2017="","",IF(INDEX(Listado!M:M,N2017)="No",IF(INDEX(Listado!N:N,N2017)=0,"",INDEX(Listado!N:N,N2017)),IF(INDEX(Listado!I:I,N2017)=0,"",INDEX(Listado!I:I,N2017)))),"")</f>
        <v/>
      </c>
      <c r="P2017" s="17">
        <f t="shared" ca="1" si="94"/>
        <v/>
      </c>
      <c r="Q2017" s="17">
        <f>IFERROR(IF(AND(N2017&lt;&gt;"",ISNUMBER(O2017),O2017&gt;0,O2017&gt;=TODAY()-90),1,0),0)</f>
        <v/>
      </c>
      <c r="R2017" s="17" t="str">
        <f t="shared" si="96"/>
        <v/>
      </c>
      <c r="S2017" s="17" t="str">
        <f>IF(INDEX(Listado!A:A,ROW())="","",INDEX(Listado!A:A,ROW()))</f>
        <v/>
      </c>
      <c r="T2017" s="17" t="str">
        <f ca="1">IF(INDEX(Listado!G:G,ROW())="","",INDEX(Listado!G:G,ROW()))</f>
        <v/>
      </c>
      <c r="U2017" s="17" t="str">
        <f>IF(INDEX(Listado!F:F,ROW())="","",INDEX(Listado!F:F,ROW()))</f>
        <v/>
      </c>
      <c r="V2017" s="17">
        <f>IF(COUNTA(INDEX(Listado!B:B,ROW()):INDEX(Listado!F:F,ROW()))&gt;0,1,0)</f>
        <v/>
      </c>
      <c r="W2017" s="17" t="str">
        <f>IF(INDEX(Listado!L:L,ROW())="","",INDEX(Listado!L:L,ROW()))</f>
        <v/>
      </c>
      <c r="X2017" s="17">
        <f>IF(N2017="","",IF(INDEX(Listado!$M:$M,N2017)="No","No","Sí"))</f>
        <v/>
      </c>
    </row>
    <row r="2018" spans="2:24" ht="14.25">
      <c r="N2018" s="17" t="str">
        <f>IF(V2018=0,"",IFERROR(LOOKUP(2,1/(INDEX(Listado!A:A,2):INDEX(Listado!A:A,ROW())&lt;&gt;""),ROW(INDEX(Listado!A:A,2):INDEX(Listado!A:A,ROW()))),""))</f>
        <v/>
      </c>
      <c r="O2018" s="17" t="str">
        <f>IFERROR(IF(N2018="","",IF(INDEX(Listado!M:M,N2018)="No",IF(INDEX(Listado!N:N,N2018)=0,"",INDEX(Listado!N:N,N2018)),IF(INDEX(Listado!I:I,N2018)=0,"",INDEX(Listado!I:I,N2018)))),"")</f>
        <v/>
      </c>
      <c r="P2018" s="17">
        <f t="shared" ca="1" si="94"/>
        <v/>
      </c>
      <c r="Q2018" s="17">
        <f>IFERROR(IF(AND(N2018&lt;&gt;"",ISNUMBER(O2018),O2018&gt;0,O2018&gt;=TODAY()-90),1,0),0)</f>
        <v/>
      </c>
      <c r="R2018" s="17" t="str">
        <f t="shared" si="96"/>
        <v/>
      </c>
      <c r="S2018" s="17" t="str">
        <f>IF(INDEX(Listado!A:A,ROW())="","",INDEX(Listado!A:A,ROW()))</f>
        <v/>
      </c>
      <c r="T2018" s="17" t="str">
        <f ca="1">IF(INDEX(Listado!G:G,ROW())="","",INDEX(Listado!G:G,ROW()))</f>
        <v/>
      </c>
      <c r="U2018" s="17" t="str">
        <f>IF(INDEX(Listado!F:F,ROW())="","",INDEX(Listado!F:F,ROW()))</f>
        <v/>
      </c>
      <c r="V2018" s="17">
        <f>IF(COUNTA(INDEX(Listado!B:B,ROW()):INDEX(Listado!F:F,ROW()))&gt;0,1,0)</f>
        <v/>
      </c>
      <c r="W2018" s="17" t="str">
        <f>IF(INDEX(Listado!L:L,ROW())="","",INDEX(Listado!L:L,ROW()))</f>
        <v/>
      </c>
      <c r="X2018" s="17">
        <f>IF(N2018="","",IF(INDEX(Listado!$M:$M,N2018)="No","No","Sí"))</f>
        <v/>
      </c>
    </row>
    <row r="2019" spans="2:24" ht="14.25">
      <c r="N2019" s="17" t="str">
        <f>IF(V2019=0,"",IFERROR(LOOKUP(2,1/(INDEX(Listado!A:A,2):INDEX(Listado!A:A,ROW())&lt;&gt;""),ROW(INDEX(Listado!A:A,2):INDEX(Listado!A:A,ROW()))),""))</f>
        <v/>
      </c>
      <c r="O2019" s="17" t="str">
        <f>IFERROR(IF(N2019="","",IF(INDEX(Listado!M:M,N2019)="No",IF(INDEX(Listado!N:N,N2019)=0,"",INDEX(Listado!N:N,N2019)),IF(INDEX(Listado!I:I,N2019)=0,"",INDEX(Listado!I:I,N2019)))),"")</f>
        <v/>
      </c>
      <c r="P2019" s="17">
        <f t="shared" ca="1" si="94"/>
        <v/>
      </c>
      <c r="Q2019" s="17">
        <f>IFERROR(IF(AND(N2019&lt;&gt;"",ISNUMBER(O2019),O2019&gt;0,O2019&gt;=TODAY()-90),1,0),0)</f>
        <v/>
      </c>
      <c r="R2019" s="17" t="str">
        <f t="shared" si="96"/>
        <v/>
      </c>
      <c r="S2019" s="17" t="str">
        <f>IF(INDEX(Listado!A:A,ROW())="","",INDEX(Listado!A:A,ROW()))</f>
        <v/>
      </c>
      <c r="T2019" s="17" t="str">
        <f ca="1">IF(INDEX(Listado!G:G,ROW())="","",INDEX(Listado!G:G,ROW()))</f>
        <v/>
      </c>
      <c r="U2019" s="17" t="str">
        <f>IF(INDEX(Listado!F:F,ROW())="","",INDEX(Listado!F:F,ROW()))</f>
        <v/>
      </c>
      <c r="V2019" s="17">
        <f>IF(COUNTA(INDEX(Listado!B:B,ROW()):INDEX(Listado!F:F,ROW()))&gt;0,1,0)</f>
        <v/>
      </c>
      <c r="W2019" s="17" t="str">
        <f>IF(INDEX(Listado!L:L,ROW())="","",INDEX(Listado!L:L,ROW()))</f>
        <v/>
      </c>
      <c r="X2019" s="17">
        <f>IF(N2019="","",IF(INDEX(Listado!$M:$M,N2019)="No","No","Sí"))</f>
        <v/>
      </c>
    </row>
    <row r="2020" spans="2:24" ht="14.25">
      <c r="N2020" s="17" t="str">
        <f>IF(V2020=0,"",IFERROR(LOOKUP(2,1/(INDEX(Listado!A:A,2):INDEX(Listado!A:A,ROW())&lt;&gt;""),ROW(INDEX(Listado!A:A,2):INDEX(Listado!A:A,ROW()))),""))</f>
        <v/>
      </c>
      <c r="O2020" s="17" t="str">
        <f>IFERROR(IF(N2020="","",IF(INDEX(Listado!M:M,N2020)="No",IF(INDEX(Listado!N:N,N2020)=0,"",INDEX(Listado!N:N,N2020)),IF(INDEX(Listado!I:I,N2020)=0,"",INDEX(Listado!I:I,N2020)))),"")</f>
        <v/>
      </c>
      <c r="P2020" s="17">
        <f t="shared" ca="1" si="94"/>
        <v/>
      </c>
      <c r="Q2020" s="17">
        <f>IFERROR(IF(AND(N2020&lt;&gt;"",ISNUMBER(O2020),O2020&gt;0,O2020&gt;=TODAY()-90),1,0),0)</f>
        <v/>
      </c>
      <c r="R2020" s="17" t="str">
        <f t="shared" si="96"/>
        <v/>
      </c>
      <c r="S2020" s="17" t="str">
        <f>IF(INDEX(Listado!A:A,ROW())="","",INDEX(Listado!A:A,ROW()))</f>
        <v/>
      </c>
      <c r="T2020" s="17" t="str">
        <f ca="1">IF(INDEX(Listado!G:G,ROW())="","",INDEX(Listado!G:G,ROW()))</f>
        <v/>
      </c>
      <c r="U2020" s="17" t="str">
        <f>IF(INDEX(Listado!F:F,ROW())="","",INDEX(Listado!F:F,ROW()))</f>
        <v/>
      </c>
      <c r="V2020" s="17">
        <f>IF(COUNTA(INDEX(Listado!B:B,ROW()):INDEX(Listado!F:F,ROW()))&gt;0,1,0)</f>
        <v/>
      </c>
      <c r="W2020" s="17" t="str">
        <f>IF(INDEX(Listado!L:L,ROW())="","",INDEX(Listado!L:L,ROW()))</f>
        <v/>
      </c>
      <c r="X2020" s="17">
        <f>IF(N2020="","",IF(INDEX(Listado!$M:$M,N2020)="No","No","Sí"))</f>
        <v/>
      </c>
    </row>
    <row r="2021" spans="2:24" ht="14.25">
      <c r="N2021" s="17" t="str">
        <f>IF(V2021=0,"",IFERROR(LOOKUP(2,1/(INDEX(Listado!A:A,2):INDEX(Listado!A:A,ROW())&lt;&gt;""),ROW(INDEX(Listado!A:A,2):INDEX(Listado!A:A,ROW()))),""))</f>
        <v/>
      </c>
      <c r="O2021" s="17" t="str">
        <f>IFERROR(IF(N2021="","",IF(INDEX(Listado!M:M,N2021)="No",IF(INDEX(Listado!N:N,N2021)=0,"",INDEX(Listado!N:N,N2021)),IF(INDEX(Listado!I:I,N2021)=0,"",INDEX(Listado!I:I,N2021)))),"")</f>
        <v/>
      </c>
      <c r="P2021" s="17">
        <f t="shared" ca="1" si="94"/>
        <v/>
      </c>
      <c r="Q2021" s="17">
        <f>IFERROR(IF(AND(N2021&lt;&gt;"",ISNUMBER(O2021),O2021&gt;0,O2021&gt;=TODAY()-90),1,0),0)</f>
        <v/>
      </c>
      <c r="R2021" s="17" t="str">
        <f t="shared" si="96"/>
        <v/>
      </c>
      <c r="S2021" s="17" t="str">
        <f>IF(INDEX(Listado!A:A,ROW())="","",INDEX(Listado!A:A,ROW()))</f>
        <v/>
      </c>
      <c r="T2021" s="17" t="str">
        <f ca="1">IF(INDEX(Listado!G:G,ROW())="","",INDEX(Listado!G:G,ROW()))</f>
        <v/>
      </c>
      <c r="U2021" s="17" t="str">
        <f>IF(INDEX(Listado!F:F,ROW())="","",INDEX(Listado!F:F,ROW()))</f>
        <v/>
      </c>
      <c r="V2021" s="17">
        <f>IF(COUNTA(INDEX(Listado!B:B,ROW()):INDEX(Listado!F:F,ROW()))&gt;0,1,0)</f>
        <v/>
      </c>
      <c r="W2021" s="17" t="str">
        <f>IF(INDEX(Listado!L:L,ROW())="","",INDEX(Listado!L:L,ROW()))</f>
        <v/>
      </c>
      <c r="X2021" s="17">
        <f>IF(N2021="","",IF(INDEX(Listado!$M:$M,N2021)="No","No","Sí"))</f>
        <v/>
      </c>
    </row>
    <row r="2022" spans="2:24" ht="14.25">
      <c r="N2022" s="17" t="str">
        <f>IF(V2022=0,"",IFERROR(LOOKUP(2,1/(INDEX(Listado!A:A,2):INDEX(Listado!A:A,ROW())&lt;&gt;""),ROW(INDEX(Listado!A:A,2):INDEX(Listado!A:A,ROW()))),""))</f>
        <v/>
      </c>
      <c r="O2022" s="17" t="str">
        <f>IFERROR(IF(N2022="","",IF(INDEX(Listado!M:M,N2022)="No",IF(INDEX(Listado!N:N,N2022)=0,"",INDEX(Listado!N:N,N2022)),IF(INDEX(Listado!I:I,N2022)=0,"",INDEX(Listado!I:I,N2022)))),"")</f>
        <v/>
      </c>
      <c r="P2022" s="17">
        <f t="shared" ca="1" si="94"/>
        <v/>
      </c>
      <c r="Q2022" s="17">
        <f>IFERROR(IF(AND(N2022&lt;&gt;"",ISNUMBER(O2022),O2022&gt;0,O2022&gt;=TODAY()-90),1,0),0)</f>
        <v/>
      </c>
      <c r="R2022" s="17" t="str">
        <f t="shared" si="96"/>
        <v/>
      </c>
      <c r="S2022" s="17" t="str">
        <f>IF(INDEX(Listado!A:A,ROW())="","",INDEX(Listado!A:A,ROW()))</f>
        <v/>
      </c>
      <c r="T2022" s="17" t="str">
        <f ca="1">IF(INDEX(Listado!G:G,ROW())="","",INDEX(Listado!G:G,ROW()))</f>
        <v/>
      </c>
      <c r="U2022" s="17" t="str">
        <f>IF(INDEX(Listado!F:F,ROW())="","",INDEX(Listado!F:F,ROW()))</f>
        <v/>
      </c>
      <c r="V2022" s="17">
        <f>IF(COUNTA(INDEX(Listado!B:B,ROW()):INDEX(Listado!F:F,ROW()))&gt;0,1,0)</f>
        <v/>
      </c>
      <c r="W2022" s="17" t="str">
        <f>IF(INDEX(Listado!L:L,ROW())="","",INDEX(Listado!L:L,ROW()))</f>
        <v/>
      </c>
      <c r="X2022" s="17">
        <f>IF(N2022="","",IF(INDEX(Listado!$M:$M,N2022)="No","No","Sí"))</f>
        <v/>
      </c>
    </row>
    <row r="2023" spans="2:24" ht="14.25">
      <c r="N2023" s="17" t="str">
        <f>IF(V2023=0,"",IFERROR(LOOKUP(2,1/(INDEX(Listado!A:A,2):INDEX(Listado!A:A,ROW())&lt;&gt;""),ROW(INDEX(Listado!A:A,2):INDEX(Listado!A:A,ROW()))),""))</f>
        <v/>
      </c>
      <c r="O2023" s="17" t="str">
        <f>IFERROR(IF(N2023="","",IF(INDEX(Listado!M:M,N2023)="No",IF(INDEX(Listado!N:N,N2023)=0,"",INDEX(Listado!N:N,N2023)),IF(INDEX(Listado!I:I,N2023)=0,"",INDEX(Listado!I:I,N2023)))),"")</f>
        <v/>
      </c>
      <c r="P2023" s="17">
        <f t="shared" ca="1" si="94"/>
        <v/>
      </c>
      <c r="Q2023" s="17">
        <f>IFERROR(IF(AND(N2023&lt;&gt;"",ISNUMBER(O2023),O2023&gt;0,O2023&gt;=TODAY()-90),1,0),0)</f>
        <v/>
      </c>
      <c r="R2023" s="17" t="str">
        <f t="shared" si="96"/>
        <v/>
      </c>
      <c r="S2023" s="17" t="str">
        <f>IF(INDEX(Listado!A:A,ROW())="","",INDEX(Listado!A:A,ROW()))</f>
        <v/>
      </c>
      <c r="T2023" s="17" t="str">
        <f ca="1">IF(INDEX(Listado!G:G,ROW())="","",INDEX(Listado!G:G,ROW()))</f>
        <v/>
      </c>
      <c r="U2023" s="17" t="str">
        <f>IF(INDEX(Listado!F:F,ROW())="","",INDEX(Listado!F:F,ROW()))</f>
        <v/>
      </c>
      <c r="V2023" s="17">
        <f>IF(COUNTA(INDEX(Listado!B:B,ROW()):INDEX(Listado!F:F,ROW()))&gt;0,1,0)</f>
        <v/>
      </c>
      <c r="W2023" s="17" t="str">
        <f>IF(INDEX(Listado!L:L,ROW())="","",INDEX(Listado!L:L,ROW()))</f>
        <v/>
      </c>
      <c r="X2023" s="17">
        <f>IF(N2023="","",IF(INDEX(Listado!$M:$M,N2023)="No","No","Sí"))</f>
        <v/>
      </c>
    </row>
    <row r="2024" spans="2:24" ht="14.25">
      <c r="N2024" s="17" t="str">
        <f>IF(V2024=0,"",IFERROR(LOOKUP(2,1/(INDEX(Listado!A:A,2):INDEX(Listado!A:A,ROW())&lt;&gt;""),ROW(INDEX(Listado!A:A,2):INDEX(Listado!A:A,ROW()))),""))</f>
        <v/>
      </c>
      <c r="O2024" s="17" t="str">
        <f>IFERROR(IF(N2024="","",IF(INDEX(Listado!M:M,N2024)="No",IF(INDEX(Listado!N:N,N2024)=0,"",INDEX(Listado!N:N,N2024)),IF(INDEX(Listado!I:I,N2024)=0,"",INDEX(Listado!I:I,N2024)))),"")</f>
        <v/>
      </c>
      <c r="P2024" s="17">
        <f t="shared" ca="1" si="94"/>
        <v/>
      </c>
      <c r="Q2024" s="17">
        <f>IFERROR(IF(AND(N2024&lt;&gt;"",ISNUMBER(O2024),O2024&gt;0,O2024&gt;=TODAY()-90),1,0),0)</f>
        <v/>
      </c>
      <c r="R2024" s="17" t="str">
        <f t="shared" si="96"/>
        <v/>
      </c>
      <c r="S2024" s="17" t="str">
        <f>IF(INDEX(Listado!A:A,ROW())="","",INDEX(Listado!A:A,ROW()))</f>
        <v/>
      </c>
      <c r="T2024" s="17" t="str">
        <f ca="1">IF(INDEX(Listado!G:G,ROW())="","",INDEX(Listado!G:G,ROW()))</f>
        <v/>
      </c>
      <c r="U2024" s="17" t="str">
        <f>IF(INDEX(Listado!F:F,ROW())="","",INDEX(Listado!F:F,ROW()))</f>
        <v/>
      </c>
      <c r="V2024" s="17">
        <f>IF(COUNTA(INDEX(Listado!B:B,ROW()):INDEX(Listado!F:F,ROW()))&gt;0,1,0)</f>
        <v/>
      </c>
      <c r="W2024" s="17" t="str">
        <f>IF(INDEX(Listado!L:L,ROW())="","",INDEX(Listado!L:L,ROW()))</f>
        <v/>
      </c>
      <c r="X2024" s="17">
        <f>IF(N2024="","",IF(INDEX(Listado!$M:$M,N2024)="No","No","Sí"))</f>
        <v/>
      </c>
    </row>
    <row r="2025" spans="2:24" ht="14.25">
      <c r="N2025" s="17" t="str">
        <f>IF(V2025=0,"",IFERROR(LOOKUP(2,1/(INDEX(Listado!A:A,2):INDEX(Listado!A:A,ROW())&lt;&gt;""),ROW(INDEX(Listado!A:A,2):INDEX(Listado!A:A,ROW()))),""))</f>
        <v/>
      </c>
      <c r="O2025" s="17" t="str">
        <f>IFERROR(IF(N2025="","",IF(INDEX(Listado!M:M,N2025)="No",IF(INDEX(Listado!N:N,N2025)=0,"",INDEX(Listado!N:N,N2025)),IF(INDEX(Listado!I:I,N2025)=0,"",INDEX(Listado!I:I,N2025)))),"")</f>
        <v/>
      </c>
      <c r="P2025" s="17">
        <f t="shared" ca="1" si="94"/>
        <v/>
      </c>
      <c r="Q2025" s="17">
        <f>IFERROR(IF(AND(N2025&lt;&gt;"",ISNUMBER(O2025),O2025&gt;0,O2025&gt;=TODAY()-90),1,0),0)</f>
        <v/>
      </c>
      <c r="R2025" s="17" t="str">
        <f t="shared" si="96"/>
        <v/>
      </c>
      <c r="S2025" s="17" t="str">
        <f>IF(INDEX(Listado!A:A,ROW())="","",INDEX(Listado!A:A,ROW()))</f>
        <v/>
      </c>
      <c r="T2025" s="17" t="str">
        <f ca="1">IF(INDEX(Listado!G:G,ROW())="","",INDEX(Listado!G:G,ROW()))</f>
        <v/>
      </c>
      <c r="U2025" s="17" t="str">
        <f>IF(INDEX(Listado!F:F,ROW())="","",INDEX(Listado!F:F,ROW()))</f>
        <v/>
      </c>
      <c r="V2025" s="17">
        <f>IF(COUNTA(INDEX(Listado!B:B,ROW()):INDEX(Listado!F:F,ROW()))&gt;0,1,0)</f>
        <v/>
      </c>
      <c r="W2025" s="17" t="str">
        <f>IF(INDEX(Listado!L:L,ROW())="","",INDEX(Listado!L:L,ROW()))</f>
        <v/>
      </c>
      <c r="X2025" s="17">
        <f>IF(N2025="","",IF(INDEX(Listado!$M:$M,N2025)="No","No","Sí"))</f>
        <v/>
      </c>
    </row>
    <row r="2026" spans="2:24" ht="14.25">
      <c r="N2026" s="17" t="str">
        <f>IF(V2026=0,"",IFERROR(LOOKUP(2,1/(INDEX(Listado!A:A,2):INDEX(Listado!A:A,ROW())&lt;&gt;""),ROW(INDEX(Listado!A:A,2):INDEX(Listado!A:A,ROW()))),""))</f>
        <v/>
      </c>
      <c r="O2026" s="17" t="str">
        <f>IFERROR(IF(N2026="","",IF(INDEX(Listado!M:M,N2026)="No",IF(INDEX(Listado!N:N,N2026)=0,"",INDEX(Listado!N:N,N2026)),IF(INDEX(Listado!I:I,N2026)=0,"",INDEX(Listado!I:I,N2026)))),"")</f>
        <v/>
      </c>
      <c r="P2026" s="17">
        <f t="shared" ca="1" si="94"/>
        <v/>
      </c>
      <c r="Q2026" s="17">
        <f>IFERROR(IF(AND(N2026&lt;&gt;"",ISNUMBER(O2026),O2026&gt;0,O2026&gt;=TODAY()-90),1,0),0)</f>
        <v/>
      </c>
      <c r="R2026" s="17" t="str">
        <f t="shared" si="96"/>
        <v/>
      </c>
      <c r="S2026" s="17" t="str">
        <f>IF(INDEX(Listado!A:A,ROW())="","",INDEX(Listado!A:A,ROW()))</f>
        <v/>
      </c>
      <c r="T2026" s="17" t="str">
        <f ca="1">IF(INDEX(Listado!G:G,ROW())="","",INDEX(Listado!G:G,ROW()))</f>
        <v/>
      </c>
      <c r="U2026" s="17" t="str">
        <f>IF(INDEX(Listado!F:F,ROW())="","",INDEX(Listado!F:F,ROW()))</f>
        <v/>
      </c>
      <c r="V2026" s="17">
        <f>IF(COUNTA(INDEX(Listado!B:B,ROW()):INDEX(Listado!F:F,ROW()))&gt;0,1,0)</f>
        <v/>
      </c>
      <c r="W2026" s="17" t="str">
        <f>IF(INDEX(Listado!L:L,ROW())="","",INDEX(Listado!L:L,ROW()))</f>
        <v/>
      </c>
      <c r="X2026" s="17">
        <f>IF(N2026="","",IF(INDEX(Listado!$M:$M,N2026)="No","No","Sí"))</f>
        <v/>
      </c>
    </row>
    <row r="2027" spans="2:24" ht="14.25">
      <c r="N2027" s="17" t="str">
        <f>IF(V2027=0,"",IFERROR(LOOKUP(2,1/(INDEX(Listado!A:A,2):INDEX(Listado!A:A,ROW())&lt;&gt;""),ROW(INDEX(Listado!A:A,2):INDEX(Listado!A:A,ROW()))),""))</f>
        <v/>
      </c>
      <c r="O2027" s="17" t="str">
        <f>IFERROR(IF(N2027="","",IF(INDEX(Listado!M:M,N2027)="No",IF(INDEX(Listado!N:N,N2027)=0,"",INDEX(Listado!N:N,N2027)),IF(INDEX(Listado!I:I,N2027)=0,"",INDEX(Listado!I:I,N2027)))),"")</f>
        <v/>
      </c>
      <c r="P2027" s="17">
        <f t="shared" ca="1" si="94"/>
        <v/>
      </c>
      <c r="Q2027" s="17">
        <f>IFERROR(IF(AND(N2027&lt;&gt;"",ISNUMBER(O2027),O2027&gt;0,O2027&gt;=TODAY()-90),1,0),0)</f>
        <v/>
      </c>
      <c r="R2027" s="17" t="str">
        <f t="shared" si="96"/>
        <v/>
      </c>
      <c r="S2027" s="17" t="str">
        <f>IF(INDEX(Listado!A:A,ROW())="","",INDEX(Listado!A:A,ROW()))</f>
        <v/>
      </c>
      <c r="T2027" s="17" t="str">
        <f ca="1">IF(INDEX(Listado!G:G,ROW())="","",INDEX(Listado!G:G,ROW()))</f>
        <v/>
      </c>
      <c r="U2027" s="17" t="str">
        <f>IF(INDEX(Listado!F:F,ROW())="","",INDEX(Listado!F:F,ROW()))</f>
        <v/>
      </c>
      <c r="V2027" s="17">
        <f>IF(COUNTA(INDEX(Listado!B:B,ROW()):INDEX(Listado!F:F,ROW()))&gt;0,1,0)</f>
        <v/>
      </c>
      <c r="W2027" s="17" t="str">
        <f>IF(INDEX(Listado!L:L,ROW())="","",INDEX(Listado!L:L,ROW()))</f>
        <v/>
      </c>
      <c r="X2027" s="17">
        <f>IF(N2027="","",IF(INDEX(Listado!$M:$M,N2027)="No","No","Sí"))</f>
        <v/>
      </c>
    </row>
    <row r="2028" spans="2:24" ht="14.25">
      <c r="N2028" s="17" t="str">
        <f>IF(V2028=0,"",IFERROR(LOOKUP(2,1/(INDEX(Listado!A:A,2):INDEX(Listado!A:A,ROW())&lt;&gt;""),ROW(INDEX(Listado!A:A,2):INDEX(Listado!A:A,ROW()))),""))</f>
        <v/>
      </c>
      <c r="O2028" s="17" t="str">
        <f>IFERROR(IF(N2028="","",IF(INDEX(Listado!M:M,N2028)="No",IF(INDEX(Listado!N:N,N2028)=0,"",INDEX(Listado!N:N,N2028)),IF(INDEX(Listado!I:I,N2028)=0,"",INDEX(Listado!I:I,N2028)))),"")</f>
        <v/>
      </c>
      <c r="P2028" s="17">
        <f t="shared" ca="1" si="94"/>
        <v/>
      </c>
      <c r="Q2028" s="17">
        <f>IFERROR(IF(AND(N2028&lt;&gt;"",ISNUMBER(O2028),O2028&gt;0,O2028&gt;=TODAY()-90),1,0),0)</f>
        <v/>
      </c>
      <c r="R2028" s="17" t="str">
        <f t="shared" si="96"/>
        <v/>
      </c>
      <c r="S2028" s="17" t="str">
        <f>IF(INDEX(Listado!A:A,ROW())="","",INDEX(Listado!A:A,ROW()))</f>
        <v/>
      </c>
      <c r="T2028" s="17" t="str">
        <f ca="1">IF(INDEX(Listado!G:G,ROW())="","",INDEX(Listado!G:G,ROW()))</f>
        <v/>
      </c>
      <c r="U2028" s="17" t="str">
        <f>IF(INDEX(Listado!F:F,ROW())="","",INDEX(Listado!F:F,ROW()))</f>
        <v/>
      </c>
      <c r="V2028" s="17">
        <f>IF(COUNTA(INDEX(Listado!B:B,ROW()):INDEX(Listado!F:F,ROW()))&gt;0,1,0)</f>
        <v/>
      </c>
      <c r="W2028" s="17" t="str">
        <f>IF(INDEX(Listado!L:L,ROW())="","",INDEX(Listado!L:L,ROW()))</f>
        <v/>
      </c>
      <c r="X2028" s="17">
        <f>IF(N2028="","",IF(INDEX(Listado!$M:$M,N2028)="No","No","Sí"))</f>
        <v/>
      </c>
    </row>
    <row r="2029" spans="2:24" ht="14.25">
      <c r="N2029" s="17" t="str">
        <f>IF(V2029=0,"",IFERROR(LOOKUP(2,1/(INDEX(Listado!A:A,2):INDEX(Listado!A:A,ROW())&lt;&gt;""),ROW(INDEX(Listado!A:A,2):INDEX(Listado!A:A,ROW()))),""))</f>
        <v/>
      </c>
      <c r="O2029" s="17" t="str">
        <f>IFERROR(IF(N2029="","",IF(INDEX(Listado!M:M,N2029)="No",IF(INDEX(Listado!N:N,N2029)=0,"",INDEX(Listado!N:N,N2029)),IF(INDEX(Listado!I:I,N2029)=0,"",INDEX(Listado!I:I,N2029)))),"")</f>
        <v/>
      </c>
      <c r="P2029" s="17">
        <f t="shared" ca="1" si="94"/>
        <v/>
      </c>
      <c r="Q2029" s="17">
        <f>IFERROR(IF(AND(N2029&lt;&gt;"",ISNUMBER(O2029),O2029&gt;0,O2029&gt;=TODAY()-90),1,0),0)</f>
        <v/>
      </c>
      <c r="R2029" s="17" t="str">
        <f t="shared" si="96"/>
        <v/>
      </c>
      <c r="S2029" s="17" t="str">
        <f>IF(INDEX(Listado!A:A,ROW())="","",INDEX(Listado!A:A,ROW()))</f>
        <v/>
      </c>
      <c r="T2029" s="17" t="str">
        <f ca="1">IF(INDEX(Listado!G:G,ROW())="","",INDEX(Listado!G:G,ROW()))</f>
        <v/>
      </c>
      <c r="U2029" s="17" t="str">
        <f>IF(INDEX(Listado!F:F,ROW())="","",INDEX(Listado!F:F,ROW()))</f>
        <v/>
      </c>
      <c r="V2029" s="17">
        <f>IF(COUNTA(INDEX(Listado!B:B,ROW()):INDEX(Listado!F:F,ROW()))&gt;0,1,0)</f>
        <v/>
      </c>
      <c r="W2029" s="17" t="str">
        <f>IF(INDEX(Listado!L:L,ROW())="","",INDEX(Listado!L:L,ROW()))</f>
        <v/>
      </c>
      <c r="X2029" s="17">
        <f>IF(N2029="","",IF(INDEX(Listado!$M:$M,N2029)="No","No","Sí"))</f>
        <v/>
      </c>
    </row>
    <row r="2030" spans="2:24" ht="14.25">
      <c r="N2030" s="17" t="str">
        <f>IF(V2030=0,"",IFERROR(LOOKUP(2,1/(INDEX(Listado!A:A,2):INDEX(Listado!A:A,ROW())&lt;&gt;""),ROW(INDEX(Listado!A:A,2):INDEX(Listado!A:A,ROW()))),""))</f>
        <v/>
      </c>
      <c r="O2030" s="17" t="str">
        <f>IFERROR(IF(N2030="","",IF(INDEX(Listado!M:M,N2030)="No",IF(INDEX(Listado!N:N,N2030)=0,"",INDEX(Listado!N:N,N2030)),IF(INDEX(Listado!I:I,N2030)=0,"",INDEX(Listado!I:I,N2030)))),"")</f>
        <v/>
      </c>
      <c r="P2030" s="17">
        <f t="shared" ca="1" si="94"/>
        <v/>
      </c>
      <c r="Q2030" s="17">
        <f>IFERROR(IF(AND(N2030&lt;&gt;"",ISNUMBER(O2030),O2030&gt;0,O2030&gt;=TODAY()-90),1,0),0)</f>
        <v/>
      </c>
      <c r="R2030" s="17" t="str">
        <f t="shared" si="96"/>
        <v/>
      </c>
      <c r="S2030" s="17" t="str">
        <f>IF(INDEX(Listado!A:A,ROW())="","",INDEX(Listado!A:A,ROW()))</f>
        <v/>
      </c>
      <c r="T2030" s="17" t="str">
        <f ca="1">IF(INDEX(Listado!G:G,ROW())="","",INDEX(Listado!G:G,ROW()))</f>
        <v/>
      </c>
      <c r="U2030" s="17" t="str">
        <f>IF(INDEX(Listado!F:F,ROW())="","",INDEX(Listado!F:F,ROW()))</f>
        <v/>
      </c>
      <c r="V2030" s="17">
        <f>IF(COUNTA(INDEX(Listado!B:B,ROW()):INDEX(Listado!F:F,ROW()))&gt;0,1,0)</f>
        <v/>
      </c>
      <c r="W2030" s="17" t="str">
        <f>IF(INDEX(Listado!L:L,ROW())="","",INDEX(Listado!L:L,ROW()))</f>
        <v/>
      </c>
      <c r="X2030" s="17">
        <f>IF(N2030="","",IF(INDEX(Listado!$M:$M,N2030)="No","No","Sí"))</f>
        <v/>
      </c>
    </row>
    <row r="2031" spans="2:24" ht="14.25">
      <c r="N2031" s="17" t="str">
        <f>IF(V2031=0,"",IFERROR(LOOKUP(2,1/(INDEX(Listado!A:A,2):INDEX(Listado!A:A,ROW())&lt;&gt;""),ROW(INDEX(Listado!A:A,2):INDEX(Listado!A:A,ROW()))),""))</f>
        <v/>
      </c>
      <c r="O2031" s="17" t="str">
        <f>IFERROR(IF(N2031="","",IF(INDEX(Listado!M:M,N2031)="No",IF(INDEX(Listado!N:N,N2031)=0,"",INDEX(Listado!N:N,N2031)),IF(INDEX(Listado!I:I,N2031)=0,"",INDEX(Listado!I:I,N2031)))),"")</f>
        <v/>
      </c>
      <c r="P2031" s="17">
        <f t="shared" ca="1" si="94"/>
        <v/>
      </c>
      <c r="Q2031" s="17">
        <f>IFERROR(IF(AND(N2031&lt;&gt;"",ISNUMBER(O2031),O2031&gt;0,O2031&gt;=TODAY()-90),1,0),0)</f>
        <v/>
      </c>
      <c r="R2031" s="17" t="str">
        <f t="shared" si="96"/>
        <v/>
      </c>
      <c r="S2031" s="17" t="str">
        <f>IF(INDEX(Listado!A:A,ROW())="","",INDEX(Listado!A:A,ROW()))</f>
        <v/>
      </c>
      <c r="T2031" s="17" t="str">
        <f ca="1">IF(INDEX(Listado!G:G,ROW())="","",INDEX(Listado!G:G,ROW()))</f>
        <v/>
      </c>
      <c r="U2031" s="17" t="str">
        <f>IF(INDEX(Listado!F:F,ROW())="","",INDEX(Listado!F:F,ROW()))</f>
        <v/>
      </c>
      <c r="V2031" s="17">
        <f>IF(COUNTA(INDEX(Listado!B:B,ROW()):INDEX(Listado!F:F,ROW()))&gt;0,1,0)</f>
        <v/>
      </c>
      <c r="W2031" s="17" t="str">
        <f>IF(INDEX(Listado!L:L,ROW())="","",INDEX(Listado!L:L,ROW()))</f>
        <v/>
      </c>
      <c r="X2031" s="17">
        <f>IF(N2031="","",IF(INDEX(Listado!$M:$M,N2031)="No","No","Sí"))</f>
        <v/>
      </c>
    </row>
    <row r="2032" spans="2:24" ht="14.25">
      <c r="N2032" s="17" t="str">
        <f>IF(V2032=0,"",IFERROR(LOOKUP(2,1/(INDEX(Listado!A:A,2):INDEX(Listado!A:A,ROW())&lt;&gt;""),ROW(INDEX(Listado!A:A,2):INDEX(Listado!A:A,ROW()))),""))</f>
        <v/>
      </c>
      <c r="O2032" s="17" t="str">
        <f>IFERROR(IF(N2032="","",IF(INDEX(Listado!M:M,N2032)="No",IF(INDEX(Listado!N:N,N2032)=0,"",INDEX(Listado!N:N,N2032)),IF(INDEX(Listado!I:I,N2032)=0,"",INDEX(Listado!I:I,N2032)))),"")</f>
        <v/>
      </c>
      <c r="P2032" s="17">
        <f t="shared" ca="1" si="94"/>
        <v/>
      </c>
      <c r="Q2032" s="17">
        <f>IFERROR(IF(AND(N2032&lt;&gt;"",ISNUMBER(O2032),O2032&gt;0,O2032&gt;=TODAY()-90),1,0),0)</f>
        <v/>
      </c>
      <c r="R2032" s="17" t="str">
        <f t="shared" si="96"/>
        <v/>
      </c>
      <c r="S2032" s="17" t="str">
        <f>IF(INDEX(Listado!A:A,ROW())="","",INDEX(Listado!A:A,ROW()))</f>
        <v/>
      </c>
      <c r="T2032" s="17" t="str">
        <f ca="1">IF(INDEX(Listado!G:G,ROW())="","",INDEX(Listado!G:G,ROW()))</f>
        <v/>
      </c>
      <c r="U2032" s="17" t="str">
        <f>IF(INDEX(Listado!F:F,ROW())="","",INDEX(Listado!F:F,ROW()))</f>
        <v/>
      </c>
      <c r="V2032" s="17">
        <f>IF(COUNTA(INDEX(Listado!B:B,ROW()):INDEX(Listado!F:F,ROW()))&gt;0,1,0)</f>
        <v/>
      </c>
      <c r="W2032" s="17" t="str">
        <f>IF(INDEX(Listado!L:L,ROW())="","",INDEX(Listado!L:L,ROW()))</f>
        <v/>
      </c>
      <c r="X2032" s="17">
        <f>IF(N2032="","",IF(INDEX(Listado!$M:$M,N2032)="No","No","Sí"))</f>
        <v/>
      </c>
    </row>
    <row r="2033" spans="2:24" ht="14.25">
      <c r="N2033" s="17" t="str">
        <f>IF(V2033=0,"",IFERROR(LOOKUP(2,1/(INDEX(Listado!A:A,2):INDEX(Listado!A:A,ROW())&lt;&gt;""),ROW(INDEX(Listado!A:A,2):INDEX(Listado!A:A,ROW()))),""))</f>
        <v/>
      </c>
      <c r="O2033" s="17" t="str">
        <f>IFERROR(IF(N2033="","",IF(INDEX(Listado!M:M,N2033)="No",IF(INDEX(Listado!N:N,N2033)=0,"",INDEX(Listado!N:N,N2033)),IF(INDEX(Listado!I:I,N2033)=0,"",INDEX(Listado!I:I,N2033)))),"")</f>
        <v/>
      </c>
      <c r="P2033" s="17">
        <f t="shared" ca="1" si="94"/>
        <v/>
      </c>
      <c r="Q2033" s="17">
        <f>IFERROR(IF(AND(N2033&lt;&gt;"",ISNUMBER(O2033),O2033&gt;0,O2033&gt;=TODAY()-90),1,0),0)</f>
        <v/>
      </c>
      <c r="R2033" s="17" t="str">
        <f t="shared" si="96"/>
        <v/>
      </c>
      <c r="S2033" s="17" t="str">
        <f>IF(INDEX(Listado!A:A,ROW())="","",INDEX(Listado!A:A,ROW()))</f>
        <v/>
      </c>
      <c r="T2033" s="17" t="str">
        <f ca="1">IF(INDEX(Listado!G:G,ROW())="","",INDEX(Listado!G:G,ROW()))</f>
        <v/>
      </c>
      <c r="U2033" s="17" t="str">
        <f>IF(INDEX(Listado!F:F,ROW())="","",INDEX(Listado!F:F,ROW()))</f>
        <v/>
      </c>
      <c r="V2033" s="17">
        <f>IF(COUNTA(INDEX(Listado!B:B,ROW()):INDEX(Listado!F:F,ROW()))&gt;0,1,0)</f>
        <v/>
      </c>
      <c r="W2033" s="17" t="str">
        <f>IF(INDEX(Listado!L:L,ROW())="","",INDEX(Listado!L:L,ROW()))</f>
        <v/>
      </c>
      <c r="X2033" s="17">
        <f>IF(N2033="","",IF(INDEX(Listado!$M:$M,N2033)="No","No","Sí"))</f>
        <v/>
      </c>
    </row>
    <row r="2034" spans="2:24" ht="14.25">
      <c r="N2034" s="17" t="str">
        <f>IF(V2034=0,"",IFERROR(LOOKUP(2,1/(INDEX(Listado!A:A,2):INDEX(Listado!A:A,ROW())&lt;&gt;""),ROW(INDEX(Listado!A:A,2):INDEX(Listado!A:A,ROW()))),""))</f>
        <v/>
      </c>
      <c r="O2034" s="17" t="str">
        <f>IFERROR(IF(N2034="","",IF(INDEX(Listado!M:M,N2034)="No",IF(INDEX(Listado!N:N,N2034)=0,"",INDEX(Listado!N:N,N2034)),IF(INDEX(Listado!I:I,N2034)=0,"",INDEX(Listado!I:I,N2034)))),"")</f>
        <v/>
      </c>
      <c r="P2034" s="17">
        <f t="shared" ca="1" si="94"/>
        <v/>
      </c>
      <c r="Q2034" s="17">
        <f>IFERROR(IF(AND(N2034&lt;&gt;"",ISNUMBER(O2034),O2034&gt;0,O2034&gt;=TODAY()-90),1,0),0)</f>
        <v/>
      </c>
      <c r="R2034" s="17" t="str">
        <f t="shared" si="96"/>
        <v/>
      </c>
      <c r="S2034" s="17" t="str">
        <f>IF(INDEX(Listado!A:A,ROW())="","",INDEX(Listado!A:A,ROW()))</f>
        <v/>
      </c>
      <c r="T2034" s="17" t="str">
        <f ca="1">IF(INDEX(Listado!G:G,ROW())="","",INDEX(Listado!G:G,ROW()))</f>
        <v/>
      </c>
      <c r="U2034" s="17" t="str">
        <f>IF(INDEX(Listado!F:F,ROW())="","",INDEX(Listado!F:F,ROW()))</f>
        <v/>
      </c>
      <c r="V2034" s="17">
        <f>IF(COUNTA(INDEX(Listado!B:B,ROW()):INDEX(Listado!F:F,ROW()))&gt;0,1,0)</f>
        <v/>
      </c>
      <c r="W2034" s="17" t="str">
        <f>IF(INDEX(Listado!L:L,ROW())="","",INDEX(Listado!L:L,ROW()))</f>
        <v/>
      </c>
      <c r="X2034" s="17">
        <f>IF(N2034="","",IF(INDEX(Listado!$M:$M,N2034)="No","No","Sí"))</f>
        <v/>
      </c>
    </row>
    <row r="2035" spans="2:24" ht="14.25">
      <c r="N2035" s="17" t="str">
        <f>IF(V2035=0,"",IFERROR(LOOKUP(2,1/(INDEX(Listado!A:A,2):INDEX(Listado!A:A,ROW())&lt;&gt;""),ROW(INDEX(Listado!A:A,2):INDEX(Listado!A:A,ROW()))),""))</f>
        <v/>
      </c>
      <c r="O2035" s="17" t="str">
        <f>IFERROR(IF(N2035="","",IF(INDEX(Listado!M:M,N2035)="No",IF(INDEX(Listado!N:N,N2035)=0,"",INDEX(Listado!N:N,N2035)),IF(INDEX(Listado!I:I,N2035)=0,"",INDEX(Listado!I:I,N2035)))),"")</f>
        <v/>
      </c>
      <c r="P2035" s="17">
        <f t="shared" ca="1" si="94"/>
        <v/>
      </c>
      <c r="Q2035" s="17">
        <f>IFERROR(IF(AND(N2035&lt;&gt;"",ISNUMBER(O2035),O2035&gt;0,O2035&gt;=TODAY()-90),1,0),0)</f>
        <v/>
      </c>
      <c r="R2035" s="17" t="str">
        <f t="shared" si="96"/>
        <v/>
      </c>
      <c r="S2035" s="17" t="str">
        <f>IF(INDEX(Listado!A:A,ROW())="","",INDEX(Listado!A:A,ROW()))</f>
        <v/>
      </c>
      <c r="T2035" s="17" t="str">
        <f ca="1">IF(INDEX(Listado!G:G,ROW())="","",INDEX(Listado!G:G,ROW()))</f>
        <v/>
      </c>
      <c r="U2035" s="17" t="str">
        <f>IF(INDEX(Listado!F:F,ROW())="","",INDEX(Listado!F:F,ROW()))</f>
        <v/>
      </c>
      <c r="V2035" s="17">
        <f>IF(COUNTA(INDEX(Listado!B:B,ROW()):INDEX(Listado!F:F,ROW()))&gt;0,1,0)</f>
        <v/>
      </c>
      <c r="W2035" s="17" t="str">
        <f>IF(INDEX(Listado!L:L,ROW())="","",INDEX(Listado!L:L,ROW()))</f>
        <v/>
      </c>
      <c r="X2035" s="17">
        <f>IF(N2035="","",IF(INDEX(Listado!$M:$M,N2035)="No","No","Sí"))</f>
        <v/>
      </c>
    </row>
    <row r="2036" spans="2:24" ht="14.25">
      <c r="N2036" s="17" t="str">
        <f>IF(V2036=0,"",IFERROR(LOOKUP(2,1/(INDEX(Listado!A:A,2):INDEX(Listado!A:A,ROW())&lt;&gt;""),ROW(INDEX(Listado!A:A,2):INDEX(Listado!A:A,ROW()))),""))</f>
        <v/>
      </c>
      <c r="O2036" s="17" t="str">
        <f>IFERROR(IF(N2036="","",IF(INDEX(Listado!M:M,N2036)="No",IF(INDEX(Listado!N:N,N2036)=0,"",INDEX(Listado!N:N,N2036)),IF(INDEX(Listado!I:I,N2036)=0,"",INDEX(Listado!I:I,N2036)))),"")</f>
        <v/>
      </c>
      <c r="P2036" s="17">
        <f t="shared" ca="1" si="94"/>
        <v/>
      </c>
      <c r="Q2036" s="17">
        <f>IFERROR(IF(AND(N2036&lt;&gt;"",ISNUMBER(O2036),O2036&gt;0,O2036&gt;=TODAY()-90),1,0),0)</f>
        <v/>
      </c>
      <c r="R2036" s="17" t="str">
        <f t="shared" si="96"/>
        <v/>
      </c>
      <c r="S2036" s="17" t="str">
        <f>IF(INDEX(Listado!A:A,ROW())="","",INDEX(Listado!A:A,ROW()))</f>
        <v/>
      </c>
      <c r="T2036" s="17" t="str">
        <f ca="1">IF(INDEX(Listado!G:G,ROW())="","",INDEX(Listado!G:G,ROW()))</f>
        <v/>
      </c>
      <c r="U2036" s="17" t="str">
        <f>IF(INDEX(Listado!F:F,ROW())="","",INDEX(Listado!F:F,ROW()))</f>
        <v/>
      </c>
      <c r="V2036" s="17">
        <f>IF(COUNTA(INDEX(Listado!B:B,ROW()):INDEX(Listado!F:F,ROW()))&gt;0,1,0)</f>
        <v/>
      </c>
      <c r="W2036" s="17" t="str">
        <f>IF(INDEX(Listado!L:L,ROW())="","",INDEX(Listado!L:L,ROW()))</f>
        <v/>
      </c>
      <c r="X2036" s="17">
        <f>IF(N2036="","",IF(INDEX(Listado!$M:$M,N2036)="No","No","Sí"))</f>
        <v/>
      </c>
    </row>
    <row r="2037" spans="2:24" ht="14.25">
      <c r="N2037" s="17" t="str">
        <f>IF(V2037=0,"",IFERROR(LOOKUP(2,1/(INDEX(Listado!A:A,2):INDEX(Listado!A:A,ROW())&lt;&gt;""),ROW(INDEX(Listado!A:A,2):INDEX(Listado!A:A,ROW()))),""))</f>
        <v/>
      </c>
      <c r="O2037" s="17" t="str">
        <f>IFERROR(IF(N2037="","",IF(INDEX(Listado!M:M,N2037)="No",IF(INDEX(Listado!N:N,N2037)=0,"",INDEX(Listado!N:N,N2037)),IF(INDEX(Listado!I:I,N2037)=0,"",INDEX(Listado!I:I,N2037)))),"")</f>
        <v/>
      </c>
      <c r="P2037" s="17">
        <f t="shared" ca="1" si="94"/>
        <v/>
      </c>
      <c r="Q2037" s="17">
        <f>IFERROR(IF(AND(N2037&lt;&gt;"",ISNUMBER(O2037),O2037&gt;0,O2037&gt;=TODAY()-90),1,0),0)</f>
        <v/>
      </c>
      <c r="R2037" s="17" t="str">
        <f t="shared" si="96"/>
        <v/>
      </c>
      <c r="S2037" s="17" t="str">
        <f>IF(INDEX(Listado!A:A,ROW())="","",INDEX(Listado!A:A,ROW()))</f>
        <v/>
      </c>
      <c r="T2037" s="17" t="str">
        <f ca="1">IF(INDEX(Listado!G:G,ROW())="","",INDEX(Listado!G:G,ROW()))</f>
        <v/>
      </c>
      <c r="U2037" s="17" t="str">
        <f>IF(INDEX(Listado!F:F,ROW())="","",INDEX(Listado!F:F,ROW()))</f>
        <v/>
      </c>
      <c r="V2037" s="17">
        <f>IF(COUNTA(INDEX(Listado!B:B,ROW()):INDEX(Listado!F:F,ROW()))&gt;0,1,0)</f>
        <v/>
      </c>
      <c r="W2037" s="17" t="str">
        <f>IF(INDEX(Listado!L:L,ROW())="","",INDEX(Listado!L:L,ROW()))</f>
        <v/>
      </c>
      <c r="X2037" s="17">
        <f>IF(N2037="","",IF(INDEX(Listado!$M:$M,N2037)="No","No","Sí"))</f>
        <v/>
      </c>
    </row>
    <row r="2038" spans="2:24" ht="14.25">
      <c r="N2038" s="17" t="str">
        <f>IF(V2038=0,"",IFERROR(LOOKUP(2,1/(INDEX(Listado!A:A,2):INDEX(Listado!A:A,ROW())&lt;&gt;""),ROW(INDEX(Listado!A:A,2):INDEX(Listado!A:A,ROW()))),""))</f>
        <v/>
      </c>
      <c r="O2038" s="17" t="str">
        <f>IFERROR(IF(N2038="","",IF(INDEX(Listado!M:M,N2038)="No",IF(INDEX(Listado!N:N,N2038)=0,"",INDEX(Listado!N:N,N2038)),IF(INDEX(Listado!I:I,N2038)=0,"",INDEX(Listado!I:I,N2038)))),"")</f>
        <v/>
      </c>
      <c r="P2038" s="17">
        <f t="shared" ca="1" si="94"/>
        <v/>
      </c>
      <c r="Q2038" s="17">
        <f>IFERROR(IF(AND(N2038&lt;&gt;"",ISNUMBER(O2038),O2038&gt;0,O2038&gt;=TODAY()-90),1,0),0)</f>
        <v/>
      </c>
      <c r="R2038" s="17" t="str">
        <f t="shared" si="96"/>
        <v/>
      </c>
      <c r="S2038" s="17" t="str">
        <f>IF(INDEX(Listado!A:A,ROW())="","",INDEX(Listado!A:A,ROW()))</f>
        <v/>
      </c>
      <c r="T2038" s="17" t="str">
        <f ca="1">IF(INDEX(Listado!G:G,ROW())="","",INDEX(Listado!G:G,ROW()))</f>
        <v/>
      </c>
      <c r="U2038" s="17" t="str">
        <f>IF(INDEX(Listado!F:F,ROW())="","",INDEX(Listado!F:F,ROW()))</f>
        <v/>
      </c>
      <c r="V2038" s="17">
        <f>IF(COUNTA(INDEX(Listado!B:B,ROW()):INDEX(Listado!F:F,ROW()))&gt;0,1,0)</f>
        <v/>
      </c>
      <c r="W2038" s="17" t="str">
        <f>IF(INDEX(Listado!L:L,ROW())="","",INDEX(Listado!L:L,ROW()))</f>
        <v/>
      </c>
      <c r="X2038" s="17">
        <f>IF(N2038="","",IF(INDEX(Listado!$M:$M,N2038)="No","No","Sí"))</f>
        <v/>
      </c>
    </row>
    <row r="2039" spans="2:24" ht="14.25">
      <c r="N2039" s="17" t="str">
        <f>IF(V2039=0,"",IFERROR(LOOKUP(2,1/(INDEX(Listado!A:A,2):INDEX(Listado!A:A,ROW())&lt;&gt;""),ROW(INDEX(Listado!A:A,2):INDEX(Listado!A:A,ROW()))),""))</f>
        <v/>
      </c>
      <c r="O2039" s="17" t="str">
        <f>IFERROR(IF(N2039="","",IF(INDEX(Listado!M:M,N2039)="No",IF(INDEX(Listado!N:N,N2039)=0,"",INDEX(Listado!N:N,N2039)),IF(INDEX(Listado!I:I,N2039)=0,"",INDEX(Listado!I:I,N2039)))),"")</f>
        <v/>
      </c>
      <c r="P2039" s="17">
        <f t="shared" ca="1" si="94"/>
        <v/>
      </c>
      <c r="Q2039" s="17">
        <f>IFERROR(IF(AND(N2039&lt;&gt;"",ISNUMBER(O2039),O2039&gt;0,O2039&gt;=TODAY()-90),1,0),0)</f>
        <v/>
      </c>
      <c r="R2039" s="17" t="str">
        <f t="shared" si="96"/>
        <v/>
      </c>
      <c r="S2039" s="17" t="str">
        <f>IF(INDEX(Listado!A:A,ROW())="","",INDEX(Listado!A:A,ROW()))</f>
        <v/>
      </c>
      <c r="T2039" s="17" t="str">
        <f ca="1">IF(INDEX(Listado!G:G,ROW())="","",INDEX(Listado!G:G,ROW()))</f>
        <v/>
      </c>
      <c r="U2039" s="17" t="str">
        <f>IF(INDEX(Listado!F:F,ROW())="","",INDEX(Listado!F:F,ROW()))</f>
        <v/>
      </c>
      <c r="V2039" s="17">
        <f>IF(COUNTA(INDEX(Listado!B:B,ROW()):INDEX(Listado!F:F,ROW()))&gt;0,1,0)</f>
        <v/>
      </c>
      <c r="W2039" s="17" t="str">
        <f>IF(INDEX(Listado!L:L,ROW())="","",INDEX(Listado!L:L,ROW()))</f>
        <v/>
      </c>
      <c r="X2039" s="17">
        <f>IF(N2039="","",IF(INDEX(Listado!$M:$M,N2039)="No","No","Sí"))</f>
        <v/>
      </c>
    </row>
    <row r="2040" spans="2:24" ht="14.25">
      <c r="N2040" s="17" t="str">
        <f>IF(V2040=0,"",IFERROR(LOOKUP(2,1/(INDEX(Listado!A:A,2):INDEX(Listado!A:A,ROW())&lt;&gt;""),ROW(INDEX(Listado!A:A,2):INDEX(Listado!A:A,ROW()))),""))</f>
        <v/>
      </c>
      <c r="O2040" s="17" t="str">
        <f>IFERROR(IF(N2040="","",IF(INDEX(Listado!M:M,N2040)="No",IF(INDEX(Listado!N:N,N2040)=0,"",INDEX(Listado!N:N,N2040)),IF(INDEX(Listado!I:I,N2040)=0,"",INDEX(Listado!I:I,N2040)))),"")</f>
        <v/>
      </c>
      <c r="P2040" s="17">
        <f t="shared" ca="1" si="94"/>
        <v/>
      </c>
      <c r="Q2040" s="17">
        <f>IFERROR(IF(AND(N2040&lt;&gt;"",ISNUMBER(O2040),O2040&gt;0,O2040&gt;=TODAY()-90),1,0),0)</f>
        <v/>
      </c>
      <c r="R2040" s="17" t="str">
        <f t="shared" si="96"/>
        <v/>
      </c>
      <c r="S2040" s="17" t="str">
        <f>IF(INDEX(Listado!A:A,ROW())="","",INDEX(Listado!A:A,ROW()))</f>
        <v/>
      </c>
      <c r="T2040" s="17" t="str">
        <f ca="1">IF(INDEX(Listado!G:G,ROW())="","",INDEX(Listado!G:G,ROW()))</f>
        <v/>
      </c>
      <c r="U2040" s="17" t="str">
        <f>IF(INDEX(Listado!F:F,ROW())="","",INDEX(Listado!F:F,ROW()))</f>
        <v/>
      </c>
      <c r="V2040" s="17">
        <f>IF(COUNTA(INDEX(Listado!B:B,ROW()):INDEX(Listado!F:F,ROW()))&gt;0,1,0)</f>
        <v/>
      </c>
      <c r="W2040" s="17" t="str">
        <f>IF(INDEX(Listado!L:L,ROW())="","",INDEX(Listado!L:L,ROW()))</f>
        <v/>
      </c>
      <c r="X2040" s="17">
        <f>IF(N2040="","",IF(INDEX(Listado!$M:$M,N2040)="No","No","Sí"))</f>
        <v/>
      </c>
    </row>
    <row r="2041" spans="2:24" ht="14.25">
      <c r="N2041" s="17" t="str">
        <f>IF(V2041=0,"",IFERROR(LOOKUP(2,1/(INDEX(Listado!A:A,2):INDEX(Listado!A:A,ROW())&lt;&gt;""),ROW(INDEX(Listado!A:A,2):INDEX(Listado!A:A,ROW()))),""))</f>
        <v/>
      </c>
      <c r="O2041" s="17" t="str">
        <f>IFERROR(IF(N2041="","",IF(INDEX(Listado!M:M,N2041)="No",IF(INDEX(Listado!N:N,N2041)=0,"",INDEX(Listado!N:N,N2041)),IF(INDEX(Listado!I:I,N2041)=0,"",INDEX(Listado!I:I,N2041)))),"")</f>
        <v/>
      </c>
      <c r="P2041" s="17">
        <f t="shared" ca="1" si="94"/>
        <v/>
      </c>
      <c r="Q2041" s="17">
        <f>IFERROR(IF(AND(N2041&lt;&gt;"",ISNUMBER(O2041),O2041&gt;0,O2041&gt;=TODAY()-90),1,0),0)</f>
        <v/>
      </c>
      <c r="R2041" s="17" t="str">
        <f t="shared" si="96"/>
        <v/>
      </c>
      <c r="S2041" s="17" t="str">
        <f>IF(INDEX(Listado!A:A,ROW())="","",INDEX(Listado!A:A,ROW()))</f>
        <v/>
      </c>
      <c r="T2041" s="17" t="str">
        <f ca="1">IF(INDEX(Listado!G:G,ROW())="","",INDEX(Listado!G:G,ROW()))</f>
        <v/>
      </c>
      <c r="U2041" s="17" t="str">
        <f>IF(INDEX(Listado!F:F,ROW())="","",INDEX(Listado!F:F,ROW()))</f>
        <v/>
      </c>
      <c r="V2041" s="17">
        <f>IF(COUNTA(INDEX(Listado!B:B,ROW()):INDEX(Listado!F:F,ROW()))&gt;0,1,0)</f>
        <v/>
      </c>
      <c r="W2041" s="17" t="str">
        <f>IF(INDEX(Listado!L:L,ROW())="","",INDEX(Listado!L:L,ROW()))</f>
        <v/>
      </c>
      <c r="X2041" s="17">
        <f>IF(N2041="","",IF(INDEX(Listado!$M:$M,N2041)="No","No","Sí"))</f>
        <v/>
      </c>
    </row>
    <row r="2042" spans="2:24" ht="14.25">
      <c r="N2042" s="17" t="str">
        <f>IF(V2042=0,"",IFERROR(LOOKUP(2,1/(INDEX(Listado!A:A,2):INDEX(Listado!A:A,ROW())&lt;&gt;""),ROW(INDEX(Listado!A:A,2):INDEX(Listado!A:A,ROW()))),""))</f>
        <v/>
      </c>
      <c r="O2042" s="17" t="str">
        <f>IFERROR(IF(N2042="","",IF(INDEX(Listado!M:M,N2042)="No",IF(INDEX(Listado!N:N,N2042)=0,"",INDEX(Listado!N:N,N2042)),IF(INDEX(Listado!I:I,N2042)=0,"",INDEX(Listado!I:I,N2042)))),"")</f>
        <v/>
      </c>
      <c r="P2042" s="17">
        <f t="shared" ca="1" si="94"/>
        <v/>
      </c>
      <c r="Q2042" s="17">
        <f>IFERROR(IF(AND(N2042&lt;&gt;"",ISNUMBER(O2042),O2042&gt;0,O2042&gt;=TODAY()-90),1,0),0)</f>
        <v/>
      </c>
      <c r="R2042" s="17" t="str">
        <f t="shared" si="96"/>
        <v/>
      </c>
      <c r="S2042" s="17" t="str">
        <f>IF(INDEX(Listado!A:A,ROW())="","",INDEX(Listado!A:A,ROW()))</f>
        <v/>
      </c>
      <c r="T2042" s="17" t="str">
        <f ca="1">IF(INDEX(Listado!G:G,ROW())="","",INDEX(Listado!G:G,ROW()))</f>
        <v/>
      </c>
      <c r="U2042" s="17" t="str">
        <f>IF(INDEX(Listado!F:F,ROW())="","",INDEX(Listado!F:F,ROW()))</f>
        <v/>
      </c>
      <c r="V2042" s="17">
        <f>IF(COUNTA(INDEX(Listado!B:B,ROW()):INDEX(Listado!F:F,ROW()))&gt;0,1,0)</f>
        <v/>
      </c>
      <c r="W2042" s="17" t="str">
        <f>IF(INDEX(Listado!L:L,ROW())="","",INDEX(Listado!L:L,ROW()))</f>
        <v/>
      </c>
      <c r="X2042" s="17">
        <f>IF(N2042="","",IF(INDEX(Listado!$M:$M,N2042)="No","No","Sí"))</f>
        <v/>
      </c>
    </row>
    <row r="2043" spans="2:24" ht="14.25">
      <c r="N2043" s="17" t="str">
        <f>IF(V2043=0,"",IFERROR(LOOKUP(2,1/(INDEX(Listado!A:A,2):INDEX(Listado!A:A,ROW())&lt;&gt;""),ROW(INDEX(Listado!A:A,2):INDEX(Listado!A:A,ROW()))),""))</f>
        <v/>
      </c>
      <c r="O2043" s="17" t="str">
        <f>IFERROR(IF(N2043="","",IF(INDEX(Listado!M:M,N2043)="No",IF(INDEX(Listado!N:N,N2043)=0,"",INDEX(Listado!N:N,N2043)),IF(INDEX(Listado!I:I,N2043)=0,"",INDEX(Listado!I:I,N2043)))),"")</f>
        <v/>
      </c>
      <c r="P2043" s="17">
        <f t="shared" ca="1" si="94"/>
        <v/>
      </c>
      <c r="Q2043" s="17">
        <f>IFERROR(IF(AND(N2043&lt;&gt;"",ISNUMBER(O2043),O2043&gt;0,O2043&gt;=TODAY()-90),1,0),0)</f>
        <v/>
      </c>
      <c r="R2043" s="17" t="str">
        <f t="shared" si="96"/>
        <v/>
      </c>
      <c r="S2043" s="17" t="str">
        <f>IF(INDEX(Listado!A:A,ROW())="","",INDEX(Listado!A:A,ROW()))</f>
        <v/>
      </c>
      <c r="T2043" s="17" t="str">
        <f ca="1">IF(INDEX(Listado!G:G,ROW())="","",INDEX(Listado!G:G,ROW()))</f>
        <v/>
      </c>
      <c r="U2043" s="17" t="str">
        <f>IF(INDEX(Listado!F:F,ROW())="","",INDEX(Listado!F:F,ROW()))</f>
        <v/>
      </c>
      <c r="V2043" s="17">
        <f>IF(COUNTA(INDEX(Listado!B:B,ROW()):INDEX(Listado!F:F,ROW()))&gt;0,1,0)</f>
        <v/>
      </c>
      <c r="W2043" s="17" t="str">
        <f>IF(INDEX(Listado!L:L,ROW())="","",INDEX(Listado!L:L,ROW()))</f>
        <v/>
      </c>
      <c r="X2043" s="17">
        <f>IF(N2043="","",IF(INDEX(Listado!$M:$M,N2043)="No","No","Sí"))</f>
        <v/>
      </c>
    </row>
    <row r="2044" spans="2:24" ht="14.25">
      <c r="N2044" s="17" t="str">
        <f>IF(V2044=0,"",IFERROR(LOOKUP(2,1/(INDEX(Listado!A:A,2):INDEX(Listado!A:A,ROW())&lt;&gt;""),ROW(INDEX(Listado!A:A,2):INDEX(Listado!A:A,ROW()))),""))</f>
        <v/>
      </c>
      <c r="O2044" s="17" t="str">
        <f>IFERROR(IF(N2044="","",IF(INDEX(Listado!M:M,N2044)="No",IF(INDEX(Listado!N:N,N2044)=0,"",INDEX(Listado!N:N,N2044)),IF(INDEX(Listado!I:I,N2044)=0,"",INDEX(Listado!I:I,N2044)))),"")</f>
        <v/>
      </c>
      <c r="P2044" s="17">
        <f t="shared" ca="1" si="94"/>
        <v/>
      </c>
      <c r="Q2044" s="17">
        <f>IFERROR(IF(AND(N2044&lt;&gt;"",ISNUMBER(O2044),O2044&gt;0,O2044&gt;=TODAY()-90),1,0),0)</f>
        <v/>
      </c>
      <c r="R2044" s="17" t="str">
        <f t="shared" si="96"/>
        <v/>
      </c>
      <c r="S2044" s="17" t="str">
        <f>IF(INDEX(Listado!A:A,ROW())="","",INDEX(Listado!A:A,ROW()))</f>
        <v/>
      </c>
      <c r="T2044" s="17" t="str">
        <f ca="1">IF(INDEX(Listado!G:G,ROW())="","",INDEX(Listado!G:G,ROW()))</f>
        <v/>
      </c>
      <c r="U2044" s="17" t="str">
        <f>IF(INDEX(Listado!F:F,ROW())="","",INDEX(Listado!F:F,ROW()))</f>
        <v/>
      </c>
      <c r="V2044" s="17">
        <f>IF(COUNTA(INDEX(Listado!B:B,ROW()):INDEX(Listado!F:F,ROW()))&gt;0,1,0)</f>
        <v/>
      </c>
      <c r="W2044" s="17" t="str">
        <f>IF(INDEX(Listado!L:L,ROW())="","",INDEX(Listado!L:L,ROW()))</f>
        <v/>
      </c>
      <c r="X2044" s="17">
        <f>IF(N2044="","",IF(INDEX(Listado!$M:$M,N2044)="No","No","Sí"))</f>
        <v/>
      </c>
    </row>
    <row r="2045" spans="2:24" ht="14.25">
      <c r="N2045" s="17" t="str">
        <f>IF(V2045=0,"",IFERROR(LOOKUP(2,1/(INDEX(Listado!A:A,2):INDEX(Listado!A:A,ROW())&lt;&gt;""),ROW(INDEX(Listado!A:A,2):INDEX(Listado!A:A,ROW()))),""))</f>
        <v/>
      </c>
      <c r="O2045" s="17" t="str">
        <f>IFERROR(IF(N2045="","",IF(INDEX(Listado!M:M,N2045)="No",IF(INDEX(Listado!N:N,N2045)=0,"",INDEX(Listado!N:N,N2045)),IF(INDEX(Listado!I:I,N2045)=0,"",INDEX(Listado!I:I,N2045)))),"")</f>
        <v/>
      </c>
      <c r="P2045" s="17">
        <f t="shared" ca="1" si="94"/>
        <v/>
      </c>
      <c r="Q2045" s="17">
        <f>IFERROR(IF(AND(N2045&lt;&gt;"",ISNUMBER(O2045),O2045&gt;0,O2045&gt;=TODAY()-90),1,0),0)</f>
        <v/>
      </c>
      <c r="R2045" s="17" t="str">
        <f t="shared" si="96"/>
        <v/>
      </c>
      <c r="S2045" s="17" t="str">
        <f>IF(INDEX(Listado!A:A,ROW())="","",INDEX(Listado!A:A,ROW()))</f>
        <v/>
      </c>
      <c r="T2045" s="17" t="str">
        <f ca="1">IF(INDEX(Listado!G:G,ROW())="","",INDEX(Listado!G:G,ROW()))</f>
        <v/>
      </c>
      <c r="U2045" s="17" t="str">
        <f>IF(INDEX(Listado!F:F,ROW())="","",INDEX(Listado!F:F,ROW()))</f>
        <v/>
      </c>
      <c r="V2045" s="17">
        <f>IF(COUNTA(INDEX(Listado!B:B,ROW()):INDEX(Listado!F:F,ROW()))&gt;0,1,0)</f>
        <v/>
      </c>
      <c r="W2045" s="17" t="str">
        <f>IF(INDEX(Listado!L:L,ROW())="","",INDEX(Listado!L:L,ROW()))</f>
        <v/>
      </c>
      <c r="X2045" s="17">
        <f>IF(N2045="","",IF(INDEX(Listado!$M:$M,N2045)="No","No","Sí"))</f>
        <v/>
      </c>
    </row>
    <row r="2046" spans="2:24" ht="14.25">
      <c r="N2046" s="17" t="str">
        <f>IF(V2046=0,"",IFERROR(LOOKUP(2,1/(INDEX(Listado!A:A,2):INDEX(Listado!A:A,ROW())&lt;&gt;""),ROW(INDEX(Listado!A:A,2):INDEX(Listado!A:A,ROW()))),""))</f>
        <v/>
      </c>
      <c r="O2046" s="17" t="str">
        <f>IFERROR(IF(N2046="","",IF(INDEX(Listado!M:M,N2046)="No",IF(INDEX(Listado!N:N,N2046)=0,"",INDEX(Listado!N:N,N2046)),IF(INDEX(Listado!I:I,N2046)=0,"",INDEX(Listado!I:I,N2046)))),"")</f>
        <v/>
      </c>
      <c r="P2046" s="17">
        <f t="shared" ca="1" si="94"/>
        <v/>
      </c>
      <c r="Q2046" s="17">
        <f>IFERROR(IF(AND(N2046&lt;&gt;"",ISNUMBER(O2046),O2046&gt;0,O2046&gt;=TODAY()-90),1,0),0)</f>
        <v/>
      </c>
      <c r="R2046" s="17" t="str">
        <f t="shared" si="96"/>
        <v/>
      </c>
      <c r="S2046" s="17" t="str">
        <f>IF(INDEX(Listado!A:A,ROW())="","",INDEX(Listado!A:A,ROW()))</f>
        <v/>
      </c>
      <c r="T2046" s="17" t="str">
        <f ca="1">IF(INDEX(Listado!G:G,ROW())="","",INDEX(Listado!G:G,ROW()))</f>
        <v/>
      </c>
      <c r="U2046" s="17" t="str">
        <f>IF(INDEX(Listado!F:F,ROW())="","",INDEX(Listado!F:F,ROW()))</f>
        <v/>
      </c>
      <c r="V2046" s="17">
        <f>IF(COUNTA(INDEX(Listado!B:B,ROW()):INDEX(Listado!F:F,ROW()))&gt;0,1,0)</f>
        <v/>
      </c>
      <c r="W2046" s="17" t="str">
        <f>IF(INDEX(Listado!L:L,ROW())="","",INDEX(Listado!L:L,ROW()))</f>
        <v/>
      </c>
      <c r="X2046" s="17">
        <f>IF(N2046="","",IF(INDEX(Listado!$M:$M,N2046)="No","No","Sí"))</f>
        <v/>
      </c>
    </row>
    <row r="2047" spans="2:24" ht="14.25">
      <c r="N2047" s="17" t="str">
        <f>IF(V2047=0,"",IFERROR(LOOKUP(2,1/(INDEX(Listado!A:A,2):INDEX(Listado!A:A,ROW())&lt;&gt;""),ROW(INDEX(Listado!A:A,2):INDEX(Listado!A:A,ROW()))),""))</f>
        <v/>
      </c>
      <c r="O2047" s="17" t="str">
        <f>IFERROR(IF(N2047="","",IF(INDEX(Listado!M:M,N2047)="No",IF(INDEX(Listado!N:N,N2047)=0,"",INDEX(Listado!N:N,N2047)),IF(INDEX(Listado!I:I,N2047)=0,"",INDEX(Listado!I:I,N2047)))),"")</f>
        <v/>
      </c>
      <c r="P2047" s="17">
        <f t="shared" ca="1" si="94"/>
        <v/>
      </c>
      <c r="Q2047" s="17">
        <f>IFERROR(IF(AND(N2047&lt;&gt;"",ISNUMBER(O2047),O2047&gt;0,O2047&gt;=TODAY()-90),1,0),0)</f>
        <v/>
      </c>
      <c r="R2047" s="17" t="str">
        <f t="shared" si="96"/>
        <v/>
      </c>
      <c r="S2047" s="17" t="str">
        <f>IF(INDEX(Listado!A:A,ROW())="","",INDEX(Listado!A:A,ROW()))</f>
        <v/>
      </c>
      <c r="T2047" s="17" t="str">
        <f ca="1">IF(INDEX(Listado!G:G,ROW())="","",INDEX(Listado!G:G,ROW()))</f>
        <v/>
      </c>
      <c r="U2047" s="17" t="str">
        <f>IF(INDEX(Listado!F:F,ROW())="","",INDEX(Listado!F:F,ROW()))</f>
        <v/>
      </c>
      <c r="V2047" s="17">
        <f>IF(COUNTA(INDEX(Listado!B:B,ROW()):INDEX(Listado!F:F,ROW()))&gt;0,1,0)</f>
        <v/>
      </c>
      <c r="W2047" s="17" t="str">
        <f>IF(INDEX(Listado!L:L,ROW())="","",INDEX(Listado!L:L,ROW()))</f>
        <v/>
      </c>
      <c r="X2047" s="17">
        <f>IF(N2047="","",IF(INDEX(Listado!$M:$M,N2047)="No","No","Sí"))</f>
        <v/>
      </c>
    </row>
    <row r="2048" spans="2:24" ht="14.25">
      <c r="N2048" s="17" t="str">
        <f>IF(V2048=0,"",IFERROR(LOOKUP(2,1/(INDEX(Listado!A:A,2):INDEX(Listado!A:A,ROW())&lt;&gt;""),ROW(INDEX(Listado!A:A,2):INDEX(Listado!A:A,ROW()))),""))</f>
        <v/>
      </c>
      <c r="O2048" s="17" t="str">
        <f>IFERROR(IF(N2048="","",IF(INDEX(Listado!M:M,N2048)="No",IF(INDEX(Listado!N:N,N2048)=0,"",INDEX(Listado!N:N,N2048)),IF(INDEX(Listado!I:I,N2048)=0,"",INDEX(Listado!I:I,N2048)))),"")</f>
        <v/>
      </c>
      <c r="P2048" s="17">
        <f t="shared" ca="1" si="94"/>
        <v/>
      </c>
      <c r="Q2048" s="17">
        <f>IFERROR(IF(AND(N2048&lt;&gt;"",ISNUMBER(O2048),O2048&gt;0,O2048&gt;=TODAY()-90),1,0),0)</f>
        <v/>
      </c>
      <c r="R2048" s="17" t="str">
        <f t="shared" si="96"/>
        <v/>
      </c>
      <c r="S2048" s="17" t="str">
        <f>IF(INDEX(Listado!A:A,ROW())="","",INDEX(Listado!A:A,ROW()))</f>
        <v/>
      </c>
      <c r="T2048" s="17" t="str">
        <f ca="1">IF(INDEX(Listado!G:G,ROW())="","",INDEX(Listado!G:G,ROW()))</f>
        <v/>
      </c>
      <c r="U2048" s="17" t="str">
        <f>IF(INDEX(Listado!F:F,ROW())="","",INDEX(Listado!F:F,ROW()))</f>
        <v/>
      </c>
      <c r="V2048" s="17">
        <f>IF(COUNTA(INDEX(Listado!B:B,ROW()):INDEX(Listado!F:F,ROW()))&gt;0,1,0)</f>
        <v/>
      </c>
      <c r="W2048" s="17" t="str">
        <f>IF(INDEX(Listado!L:L,ROW())="","",INDEX(Listado!L:L,ROW()))</f>
        <v/>
      </c>
      <c r="X2048" s="17">
        <f>IF(N2048="","",IF(INDEX(Listado!$M:$M,N2048)="No","No","Sí"))</f>
        <v/>
      </c>
    </row>
    <row r="2049" spans="2:24" ht="14.25">
      <c r="N2049" s="17" t="str">
        <f>IF(V2049=0,"",IFERROR(LOOKUP(2,1/(INDEX(Listado!A:A,2):INDEX(Listado!A:A,ROW())&lt;&gt;""),ROW(INDEX(Listado!A:A,2):INDEX(Listado!A:A,ROW()))),""))</f>
        <v/>
      </c>
      <c r="O2049" s="17" t="str">
        <f>IFERROR(IF(N2049="","",IF(INDEX(Listado!M:M,N2049)="No",IF(INDEX(Listado!N:N,N2049)=0,"",INDEX(Listado!N:N,N2049)),IF(INDEX(Listado!I:I,N2049)=0,"",INDEX(Listado!I:I,N2049)))),"")</f>
        <v/>
      </c>
      <c r="P2049" s="17">
        <f t="shared" ca="1" si="94"/>
        <v/>
      </c>
      <c r="Q2049" s="17">
        <f>IFERROR(IF(AND(N2049&lt;&gt;"",ISNUMBER(O2049),O2049&gt;0,O2049&gt;=TODAY()-90),1,0),0)</f>
        <v/>
      </c>
      <c r="R2049" s="17" t="str">
        <f t="shared" si="96"/>
        <v/>
      </c>
      <c r="S2049" s="17" t="str">
        <f>IF(INDEX(Listado!A:A,ROW())="","",INDEX(Listado!A:A,ROW()))</f>
        <v/>
      </c>
      <c r="T2049" s="17" t="str">
        <f ca="1">IF(INDEX(Listado!G:G,ROW())="","",INDEX(Listado!G:G,ROW()))</f>
        <v/>
      </c>
      <c r="U2049" s="17" t="str">
        <f>IF(INDEX(Listado!F:F,ROW())="","",INDEX(Listado!F:F,ROW()))</f>
        <v/>
      </c>
      <c r="V2049" s="17">
        <f>IF(COUNTA(INDEX(Listado!B:B,ROW()):INDEX(Listado!F:F,ROW()))&gt;0,1,0)</f>
        <v/>
      </c>
      <c r="W2049" s="17" t="str">
        <f>IF(INDEX(Listado!L:L,ROW())="","",INDEX(Listado!L:L,ROW()))</f>
        <v/>
      </c>
      <c r="X2049" s="17">
        <f>IF(N2049="","",IF(INDEX(Listado!$M:$M,N2049)="No","No","Sí"))</f>
        <v/>
      </c>
    </row>
    <row r="2050" spans="2:24" ht="14.25">
      <c r="N2050" s="17" t="str">
        <f>IF(V2050=0,"",IFERROR(LOOKUP(2,1/(INDEX(Listado!A:A,2):INDEX(Listado!A:A,ROW())&lt;&gt;""),ROW(INDEX(Listado!A:A,2):INDEX(Listado!A:A,ROW()))),""))</f>
        <v/>
      </c>
      <c r="O2050" s="17" t="str">
        <f>IFERROR(IF(N2050="","",IF(INDEX(Listado!M:M,N2050)="No",IF(INDEX(Listado!N:N,N2050)=0,"",INDEX(Listado!N:N,N2050)),IF(INDEX(Listado!I:I,N2050)=0,"",INDEX(Listado!I:I,N2050)))),"")</f>
        <v/>
      </c>
      <c r="P2050" s="17">
        <f t="shared" ref="P2050:P2113" ca="1" si="97">IF(W2050="",0,IFERROR(IF(AND(ISNUMBER(W2050),W2050=INT(W2050),ISNUMBER(O2050),O2050&gt;0,W2050&gt;=TODAY(),W2050&lt;=O2050+90),0,1),1))</f>
        <v/>
      </c>
      <c r="Q2050" s="17">
        <f>IFERROR(IF(AND(N2050&lt;&gt;"",ISNUMBER(O2050),O2050&gt;0,O2050&gt;=TODAY()-90),1,0),0)</f>
        <v/>
      </c>
      <c r="R2050" s="17" t="str">
        <f t="shared" ref="R2050:R2113" si="99">IF(S2050="","",COUNTIFS($N$2:$N$2999,ROW(),$Q$2:$Q$2999,1))</f>
        <v/>
      </c>
      <c r="S2050" s="17" t="str">
        <f>IF(INDEX(Listado!A:A,ROW())="","",INDEX(Listado!A:A,ROW()))</f>
        <v/>
      </c>
      <c r="T2050" s="17" t="str">
        <f ca="1">IF(INDEX(Listado!G:G,ROW())="","",INDEX(Listado!G:G,ROW()))</f>
        <v/>
      </c>
      <c r="U2050" s="17" t="str">
        <f>IF(INDEX(Listado!F:F,ROW())="","",INDEX(Listado!F:F,ROW()))</f>
        <v/>
      </c>
      <c r="V2050" s="17">
        <f>IF(COUNTA(INDEX(Listado!B:B,ROW()):INDEX(Listado!F:F,ROW()))&gt;0,1,0)</f>
        <v/>
      </c>
      <c r="W2050" s="17" t="str">
        <f>IF(INDEX(Listado!L:L,ROW())="","",INDEX(Listado!L:L,ROW()))</f>
        <v/>
      </c>
      <c r="X2050" s="17">
        <f>IF(N2050="","",IF(INDEX(Listado!$M:$M,N2050)="No","No","Sí"))</f>
        <v/>
      </c>
    </row>
    <row r="2051" spans="2:24" ht="14.25">
      <c r="N2051" s="17" t="str">
        <f>IF(V2051=0,"",IFERROR(LOOKUP(2,1/(INDEX(Listado!A:A,2):INDEX(Listado!A:A,ROW())&lt;&gt;""),ROW(INDEX(Listado!A:A,2):INDEX(Listado!A:A,ROW()))),""))</f>
        <v/>
      </c>
      <c r="O2051" s="17" t="str">
        <f>IFERROR(IF(N2051="","",IF(INDEX(Listado!M:M,N2051)="No",IF(INDEX(Listado!N:N,N2051)=0,"",INDEX(Listado!N:N,N2051)),IF(INDEX(Listado!I:I,N2051)=0,"",INDEX(Listado!I:I,N2051)))),"")</f>
        <v/>
      </c>
      <c r="P2051" s="17">
        <f t="shared" ca="1" si="97"/>
        <v/>
      </c>
      <c r="Q2051" s="17">
        <f>IFERROR(IF(AND(N2051&lt;&gt;"",ISNUMBER(O2051),O2051&gt;0,O2051&gt;=TODAY()-90),1,0),0)</f>
        <v/>
      </c>
      <c r="R2051" s="17" t="str">
        <f t="shared" si="99"/>
        <v/>
      </c>
      <c r="S2051" s="17" t="str">
        <f>IF(INDEX(Listado!A:A,ROW())="","",INDEX(Listado!A:A,ROW()))</f>
        <v/>
      </c>
      <c r="T2051" s="17" t="str">
        <f ca="1">IF(INDEX(Listado!G:G,ROW())="","",INDEX(Listado!G:G,ROW()))</f>
        <v/>
      </c>
      <c r="U2051" s="17" t="str">
        <f>IF(INDEX(Listado!F:F,ROW())="","",INDEX(Listado!F:F,ROW()))</f>
        <v/>
      </c>
      <c r="V2051" s="17">
        <f>IF(COUNTA(INDEX(Listado!B:B,ROW()):INDEX(Listado!F:F,ROW()))&gt;0,1,0)</f>
        <v/>
      </c>
      <c r="W2051" s="17" t="str">
        <f>IF(INDEX(Listado!L:L,ROW())="","",INDEX(Listado!L:L,ROW()))</f>
        <v/>
      </c>
      <c r="X2051" s="17">
        <f>IF(N2051="","",IF(INDEX(Listado!$M:$M,N2051)="No","No","Sí"))</f>
        <v/>
      </c>
    </row>
    <row r="2052" spans="2:24" ht="14.25">
      <c r="N2052" s="17" t="str">
        <f>IF(V2052=0,"",IFERROR(LOOKUP(2,1/(INDEX(Listado!A:A,2):INDEX(Listado!A:A,ROW())&lt;&gt;""),ROW(INDEX(Listado!A:A,2):INDEX(Listado!A:A,ROW()))),""))</f>
        <v/>
      </c>
      <c r="O2052" s="17" t="str">
        <f>IFERROR(IF(N2052="","",IF(INDEX(Listado!M:M,N2052)="No",IF(INDEX(Listado!N:N,N2052)=0,"",INDEX(Listado!N:N,N2052)),IF(INDEX(Listado!I:I,N2052)=0,"",INDEX(Listado!I:I,N2052)))),"")</f>
        <v/>
      </c>
      <c r="P2052" s="17">
        <f t="shared" ca="1" si="97"/>
        <v/>
      </c>
      <c r="Q2052" s="17">
        <f>IFERROR(IF(AND(N2052&lt;&gt;"",ISNUMBER(O2052),O2052&gt;0,O2052&gt;=TODAY()-90),1,0),0)</f>
        <v/>
      </c>
      <c r="R2052" s="17" t="str">
        <f t="shared" si="99"/>
        <v/>
      </c>
      <c r="S2052" s="17" t="str">
        <f>IF(INDEX(Listado!A:A,ROW())="","",INDEX(Listado!A:A,ROW()))</f>
        <v/>
      </c>
      <c r="T2052" s="17" t="str">
        <f ca="1">IF(INDEX(Listado!G:G,ROW())="","",INDEX(Listado!G:G,ROW()))</f>
        <v/>
      </c>
      <c r="U2052" s="17" t="str">
        <f>IF(INDEX(Listado!F:F,ROW())="","",INDEX(Listado!F:F,ROW()))</f>
        <v/>
      </c>
      <c r="V2052" s="17">
        <f>IF(COUNTA(INDEX(Listado!B:B,ROW()):INDEX(Listado!F:F,ROW()))&gt;0,1,0)</f>
        <v/>
      </c>
      <c r="W2052" s="17" t="str">
        <f>IF(INDEX(Listado!L:L,ROW())="","",INDEX(Listado!L:L,ROW()))</f>
        <v/>
      </c>
      <c r="X2052" s="17">
        <f>IF(N2052="","",IF(INDEX(Listado!$M:$M,N2052)="No","No","Sí"))</f>
        <v/>
      </c>
    </row>
    <row r="2053" spans="2:24" ht="14.25">
      <c r="N2053" s="17" t="str">
        <f>IF(V2053=0,"",IFERROR(LOOKUP(2,1/(INDEX(Listado!A:A,2):INDEX(Listado!A:A,ROW())&lt;&gt;""),ROW(INDEX(Listado!A:A,2):INDEX(Listado!A:A,ROW()))),""))</f>
        <v/>
      </c>
      <c r="O2053" s="17" t="str">
        <f>IFERROR(IF(N2053="","",IF(INDEX(Listado!M:M,N2053)="No",IF(INDEX(Listado!N:N,N2053)=0,"",INDEX(Listado!N:N,N2053)),IF(INDEX(Listado!I:I,N2053)=0,"",INDEX(Listado!I:I,N2053)))),"")</f>
        <v/>
      </c>
      <c r="P2053" s="17">
        <f t="shared" ca="1" si="97"/>
        <v/>
      </c>
      <c r="Q2053" s="17">
        <f>IFERROR(IF(AND(N2053&lt;&gt;"",ISNUMBER(O2053),O2053&gt;0,O2053&gt;=TODAY()-90),1,0),0)</f>
        <v/>
      </c>
      <c r="R2053" s="17" t="str">
        <f t="shared" si="99"/>
        <v/>
      </c>
      <c r="S2053" s="17" t="str">
        <f>IF(INDEX(Listado!A:A,ROW())="","",INDEX(Listado!A:A,ROW()))</f>
        <v/>
      </c>
      <c r="T2053" s="17" t="str">
        <f ca="1">IF(INDEX(Listado!G:G,ROW())="","",INDEX(Listado!G:G,ROW()))</f>
        <v/>
      </c>
      <c r="U2053" s="17" t="str">
        <f>IF(INDEX(Listado!F:F,ROW())="","",INDEX(Listado!F:F,ROW()))</f>
        <v/>
      </c>
      <c r="V2053" s="17">
        <f>IF(COUNTA(INDEX(Listado!B:B,ROW()):INDEX(Listado!F:F,ROW()))&gt;0,1,0)</f>
        <v/>
      </c>
      <c r="W2053" s="17" t="str">
        <f>IF(INDEX(Listado!L:L,ROW())="","",INDEX(Listado!L:L,ROW()))</f>
        <v/>
      </c>
      <c r="X2053" s="17">
        <f>IF(N2053="","",IF(INDEX(Listado!$M:$M,N2053)="No","No","Sí"))</f>
        <v/>
      </c>
    </row>
    <row r="2054" spans="2:24" ht="14.25">
      <c r="N2054" s="17" t="str">
        <f>IF(V2054=0,"",IFERROR(LOOKUP(2,1/(INDEX(Listado!A:A,2):INDEX(Listado!A:A,ROW())&lt;&gt;""),ROW(INDEX(Listado!A:A,2):INDEX(Listado!A:A,ROW()))),""))</f>
        <v/>
      </c>
      <c r="O2054" s="17" t="str">
        <f>IFERROR(IF(N2054="","",IF(INDEX(Listado!M:M,N2054)="No",IF(INDEX(Listado!N:N,N2054)=0,"",INDEX(Listado!N:N,N2054)),IF(INDEX(Listado!I:I,N2054)=0,"",INDEX(Listado!I:I,N2054)))),"")</f>
        <v/>
      </c>
      <c r="P2054" s="17">
        <f t="shared" ca="1" si="97"/>
        <v/>
      </c>
      <c r="Q2054" s="17">
        <f>IFERROR(IF(AND(N2054&lt;&gt;"",ISNUMBER(O2054),O2054&gt;0,O2054&gt;=TODAY()-90),1,0),0)</f>
        <v/>
      </c>
      <c r="R2054" s="17" t="str">
        <f t="shared" si="99"/>
        <v/>
      </c>
      <c r="S2054" s="17" t="str">
        <f>IF(INDEX(Listado!A:A,ROW())="","",INDEX(Listado!A:A,ROW()))</f>
        <v/>
      </c>
      <c r="T2054" s="17" t="str">
        <f ca="1">IF(INDEX(Listado!G:G,ROW())="","",INDEX(Listado!G:G,ROW()))</f>
        <v/>
      </c>
      <c r="U2054" s="17" t="str">
        <f>IF(INDEX(Listado!F:F,ROW())="","",INDEX(Listado!F:F,ROW()))</f>
        <v/>
      </c>
      <c r="V2054" s="17">
        <f>IF(COUNTA(INDEX(Listado!B:B,ROW()):INDEX(Listado!F:F,ROW()))&gt;0,1,0)</f>
        <v/>
      </c>
      <c r="W2054" s="17" t="str">
        <f>IF(INDEX(Listado!L:L,ROW())="","",INDEX(Listado!L:L,ROW()))</f>
        <v/>
      </c>
      <c r="X2054" s="17">
        <f>IF(N2054="","",IF(INDEX(Listado!$M:$M,N2054)="No","No","Sí"))</f>
        <v/>
      </c>
    </row>
    <row r="2055" spans="2:24" ht="14.25">
      <c r="N2055" s="17" t="str">
        <f>IF(V2055=0,"",IFERROR(LOOKUP(2,1/(INDEX(Listado!A:A,2):INDEX(Listado!A:A,ROW())&lt;&gt;""),ROW(INDEX(Listado!A:A,2):INDEX(Listado!A:A,ROW()))),""))</f>
        <v/>
      </c>
      <c r="O2055" s="17" t="str">
        <f>IFERROR(IF(N2055="","",IF(INDEX(Listado!M:M,N2055)="No",IF(INDEX(Listado!N:N,N2055)=0,"",INDEX(Listado!N:N,N2055)),IF(INDEX(Listado!I:I,N2055)=0,"",INDEX(Listado!I:I,N2055)))),"")</f>
        <v/>
      </c>
      <c r="P2055" s="17">
        <f t="shared" ca="1" si="97"/>
        <v/>
      </c>
      <c r="Q2055" s="17">
        <f>IFERROR(IF(AND(N2055&lt;&gt;"",ISNUMBER(O2055),O2055&gt;0,O2055&gt;=TODAY()-90),1,0),0)</f>
        <v/>
      </c>
      <c r="R2055" s="17" t="str">
        <f t="shared" si="99"/>
        <v/>
      </c>
      <c r="S2055" s="17" t="str">
        <f>IF(INDEX(Listado!A:A,ROW())="","",INDEX(Listado!A:A,ROW()))</f>
        <v/>
      </c>
      <c r="T2055" s="17" t="str">
        <f ca="1">IF(INDEX(Listado!G:G,ROW())="","",INDEX(Listado!G:G,ROW()))</f>
        <v/>
      </c>
      <c r="U2055" s="17" t="str">
        <f>IF(INDEX(Listado!F:F,ROW())="","",INDEX(Listado!F:F,ROW()))</f>
        <v/>
      </c>
      <c r="V2055" s="17">
        <f>IF(COUNTA(INDEX(Listado!B:B,ROW()):INDEX(Listado!F:F,ROW()))&gt;0,1,0)</f>
        <v/>
      </c>
      <c r="W2055" s="17" t="str">
        <f>IF(INDEX(Listado!L:L,ROW())="","",INDEX(Listado!L:L,ROW()))</f>
        <v/>
      </c>
      <c r="X2055" s="17">
        <f>IF(N2055="","",IF(INDEX(Listado!$M:$M,N2055)="No","No","Sí"))</f>
        <v/>
      </c>
    </row>
    <row r="2056" spans="2:24" ht="14.25">
      <c r="N2056" s="17" t="str">
        <f>IF(V2056=0,"",IFERROR(LOOKUP(2,1/(INDEX(Listado!A:A,2):INDEX(Listado!A:A,ROW())&lt;&gt;""),ROW(INDEX(Listado!A:A,2):INDEX(Listado!A:A,ROW()))),""))</f>
        <v/>
      </c>
      <c r="O2056" s="17" t="str">
        <f>IFERROR(IF(N2056="","",IF(INDEX(Listado!M:M,N2056)="No",IF(INDEX(Listado!N:N,N2056)=0,"",INDEX(Listado!N:N,N2056)),IF(INDEX(Listado!I:I,N2056)=0,"",INDEX(Listado!I:I,N2056)))),"")</f>
        <v/>
      </c>
      <c r="P2056" s="17">
        <f t="shared" ca="1" si="97"/>
        <v/>
      </c>
      <c r="Q2056" s="17">
        <f>IFERROR(IF(AND(N2056&lt;&gt;"",ISNUMBER(O2056),O2056&gt;0,O2056&gt;=TODAY()-90),1,0),0)</f>
        <v/>
      </c>
      <c r="R2056" s="17" t="str">
        <f t="shared" si="99"/>
        <v/>
      </c>
      <c r="S2056" s="17" t="str">
        <f>IF(INDEX(Listado!A:A,ROW())="","",INDEX(Listado!A:A,ROW()))</f>
        <v/>
      </c>
      <c r="T2056" s="17" t="str">
        <f ca="1">IF(INDEX(Listado!G:G,ROW())="","",INDEX(Listado!G:G,ROW()))</f>
        <v/>
      </c>
      <c r="U2056" s="17" t="str">
        <f>IF(INDEX(Listado!F:F,ROW())="","",INDEX(Listado!F:F,ROW()))</f>
        <v/>
      </c>
      <c r="V2056" s="17">
        <f>IF(COUNTA(INDEX(Listado!B:B,ROW()):INDEX(Listado!F:F,ROW()))&gt;0,1,0)</f>
        <v/>
      </c>
      <c r="W2056" s="17" t="str">
        <f>IF(INDEX(Listado!L:L,ROW())="","",INDEX(Listado!L:L,ROW()))</f>
        <v/>
      </c>
      <c r="X2056" s="17">
        <f>IF(N2056="","",IF(INDEX(Listado!$M:$M,N2056)="No","No","Sí"))</f>
        <v/>
      </c>
    </row>
    <row r="2057" spans="2:24" ht="14.25">
      <c r="N2057" s="17" t="str">
        <f>IF(V2057=0,"",IFERROR(LOOKUP(2,1/(INDEX(Listado!A:A,2):INDEX(Listado!A:A,ROW())&lt;&gt;""),ROW(INDEX(Listado!A:A,2):INDEX(Listado!A:A,ROW()))),""))</f>
        <v/>
      </c>
      <c r="O2057" s="17" t="str">
        <f>IFERROR(IF(N2057="","",IF(INDEX(Listado!M:M,N2057)="No",IF(INDEX(Listado!N:N,N2057)=0,"",INDEX(Listado!N:N,N2057)),IF(INDEX(Listado!I:I,N2057)=0,"",INDEX(Listado!I:I,N2057)))),"")</f>
        <v/>
      </c>
      <c r="P2057" s="17">
        <f t="shared" ca="1" si="97"/>
        <v/>
      </c>
      <c r="Q2057" s="17">
        <f>IFERROR(IF(AND(N2057&lt;&gt;"",ISNUMBER(O2057),O2057&gt;0,O2057&gt;=TODAY()-90),1,0),0)</f>
        <v/>
      </c>
      <c r="R2057" s="17" t="str">
        <f t="shared" si="99"/>
        <v/>
      </c>
      <c r="S2057" s="17" t="str">
        <f>IF(INDEX(Listado!A:A,ROW())="","",INDEX(Listado!A:A,ROW()))</f>
        <v/>
      </c>
      <c r="T2057" s="17" t="str">
        <f ca="1">IF(INDEX(Listado!G:G,ROW())="","",INDEX(Listado!G:G,ROW()))</f>
        <v/>
      </c>
      <c r="U2057" s="17" t="str">
        <f>IF(INDEX(Listado!F:F,ROW())="","",INDEX(Listado!F:F,ROW()))</f>
        <v/>
      </c>
      <c r="V2057" s="17">
        <f>IF(COUNTA(INDEX(Listado!B:B,ROW()):INDEX(Listado!F:F,ROW()))&gt;0,1,0)</f>
        <v/>
      </c>
      <c r="W2057" s="17" t="str">
        <f>IF(INDEX(Listado!L:L,ROW())="","",INDEX(Listado!L:L,ROW()))</f>
        <v/>
      </c>
      <c r="X2057" s="17">
        <f>IF(N2057="","",IF(INDEX(Listado!$M:$M,N2057)="No","No","Sí"))</f>
        <v/>
      </c>
    </row>
    <row r="2058" spans="2:24" ht="14.25">
      <c r="N2058" s="17" t="str">
        <f>IF(V2058=0,"",IFERROR(LOOKUP(2,1/(INDEX(Listado!A:A,2):INDEX(Listado!A:A,ROW())&lt;&gt;""),ROW(INDEX(Listado!A:A,2):INDEX(Listado!A:A,ROW()))),""))</f>
        <v/>
      </c>
      <c r="O2058" s="17" t="str">
        <f>IFERROR(IF(N2058="","",IF(INDEX(Listado!M:M,N2058)="No",IF(INDEX(Listado!N:N,N2058)=0,"",INDEX(Listado!N:N,N2058)),IF(INDEX(Listado!I:I,N2058)=0,"",INDEX(Listado!I:I,N2058)))),"")</f>
        <v/>
      </c>
      <c r="P2058" s="17">
        <f t="shared" ca="1" si="97"/>
        <v/>
      </c>
      <c r="Q2058" s="17">
        <f>IFERROR(IF(AND(N2058&lt;&gt;"",ISNUMBER(O2058),O2058&gt;0,O2058&gt;=TODAY()-90),1,0),0)</f>
        <v/>
      </c>
      <c r="R2058" s="17" t="str">
        <f t="shared" si="99"/>
        <v/>
      </c>
      <c r="S2058" s="17" t="str">
        <f>IF(INDEX(Listado!A:A,ROW())="","",INDEX(Listado!A:A,ROW()))</f>
        <v/>
      </c>
      <c r="T2058" s="17" t="str">
        <f ca="1">IF(INDEX(Listado!G:G,ROW())="","",INDEX(Listado!G:G,ROW()))</f>
        <v/>
      </c>
      <c r="U2058" s="17" t="str">
        <f>IF(INDEX(Listado!F:F,ROW())="","",INDEX(Listado!F:F,ROW()))</f>
        <v/>
      </c>
      <c r="V2058" s="17">
        <f>IF(COUNTA(INDEX(Listado!B:B,ROW()):INDEX(Listado!F:F,ROW()))&gt;0,1,0)</f>
        <v/>
      </c>
      <c r="W2058" s="17" t="str">
        <f>IF(INDEX(Listado!L:L,ROW())="","",INDEX(Listado!L:L,ROW()))</f>
        <v/>
      </c>
      <c r="X2058" s="17">
        <f>IF(N2058="","",IF(INDEX(Listado!$M:$M,N2058)="No","No","Sí"))</f>
        <v/>
      </c>
    </row>
    <row r="2059" spans="2:24" ht="14.25">
      <c r="N2059" s="17" t="str">
        <f>IF(V2059=0,"",IFERROR(LOOKUP(2,1/(INDEX(Listado!A:A,2):INDEX(Listado!A:A,ROW())&lt;&gt;""),ROW(INDEX(Listado!A:A,2):INDEX(Listado!A:A,ROW()))),""))</f>
        <v/>
      </c>
      <c r="O2059" s="17" t="str">
        <f>IFERROR(IF(N2059="","",IF(INDEX(Listado!M:M,N2059)="No",IF(INDEX(Listado!N:N,N2059)=0,"",INDEX(Listado!N:N,N2059)),IF(INDEX(Listado!I:I,N2059)=0,"",INDEX(Listado!I:I,N2059)))),"")</f>
        <v/>
      </c>
      <c r="P2059" s="17">
        <f t="shared" ca="1" si="97"/>
        <v/>
      </c>
      <c r="Q2059" s="17">
        <f>IFERROR(IF(AND(N2059&lt;&gt;"",ISNUMBER(O2059),O2059&gt;0,O2059&gt;=TODAY()-90),1,0),0)</f>
        <v/>
      </c>
      <c r="R2059" s="17" t="str">
        <f t="shared" si="99"/>
        <v/>
      </c>
      <c r="S2059" s="17" t="str">
        <f>IF(INDEX(Listado!A:A,ROW())="","",INDEX(Listado!A:A,ROW()))</f>
        <v/>
      </c>
      <c r="T2059" s="17" t="str">
        <f ca="1">IF(INDEX(Listado!G:G,ROW())="","",INDEX(Listado!G:G,ROW()))</f>
        <v/>
      </c>
      <c r="U2059" s="17" t="str">
        <f>IF(INDEX(Listado!F:F,ROW())="","",INDEX(Listado!F:F,ROW()))</f>
        <v/>
      </c>
      <c r="V2059" s="17">
        <f>IF(COUNTA(INDEX(Listado!B:B,ROW()):INDEX(Listado!F:F,ROW()))&gt;0,1,0)</f>
        <v/>
      </c>
      <c r="W2059" s="17" t="str">
        <f>IF(INDEX(Listado!L:L,ROW())="","",INDEX(Listado!L:L,ROW()))</f>
        <v/>
      </c>
      <c r="X2059" s="17">
        <f>IF(N2059="","",IF(INDEX(Listado!$M:$M,N2059)="No","No","Sí"))</f>
        <v/>
      </c>
    </row>
    <row r="2060" spans="2:24" ht="14.25">
      <c r="N2060" s="17" t="str">
        <f>IF(V2060=0,"",IFERROR(LOOKUP(2,1/(INDEX(Listado!A:A,2):INDEX(Listado!A:A,ROW())&lt;&gt;""),ROW(INDEX(Listado!A:A,2):INDEX(Listado!A:A,ROW()))),""))</f>
        <v/>
      </c>
      <c r="O2060" s="17" t="str">
        <f>IFERROR(IF(N2060="","",IF(INDEX(Listado!M:M,N2060)="No",IF(INDEX(Listado!N:N,N2060)=0,"",INDEX(Listado!N:N,N2060)),IF(INDEX(Listado!I:I,N2060)=0,"",INDEX(Listado!I:I,N2060)))),"")</f>
        <v/>
      </c>
      <c r="P2060" s="17">
        <f t="shared" ca="1" si="97"/>
        <v/>
      </c>
      <c r="Q2060" s="17">
        <f>IFERROR(IF(AND(N2060&lt;&gt;"",ISNUMBER(O2060),O2060&gt;0,O2060&gt;=TODAY()-90),1,0),0)</f>
        <v/>
      </c>
      <c r="R2060" s="17" t="str">
        <f t="shared" si="99"/>
        <v/>
      </c>
      <c r="S2060" s="17" t="str">
        <f>IF(INDEX(Listado!A:A,ROW())="","",INDEX(Listado!A:A,ROW()))</f>
        <v/>
      </c>
      <c r="T2060" s="17" t="str">
        <f ca="1">IF(INDEX(Listado!G:G,ROW())="","",INDEX(Listado!G:G,ROW()))</f>
        <v/>
      </c>
      <c r="U2060" s="17" t="str">
        <f>IF(INDEX(Listado!F:F,ROW())="","",INDEX(Listado!F:F,ROW()))</f>
        <v/>
      </c>
      <c r="V2060" s="17">
        <f>IF(COUNTA(INDEX(Listado!B:B,ROW()):INDEX(Listado!F:F,ROW()))&gt;0,1,0)</f>
        <v/>
      </c>
      <c r="W2060" s="17" t="str">
        <f>IF(INDEX(Listado!L:L,ROW())="","",INDEX(Listado!L:L,ROW()))</f>
        <v/>
      </c>
      <c r="X2060" s="17">
        <f>IF(N2060="","",IF(INDEX(Listado!$M:$M,N2060)="No","No","Sí"))</f>
        <v/>
      </c>
    </row>
    <row r="2061" spans="2:24" ht="14.25">
      <c r="N2061" s="17" t="str">
        <f>IF(V2061=0,"",IFERROR(LOOKUP(2,1/(INDEX(Listado!A:A,2):INDEX(Listado!A:A,ROW())&lt;&gt;""),ROW(INDEX(Listado!A:A,2):INDEX(Listado!A:A,ROW()))),""))</f>
        <v/>
      </c>
      <c r="O2061" s="17" t="str">
        <f>IFERROR(IF(N2061="","",IF(INDEX(Listado!M:M,N2061)="No",IF(INDEX(Listado!N:N,N2061)=0,"",INDEX(Listado!N:N,N2061)),IF(INDEX(Listado!I:I,N2061)=0,"",INDEX(Listado!I:I,N2061)))),"")</f>
        <v/>
      </c>
      <c r="P2061" s="17">
        <f t="shared" ca="1" si="97"/>
        <v/>
      </c>
      <c r="Q2061" s="17">
        <f>IFERROR(IF(AND(N2061&lt;&gt;"",ISNUMBER(O2061),O2061&gt;0,O2061&gt;=TODAY()-90),1,0),0)</f>
        <v/>
      </c>
      <c r="R2061" s="17" t="str">
        <f t="shared" si="99"/>
        <v/>
      </c>
      <c r="S2061" s="17" t="str">
        <f>IF(INDEX(Listado!A:A,ROW())="","",INDEX(Listado!A:A,ROW()))</f>
        <v/>
      </c>
      <c r="T2061" s="17" t="str">
        <f ca="1">IF(INDEX(Listado!G:G,ROW())="","",INDEX(Listado!G:G,ROW()))</f>
        <v/>
      </c>
      <c r="U2061" s="17" t="str">
        <f>IF(INDEX(Listado!F:F,ROW())="","",INDEX(Listado!F:F,ROW()))</f>
        <v/>
      </c>
      <c r="V2061" s="17">
        <f>IF(COUNTA(INDEX(Listado!B:B,ROW()):INDEX(Listado!F:F,ROW()))&gt;0,1,0)</f>
        <v/>
      </c>
      <c r="W2061" s="17" t="str">
        <f>IF(INDEX(Listado!L:L,ROW())="","",INDEX(Listado!L:L,ROW()))</f>
        <v/>
      </c>
      <c r="X2061" s="17">
        <f>IF(N2061="","",IF(INDEX(Listado!$M:$M,N2061)="No","No","Sí"))</f>
        <v/>
      </c>
    </row>
    <row r="2062" spans="2:24" ht="14.25">
      <c r="N2062" s="17" t="str">
        <f>IF(V2062=0,"",IFERROR(LOOKUP(2,1/(INDEX(Listado!A:A,2):INDEX(Listado!A:A,ROW())&lt;&gt;""),ROW(INDEX(Listado!A:A,2):INDEX(Listado!A:A,ROW()))),""))</f>
        <v/>
      </c>
      <c r="O2062" s="17" t="str">
        <f>IFERROR(IF(N2062="","",IF(INDEX(Listado!M:M,N2062)="No",IF(INDEX(Listado!N:N,N2062)=0,"",INDEX(Listado!N:N,N2062)),IF(INDEX(Listado!I:I,N2062)=0,"",INDEX(Listado!I:I,N2062)))),"")</f>
        <v/>
      </c>
      <c r="P2062" s="17">
        <f t="shared" ca="1" si="97"/>
        <v/>
      </c>
      <c r="Q2062" s="17">
        <f>IFERROR(IF(AND(N2062&lt;&gt;"",ISNUMBER(O2062),O2062&gt;0,O2062&gt;=TODAY()-90),1,0),0)</f>
        <v/>
      </c>
      <c r="R2062" s="17" t="str">
        <f t="shared" si="99"/>
        <v/>
      </c>
      <c r="S2062" s="17" t="str">
        <f>IF(INDEX(Listado!A:A,ROW())="","",INDEX(Listado!A:A,ROW()))</f>
        <v/>
      </c>
      <c r="T2062" s="17" t="str">
        <f ca="1">IF(INDEX(Listado!G:G,ROW())="","",INDEX(Listado!G:G,ROW()))</f>
        <v/>
      </c>
      <c r="U2062" s="17" t="str">
        <f>IF(INDEX(Listado!F:F,ROW())="","",INDEX(Listado!F:F,ROW()))</f>
        <v/>
      </c>
      <c r="V2062" s="17">
        <f>IF(COUNTA(INDEX(Listado!B:B,ROW()):INDEX(Listado!F:F,ROW()))&gt;0,1,0)</f>
        <v/>
      </c>
      <c r="W2062" s="17" t="str">
        <f>IF(INDEX(Listado!L:L,ROW())="","",INDEX(Listado!L:L,ROW()))</f>
        <v/>
      </c>
      <c r="X2062" s="17">
        <f>IF(N2062="","",IF(INDEX(Listado!$M:$M,N2062)="No","No","Sí"))</f>
        <v/>
      </c>
    </row>
    <row r="2063" spans="2:24" ht="14.25">
      <c r="N2063" s="17" t="str">
        <f>IF(V2063=0,"",IFERROR(LOOKUP(2,1/(INDEX(Listado!A:A,2):INDEX(Listado!A:A,ROW())&lt;&gt;""),ROW(INDEX(Listado!A:A,2):INDEX(Listado!A:A,ROW()))),""))</f>
        <v/>
      </c>
      <c r="O2063" s="17" t="str">
        <f>IFERROR(IF(N2063="","",IF(INDEX(Listado!M:M,N2063)="No",IF(INDEX(Listado!N:N,N2063)=0,"",INDEX(Listado!N:N,N2063)),IF(INDEX(Listado!I:I,N2063)=0,"",INDEX(Listado!I:I,N2063)))),"")</f>
        <v/>
      </c>
      <c r="P2063" s="17">
        <f t="shared" ca="1" si="97"/>
        <v/>
      </c>
      <c r="Q2063" s="17">
        <f>IFERROR(IF(AND(N2063&lt;&gt;"",ISNUMBER(O2063),O2063&gt;0,O2063&gt;=TODAY()-90),1,0),0)</f>
        <v/>
      </c>
      <c r="R2063" s="17" t="str">
        <f t="shared" si="99"/>
        <v/>
      </c>
      <c r="S2063" s="17" t="str">
        <f>IF(INDEX(Listado!A:A,ROW())="","",INDEX(Listado!A:A,ROW()))</f>
        <v/>
      </c>
      <c r="T2063" s="17" t="str">
        <f ca="1">IF(INDEX(Listado!G:G,ROW())="","",INDEX(Listado!G:G,ROW()))</f>
        <v/>
      </c>
      <c r="U2063" s="17" t="str">
        <f>IF(INDEX(Listado!F:F,ROW())="","",INDEX(Listado!F:F,ROW()))</f>
        <v/>
      </c>
      <c r="V2063" s="17">
        <f>IF(COUNTA(INDEX(Listado!B:B,ROW()):INDEX(Listado!F:F,ROW()))&gt;0,1,0)</f>
        <v/>
      </c>
      <c r="W2063" s="17" t="str">
        <f>IF(INDEX(Listado!L:L,ROW())="","",INDEX(Listado!L:L,ROW()))</f>
        <v/>
      </c>
      <c r="X2063" s="17">
        <f>IF(N2063="","",IF(INDEX(Listado!$M:$M,N2063)="No","No","Sí"))</f>
        <v/>
      </c>
    </row>
    <row r="2064" spans="2:24" ht="14.25">
      <c r="N2064" s="17" t="str">
        <f>IF(V2064=0,"",IFERROR(LOOKUP(2,1/(INDEX(Listado!A:A,2):INDEX(Listado!A:A,ROW())&lt;&gt;""),ROW(INDEX(Listado!A:A,2):INDEX(Listado!A:A,ROW()))),""))</f>
        <v/>
      </c>
      <c r="O2064" s="17" t="str">
        <f>IFERROR(IF(N2064="","",IF(INDEX(Listado!M:M,N2064)="No",IF(INDEX(Listado!N:N,N2064)=0,"",INDEX(Listado!N:N,N2064)),IF(INDEX(Listado!I:I,N2064)=0,"",INDEX(Listado!I:I,N2064)))),"")</f>
        <v/>
      </c>
      <c r="P2064" s="17">
        <f t="shared" ca="1" si="97"/>
        <v/>
      </c>
      <c r="Q2064" s="17">
        <f>IFERROR(IF(AND(N2064&lt;&gt;"",ISNUMBER(O2064),O2064&gt;0,O2064&gt;=TODAY()-90),1,0),0)</f>
        <v/>
      </c>
      <c r="R2064" s="17" t="str">
        <f t="shared" si="99"/>
        <v/>
      </c>
      <c r="S2064" s="17" t="str">
        <f>IF(INDEX(Listado!A:A,ROW())="","",INDEX(Listado!A:A,ROW()))</f>
        <v/>
      </c>
      <c r="T2064" s="17" t="str">
        <f ca="1">IF(INDEX(Listado!G:G,ROW())="","",INDEX(Listado!G:G,ROW()))</f>
        <v/>
      </c>
      <c r="U2064" s="17" t="str">
        <f>IF(INDEX(Listado!F:F,ROW())="","",INDEX(Listado!F:F,ROW()))</f>
        <v/>
      </c>
      <c r="V2064" s="17">
        <f>IF(COUNTA(INDEX(Listado!B:B,ROW()):INDEX(Listado!F:F,ROW()))&gt;0,1,0)</f>
        <v/>
      </c>
      <c r="W2064" s="17" t="str">
        <f>IF(INDEX(Listado!L:L,ROW())="","",INDEX(Listado!L:L,ROW()))</f>
        <v/>
      </c>
      <c r="X2064" s="17">
        <f>IF(N2064="","",IF(INDEX(Listado!$M:$M,N2064)="No","No","Sí"))</f>
        <v/>
      </c>
    </row>
    <row r="2065" spans="2:24" ht="14.25">
      <c r="N2065" s="17" t="str">
        <f>IF(V2065=0,"",IFERROR(LOOKUP(2,1/(INDEX(Listado!A:A,2):INDEX(Listado!A:A,ROW())&lt;&gt;""),ROW(INDEX(Listado!A:A,2):INDEX(Listado!A:A,ROW()))),""))</f>
        <v/>
      </c>
      <c r="O2065" s="17" t="str">
        <f>IFERROR(IF(N2065="","",IF(INDEX(Listado!M:M,N2065)="No",IF(INDEX(Listado!N:N,N2065)=0,"",INDEX(Listado!N:N,N2065)),IF(INDEX(Listado!I:I,N2065)=0,"",INDEX(Listado!I:I,N2065)))),"")</f>
        <v/>
      </c>
      <c r="P2065" s="17">
        <f t="shared" ca="1" si="97"/>
        <v/>
      </c>
      <c r="Q2065" s="17">
        <f>IFERROR(IF(AND(N2065&lt;&gt;"",ISNUMBER(O2065),O2065&gt;0,O2065&gt;=TODAY()-90),1,0),0)</f>
        <v/>
      </c>
      <c r="R2065" s="17" t="str">
        <f t="shared" si="99"/>
        <v/>
      </c>
      <c r="S2065" s="17" t="str">
        <f>IF(INDEX(Listado!A:A,ROW())="","",INDEX(Listado!A:A,ROW()))</f>
        <v/>
      </c>
      <c r="T2065" s="17" t="str">
        <f ca="1">IF(INDEX(Listado!G:G,ROW())="","",INDEX(Listado!G:G,ROW()))</f>
        <v/>
      </c>
      <c r="U2065" s="17" t="str">
        <f>IF(INDEX(Listado!F:F,ROW())="","",INDEX(Listado!F:F,ROW()))</f>
        <v/>
      </c>
      <c r="V2065" s="17">
        <f>IF(COUNTA(INDEX(Listado!B:B,ROW()):INDEX(Listado!F:F,ROW()))&gt;0,1,0)</f>
        <v/>
      </c>
      <c r="W2065" s="17" t="str">
        <f>IF(INDEX(Listado!L:L,ROW())="","",INDEX(Listado!L:L,ROW()))</f>
        <v/>
      </c>
      <c r="X2065" s="17">
        <f>IF(N2065="","",IF(INDEX(Listado!$M:$M,N2065)="No","No","Sí"))</f>
        <v/>
      </c>
    </row>
    <row r="2066" spans="2:24" ht="14.25">
      <c r="N2066" s="17" t="str">
        <f>IF(V2066=0,"",IFERROR(LOOKUP(2,1/(INDEX(Listado!A:A,2):INDEX(Listado!A:A,ROW())&lt;&gt;""),ROW(INDEX(Listado!A:A,2):INDEX(Listado!A:A,ROW()))),""))</f>
        <v/>
      </c>
      <c r="O2066" s="17" t="str">
        <f>IFERROR(IF(N2066="","",IF(INDEX(Listado!M:M,N2066)="No",IF(INDEX(Listado!N:N,N2066)=0,"",INDEX(Listado!N:N,N2066)),IF(INDEX(Listado!I:I,N2066)=0,"",INDEX(Listado!I:I,N2066)))),"")</f>
        <v/>
      </c>
      <c r="P2066" s="17">
        <f t="shared" ca="1" si="97"/>
        <v/>
      </c>
      <c r="Q2066" s="17">
        <f>IFERROR(IF(AND(N2066&lt;&gt;"",ISNUMBER(O2066),O2066&gt;0,O2066&gt;=TODAY()-90),1,0),0)</f>
        <v/>
      </c>
      <c r="R2066" s="17" t="str">
        <f t="shared" si="99"/>
        <v/>
      </c>
      <c r="S2066" s="17" t="str">
        <f>IF(INDEX(Listado!A:A,ROW())="","",INDEX(Listado!A:A,ROW()))</f>
        <v/>
      </c>
      <c r="T2066" s="17" t="str">
        <f ca="1">IF(INDEX(Listado!G:G,ROW())="","",INDEX(Listado!G:G,ROW()))</f>
        <v/>
      </c>
      <c r="U2066" s="17" t="str">
        <f>IF(INDEX(Listado!F:F,ROW())="","",INDEX(Listado!F:F,ROW()))</f>
        <v/>
      </c>
      <c r="V2066" s="17">
        <f>IF(COUNTA(INDEX(Listado!B:B,ROW()):INDEX(Listado!F:F,ROW()))&gt;0,1,0)</f>
        <v/>
      </c>
      <c r="W2066" s="17" t="str">
        <f>IF(INDEX(Listado!L:L,ROW())="","",INDEX(Listado!L:L,ROW()))</f>
        <v/>
      </c>
      <c r="X2066" s="17">
        <f>IF(N2066="","",IF(INDEX(Listado!$M:$M,N2066)="No","No","Sí"))</f>
        <v/>
      </c>
    </row>
    <row r="2067" spans="2:24" ht="14.25">
      <c r="N2067" s="17" t="str">
        <f>IF(V2067=0,"",IFERROR(LOOKUP(2,1/(INDEX(Listado!A:A,2):INDEX(Listado!A:A,ROW())&lt;&gt;""),ROW(INDEX(Listado!A:A,2):INDEX(Listado!A:A,ROW()))),""))</f>
        <v/>
      </c>
      <c r="O2067" s="17" t="str">
        <f>IFERROR(IF(N2067="","",IF(INDEX(Listado!M:M,N2067)="No",IF(INDEX(Listado!N:N,N2067)=0,"",INDEX(Listado!N:N,N2067)),IF(INDEX(Listado!I:I,N2067)=0,"",INDEX(Listado!I:I,N2067)))),"")</f>
        <v/>
      </c>
      <c r="P2067" s="17">
        <f t="shared" ca="1" si="97"/>
        <v/>
      </c>
      <c r="Q2067" s="17">
        <f>IFERROR(IF(AND(N2067&lt;&gt;"",ISNUMBER(O2067),O2067&gt;0,O2067&gt;=TODAY()-90),1,0),0)</f>
        <v/>
      </c>
      <c r="R2067" s="17" t="str">
        <f t="shared" si="99"/>
        <v/>
      </c>
      <c r="S2067" s="17" t="str">
        <f>IF(INDEX(Listado!A:A,ROW())="","",INDEX(Listado!A:A,ROW()))</f>
        <v/>
      </c>
      <c r="T2067" s="17" t="str">
        <f ca="1">IF(INDEX(Listado!G:G,ROW())="","",INDEX(Listado!G:G,ROW()))</f>
        <v/>
      </c>
      <c r="U2067" s="17" t="str">
        <f>IF(INDEX(Listado!F:F,ROW())="","",INDEX(Listado!F:F,ROW()))</f>
        <v/>
      </c>
      <c r="V2067" s="17">
        <f>IF(COUNTA(INDEX(Listado!B:B,ROW()):INDEX(Listado!F:F,ROW()))&gt;0,1,0)</f>
        <v/>
      </c>
      <c r="W2067" s="17" t="str">
        <f>IF(INDEX(Listado!L:L,ROW())="","",INDEX(Listado!L:L,ROW()))</f>
        <v/>
      </c>
      <c r="X2067" s="17">
        <f>IF(N2067="","",IF(INDEX(Listado!$M:$M,N2067)="No","No","Sí"))</f>
        <v/>
      </c>
    </row>
    <row r="2068" spans="2:24" ht="14.25">
      <c r="N2068" s="17" t="str">
        <f>IF(V2068=0,"",IFERROR(LOOKUP(2,1/(INDEX(Listado!A:A,2):INDEX(Listado!A:A,ROW())&lt;&gt;""),ROW(INDEX(Listado!A:A,2):INDEX(Listado!A:A,ROW()))),""))</f>
        <v/>
      </c>
      <c r="O2068" s="17" t="str">
        <f>IFERROR(IF(N2068="","",IF(INDEX(Listado!M:M,N2068)="No",IF(INDEX(Listado!N:N,N2068)=0,"",INDEX(Listado!N:N,N2068)),IF(INDEX(Listado!I:I,N2068)=0,"",INDEX(Listado!I:I,N2068)))),"")</f>
        <v/>
      </c>
      <c r="P2068" s="17">
        <f t="shared" ca="1" si="97"/>
        <v/>
      </c>
      <c r="Q2068" s="17">
        <f>IFERROR(IF(AND(N2068&lt;&gt;"",ISNUMBER(O2068),O2068&gt;0,O2068&gt;=TODAY()-90),1,0),0)</f>
        <v/>
      </c>
      <c r="R2068" s="17" t="str">
        <f t="shared" si="99"/>
        <v/>
      </c>
      <c r="S2068" s="17" t="str">
        <f>IF(INDEX(Listado!A:A,ROW())="","",INDEX(Listado!A:A,ROW()))</f>
        <v/>
      </c>
      <c r="T2068" s="17" t="str">
        <f ca="1">IF(INDEX(Listado!G:G,ROW())="","",INDEX(Listado!G:G,ROW()))</f>
        <v/>
      </c>
      <c r="U2068" s="17" t="str">
        <f>IF(INDEX(Listado!F:F,ROW())="","",INDEX(Listado!F:F,ROW()))</f>
        <v/>
      </c>
      <c r="V2068" s="17">
        <f>IF(COUNTA(INDEX(Listado!B:B,ROW()):INDEX(Listado!F:F,ROW()))&gt;0,1,0)</f>
        <v/>
      </c>
      <c r="W2068" s="17" t="str">
        <f>IF(INDEX(Listado!L:L,ROW())="","",INDEX(Listado!L:L,ROW()))</f>
        <v/>
      </c>
      <c r="X2068" s="17">
        <f>IF(N2068="","",IF(INDEX(Listado!$M:$M,N2068)="No","No","Sí"))</f>
        <v/>
      </c>
    </row>
    <row r="2069" spans="2:24" ht="14.25">
      <c r="N2069" s="17" t="str">
        <f>IF(V2069=0,"",IFERROR(LOOKUP(2,1/(INDEX(Listado!A:A,2):INDEX(Listado!A:A,ROW())&lt;&gt;""),ROW(INDEX(Listado!A:A,2):INDEX(Listado!A:A,ROW()))),""))</f>
        <v/>
      </c>
      <c r="O2069" s="17" t="str">
        <f>IFERROR(IF(N2069="","",IF(INDEX(Listado!M:M,N2069)="No",IF(INDEX(Listado!N:N,N2069)=0,"",INDEX(Listado!N:N,N2069)),IF(INDEX(Listado!I:I,N2069)=0,"",INDEX(Listado!I:I,N2069)))),"")</f>
        <v/>
      </c>
      <c r="P2069" s="17">
        <f t="shared" ca="1" si="97"/>
        <v/>
      </c>
      <c r="Q2069" s="17">
        <f>IFERROR(IF(AND(N2069&lt;&gt;"",ISNUMBER(O2069),O2069&gt;0,O2069&gt;=TODAY()-90),1,0),0)</f>
        <v/>
      </c>
      <c r="R2069" s="17" t="str">
        <f t="shared" si="99"/>
        <v/>
      </c>
      <c r="S2069" s="17" t="str">
        <f>IF(INDEX(Listado!A:A,ROW())="","",INDEX(Listado!A:A,ROW()))</f>
        <v/>
      </c>
      <c r="T2069" s="17" t="str">
        <f ca="1">IF(INDEX(Listado!G:G,ROW())="","",INDEX(Listado!G:G,ROW()))</f>
        <v/>
      </c>
      <c r="U2069" s="17" t="str">
        <f>IF(INDEX(Listado!F:F,ROW())="","",INDEX(Listado!F:F,ROW()))</f>
        <v/>
      </c>
      <c r="V2069" s="17">
        <f>IF(COUNTA(INDEX(Listado!B:B,ROW()):INDEX(Listado!F:F,ROW()))&gt;0,1,0)</f>
        <v/>
      </c>
      <c r="W2069" s="17" t="str">
        <f>IF(INDEX(Listado!L:L,ROW())="","",INDEX(Listado!L:L,ROW()))</f>
        <v/>
      </c>
      <c r="X2069" s="17">
        <f>IF(N2069="","",IF(INDEX(Listado!$M:$M,N2069)="No","No","Sí"))</f>
        <v/>
      </c>
    </row>
    <row r="2070" spans="2:24" ht="14.25">
      <c r="N2070" s="17" t="str">
        <f>IF(V2070=0,"",IFERROR(LOOKUP(2,1/(INDEX(Listado!A:A,2):INDEX(Listado!A:A,ROW())&lt;&gt;""),ROW(INDEX(Listado!A:A,2):INDEX(Listado!A:A,ROW()))),""))</f>
        <v/>
      </c>
      <c r="O2070" s="17" t="str">
        <f>IFERROR(IF(N2070="","",IF(INDEX(Listado!M:M,N2070)="No",IF(INDEX(Listado!N:N,N2070)=0,"",INDEX(Listado!N:N,N2070)),IF(INDEX(Listado!I:I,N2070)=0,"",INDEX(Listado!I:I,N2070)))),"")</f>
        <v/>
      </c>
      <c r="P2070" s="17">
        <f t="shared" ca="1" si="97"/>
        <v/>
      </c>
      <c r="Q2070" s="17">
        <f>IFERROR(IF(AND(N2070&lt;&gt;"",ISNUMBER(O2070),O2070&gt;0,O2070&gt;=TODAY()-90),1,0),0)</f>
        <v/>
      </c>
      <c r="R2070" s="17" t="str">
        <f t="shared" si="99"/>
        <v/>
      </c>
      <c r="S2070" s="17" t="str">
        <f>IF(INDEX(Listado!A:A,ROW())="","",INDEX(Listado!A:A,ROW()))</f>
        <v/>
      </c>
      <c r="T2070" s="17" t="str">
        <f ca="1">IF(INDEX(Listado!G:G,ROW())="","",INDEX(Listado!G:G,ROW()))</f>
        <v/>
      </c>
      <c r="U2070" s="17" t="str">
        <f>IF(INDEX(Listado!F:F,ROW())="","",INDEX(Listado!F:F,ROW()))</f>
        <v/>
      </c>
      <c r="V2070" s="17">
        <f>IF(COUNTA(INDEX(Listado!B:B,ROW()):INDEX(Listado!F:F,ROW()))&gt;0,1,0)</f>
        <v/>
      </c>
      <c r="W2070" s="17" t="str">
        <f>IF(INDEX(Listado!L:L,ROW())="","",INDEX(Listado!L:L,ROW()))</f>
        <v/>
      </c>
      <c r="X2070" s="17">
        <f>IF(N2070="","",IF(INDEX(Listado!$M:$M,N2070)="No","No","Sí"))</f>
        <v/>
      </c>
    </row>
    <row r="2071" spans="2:24" ht="14.25">
      <c r="N2071" s="17" t="str">
        <f>IF(V2071=0,"",IFERROR(LOOKUP(2,1/(INDEX(Listado!A:A,2):INDEX(Listado!A:A,ROW())&lt;&gt;""),ROW(INDEX(Listado!A:A,2):INDEX(Listado!A:A,ROW()))),""))</f>
        <v/>
      </c>
      <c r="O2071" s="17" t="str">
        <f>IFERROR(IF(N2071="","",IF(INDEX(Listado!M:M,N2071)="No",IF(INDEX(Listado!N:N,N2071)=0,"",INDEX(Listado!N:N,N2071)),IF(INDEX(Listado!I:I,N2071)=0,"",INDEX(Listado!I:I,N2071)))),"")</f>
        <v/>
      </c>
      <c r="P2071" s="17">
        <f t="shared" ca="1" si="97"/>
        <v/>
      </c>
      <c r="Q2071" s="17">
        <f>IFERROR(IF(AND(N2071&lt;&gt;"",ISNUMBER(O2071),O2071&gt;0,O2071&gt;=TODAY()-90),1,0),0)</f>
        <v/>
      </c>
      <c r="R2071" s="17" t="str">
        <f t="shared" si="99"/>
        <v/>
      </c>
      <c r="S2071" s="17" t="str">
        <f>IF(INDEX(Listado!A:A,ROW())="","",INDEX(Listado!A:A,ROW()))</f>
        <v/>
      </c>
      <c r="T2071" s="17" t="str">
        <f ca="1">IF(INDEX(Listado!G:G,ROW())="","",INDEX(Listado!G:G,ROW()))</f>
        <v/>
      </c>
      <c r="U2071" s="17" t="str">
        <f>IF(INDEX(Listado!F:F,ROW())="","",INDEX(Listado!F:F,ROW()))</f>
        <v/>
      </c>
      <c r="V2071" s="17">
        <f>IF(COUNTA(INDEX(Listado!B:B,ROW()):INDEX(Listado!F:F,ROW()))&gt;0,1,0)</f>
        <v/>
      </c>
      <c r="W2071" s="17" t="str">
        <f>IF(INDEX(Listado!L:L,ROW())="","",INDEX(Listado!L:L,ROW()))</f>
        <v/>
      </c>
      <c r="X2071" s="17">
        <f>IF(N2071="","",IF(INDEX(Listado!$M:$M,N2071)="No","No","Sí"))</f>
        <v/>
      </c>
    </row>
    <row r="2072" spans="2:24" ht="14.25">
      <c r="N2072" s="17" t="str">
        <f>IF(V2072=0,"",IFERROR(LOOKUP(2,1/(INDEX(Listado!A:A,2):INDEX(Listado!A:A,ROW())&lt;&gt;""),ROW(INDEX(Listado!A:A,2):INDEX(Listado!A:A,ROW()))),""))</f>
        <v/>
      </c>
      <c r="O2072" s="17" t="str">
        <f>IFERROR(IF(N2072="","",IF(INDEX(Listado!M:M,N2072)="No",IF(INDEX(Listado!N:N,N2072)=0,"",INDEX(Listado!N:N,N2072)),IF(INDEX(Listado!I:I,N2072)=0,"",INDEX(Listado!I:I,N2072)))),"")</f>
        <v/>
      </c>
      <c r="P2072" s="17">
        <f t="shared" ca="1" si="97"/>
        <v/>
      </c>
      <c r="Q2072" s="17">
        <f>IFERROR(IF(AND(N2072&lt;&gt;"",ISNUMBER(O2072),O2072&gt;0,O2072&gt;=TODAY()-90),1,0),0)</f>
        <v/>
      </c>
      <c r="R2072" s="17" t="str">
        <f t="shared" si="99"/>
        <v/>
      </c>
      <c r="S2072" s="17" t="str">
        <f>IF(INDEX(Listado!A:A,ROW())="","",INDEX(Listado!A:A,ROW()))</f>
        <v/>
      </c>
      <c r="T2072" s="17" t="str">
        <f ca="1">IF(INDEX(Listado!G:G,ROW())="","",INDEX(Listado!G:G,ROW()))</f>
        <v/>
      </c>
      <c r="U2072" s="17" t="str">
        <f>IF(INDEX(Listado!F:F,ROW())="","",INDEX(Listado!F:F,ROW()))</f>
        <v/>
      </c>
      <c r="V2072" s="17">
        <f>IF(COUNTA(INDEX(Listado!B:B,ROW()):INDEX(Listado!F:F,ROW()))&gt;0,1,0)</f>
        <v/>
      </c>
      <c r="W2072" s="17" t="str">
        <f>IF(INDEX(Listado!L:L,ROW())="","",INDEX(Listado!L:L,ROW()))</f>
        <v/>
      </c>
      <c r="X2072" s="17">
        <f>IF(N2072="","",IF(INDEX(Listado!$M:$M,N2072)="No","No","Sí"))</f>
        <v/>
      </c>
    </row>
    <row r="2073" spans="2:24" ht="14.25">
      <c r="N2073" s="17" t="str">
        <f>IF(V2073=0,"",IFERROR(LOOKUP(2,1/(INDEX(Listado!A:A,2):INDEX(Listado!A:A,ROW())&lt;&gt;""),ROW(INDEX(Listado!A:A,2):INDEX(Listado!A:A,ROW()))),""))</f>
        <v/>
      </c>
      <c r="O2073" s="17" t="str">
        <f>IFERROR(IF(N2073="","",IF(INDEX(Listado!M:M,N2073)="No",IF(INDEX(Listado!N:N,N2073)=0,"",INDEX(Listado!N:N,N2073)),IF(INDEX(Listado!I:I,N2073)=0,"",INDEX(Listado!I:I,N2073)))),"")</f>
        <v/>
      </c>
      <c r="P2073" s="17">
        <f t="shared" ca="1" si="97"/>
        <v/>
      </c>
      <c r="Q2073" s="17">
        <f>IFERROR(IF(AND(N2073&lt;&gt;"",ISNUMBER(O2073),O2073&gt;0,O2073&gt;=TODAY()-90),1,0),0)</f>
        <v/>
      </c>
      <c r="R2073" s="17" t="str">
        <f t="shared" si="99"/>
        <v/>
      </c>
      <c r="S2073" s="17" t="str">
        <f>IF(INDEX(Listado!A:A,ROW())="","",INDEX(Listado!A:A,ROW()))</f>
        <v/>
      </c>
      <c r="T2073" s="17" t="str">
        <f ca="1">IF(INDEX(Listado!G:G,ROW())="","",INDEX(Listado!G:G,ROW()))</f>
        <v/>
      </c>
      <c r="U2073" s="17" t="str">
        <f>IF(INDEX(Listado!F:F,ROW())="","",INDEX(Listado!F:F,ROW()))</f>
        <v/>
      </c>
      <c r="V2073" s="17">
        <f>IF(COUNTA(INDEX(Listado!B:B,ROW()):INDEX(Listado!F:F,ROW()))&gt;0,1,0)</f>
        <v/>
      </c>
      <c r="W2073" s="17" t="str">
        <f>IF(INDEX(Listado!L:L,ROW())="","",INDEX(Listado!L:L,ROW()))</f>
        <v/>
      </c>
      <c r="X2073" s="17">
        <f>IF(N2073="","",IF(INDEX(Listado!$M:$M,N2073)="No","No","Sí"))</f>
        <v/>
      </c>
    </row>
    <row r="2074" spans="2:24" ht="14.25">
      <c r="N2074" s="17" t="str">
        <f>IF(V2074=0,"",IFERROR(LOOKUP(2,1/(INDEX(Listado!A:A,2):INDEX(Listado!A:A,ROW())&lt;&gt;""),ROW(INDEX(Listado!A:A,2):INDEX(Listado!A:A,ROW()))),""))</f>
        <v/>
      </c>
      <c r="O2074" s="17" t="str">
        <f>IFERROR(IF(N2074="","",IF(INDEX(Listado!M:M,N2074)="No",IF(INDEX(Listado!N:N,N2074)=0,"",INDEX(Listado!N:N,N2074)),IF(INDEX(Listado!I:I,N2074)=0,"",INDEX(Listado!I:I,N2074)))),"")</f>
        <v/>
      </c>
      <c r="P2074" s="17">
        <f t="shared" ca="1" si="97"/>
        <v/>
      </c>
      <c r="Q2074" s="17">
        <f>IFERROR(IF(AND(N2074&lt;&gt;"",ISNUMBER(O2074),O2074&gt;0,O2074&gt;=TODAY()-90),1,0),0)</f>
        <v/>
      </c>
      <c r="R2074" s="17" t="str">
        <f t="shared" si="99"/>
        <v/>
      </c>
      <c r="S2074" s="17" t="str">
        <f>IF(INDEX(Listado!A:A,ROW())="","",INDEX(Listado!A:A,ROW()))</f>
        <v/>
      </c>
      <c r="T2074" s="17" t="str">
        <f ca="1">IF(INDEX(Listado!G:G,ROW())="","",INDEX(Listado!G:G,ROW()))</f>
        <v/>
      </c>
      <c r="U2074" s="17" t="str">
        <f>IF(INDEX(Listado!F:F,ROW())="","",INDEX(Listado!F:F,ROW()))</f>
        <v/>
      </c>
      <c r="V2074" s="17">
        <f>IF(COUNTA(INDEX(Listado!B:B,ROW()):INDEX(Listado!F:F,ROW()))&gt;0,1,0)</f>
        <v/>
      </c>
      <c r="W2074" s="17" t="str">
        <f>IF(INDEX(Listado!L:L,ROW())="","",INDEX(Listado!L:L,ROW()))</f>
        <v/>
      </c>
      <c r="X2074" s="17">
        <f>IF(N2074="","",IF(INDEX(Listado!$M:$M,N2074)="No","No","Sí"))</f>
        <v/>
      </c>
    </row>
    <row r="2075" spans="2:24" ht="14.25">
      <c r="N2075" s="17" t="str">
        <f>IF(V2075=0,"",IFERROR(LOOKUP(2,1/(INDEX(Listado!A:A,2):INDEX(Listado!A:A,ROW())&lt;&gt;""),ROW(INDEX(Listado!A:A,2):INDEX(Listado!A:A,ROW()))),""))</f>
        <v/>
      </c>
      <c r="O2075" s="17" t="str">
        <f>IFERROR(IF(N2075="","",IF(INDEX(Listado!M:M,N2075)="No",IF(INDEX(Listado!N:N,N2075)=0,"",INDEX(Listado!N:N,N2075)),IF(INDEX(Listado!I:I,N2075)=0,"",INDEX(Listado!I:I,N2075)))),"")</f>
        <v/>
      </c>
      <c r="P2075" s="17">
        <f t="shared" ca="1" si="97"/>
        <v/>
      </c>
      <c r="Q2075" s="17">
        <f>IFERROR(IF(AND(N2075&lt;&gt;"",ISNUMBER(O2075),O2075&gt;0,O2075&gt;=TODAY()-90),1,0),0)</f>
        <v/>
      </c>
      <c r="R2075" s="17" t="str">
        <f t="shared" si="99"/>
        <v/>
      </c>
      <c r="S2075" s="17" t="str">
        <f>IF(INDEX(Listado!A:A,ROW())="","",INDEX(Listado!A:A,ROW()))</f>
        <v/>
      </c>
      <c r="T2075" s="17" t="str">
        <f ca="1">IF(INDEX(Listado!G:G,ROW())="","",INDEX(Listado!G:G,ROW()))</f>
        <v/>
      </c>
      <c r="U2075" s="17" t="str">
        <f>IF(INDEX(Listado!F:F,ROW())="","",INDEX(Listado!F:F,ROW()))</f>
        <v/>
      </c>
      <c r="V2075" s="17">
        <f>IF(COUNTA(INDEX(Listado!B:B,ROW()):INDEX(Listado!F:F,ROW()))&gt;0,1,0)</f>
        <v/>
      </c>
      <c r="W2075" s="17" t="str">
        <f>IF(INDEX(Listado!L:L,ROW())="","",INDEX(Listado!L:L,ROW()))</f>
        <v/>
      </c>
      <c r="X2075" s="17">
        <f>IF(N2075="","",IF(INDEX(Listado!$M:$M,N2075)="No","No","Sí"))</f>
        <v/>
      </c>
    </row>
    <row r="2076" spans="2:24" ht="14.25">
      <c r="N2076" s="17" t="str">
        <f>IF(V2076=0,"",IFERROR(LOOKUP(2,1/(INDEX(Listado!A:A,2):INDEX(Listado!A:A,ROW())&lt;&gt;""),ROW(INDEX(Listado!A:A,2):INDEX(Listado!A:A,ROW()))),""))</f>
        <v/>
      </c>
      <c r="O2076" s="17" t="str">
        <f>IFERROR(IF(N2076="","",IF(INDEX(Listado!M:M,N2076)="No",IF(INDEX(Listado!N:N,N2076)=0,"",INDEX(Listado!N:N,N2076)),IF(INDEX(Listado!I:I,N2076)=0,"",INDEX(Listado!I:I,N2076)))),"")</f>
        <v/>
      </c>
      <c r="P2076" s="17">
        <f t="shared" ca="1" si="97"/>
        <v/>
      </c>
      <c r="Q2076" s="17">
        <f>IFERROR(IF(AND(N2076&lt;&gt;"",ISNUMBER(O2076),O2076&gt;0,O2076&gt;=TODAY()-90),1,0),0)</f>
        <v/>
      </c>
      <c r="R2076" s="17" t="str">
        <f t="shared" si="99"/>
        <v/>
      </c>
      <c r="S2076" s="17" t="str">
        <f>IF(INDEX(Listado!A:A,ROW())="","",INDEX(Listado!A:A,ROW()))</f>
        <v/>
      </c>
      <c r="T2076" s="17" t="str">
        <f ca="1">IF(INDEX(Listado!G:G,ROW())="","",INDEX(Listado!G:G,ROW()))</f>
        <v/>
      </c>
      <c r="U2076" s="17" t="str">
        <f>IF(INDEX(Listado!F:F,ROW())="","",INDEX(Listado!F:F,ROW()))</f>
        <v/>
      </c>
      <c r="V2076" s="17">
        <f>IF(COUNTA(INDEX(Listado!B:B,ROW()):INDEX(Listado!F:F,ROW()))&gt;0,1,0)</f>
        <v/>
      </c>
      <c r="W2076" s="17" t="str">
        <f>IF(INDEX(Listado!L:L,ROW())="","",INDEX(Listado!L:L,ROW()))</f>
        <v/>
      </c>
      <c r="X2076" s="17">
        <f>IF(N2076="","",IF(INDEX(Listado!$M:$M,N2076)="No","No","Sí"))</f>
        <v/>
      </c>
    </row>
    <row r="2077" spans="2:24" ht="14.25">
      <c r="N2077" s="17" t="str">
        <f>IF(V2077=0,"",IFERROR(LOOKUP(2,1/(INDEX(Listado!A:A,2):INDEX(Listado!A:A,ROW())&lt;&gt;""),ROW(INDEX(Listado!A:A,2):INDEX(Listado!A:A,ROW()))),""))</f>
        <v/>
      </c>
      <c r="O2077" s="17" t="str">
        <f>IFERROR(IF(N2077="","",IF(INDEX(Listado!M:M,N2077)="No",IF(INDEX(Listado!N:N,N2077)=0,"",INDEX(Listado!N:N,N2077)),IF(INDEX(Listado!I:I,N2077)=0,"",INDEX(Listado!I:I,N2077)))),"")</f>
        <v/>
      </c>
      <c r="P2077" s="17">
        <f t="shared" ca="1" si="97"/>
        <v/>
      </c>
      <c r="Q2077" s="17">
        <f>IFERROR(IF(AND(N2077&lt;&gt;"",ISNUMBER(O2077),O2077&gt;0,O2077&gt;=TODAY()-90),1,0),0)</f>
        <v/>
      </c>
      <c r="R2077" s="17" t="str">
        <f t="shared" si="99"/>
        <v/>
      </c>
      <c r="S2077" s="17" t="str">
        <f>IF(INDEX(Listado!A:A,ROW())="","",INDEX(Listado!A:A,ROW()))</f>
        <v/>
      </c>
      <c r="T2077" s="17" t="str">
        <f ca="1">IF(INDEX(Listado!G:G,ROW())="","",INDEX(Listado!G:G,ROW()))</f>
        <v/>
      </c>
      <c r="U2077" s="17" t="str">
        <f>IF(INDEX(Listado!F:F,ROW())="","",INDEX(Listado!F:F,ROW()))</f>
        <v/>
      </c>
      <c r="V2077" s="17">
        <f>IF(COUNTA(INDEX(Listado!B:B,ROW()):INDEX(Listado!F:F,ROW()))&gt;0,1,0)</f>
        <v/>
      </c>
      <c r="W2077" s="17" t="str">
        <f>IF(INDEX(Listado!L:L,ROW())="","",INDEX(Listado!L:L,ROW()))</f>
        <v/>
      </c>
      <c r="X2077" s="17">
        <f>IF(N2077="","",IF(INDEX(Listado!$M:$M,N2077)="No","No","Sí"))</f>
        <v/>
      </c>
    </row>
    <row r="2078" spans="2:24" ht="14.25">
      <c r="N2078" s="17" t="str">
        <f>IF(V2078=0,"",IFERROR(LOOKUP(2,1/(INDEX(Listado!A:A,2):INDEX(Listado!A:A,ROW())&lt;&gt;""),ROW(INDEX(Listado!A:A,2):INDEX(Listado!A:A,ROW()))),""))</f>
        <v/>
      </c>
      <c r="O2078" s="17" t="str">
        <f>IFERROR(IF(N2078="","",IF(INDEX(Listado!M:M,N2078)="No",IF(INDEX(Listado!N:N,N2078)=0,"",INDEX(Listado!N:N,N2078)),IF(INDEX(Listado!I:I,N2078)=0,"",INDEX(Listado!I:I,N2078)))),"")</f>
        <v/>
      </c>
      <c r="P2078" s="17">
        <f t="shared" ca="1" si="97"/>
        <v/>
      </c>
      <c r="Q2078" s="17">
        <f>IFERROR(IF(AND(N2078&lt;&gt;"",ISNUMBER(O2078),O2078&gt;0,O2078&gt;=TODAY()-90),1,0),0)</f>
        <v/>
      </c>
      <c r="R2078" s="17" t="str">
        <f t="shared" si="99"/>
        <v/>
      </c>
      <c r="S2078" s="17" t="str">
        <f>IF(INDEX(Listado!A:A,ROW())="","",INDEX(Listado!A:A,ROW()))</f>
        <v/>
      </c>
      <c r="T2078" s="17" t="str">
        <f ca="1">IF(INDEX(Listado!G:G,ROW())="","",INDEX(Listado!G:G,ROW()))</f>
        <v/>
      </c>
      <c r="U2078" s="17" t="str">
        <f>IF(INDEX(Listado!F:F,ROW())="","",INDEX(Listado!F:F,ROW()))</f>
        <v/>
      </c>
      <c r="V2078" s="17">
        <f>IF(COUNTA(INDEX(Listado!B:B,ROW()):INDEX(Listado!F:F,ROW()))&gt;0,1,0)</f>
        <v/>
      </c>
      <c r="W2078" s="17" t="str">
        <f>IF(INDEX(Listado!L:L,ROW())="","",INDEX(Listado!L:L,ROW()))</f>
        <v/>
      </c>
      <c r="X2078" s="17">
        <f>IF(N2078="","",IF(INDEX(Listado!$M:$M,N2078)="No","No","Sí"))</f>
        <v/>
      </c>
    </row>
    <row r="2079" spans="2:24" ht="14.25">
      <c r="N2079" s="17" t="str">
        <f>IF(V2079=0,"",IFERROR(LOOKUP(2,1/(INDEX(Listado!A:A,2):INDEX(Listado!A:A,ROW())&lt;&gt;""),ROW(INDEX(Listado!A:A,2):INDEX(Listado!A:A,ROW()))),""))</f>
        <v/>
      </c>
      <c r="O2079" s="17" t="str">
        <f>IFERROR(IF(N2079="","",IF(INDEX(Listado!M:M,N2079)="No",IF(INDEX(Listado!N:N,N2079)=0,"",INDEX(Listado!N:N,N2079)),IF(INDEX(Listado!I:I,N2079)=0,"",INDEX(Listado!I:I,N2079)))),"")</f>
        <v/>
      </c>
      <c r="P2079" s="17">
        <f t="shared" ca="1" si="97"/>
        <v/>
      </c>
      <c r="Q2079" s="17">
        <f>IFERROR(IF(AND(N2079&lt;&gt;"",ISNUMBER(O2079),O2079&gt;0,O2079&gt;=TODAY()-90),1,0),0)</f>
        <v/>
      </c>
      <c r="R2079" s="17" t="str">
        <f t="shared" si="99"/>
        <v/>
      </c>
      <c r="S2079" s="17" t="str">
        <f>IF(INDEX(Listado!A:A,ROW())="","",INDEX(Listado!A:A,ROW()))</f>
        <v/>
      </c>
      <c r="T2079" s="17" t="str">
        <f ca="1">IF(INDEX(Listado!G:G,ROW())="","",INDEX(Listado!G:G,ROW()))</f>
        <v/>
      </c>
      <c r="U2079" s="17" t="str">
        <f>IF(INDEX(Listado!F:F,ROW())="","",INDEX(Listado!F:F,ROW()))</f>
        <v/>
      </c>
      <c r="V2079" s="17">
        <f>IF(COUNTA(INDEX(Listado!B:B,ROW()):INDEX(Listado!F:F,ROW()))&gt;0,1,0)</f>
        <v/>
      </c>
      <c r="W2079" s="17" t="str">
        <f>IF(INDEX(Listado!L:L,ROW())="","",INDEX(Listado!L:L,ROW()))</f>
        <v/>
      </c>
      <c r="X2079" s="17">
        <f>IF(N2079="","",IF(INDEX(Listado!$M:$M,N2079)="No","No","Sí"))</f>
        <v/>
      </c>
    </row>
    <row r="2080" spans="2:24" ht="14.25">
      <c r="N2080" s="17" t="str">
        <f>IF(V2080=0,"",IFERROR(LOOKUP(2,1/(INDEX(Listado!A:A,2):INDEX(Listado!A:A,ROW())&lt;&gt;""),ROW(INDEX(Listado!A:A,2):INDEX(Listado!A:A,ROW()))),""))</f>
        <v/>
      </c>
      <c r="O2080" s="17" t="str">
        <f>IFERROR(IF(N2080="","",IF(INDEX(Listado!M:M,N2080)="No",IF(INDEX(Listado!N:N,N2080)=0,"",INDEX(Listado!N:N,N2080)),IF(INDEX(Listado!I:I,N2080)=0,"",INDEX(Listado!I:I,N2080)))),"")</f>
        <v/>
      </c>
      <c r="P2080" s="17">
        <f t="shared" ca="1" si="97"/>
        <v/>
      </c>
      <c r="Q2080" s="17">
        <f>IFERROR(IF(AND(N2080&lt;&gt;"",ISNUMBER(O2080),O2080&gt;0,O2080&gt;=TODAY()-90),1,0),0)</f>
        <v/>
      </c>
      <c r="R2080" s="17" t="str">
        <f t="shared" si="99"/>
        <v/>
      </c>
      <c r="S2080" s="17" t="str">
        <f>IF(INDEX(Listado!A:A,ROW())="","",INDEX(Listado!A:A,ROW()))</f>
        <v/>
      </c>
      <c r="T2080" s="17" t="str">
        <f ca="1">IF(INDEX(Listado!G:G,ROW())="","",INDEX(Listado!G:G,ROW()))</f>
        <v/>
      </c>
      <c r="U2080" s="17" t="str">
        <f>IF(INDEX(Listado!F:F,ROW())="","",INDEX(Listado!F:F,ROW()))</f>
        <v/>
      </c>
      <c r="V2080" s="17">
        <f>IF(COUNTA(INDEX(Listado!B:B,ROW()):INDEX(Listado!F:F,ROW()))&gt;0,1,0)</f>
        <v/>
      </c>
      <c r="W2080" s="17" t="str">
        <f>IF(INDEX(Listado!L:L,ROW())="","",INDEX(Listado!L:L,ROW()))</f>
        <v/>
      </c>
      <c r="X2080" s="17">
        <f>IF(N2080="","",IF(INDEX(Listado!$M:$M,N2080)="No","No","Sí"))</f>
        <v/>
      </c>
    </row>
    <row r="2081" spans="2:24" ht="14.25">
      <c r="N2081" s="17" t="str">
        <f>IF(V2081=0,"",IFERROR(LOOKUP(2,1/(INDEX(Listado!A:A,2):INDEX(Listado!A:A,ROW())&lt;&gt;""),ROW(INDEX(Listado!A:A,2):INDEX(Listado!A:A,ROW()))),""))</f>
        <v/>
      </c>
      <c r="O2081" s="17" t="str">
        <f>IFERROR(IF(N2081="","",IF(INDEX(Listado!M:M,N2081)="No",IF(INDEX(Listado!N:N,N2081)=0,"",INDEX(Listado!N:N,N2081)),IF(INDEX(Listado!I:I,N2081)=0,"",INDEX(Listado!I:I,N2081)))),"")</f>
        <v/>
      </c>
      <c r="P2081" s="17">
        <f t="shared" ca="1" si="97"/>
        <v/>
      </c>
      <c r="Q2081" s="17">
        <f>IFERROR(IF(AND(N2081&lt;&gt;"",ISNUMBER(O2081),O2081&gt;0,O2081&gt;=TODAY()-90),1,0),0)</f>
        <v/>
      </c>
      <c r="R2081" s="17" t="str">
        <f t="shared" si="99"/>
        <v/>
      </c>
      <c r="S2081" s="17" t="str">
        <f>IF(INDEX(Listado!A:A,ROW())="","",INDEX(Listado!A:A,ROW()))</f>
        <v/>
      </c>
      <c r="T2081" s="17" t="str">
        <f ca="1">IF(INDEX(Listado!G:G,ROW())="","",INDEX(Listado!G:G,ROW()))</f>
        <v/>
      </c>
      <c r="U2081" s="17" t="str">
        <f>IF(INDEX(Listado!F:F,ROW())="","",INDEX(Listado!F:F,ROW()))</f>
        <v/>
      </c>
      <c r="V2081" s="17">
        <f>IF(COUNTA(INDEX(Listado!B:B,ROW()):INDEX(Listado!F:F,ROW()))&gt;0,1,0)</f>
        <v/>
      </c>
      <c r="W2081" s="17" t="str">
        <f>IF(INDEX(Listado!L:L,ROW())="","",INDEX(Listado!L:L,ROW()))</f>
        <v/>
      </c>
      <c r="X2081" s="17">
        <f>IF(N2081="","",IF(INDEX(Listado!$M:$M,N2081)="No","No","Sí"))</f>
        <v/>
      </c>
    </row>
    <row r="2082" spans="2:24" ht="14.25">
      <c r="N2082" s="17" t="str">
        <f>IF(V2082=0,"",IFERROR(LOOKUP(2,1/(INDEX(Listado!A:A,2):INDEX(Listado!A:A,ROW())&lt;&gt;""),ROW(INDEX(Listado!A:A,2):INDEX(Listado!A:A,ROW()))),""))</f>
        <v/>
      </c>
      <c r="O2082" s="17" t="str">
        <f>IFERROR(IF(N2082="","",IF(INDEX(Listado!M:M,N2082)="No",IF(INDEX(Listado!N:N,N2082)=0,"",INDEX(Listado!N:N,N2082)),IF(INDEX(Listado!I:I,N2082)=0,"",INDEX(Listado!I:I,N2082)))),"")</f>
        <v/>
      </c>
      <c r="P2082" s="17">
        <f t="shared" ca="1" si="97"/>
        <v/>
      </c>
      <c r="Q2082" s="17">
        <f>IFERROR(IF(AND(N2082&lt;&gt;"",ISNUMBER(O2082),O2082&gt;0,O2082&gt;=TODAY()-90),1,0),0)</f>
        <v/>
      </c>
      <c r="R2082" s="17" t="str">
        <f t="shared" si="99"/>
        <v/>
      </c>
      <c r="S2082" s="17" t="str">
        <f>IF(INDEX(Listado!A:A,ROW())="","",INDEX(Listado!A:A,ROW()))</f>
        <v/>
      </c>
      <c r="T2082" s="17" t="str">
        <f ca="1">IF(INDEX(Listado!G:G,ROW())="","",INDEX(Listado!G:G,ROW()))</f>
        <v/>
      </c>
      <c r="U2082" s="17" t="str">
        <f>IF(INDEX(Listado!F:F,ROW())="","",INDEX(Listado!F:F,ROW()))</f>
        <v/>
      </c>
      <c r="V2082" s="17">
        <f>IF(COUNTA(INDEX(Listado!B:B,ROW()):INDEX(Listado!F:F,ROW()))&gt;0,1,0)</f>
        <v/>
      </c>
      <c r="W2082" s="17" t="str">
        <f>IF(INDEX(Listado!L:L,ROW())="","",INDEX(Listado!L:L,ROW()))</f>
        <v/>
      </c>
      <c r="X2082" s="17">
        <f>IF(N2082="","",IF(INDEX(Listado!$M:$M,N2082)="No","No","Sí"))</f>
        <v/>
      </c>
    </row>
    <row r="2083" spans="2:24" ht="14.25">
      <c r="N2083" s="17" t="str">
        <f>IF(V2083=0,"",IFERROR(LOOKUP(2,1/(INDEX(Listado!A:A,2):INDEX(Listado!A:A,ROW())&lt;&gt;""),ROW(INDEX(Listado!A:A,2):INDEX(Listado!A:A,ROW()))),""))</f>
        <v/>
      </c>
      <c r="O2083" s="17" t="str">
        <f>IFERROR(IF(N2083="","",IF(INDEX(Listado!M:M,N2083)="No",IF(INDEX(Listado!N:N,N2083)=0,"",INDEX(Listado!N:N,N2083)),IF(INDEX(Listado!I:I,N2083)=0,"",INDEX(Listado!I:I,N2083)))),"")</f>
        <v/>
      </c>
      <c r="P2083" s="17">
        <f t="shared" ca="1" si="97"/>
        <v/>
      </c>
      <c r="Q2083" s="17">
        <f>IFERROR(IF(AND(N2083&lt;&gt;"",ISNUMBER(O2083),O2083&gt;0,O2083&gt;=TODAY()-90),1,0),0)</f>
        <v/>
      </c>
      <c r="R2083" s="17" t="str">
        <f t="shared" si="99"/>
        <v/>
      </c>
      <c r="S2083" s="17" t="str">
        <f>IF(INDEX(Listado!A:A,ROW())="","",INDEX(Listado!A:A,ROW()))</f>
        <v/>
      </c>
      <c r="T2083" s="17" t="str">
        <f ca="1">IF(INDEX(Listado!G:G,ROW())="","",INDEX(Listado!G:G,ROW()))</f>
        <v/>
      </c>
      <c r="U2083" s="17" t="str">
        <f>IF(INDEX(Listado!F:F,ROW())="","",INDEX(Listado!F:F,ROW()))</f>
        <v/>
      </c>
      <c r="V2083" s="17">
        <f>IF(COUNTA(INDEX(Listado!B:B,ROW()):INDEX(Listado!F:F,ROW()))&gt;0,1,0)</f>
        <v/>
      </c>
      <c r="W2083" s="17" t="str">
        <f>IF(INDEX(Listado!L:L,ROW())="","",INDEX(Listado!L:L,ROW()))</f>
        <v/>
      </c>
      <c r="X2083" s="17">
        <f>IF(N2083="","",IF(INDEX(Listado!$M:$M,N2083)="No","No","Sí"))</f>
        <v/>
      </c>
    </row>
    <row r="2084" spans="2:24" ht="14.25">
      <c r="N2084" s="17" t="str">
        <f>IF(V2084=0,"",IFERROR(LOOKUP(2,1/(INDEX(Listado!A:A,2):INDEX(Listado!A:A,ROW())&lt;&gt;""),ROW(INDEX(Listado!A:A,2):INDEX(Listado!A:A,ROW()))),""))</f>
        <v/>
      </c>
      <c r="O2084" s="17" t="str">
        <f>IFERROR(IF(N2084="","",IF(INDEX(Listado!M:M,N2084)="No",IF(INDEX(Listado!N:N,N2084)=0,"",INDEX(Listado!N:N,N2084)),IF(INDEX(Listado!I:I,N2084)=0,"",INDEX(Listado!I:I,N2084)))),"")</f>
        <v/>
      </c>
      <c r="P2084" s="17">
        <f t="shared" ca="1" si="97"/>
        <v/>
      </c>
      <c r="Q2084" s="17">
        <f>IFERROR(IF(AND(N2084&lt;&gt;"",ISNUMBER(O2084),O2084&gt;0,O2084&gt;=TODAY()-90),1,0),0)</f>
        <v/>
      </c>
      <c r="R2084" s="17" t="str">
        <f t="shared" si="99"/>
        <v/>
      </c>
      <c r="S2084" s="17" t="str">
        <f>IF(INDEX(Listado!A:A,ROW())="","",INDEX(Listado!A:A,ROW()))</f>
        <v/>
      </c>
      <c r="T2084" s="17" t="str">
        <f ca="1">IF(INDEX(Listado!G:G,ROW())="","",INDEX(Listado!G:G,ROW()))</f>
        <v/>
      </c>
      <c r="U2084" s="17" t="str">
        <f>IF(INDEX(Listado!F:F,ROW())="","",INDEX(Listado!F:F,ROW()))</f>
        <v/>
      </c>
      <c r="V2084" s="17">
        <f>IF(COUNTA(INDEX(Listado!B:B,ROW()):INDEX(Listado!F:F,ROW()))&gt;0,1,0)</f>
        <v/>
      </c>
      <c r="W2084" s="17" t="str">
        <f>IF(INDEX(Listado!L:L,ROW())="","",INDEX(Listado!L:L,ROW()))</f>
        <v/>
      </c>
      <c r="X2084" s="17">
        <f>IF(N2084="","",IF(INDEX(Listado!$M:$M,N2084)="No","No","Sí"))</f>
        <v/>
      </c>
    </row>
    <row r="2085" spans="2:24" ht="14.25">
      <c r="N2085" s="17" t="str">
        <f>IF(V2085=0,"",IFERROR(LOOKUP(2,1/(INDEX(Listado!A:A,2):INDEX(Listado!A:A,ROW())&lt;&gt;""),ROW(INDEX(Listado!A:A,2):INDEX(Listado!A:A,ROW()))),""))</f>
        <v/>
      </c>
      <c r="O2085" s="17" t="str">
        <f>IFERROR(IF(N2085="","",IF(INDEX(Listado!M:M,N2085)="No",IF(INDEX(Listado!N:N,N2085)=0,"",INDEX(Listado!N:N,N2085)),IF(INDEX(Listado!I:I,N2085)=0,"",INDEX(Listado!I:I,N2085)))),"")</f>
        <v/>
      </c>
      <c r="P2085" s="17">
        <f t="shared" ca="1" si="97"/>
        <v/>
      </c>
      <c r="Q2085" s="17">
        <f>IFERROR(IF(AND(N2085&lt;&gt;"",ISNUMBER(O2085),O2085&gt;0,O2085&gt;=TODAY()-90),1,0),0)</f>
        <v/>
      </c>
      <c r="R2085" s="17" t="str">
        <f t="shared" si="99"/>
        <v/>
      </c>
      <c r="S2085" s="17" t="str">
        <f>IF(INDEX(Listado!A:A,ROW())="","",INDEX(Listado!A:A,ROW()))</f>
        <v/>
      </c>
      <c r="T2085" s="17" t="str">
        <f ca="1">IF(INDEX(Listado!G:G,ROW())="","",INDEX(Listado!G:G,ROW()))</f>
        <v/>
      </c>
      <c r="U2085" s="17" t="str">
        <f>IF(INDEX(Listado!F:F,ROW())="","",INDEX(Listado!F:F,ROW()))</f>
        <v/>
      </c>
      <c r="V2085" s="17">
        <f>IF(COUNTA(INDEX(Listado!B:B,ROW()):INDEX(Listado!F:F,ROW()))&gt;0,1,0)</f>
        <v/>
      </c>
      <c r="W2085" s="17" t="str">
        <f>IF(INDEX(Listado!L:L,ROW())="","",INDEX(Listado!L:L,ROW()))</f>
        <v/>
      </c>
      <c r="X2085" s="17">
        <f>IF(N2085="","",IF(INDEX(Listado!$M:$M,N2085)="No","No","Sí"))</f>
        <v/>
      </c>
    </row>
    <row r="2086" spans="2:24" ht="14.25">
      <c r="N2086" s="17" t="str">
        <f>IF(V2086=0,"",IFERROR(LOOKUP(2,1/(INDEX(Listado!A:A,2):INDEX(Listado!A:A,ROW())&lt;&gt;""),ROW(INDEX(Listado!A:A,2):INDEX(Listado!A:A,ROW()))),""))</f>
        <v/>
      </c>
      <c r="O2086" s="17" t="str">
        <f>IFERROR(IF(N2086="","",IF(INDEX(Listado!M:M,N2086)="No",IF(INDEX(Listado!N:N,N2086)=0,"",INDEX(Listado!N:N,N2086)),IF(INDEX(Listado!I:I,N2086)=0,"",INDEX(Listado!I:I,N2086)))),"")</f>
        <v/>
      </c>
      <c r="P2086" s="17">
        <f t="shared" ca="1" si="97"/>
        <v/>
      </c>
      <c r="Q2086" s="17">
        <f>IFERROR(IF(AND(N2086&lt;&gt;"",ISNUMBER(O2086),O2086&gt;0,O2086&gt;=TODAY()-90),1,0),0)</f>
        <v/>
      </c>
      <c r="R2086" s="17" t="str">
        <f t="shared" si="99"/>
        <v/>
      </c>
      <c r="S2086" s="17" t="str">
        <f>IF(INDEX(Listado!A:A,ROW())="","",INDEX(Listado!A:A,ROW()))</f>
        <v/>
      </c>
      <c r="T2086" s="17" t="str">
        <f ca="1">IF(INDEX(Listado!G:G,ROW())="","",INDEX(Listado!G:G,ROW()))</f>
        <v/>
      </c>
      <c r="U2086" s="17" t="str">
        <f>IF(INDEX(Listado!F:F,ROW())="","",INDEX(Listado!F:F,ROW()))</f>
        <v/>
      </c>
      <c r="V2086" s="17">
        <f>IF(COUNTA(INDEX(Listado!B:B,ROW()):INDEX(Listado!F:F,ROW()))&gt;0,1,0)</f>
        <v/>
      </c>
      <c r="W2086" s="17" t="str">
        <f>IF(INDEX(Listado!L:L,ROW())="","",INDEX(Listado!L:L,ROW()))</f>
        <v/>
      </c>
      <c r="X2086" s="17">
        <f>IF(N2086="","",IF(INDEX(Listado!$M:$M,N2086)="No","No","Sí"))</f>
        <v/>
      </c>
    </row>
    <row r="2087" spans="2:24" ht="14.25">
      <c r="N2087" s="17" t="str">
        <f>IF(V2087=0,"",IFERROR(LOOKUP(2,1/(INDEX(Listado!A:A,2):INDEX(Listado!A:A,ROW())&lt;&gt;""),ROW(INDEX(Listado!A:A,2):INDEX(Listado!A:A,ROW()))),""))</f>
        <v/>
      </c>
      <c r="O2087" s="17" t="str">
        <f>IFERROR(IF(N2087="","",IF(INDEX(Listado!M:M,N2087)="No",IF(INDEX(Listado!N:N,N2087)=0,"",INDEX(Listado!N:N,N2087)),IF(INDEX(Listado!I:I,N2087)=0,"",INDEX(Listado!I:I,N2087)))),"")</f>
        <v/>
      </c>
      <c r="P2087" s="17">
        <f t="shared" ca="1" si="97"/>
        <v/>
      </c>
      <c r="Q2087" s="17">
        <f>IFERROR(IF(AND(N2087&lt;&gt;"",ISNUMBER(O2087),O2087&gt;0,O2087&gt;=TODAY()-90),1,0),0)</f>
        <v/>
      </c>
      <c r="R2087" s="17" t="str">
        <f t="shared" si="99"/>
        <v/>
      </c>
      <c r="S2087" s="17" t="str">
        <f>IF(INDEX(Listado!A:A,ROW())="","",INDEX(Listado!A:A,ROW()))</f>
        <v/>
      </c>
      <c r="T2087" s="17" t="str">
        <f ca="1">IF(INDEX(Listado!G:G,ROW())="","",INDEX(Listado!G:G,ROW()))</f>
        <v/>
      </c>
      <c r="U2087" s="17" t="str">
        <f>IF(INDEX(Listado!F:F,ROW())="","",INDEX(Listado!F:F,ROW()))</f>
        <v/>
      </c>
      <c r="V2087" s="17">
        <f>IF(COUNTA(INDEX(Listado!B:B,ROW()):INDEX(Listado!F:F,ROW()))&gt;0,1,0)</f>
        <v/>
      </c>
      <c r="W2087" s="17" t="str">
        <f>IF(INDEX(Listado!L:L,ROW())="","",INDEX(Listado!L:L,ROW()))</f>
        <v/>
      </c>
      <c r="X2087" s="17">
        <f>IF(N2087="","",IF(INDEX(Listado!$M:$M,N2087)="No","No","Sí"))</f>
        <v/>
      </c>
    </row>
    <row r="2088" spans="2:24" ht="14.25">
      <c r="N2088" s="17" t="str">
        <f>IF(V2088=0,"",IFERROR(LOOKUP(2,1/(INDEX(Listado!A:A,2):INDEX(Listado!A:A,ROW())&lt;&gt;""),ROW(INDEX(Listado!A:A,2):INDEX(Listado!A:A,ROW()))),""))</f>
        <v/>
      </c>
      <c r="O2088" s="17" t="str">
        <f>IFERROR(IF(N2088="","",IF(INDEX(Listado!M:M,N2088)="No",IF(INDEX(Listado!N:N,N2088)=0,"",INDEX(Listado!N:N,N2088)),IF(INDEX(Listado!I:I,N2088)=0,"",INDEX(Listado!I:I,N2088)))),"")</f>
        <v/>
      </c>
      <c r="P2088" s="17">
        <f t="shared" ca="1" si="97"/>
        <v/>
      </c>
      <c r="Q2088" s="17">
        <f>IFERROR(IF(AND(N2088&lt;&gt;"",ISNUMBER(O2088),O2088&gt;0,O2088&gt;=TODAY()-90),1,0),0)</f>
        <v/>
      </c>
      <c r="R2088" s="17" t="str">
        <f t="shared" si="99"/>
        <v/>
      </c>
      <c r="S2088" s="17" t="str">
        <f>IF(INDEX(Listado!A:A,ROW())="","",INDEX(Listado!A:A,ROW()))</f>
        <v/>
      </c>
      <c r="T2088" s="17" t="str">
        <f ca="1">IF(INDEX(Listado!G:G,ROW())="","",INDEX(Listado!G:G,ROW()))</f>
        <v/>
      </c>
      <c r="U2088" s="17" t="str">
        <f>IF(INDEX(Listado!F:F,ROW())="","",INDEX(Listado!F:F,ROW()))</f>
        <v/>
      </c>
      <c r="V2088" s="17">
        <f>IF(COUNTA(INDEX(Listado!B:B,ROW()):INDEX(Listado!F:F,ROW()))&gt;0,1,0)</f>
        <v/>
      </c>
      <c r="W2088" s="17" t="str">
        <f>IF(INDEX(Listado!L:L,ROW())="","",INDEX(Listado!L:L,ROW()))</f>
        <v/>
      </c>
      <c r="X2088" s="17">
        <f>IF(N2088="","",IF(INDEX(Listado!$M:$M,N2088)="No","No","Sí"))</f>
        <v/>
      </c>
    </row>
    <row r="2089" spans="2:24" ht="14.25">
      <c r="N2089" s="17" t="str">
        <f>IF(V2089=0,"",IFERROR(LOOKUP(2,1/(INDEX(Listado!A:A,2):INDEX(Listado!A:A,ROW())&lt;&gt;""),ROW(INDEX(Listado!A:A,2):INDEX(Listado!A:A,ROW()))),""))</f>
        <v/>
      </c>
      <c r="O2089" s="17" t="str">
        <f>IFERROR(IF(N2089="","",IF(INDEX(Listado!M:M,N2089)="No",IF(INDEX(Listado!N:N,N2089)=0,"",INDEX(Listado!N:N,N2089)),IF(INDEX(Listado!I:I,N2089)=0,"",INDEX(Listado!I:I,N2089)))),"")</f>
        <v/>
      </c>
      <c r="P2089" s="17">
        <f t="shared" ca="1" si="97"/>
        <v/>
      </c>
      <c r="Q2089" s="17">
        <f>IFERROR(IF(AND(N2089&lt;&gt;"",ISNUMBER(O2089),O2089&gt;0,O2089&gt;=TODAY()-90),1,0),0)</f>
        <v/>
      </c>
      <c r="R2089" s="17" t="str">
        <f t="shared" si="99"/>
        <v/>
      </c>
      <c r="S2089" s="17" t="str">
        <f>IF(INDEX(Listado!A:A,ROW())="","",INDEX(Listado!A:A,ROW()))</f>
        <v/>
      </c>
      <c r="T2089" s="17" t="str">
        <f ca="1">IF(INDEX(Listado!G:G,ROW())="","",INDEX(Listado!G:G,ROW()))</f>
        <v/>
      </c>
      <c r="U2089" s="17" t="str">
        <f>IF(INDEX(Listado!F:F,ROW())="","",INDEX(Listado!F:F,ROW()))</f>
        <v/>
      </c>
      <c r="V2089" s="17">
        <f>IF(COUNTA(INDEX(Listado!B:B,ROW()):INDEX(Listado!F:F,ROW()))&gt;0,1,0)</f>
        <v/>
      </c>
      <c r="W2089" s="17" t="str">
        <f>IF(INDEX(Listado!L:L,ROW())="","",INDEX(Listado!L:L,ROW()))</f>
        <v/>
      </c>
      <c r="X2089" s="17">
        <f>IF(N2089="","",IF(INDEX(Listado!$M:$M,N2089)="No","No","Sí"))</f>
        <v/>
      </c>
    </row>
    <row r="2090" spans="2:24" ht="14.25">
      <c r="N2090" s="17" t="str">
        <f>IF(V2090=0,"",IFERROR(LOOKUP(2,1/(INDEX(Listado!A:A,2):INDEX(Listado!A:A,ROW())&lt;&gt;""),ROW(INDEX(Listado!A:A,2):INDEX(Listado!A:A,ROW()))),""))</f>
        <v/>
      </c>
      <c r="O2090" s="17" t="str">
        <f>IFERROR(IF(N2090="","",IF(INDEX(Listado!M:M,N2090)="No",IF(INDEX(Listado!N:N,N2090)=0,"",INDEX(Listado!N:N,N2090)),IF(INDEX(Listado!I:I,N2090)=0,"",INDEX(Listado!I:I,N2090)))),"")</f>
        <v/>
      </c>
      <c r="P2090" s="17">
        <f t="shared" ca="1" si="97"/>
        <v/>
      </c>
      <c r="Q2090" s="17">
        <f>IFERROR(IF(AND(N2090&lt;&gt;"",ISNUMBER(O2090),O2090&gt;0,O2090&gt;=TODAY()-90),1,0),0)</f>
        <v/>
      </c>
      <c r="R2090" s="17" t="str">
        <f t="shared" si="99"/>
        <v/>
      </c>
      <c r="S2090" s="17" t="str">
        <f>IF(INDEX(Listado!A:A,ROW())="","",INDEX(Listado!A:A,ROW()))</f>
        <v/>
      </c>
      <c r="T2090" s="17" t="str">
        <f ca="1">IF(INDEX(Listado!G:G,ROW())="","",INDEX(Listado!G:G,ROW()))</f>
        <v/>
      </c>
      <c r="U2090" s="17" t="str">
        <f>IF(INDEX(Listado!F:F,ROW())="","",INDEX(Listado!F:F,ROW()))</f>
        <v/>
      </c>
      <c r="V2090" s="17">
        <f>IF(COUNTA(INDEX(Listado!B:B,ROW()):INDEX(Listado!F:F,ROW()))&gt;0,1,0)</f>
        <v/>
      </c>
      <c r="W2090" s="17" t="str">
        <f>IF(INDEX(Listado!L:L,ROW())="","",INDEX(Listado!L:L,ROW()))</f>
        <v/>
      </c>
      <c r="X2090" s="17">
        <f>IF(N2090="","",IF(INDEX(Listado!$M:$M,N2090)="No","No","Sí"))</f>
        <v/>
      </c>
    </row>
    <row r="2091" spans="2:24" ht="14.25">
      <c r="N2091" s="17" t="str">
        <f>IF(V2091=0,"",IFERROR(LOOKUP(2,1/(INDEX(Listado!A:A,2):INDEX(Listado!A:A,ROW())&lt;&gt;""),ROW(INDEX(Listado!A:A,2):INDEX(Listado!A:A,ROW()))),""))</f>
        <v/>
      </c>
      <c r="O2091" s="17" t="str">
        <f>IFERROR(IF(N2091="","",IF(INDEX(Listado!M:M,N2091)="No",IF(INDEX(Listado!N:N,N2091)=0,"",INDEX(Listado!N:N,N2091)),IF(INDEX(Listado!I:I,N2091)=0,"",INDEX(Listado!I:I,N2091)))),"")</f>
        <v/>
      </c>
      <c r="P2091" s="17">
        <f t="shared" ca="1" si="97"/>
        <v/>
      </c>
      <c r="Q2091" s="17">
        <f>IFERROR(IF(AND(N2091&lt;&gt;"",ISNUMBER(O2091),O2091&gt;0,O2091&gt;=TODAY()-90),1,0),0)</f>
        <v/>
      </c>
      <c r="R2091" s="17" t="str">
        <f t="shared" si="99"/>
        <v/>
      </c>
      <c r="S2091" s="17" t="str">
        <f>IF(INDEX(Listado!A:A,ROW())="","",INDEX(Listado!A:A,ROW()))</f>
        <v/>
      </c>
      <c r="T2091" s="17" t="str">
        <f ca="1">IF(INDEX(Listado!G:G,ROW())="","",INDEX(Listado!G:G,ROW()))</f>
        <v/>
      </c>
      <c r="U2091" s="17" t="str">
        <f>IF(INDEX(Listado!F:F,ROW())="","",INDEX(Listado!F:F,ROW()))</f>
        <v/>
      </c>
      <c r="V2091" s="17">
        <f>IF(COUNTA(INDEX(Listado!B:B,ROW()):INDEX(Listado!F:F,ROW()))&gt;0,1,0)</f>
        <v/>
      </c>
      <c r="W2091" s="17" t="str">
        <f>IF(INDEX(Listado!L:L,ROW())="","",INDEX(Listado!L:L,ROW()))</f>
        <v/>
      </c>
      <c r="X2091" s="17">
        <f>IF(N2091="","",IF(INDEX(Listado!$M:$M,N2091)="No","No","Sí"))</f>
        <v/>
      </c>
    </row>
    <row r="2092" spans="2:24" ht="14.25">
      <c r="N2092" s="17" t="str">
        <f>IF(V2092=0,"",IFERROR(LOOKUP(2,1/(INDEX(Listado!A:A,2):INDEX(Listado!A:A,ROW())&lt;&gt;""),ROW(INDEX(Listado!A:A,2):INDEX(Listado!A:A,ROW()))),""))</f>
        <v/>
      </c>
      <c r="O2092" s="17" t="str">
        <f>IFERROR(IF(N2092="","",IF(INDEX(Listado!M:M,N2092)="No",IF(INDEX(Listado!N:N,N2092)=0,"",INDEX(Listado!N:N,N2092)),IF(INDEX(Listado!I:I,N2092)=0,"",INDEX(Listado!I:I,N2092)))),"")</f>
        <v/>
      </c>
      <c r="P2092" s="17">
        <f t="shared" ca="1" si="97"/>
        <v/>
      </c>
      <c r="Q2092" s="17">
        <f>IFERROR(IF(AND(N2092&lt;&gt;"",ISNUMBER(O2092),O2092&gt;0,O2092&gt;=TODAY()-90),1,0),0)</f>
        <v/>
      </c>
      <c r="R2092" s="17" t="str">
        <f t="shared" si="99"/>
        <v/>
      </c>
      <c r="S2092" s="17" t="str">
        <f>IF(INDEX(Listado!A:A,ROW())="","",INDEX(Listado!A:A,ROW()))</f>
        <v/>
      </c>
      <c r="T2092" s="17" t="str">
        <f ca="1">IF(INDEX(Listado!G:G,ROW())="","",INDEX(Listado!G:G,ROW()))</f>
        <v/>
      </c>
      <c r="U2092" s="17" t="str">
        <f>IF(INDEX(Listado!F:F,ROW())="","",INDEX(Listado!F:F,ROW()))</f>
        <v/>
      </c>
      <c r="V2092" s="17">
        <f>IF(COUNTA(INDEX(Listado!B:B,ROW()):INDEX(Listado!F:F,ROW()))&gt;0,1,0)</f>
        <v/>
      </c>
      <c r="W2092" s="17" t="str">
        <f>IF(INDEX(Listado!L:L,ROW())="","",INDEX(Listado!L:L,ROW()))</f>
        <v/>
      </c>
      <c r="X2092" s="17">
        <f>IF(N2092="","",IF(INDEX(Listado!$M:$M,N2092)="No","No","Sí"))</f>
        <v/>
      </c>
    </row>
    <row r="2093" spans="2:24" ht="14.25">
      <c r="N2093" s="17" t="str">
        <f>IF(V2093=0,"",IFERROR(LOOKUP(2,1/(INDEX(Listado!A:A,2):INDEX(Listado!A:A,ROW())&lt;&gt;""),ROW(INDEX(Listado!A:A,2):INDEX(Listado!A:A,ROW()))),""))</f>
        <v/>
      </c>
      <c r="O2093" s="17" t="str">
        <f>IFERROR(IF(N2093="","",IF(INDEX(Listado!M:M,N2093)="No",IF(INDEX(Listado!N:N,N2093)=0,"",INDEX(Listado!N:N,N2093)),IF(INDEX(Listado!I:I,N2093)=0,"",INDEX(Listado!I:I,N2093)))),"")</f>
        <v/>
      </c>
      <c r="P2093" s="17">
        <f t="shared" ca="1" si="97"/>
        <v/>
      </c>
      <c r="Q2093" s="17">
        <f>IFERROR(IF(AND(N2093&lt;&gt;"",ISNUMBER(O2093),O2093&gt;0,O2093&gt;=TODAY()-90),1,0),0)</f>
        <v/>
      </c>
      <c r="R2093" s="17" t="str">
        <f t="shared" si="99"/>
        <v/>
      </c>
      <c r="S2093" s="17" t="str">
        <f>IF(INDEX(Listado!A:A,ROW())="","",INDEX(Listado!A:A,ROW()))</f>
        <v/>
      </c>
      <c r="T2093" s="17" t="str">
        <f ca="1">IF(INDEX(Listado!G:G,ROW())="","",INDEX(Listado!G:G,ROW()))</f>
        <v/>
      </c>
      <c r="U2093" s="17" t="str">
        <f>IF(INDEX(Listado!F:F,ROW())="","",INDEX(Listado!F:F,ROW()))</f>
        <v/>
      </c>
      <c r="V2093" s="17">
        <f>IF(COUNTA(INDEX(Listado!B:B,ROW()):INDEX(Listado!F:F,ROW()))&gt;0,1,0)</f>
        <v/>
      </c>
      <c r="W2093" s="17" t="str">
        <f>IF(INDEX(Listado!L:L,ROW())="","",INDEX(Listado!L:L,ROW()))</f>
        <v/>
      </c>
      <c r="X2093" s="17">
        <f>IF(N2093="","",IF(INDEX(Listado!$M:$M,N2093)="No","No","Sí"))</f>
        <v/>
      </c>
    </row>
    <row r="2094" spans="2:24" ht="14.25">
      <c r="N2094" s="17" t="str">
        <f>IF(V2094=0,"",IFERROR(LOOKUP(2,1/(INDEX(Listado!A:A,2):INDEX(Listado!A:A,ROW())&lt;&gt;""),ROW(INDEX(Listado!A:A,2):INDEX(Listado!A:A,ROW()))),""))</f>
        <v/>
      </c>
      <c r="O2094" s="17" t="str">
        <f>IFERROR(IF(N2094="","",IF(INDEX(Listado!M:M,N2094)="No",IF(INDEX(Listado!N:N,N2094)=0,"",INDEX(Listado!N:N,N2094)),IF(INDEX(Listado!I:I,N2094)=0,"",INDEX(Listado!I:I,N2094)))),"")</f>
        <v/>
      </c>
      <c r="P2094" s="17">
        <f t="shared" ca="1" si="97"/>
        <v/>
      </c>
      <c r="Q2094" s="17">
        <f>IFERROR(IF(AND(N2094&lt;&gt;"",ISNUMBER(O2094),O2094&gt;0,O2094&gt;=TODAY()-90),1,0),0)</f>
        <v/>
      </c>
      <c r="R2094" s="17" t="str">
        <f t="shared" si="99"/>
        <v/>
      </c>
      <c r="S2094" s="17" t="str">
        <f>IF(INDEX(Listado!A:A,ROW())="","",INDEX(Listado!A:A,ROW()))</f>
        <v/>
      </c>
      <c r="T2094" s="17" t="str">
        <f ca="1">IF(INDEX(Listado!G:G,ROW())="","",INDEX(Listado!G:G,ROW()))</f>
        <v/>
      </c>
      <c r="U2094" s="17" t="str">
        <f>IF(INDEX(Listado!F:F,ROW())="","",INDEX(Listado!F:F,ROW()))</f>
        <v/>
      </c>
      <c r="V2094" s="17">
        <f>IF(COUNTA(INDEX(Listado!B:B,ROW()):INDEX(Listado!F:F,ROW()))&gt;0,1,0)</f>
        <v/>
      </c>
      <c r="W2094" s="17" t="str">
        <f>IF(INDEX(Listado!L:L,ROW())="","",INDEX(Listado!L:L,ROW()))</f>
        <v/>
      </c>
      <c r="X2094" s="17">
        <f>IF(N2094="","",IF(INDEX(Listado!$M:$M,N2094)="No","No","Sí"))</f>
        <v/>
      </c>
    </row>
    <row r="2095" spans="2:24" ht="14.25">
      <c r="N2095" s="17" t="str">
        <f>IF(V2095=0,"",IFERROR(LOOKUP(2,1/(INDEX(Listado!A:A,2):INDEX(Listado!A:A,ROW())&lt;&gt;""),ROW(INDEX(Listado!A:A,2):INDEX(Listado!A:A,ROW()))),""))</f>
        <v/>
      </c>
      <c r="O2095" s="17" t="str">
        <f>IFERROR(IF(N2095="","",IF(INDEX(Listado!M:M,N2095)="No",IF(INDEX(Listado!N:N,N2095)=0,"",INDEX(Listado!N:N,N2095)),IF(INDEX(Listado!I:I,N2095)=0,"",INDEX(Listado!I:I,N2095)))),"")</f>
        <v/>
      </c>
      <c r="P2095" s="17">
        <f t="shared" ca="1" si="97"/>
        <v/>
      </c>
      <c r="Q2095" s="17">
        <f>IFERROR(IF(AND(N2095&lt;&gt;"",ISNUMBER(O2095),O2095&gt;0,O2095&gt;=TODAY()-90),1,0),0)</f>
        <v/>
      </c>
      <c r="R2095" s="17" t="str">
        <f t="shared" si="99"/>
        <v/>
      </c>
      <c r="S2095" s="17" t="str">
        <f>IF(INDEX(Listado!A:A,ROW())="","",INDEX(Listado!A:A,ROW()))</f>
        <v/>
      </c>
      <c r="T2095" s="17" t="str">
        <f ca="1">IF(INDEX(Listado!G:G,ROW())="","",INDEX(Listado!G:G,ROW()))</f>
        <v/>
      </c>
      <c r="U2095" s="17" t="str">
        <f>IF(INDEX(Listado!F:F,ROW())="","",INDEX(Listado!F:F,ROW()))</f>
        <v/>
      </c>
      <c r="V2095" s="17">
        <f>IF(COUNTA(INDEX(Listado!B:B,ROW()):INDEX(Listado!F:F,ROW()))&gt;0,1,0)</f>
        <v/>
      </c>
      <c r="W2095" s="17" t="str">
        <f>IF(INDEX(Listado!L:L,ROW())="","",INDEX(Listado!L:L,ROW()))</f>
        <v/>
      </c>
      <c r="X2095" s="17">
        <f>IF(N2095="","",IF(INDEX(Listado!$M:$M,N2095)="No","No","Sí"))</f>
        <v/>
      </c>
    </row>
    <row r="2096" spans="2:24" ht="14.25">
      <c r="N2096" s="17" t="str">
        <f>IF(V2096=0,"",IFERROR(LOOKUP(2,1/(INDEX(Listado!A:A,2):INDEX(Listado!A:A,ROW())&lt;&gt;""),ROW(INDEX(Listado!A:A,2):INDEX(Listado!A:A,ROW()))),""))</f>
        <v/>
      </c>
      <c r="O2096" s="17" t="str">
        <f>IFERROR(IF(N2096="","",IF(INDEX(Listado!M:M,N2096)="No",IF(INDEX(Listado!N:N,N2096)=0,"",INDEX(Listado!N:N,N2096)),IF(INDEX(Listado!I:I,N2096)=0,"",INDEX(Listado!I:I,N2096)))),"")</f>
        <v/>
      </c>
      <c r="P2096" s="17">
        <f t="shared" ca="1" si="97"/>
        <v/>
      </c>
      <c r="Q2096" s="17">
        <f>IFERROR(IF(AND(N2096&lt;&gt;"",ISNUMBER(O2096),O2096&gt;0,O2096&gt;=TODAY()-90),1,0),0)</f>
        <v/>
      </c>
      <c r="R2096" s="17" t="str">
        <f t="shared" si="99"/>
        <v/>
      </c>
      <c r="S2096" s="17" t="str">
        <f>IF(INDEX(Listado!A:A,ROW())="","",INDEX(Listado!A:A,ROW()))</f>
        <v/>
      </c>
      <c r="T2096" s="17" t="str">
        <f ca="1">IF(INDEX(Listado!G:G,ROW())="","",INDEX(Listado!G:G,ROW()))</f>
        <v/>
      </c>
      <c r="U2096" s="17" t="str">
        <f>IF(INDEX(Listado!F:F,ROW())="","",INDEX(Listado!F:F,ROW()))</f>
        <v/>
      </c>
      <c r="V2096" s="17">
        <f>IF(COUNTA(INDEX(Listado!B:B,ROW()):INDEX(Listado!F:F,ROW()))&gt;0,1,0)</f>
        <v/>
      </c>
      <c r="W2096" s="17" t="str">
        <f>IF(INDEX(Listado!L:L,ROW())="","",INDEX(Listado!L:L,ROW()))</f>
        <v/>
      </c>
      <c r="X2096" s="17">
        <f>IF(N2096="","",IF(INDEX(Listado!$M:$M,N2096)="No","No","Sí"))</f>
        <v/>
      </c>
    </row>
    <row r="2097" spans="2:24" ht="14.25">
      <c r="N2097" s="17" t="str">
        <f>IF(V2097=0,"",IFERROR(LOOKUP(2,1/(INDEX(Listado!A:A,2):INDEX(Listado!A:A,ROW())&lt;&gt;""),ROW(INDEX(Listado!A:A,2):INDEX(Listado!A:A,ROW()))),""))</f>
        <v/>
      </c>
      <c r="O2097" s="17" t="str">
        <f>IFERROR(IF(N2097="","",IF(INDEX(Listado!M:M,N2097)="No",IF(INDEX(Listado!N:N,N2097)=0,"",INDEX(Listado!N:N,N2097)),IF(INDEX(Listado!I:I,N2097)=0,"",INDEX(Listado!I:I,N2097)))),"")</f>
        <v/>
      </c>
      <c r="P2097" s="17">
        <f t="shared" ca="1" si="97"/>
        <v/>
      </c>
      <c r="Q2097" s="17">
        <f>IFERROR(IF(AND(N2097&lt;&gt;"",ISNUMBER(O2097),O2097&gt;0,O2097&gt;=TODAY()-90),1,0),0)</f>
        <v/>
      </c>
      <c r="R2097" s="17" t="str">
        <f t="shared" si="99"/>
        <v/>
      </c>
      <c r="S2097" s="17" t="str">
        <f>IF(INDEX(Listado!A:A,ROW())="","",INDEX(Listado!A:A,ROW()))</f>
        <v/>
      </c>
      <c r="T2097" s="17" t="str">
        <f ca="1">IF(INDEX(Listado!G:G,ROW())="","",INDEX(Listado!G:G,ROW()))</f>
        <v/>
      </c>
      <c r="U2097" s="17" t="str">
        <f>IF(INDEX(Listado!F:F,ROW())="","",INDEX(Listado!F:F,ROW()))</f>
        <v/>
      </c>
      <c r="V2097" s="17">
        <f>IF(COUNTA(INDEX(Listado!B:B,ROW()):INDEX(Listado!F:F,ROW()))&gt;0,1,0)</f>
        <v/>
      </c>
      <c r="W2097" s="17" t="str">
        <f>IF(INDEX(Listado!L:L,ROW())="","",INDEX(Listado!L:L,ROW()))</f>
        <v/>
      </c>
      <c r="X2097" s="17">
        <f>IF(N2097="","",IF(INDEX(Listado!$M:$M,N2097)="No","No","Sí"))</f>
        <v/>
      </c>
    </row>
    <row r="2098" spans="2:24" ht="14.25">
      <c r="N2098" s="17" t="str">
        <f>IF(V2098=0,"",IFERROR(LOOKUP(2,1/(INDEX(Listado!A:A,2):INDEX(Listado!A:A,ROW())&lt;&gt;""),ROW(INDEX(Listado!A:A,2):INDEX(Listado!A:A,ROW()))),""))</f>
        <v/>
      </c>
      <c r="O2098" s="17" t="str">
        <f>IFERROR(IF(N2098="","",IF(INDEX(Listado!M:M,N2098)="No",IF(INDEX(Listado!N:N,N2098)=0,"",INDEX(Listado!N:N,N2098)),IF(INDEX(Listado!I:I,N2098)=0,"",INDEX(Listado!I:I,N2098)))),"")</f>
        <v/>
      </c>
      <c r="P2098" s="17">
        <f t="shared" ca="1" si="97"/>
        <v/>
      </c>
      <c r="Q2098" s="17">
        <f>IFERROR(IF(AND(N2098&lt;&gt;"",ISNUMBER(O2098),O2098&gt;0,O2098&gt;=TODAY()-90),1,0),0)</f>
        <v/>
      </c>
      <c r="R2098" s="17" t="str">
        <f t="shared" si="99"/>
        <v/>
      </c>
      <c r="S2098" s="17" t="str">
        <f>IF(INDEX(Listado!A:A,ROW())="","",INDEX(Listado!A:A,ROW()))</f>
        <v/>
      </c>
      <c r="T2098" s="17" t="str">
        <f ca="1">IF(INDEX(Listado!G:G,ROW())="","",INDEX(Listado!G:G,ROW()))</f>
        <v/>
      </c>
      <c r="U2098" s="17" t="str">
        <f>IF(INDEX(Listado!F:F,ROW())="","",INDEX(Listado!F:F,ROW()))</f>
        <v/>
      </c>
      <c r="V2098" s="17">
        <f>IF(COUNTA(INDEX(Listado!B:B,ROW()):INDEX(Listado!F:F,ROW()))&gt;0,1,0)</f>
        <v/>
      </c>
      <c r="W2098" s="17" t="str">
        <f>IF(INDEX(Listado!L:L,ROW())="","",INDEX(Listado!L:L,ROW()))</f>
        <v/>
      </c>
      <c r="X2098" s="17">
        <f>IF(N2098="","",IF(INDEX(Listado!$M:$M,N2098)="No","No","Sí"))</f>
        <v/>
      </c>
    </row>
    <row r="2099" spans="2:24" ht="14.25">
      <c r="N2099" s="17" t="str">
        <f>IF(V2099=0,"",IFERROR(LOOKUP(2,1/(INDEX(Listado!A:A,2):INDEX(Listado!A:A,ROW())&lt;&gt;""),ROW(INDEX(Listado!A:A,2):INDEX(Listado!A:A,ROW()))),""))</f>
        <v/>
      </c>
      <c r="O2099" s="17" t="str">
        <f>IFERROR(IF(N2099="","",IF(INDEX(Listado!M:M,N2099)="No",IF(INDEX(Listado!N:N,N2099)=0,"",INDEX(Listado!N:N,N2099)),IF(INDEX(Listado!I:I,N2099)=0,"",INDEX(Listado!I:I,N2099)))),"")</f>
        <v/>
      </c>
      <c r="P2099" s="17">
        <f t="shared" ca="1" si="97"/>
        <v/>
      </c>
      <c r="Q2099" s="17">
        <f>IFERROR(IF(AND(N2099&lt;&gt;"",ISNUMBER(O2099),O2099&gt;0,O2099&gt;=TODAY()-90),1,0),0)</f>
        <v/>
      </c>
      <c r="R2099" s="17" t="str">
        <f t="shared" si="99"/>
        <v/>
      </c>
      <c r="S2099" s="17" t="str">
        <f>IF(INDEX(Listado!A:A,ROW())="","",INDEX(Listado!A:A,ROW()))</f>
        <v/>
      </c>
      <c r="T2099" s="17" t="str">
        <f ca="1">IF(INDEX(Listado!G:G,ROW())="","",INDEX(Listado!G:G,ROW()))</f>
        <v/>
      </c>
      <c r="U2099" s="17" t="str">
        <f>IF(INDEX(Listado!F:F,ROW())="","",INDEX(Listado!F:F,ROW()))</f>
        <v/>
      </c>
      <c r="V2099" s="17">
        <f>IF(COUNTA(INDEX(Listado!B:B,ROW()):INDEX(Listado!F:F,ROW()))&gt;0,1,0)</f>
        <v/>
      </c>
      <c r="W2099" s="17" t="str">
        <f>IF(INDEX(Listado!L:L,ROW())="","",INDEX(Listado!L:L,ROW()))</f>
        <v/>
      </c>
      <c r="X2099" s="17">
        <f>IF(N2099="","",IF(INDEX(Listado!$M:$M,N2099)="No","No","Sí"))</f>
        <v/>
      </c>
    </row>
    <row r="2100" spans="2:24" ht="14.25">
      <c r="N2100" s="17" t="str">
        <f>IF(V2100=0,"",IFERROR(LOOKUP(2,1/(INDEX(Listado!A:A,2):INDEX(Listado!A:A,ROW())&lt;&gt;""),ROW(INDEX(Listado!A:A,2):INDEX(Listado!A:A,ROW()))),""))</f>
        <v/>
      </c>
      <c r="O2100" s="17" t="str">
        <f>IFERROR(IF(N2100="","",IF(INDEX(Listado!M:M,N2100)="No",IF(INDEX(Listado!N:N,N2100)=0,"",INDEX(Listado!N:N,N2100)),IF(INDEX(Listado!I:I,N2100)=0,"",INDEX(Listado!I:I,N2100)))),"")</f>
        <v/>
      </c>
      <c r="P2100" s="17">
        <f t="shared" ca="1" si="97"/>
        <v/>
      </c>
      <c r="Q2100" s="17">
        <f>IFERROR(IF(AND(N2100&lt;&gt;"",ISNUMBER(O2100),O2100&gt;0,O2100&gt;=TODAY()-90),1,0),0)</f>
        <v/>
      </c>
      <c r="R2100" s="17" t="str">
        <f t="shared" si="99"/>
        <v/>
      </c>
      <c r="S2100" s="17" t="str">
        <f>IF(INDEX(Listado!A:A,ROW())="","",INDEX(Listado!A:A,ROW()))</f>
        <v/>
      </c>
      <c r="T2100" s="17" t="str">
        <f ca="1">IF(INDEX(Listado!G:G,ROW())="","",INDEX(Listado!G:G,ROW()))</f>
        <v/>
      </c>
      <c r="U2100" s="17" t="str">
        <f>IF(INDEX(Listado!F:F,ROW())="","",INDEX(Listado!F:F,ROW()))</f>
        <v/>
      </c>
      <c r="V2100" s="17">
        <f>IF(COUNTA(INDEX(Listado!B:B,ROW()):INDEX(Listado!F:F,ROW()))&gt;0,1,0)</f>
        <v/>
      </c>
      <c r="W2100" s="17" t="str">
        <f>IF(INDEX(Listado!L:L,ROW())="","",INDEX(Listado!L:L,ROW()))</f>
        <v/>
      </c>
      <c r="X2100" s="17">
        <f>IF(N2100="","",IF(INDEX(Listado!$M:$M,N2100)="No","No","Sí"))</f>
        <v/>
      </c>
    </row>
    <row r="2101" spans="2:24" ht="14.25">
      <c r="N2101" s="17" t="str">
        <f>IF(V2101=0,"",IFERROR(LOOKUP(2,1/(INDEX(Listado!A:A,2):INDEX(Listado!A:A,ROW())&lt;&gt;""),ROW(INDEX(Listado!A:A,2):INDEX(Listado!A:A,ROW()))),""))</f>
        <v/>
      </c>
      <c r="O2101" s="17" t="str">
        <f>IFERROR(IF(N2101="","",IF(INDEX(Listado!M:M,N2101)="No",IF(INDEX(Listado!N:N,N2101)=0,"",INDEX(Listado!N:N,N2101)),IF(INDEX(Listado!I:I,N2101)=0,"",INDEX(Listado!I:I,N2101)))),"")</f>
        <v/>
      </c>
      <c r="P2101" s="17">
        <f t="shared" ca="1" si="97"/>
        <v/>
      </c>
      <c r="Q2101" s="17">
        <f>IFERROR(IF(AND(N2101&lt;&gt;"",ISNUMBER(O2101),O2101&gt;0,O2101&gt;=TODAY()-90),1,0),0)</f>
        <v/>
      </c>
      <c r="R2101" s="17" t="str">
        <f t="shared" si="99"/>
        <v/>
      </c>
      <c r="S2101" s="17" t="str">
        <f>IF(INDEX(Listado!A:A,ROW())="","",INDEX(Listado!A:A,ROW()))</f>
        <v/>
      </c>
      <c r="T2101" s="17" t="str">
        <f ca="1">IF(INDEX(Listado!G:G,ROW())="","",INDEX(Listado!G:G,ROW()))</f>
        <v/>
      </c>
      <c r="U2101" s="17" t="str">
        <f>IF(INDEX(Listado!F:F,ROW())="","",INDEX(Listado!F:F,ROW()))</f>
        <v/>
      </c>
      <c r="V2101" s="17">
        <f>IF(COUNTA(INDEX(Listado!B:B,ROW()):INDEX(Listado!F:F,ROW()))&gt;0,1,0)</f>
        <v/>
      </c>
      <c r="W2101" s="17" t="str">
        <f>IF(INDEX(Listado!L:L,ROW())="","",INDEX(Listado!L:L,ROW()))</f>
        <v/>
      </c>
      <c r="X2101" s="17">
        <f>IF(N2101="","",IF(INDEX(Listado!$M:$M,N2101)="No","No","Sí"))</f>
        <v/>
      </c>
    </row>
    <row r="2102" spans="2:24" ht="14.25">
      <c r="N2102" s="17" t="str">
        <f>IF(V2102=0,"",IFERROR(LOOKUP(2,1/(INDEX(Listado!A:A,2):INDEX(Listado!A:A,ROW())&lt;&gt;""),ROW(INDEX(Listado!A:A,2):INDEX(Listado!A:A,ROW()))),""))</f>
        <v/>
      </c>
      <c r="O2102" s="17" t="str">
        <f>IFERROR(IF(N2102="","",IF(INDEX(Listado!M:M,N2102)="No",IF(INDEX(Listado!N:N,N2102)=0,"",INDEX(Listado!N:N,N2102)),IF(INDEX(Listado!I:I,N2102)=0,"",INDEX(Listado!I:I,N2102)))),"")</f>
        <v/>
      </c>
      <c r="P2102" s="17">
        <f t="shared" ca="1" si="97"/>
        <v/>
      </c>
      <c r="Q2102" s="17">
        <f>IFERROR(IF(AND(N2102&lt;&gt;"",ISNUMBER(O2102),O2102&gt;0,O2102&gt;=TODAY()-90),1,0),0)</f>
        <v/>
      </c>
      <c r="R2102" s="17" t="str">
        <f t="shared" si="99"/>
        <v/>
      </c>
      <c r="S2102" s="17" t="str">
        <f>IF(INDEX(Listado!A:A,ROW())="","",INDEX(Listado!A:A,ROW()))</f>
        <v/>
      </c>
      <c r="T2102" s="17" t="str">
        <f ca="1">IF(INDEX(Listado!G:G,ROW())="","",INDEX(Listado!G:G,ROW()))</f>
        <v/>
      </c>
      <c r="U2102" s="17" t="str">
        <f>IF(INDEX(Listado!F:F,ROW())="","",INDEX(Listado!F:F,ROW()))</f>
        <v/>
      </c>
      <c r="V2102" s="17">
        <f>IF(COUNTA(INDEX(Listado!B:B,ROW()):INDEX(Listado!F:F,ROW()))&gt;0,1,0)</f>
        <v/>
      </c>
      <c r="W2102" s="17" t="str">
        <f>IF(INDEX(Listado!L:L,ROW())="","",INDEX(Listado!L:L,ROW()))</f>
        <v/>
      </c>
      <c r="X2102" s="17">
        <f>IF(N2102="","",IF(INDEX(Listado!$M:$M,N2102)="No","No","Sí"))</f>
        <v/>
      </c>
    </row>
    <row r="2103" spans="2:24" ht="14.25">
      <c r="N2103" s="17" t="str">
        <f>IF(V2103=0,"",IFERROR(LOOKUP(2,1/(INDEX(Listado!A:A,2):INDEX(Listado!A:A,ROW())&lt;&gt;""),ROW(INDEX(Listado!A:A,2):INDEX(Listado!A:A,ROW()))),""))</f>
        <v/>
      </c>
      <c r="O2103" s="17" t="str">
        <f>IFERROR(IF(N2103="","",IF(INDEX(Listado!M:M,N2103)="No",IF(INDEX(Listado!N:N,N2103)=0,"",INDEX(Listado!N:N,N2103)),IF(INDEX(Listado!I:I,N2103)=0,"",INDEX(Listado!I:I,N2103)))),"")</f>
        <v/>
      </c>
      <c r="P2103" s="17">
        <f t="shared" ca="1" si="97"/>
        <v/>
      </c>
      <c r="Q2103" s="17">
        <f>IFERROR(IF(AND(N2103&lt;&gt;"",ISNUMBER(O2103),O2103&gt;0,O2103&gt;=TODAY()-90),1,0),0)</f>
        <v/>
      </c>
      <c r="R2103" s="17" t="str">
        <f t="shared" si="99"/>
        <v/>
      </c>
      <c r="S2103" s="17" t="str">
        <f>IF(INDEX(Listado!A:A,ROW())="","",INDEX(Listado!A:A,ROW()))</f>
        <v/>
      </c>
      <c r="T2103" s="17" t="str">
        <f ca="1">IF(INDEX(Listado!G:G,ROW())="","",INDEX(Listado!G:G,ROW()))</f>
        <v/>
      </c>
      <c r="U2103" s="17" t="str">
        <f>IF(INDEX(Listado!F:F,ROW())="","",INDEX(Listado!F:F,ROW()))</f>
        <v/>
      </c>
      <c r="V2103" s="17">
        <f>IF(COUNTA(INDEX(Listado!B:B,ROW()):INDEX(Listado!F:F,ROW()))&gt;0,1,0)</f>
        <v/>
      </c>
      <c r="W2103" s="17" t="str">
        <f>IF(INDEX(Listado!L:L,ROW())="","",INDEX(Listado!L:L,ROW()))</f>
        <v/>
      </c>
      <c r="X2103" s="17">
        <f>IF(N2103="","",IF(INDEX(Listado!$M:$M,N2103)="No","No","Sí"))</f>
        <v/>
      </c>
    </row>
    <row r="2104" spans="2:24" ht="14.25">
      <c r="N2104" s="17" t="str">
        <f>IF(V2104=0,"",IFERROR(LOOKUP(2,1/(INDEX(Listado!A:A,2):INDEX(Listado!A:A,ROW())&lt;&gt;""),ROW(INDEX(Listado!A:A,2):INDEX(Listado!A:A,ROW()))),""))</f>
        <v/>
      </c>
      <c r="O2104" s="17" t="str">
        <f>IFERROR(IF(N2104="","",IF(INDEX(Listado!M:M,N2104)="No",IF(INDEX(Listado!N:N,N2104)=0,"",INDEX(Listado!N:N,N2104)),IF(INDEX(Listado!I:I,N2104)=0,"",INDEX(Listado!I:I,N2104)))),"")</f>
        <v/>
      </c>
      <c r="P2104" s="17">
        <f t="shared" ca="1" si="97"/>
        <v/>
      </c>
      <c r="Q2104" s="17">
        <f>IFERROR(IF(AND(N2104&lt;&gt;"",ISNUMBER(O2104),O2104&gt;0,O2104&gt;=TODAY()-90),1,0),0)</f>
        <v/>
      </c>
      <c r="R2104" s="17" t="str">
        <f t="shared" si="99"/>
        <v/>
      </c>
      <c r="S2104" s="17" t="str">
        <f>IF(INDEX(Listado!A:A,ROW())="","",INDEX(Listado!A:A,ROW()))</f>
        <v/>
      </c>
      <c r="T2104" s="17" t="str">
        <f ca="1">IF(INDEX(Listado!G:G,ROW())="","",INDEX(Listado!G:G,ROW()))</f>
        <v/>
      </c>
      <c r="U2104" s="17" t="str">
        <f>IF(INDEX(Listado!F:F,ROW())="","",INDEX(Listado!F:F,ROW()))</f>
        <v/>
      </c>
      <c r="V2104" s="17">
        <f>IF(COUNTA(INDEX(Listado!B:B,ROW()):INDEX(Listado!F:F,ROW()))&gt;0,1,0)</f>
        <v/>
      </c>
      <c r="W2104" s="17" t="str">
        <f>IF(INDEX(Listado!L:L,ROW())="","",INDEX(Listado!L:L,ROW()))</f>
        <v/>
      </c>
      <c r="X2104" s="17">
        <f>IF(N2104="","",IF(INDEX(Listado!$M:$M,N2104)="No","No","Sí"))</f>
        <v/>
      </c>
    </row>
    <row r="2105" spans="2:24" ht="14.25">
      <c r="N2105" s="17" t="str">
        <f>IF(V2105=0,"",IFERROR(LOOKUP(2,1/(INDEX(Listado!A:A,2):INDEX(Listado!A:A,ROW())&lt;&gt;""),ROW(INDEX(Listado!A:A,2):INDEX(Listado!A:A,ROW()))),""))</f>
        <v/>
      </c>
      <c r="O2105" s="17" t="str">
        <f>IFERROR(IF(N2105="","",IF(INDEX(Listado!M:M,N2105)="No",IF(INDEX(Listado!N:N,N2105)=0,"",INDEX(Listado!N:N,N2105)),IF(INDEX(Listado!I:I,N2105)=0,"",INDEX(Listado!I:I,N2105)))),"")</f>
        <v/>
      </c>
      <c r="P2105" s="17">
        <f t="shared" ca="1" si="97"/>
        <v/>
      </c>
      <c r="Q2105" s="17">
        <f>IFERROR(IF(AND(N2105&lt;&gt;"",ISNUMBER(O2105),O2105&gt;0,O2105&gt;=TODAY()-90),1,0),0)</f>
        <v/>
      </c>
      <c r="R2105" s="17" t="str">
        <f t="shared" si="99"/>
        <v/>
      </c>
      <c r="S2105" s="17" t="str">
        <f>IF(INDEX(Listado!A:A,ROW())="","",INDEX(Listado!A:A,ROW()))</f>
        <v/>
      </c>
      <c r="T2105" s="17" t="str">
        <f ca="1">IF(INDEX(Listado!G:G,ROW())="","",INDEX(Listado!G:G,ROW()))</f>
        <v/>
      </c>
      <c r="U2105" s="17" t="str">
        <f>IF(INDEX(Listado!F:F,ROW())="","",INDEX(Listado!F:F,ROW()))</f>
        <v/>
      </c>
      <c r="V2105" s="17">
        <f>IF(COUNTA(INDEX(Listado!B:B,ROW()):INDEX(Listado!F:F,ROW()))&gt;0,1,0)</f>
        <v/>
      </c>
      <c r="W2105" s="17" t="str">
        <f>IF(INDEX(Listado!L:L,ROW())="","",INDEX(Listado!L:L,ROW()))</f>
        <v/>
      </c>
      <c r="X2105" s="17">
        <f>IF(N2105="","",IF(INDEX(Listado!$M:$M,N2105)="No","No","Sí"))</f>
        <v/>
      </c>
    </row>
    <row r="2106" spans="2:24" ht="14.25">
      <c r="N2106" s="17" t="str">
        <f>IF(V2106=0,"",IFERROR(LOOKUP(2,1/(INDEX(Listado!A:A,2):INDEX(Listado!A:A,ROW())&lt;&gt;""),ROW(INDEX(Listado!A:A,2):INDEX(Listado!A:A,ROW()))),""))</f>
        <v/>
      </c>
      <c r="O2106" s="17" t="str">
        <f>IFERROR(IF(N2106="","",IF(INDEX(Listado!M:M,N2106)="No",IF(INDEX(Listado!N:N,N2106)=0,"",INDEX(Listado!N:N,N2106)),IF(INDEX(Listado!I:I,N2106)=0,"",INDEX(Listado!I:I,N2106)))),"")</f>
        <v/>
      </c>
      <c r="P2106" s="17">
        <f t="shared" ca="1" si="97"/>
        <v/>
      </c>
      <c r="Q2106" s="17">
        <f>IFERROR(IF(AND(N2106&lt;&gt;"",ISNUMBER(O2106),O2106&gt;0,O2106&gt;=TODAY()-90),1,0),0)</f>
        <v/>
      </c>
      <c r="R2106" s="17" t="str">
        <f t="shared" si="99"/>
        <v/>
      </c>
      <c r="S2106" s="17" t="str">
        <f>IF(INDEX(Listado!A:A,ROW())="","",INDEX(Listado!A:A,ROW()))</f>
        <v/>
      </c>
      <c r="T2106" s="17" t="str">
        <f ca="1">IF(INDEX(Listado!G:G,ROW())="","",INDEX(Listado!G:G,ROW()))</f>
        <v/>
      </c>
      <c r="U2106" s="17" t="str">
        <f>IF(INDEX(Listado!F:F,ROW())="","",INDEX(Listado!F:F,ROW()))</f>
        <v/>
      </c>
      <c r="V2106" s="17">
        <f>IF(COUNTA(INDEX(Listado!B:B,ROW()):INDEX(Listado!F:F,ROW()))&gt;0,1,0)</f>
        <v/>
      </c>
      <c r="W2106" s="17" t="str">
        <f>IF(INDEX(Listado!L:L,ROW())="","",INDEX(Listado!L:L,ROW()))</f>
        <v/>
      </c>
      <c r="X2106" s="17">
        <f>IF(N2106="","",IF(INDEX(Listado!$M:$M,N2106)="No","No","Sí"))</f>
        <v/>
      </c>
    </row>
    <row r="2107" spans="2:24" ht="14.25">
      <c r="N2107" s="17" t="str">
        <f>IF(V2107=0,"",IFERROR(LOOKUP(2,1/(INDEX(Listado!A:A,2):INDEX(Listado!A:A,ROW())&lt;&gt;""),ROW(INDEX(Listado!A:A,2):INDEX(Listado!A:A,ROW()))),""))</f>
        <v/>
      </c>
      <c r="O2107" s="17" t="str">
        <f>IFERROR(IF(N2107="","",IF(INDEX(Listado!M:M,N2107)="No",IF(INDEX(Listado!N:N,N2107)=0,"",INDEX(Listado!N:N,N2107)),IF(INDEX(Listado!I:I,N2107)=0,"",INDEX(Listado!I:I,N2107)))),"")</f>
        <v/>
      </c>
      <c r="P2107" s="17">
        <f t="shared" ca="1" si="97"/>
        <v/>
      </c>
      <c r="Q2107" s="17">
        <f>IFERROR(IF(AND(N2107&lt;&gt;"",ISNUMBER(O2107),O2107&gt;0,O2107&gt;=TODAY()-90),1,0),0)</f>
        <v/>
      </c>
      <c r="R2107" s="17" t="str">
        <f t="shared" si="99"/>
        <v/>
      </c>
      <c r="S2107" s="17" t="str">
        <f>IF(INDEX(Listado!A:A,ROW())="","",INDEX(Listado!A:A,ROW()))</f>
        <v/>
      </c>
      <c r="T2107" s="17" t="str">
        <f ca="1">IF(INDEX(Listado!G:G,ROW())="","",INDEX(Listado!G:G,ROW()))</f>
        <v/>
      </c>
      <c r="U2107" s="17" t="str">
        <f>IF(INDEX(Listado!F:F,ROW())="","",INDEX(Listado!F:F,ROW()))</f>
        <v/>
      </c>
      <c r="V2107" s="17">
        <f>IF(COUNTA(INDEX(Listado!B:B,ROW()):INDEX(Listado!F:F,ROW()))&gt;0,1,0)</f>
        <v/>
      </c>
      <c r="W2107" s="17" t="str">
        <f>IF(INDEX(Listado!L:L,ROW())="","",INDEX(Listado!L:L,ROW()))</f>
        <v/>
      </c>
      <c r="X2107" s="17">
        <f>IF(N2107="","",IF(INDEX(Listado!$M:$M,N2107)="No","No","Sí"))</f>
        <v/>
      </c>
    </row>
    <row r="2108" spans="2:24" ht="14.25">
      <c r="N2108" s="17" t="str">
        <f>IF(V2108=0,"",IFERROR(LOOKUP(2,1/(INDEX(Listado!A:A,2):INDEX(Listado!A:A,ROW())&lt;&gt;""),ROW(INDEX(Listado!A:A,2):INDEX(Listado!A:A,ROW()))),""))</f>
        <v/>
      </c>
      <c r="O2108" s="17" t="str">
        <f>IFERROR(IF(N2108="","",IF(INDEX(Listado!M:M,N2108)="No",IF(INDEX(Listado!N:N,N2108)=0,"",INDEX(Listado!N:N,N2108)),IF(INDEX(Listado!I:I,N2108)=0,"",INDEX(Listado!I:I,N2108)))),"")</f>
        <v/>
      </c>
      <c r="P2108" s="17">
        <f t="shared" ca="1" si="97"/>
        <v/>
      </c>
      <c r="Q2108" s="17">
        <f>IFERROR(IF(AND(N2108&lt;&gt;"",ISNUMBER(O2108),O2108&gt;0,O2108&gt;=TODAY()-90),1,0),0)</f>
        <v/>
      </c>
      <c r="R2108" s="17" t="str">
        <f t="shared" si="99"/>
        <v/>
      </c>
      <c r="S2108" s="17" t="str">
        <f>IF(INDEX(Listado!A:A,ROW())="","",INDEX(Listado!A:A,ROW()))</f>
        <v/>
      </c>
      <c r="T2108" s="17" t="str">
        <f ca="1">IF(INDEX(Listado!G:G,ROW())="","",INDEX(Listado!G:G,ROW()))</f>
        <v/>
      </c>
      <c r="U2108" s="17" t="str">
        <f>IF(INDEX(Listado!F:F,ROW())="","",INDEX(Listado!F:F,ROW()))</f>
        <v/>
      </c>
      <c r="V2108" s="17">
        <f>IF(COUNTA(INDEX(Listado!B:B,ROW()):INDEX(Listado!F:F,ROW()))&gt;0,1,0)</f>
        <v/>
      </c>
      <c r="W2108" s="17" t="str">
        <f>IF(INDEX(Listado!L:L,ROW())="","",INDEX(Listado!L:L,ROW()))</f>
        <v/>
      </c>
      <c r="X2108" s="17">
        <f>IF(N2108="","",IF(INDEX(Listado!$M:$M,N2108)="No","No","Sí"))</f>
        <v/>
      </c>
    </row>
    <row r="2109" spans="2:24" ht="14.25">
      <c r="N2109" s="17" t="str">
        <f>IF(V2109=0,"",IFERROR(LOOKUP(2,1/(INDEX(Listado!A:A,2):INDEX(Listado!A:A,ROW())&lt;&gt;""),ROW(INDEX(Listado!A:A,2):INDEX(Listado!A:A,ROW()))),""))</f>
        <v/>
      </c>
      <c r="O2109" s="17" t="str">
        <f>IFERROR(IF(N2109="","",IF(INDEX(Listado!M:M,N2109)="No",IF(INDEX(Listado!N:N,N2109)=0,"",INDEX(Listado!N:N,N2109)),IF(INDEX(Listado!I:I,N2109)=0,"",INDEX(Listado!I:I,N2109)))),"")</f>
        <v/>
      </c>
      <c r="P2109" s="17">
        <f t="shared" ca="1" si="97"/>
        <v/>
      </c>
      <c r="Q2109" s="17">
        <f>IFERROR(IF(AND(N2109&lt;&gt;"",ISNUMBER(O2109),O2109&gt;0,O2109&gt;=TODAY()-90),1,0),0)</f>
        <v/>
      </c>
      <c r="R2109" s="17" t="str">
        <f t="shared" si="99"/>
        <v/>
      </c>
      <c r="S2109" s="17" t="str">
        <f>IF(INDEX(Listado!A:A,ROW())="","",INDEX(Listado!A:A,ROW()))</f>
        <v/>
      </c>
      <c r="T2109" s="17" t="str">
        <f ca="1">IF(INDEX(Listado!G:G,ROW())="","",INDEX(Listado!G:G,ROW()))</f>
        <v/>
      </c>
      <c r="U2109" s="17" t="str">
        <f>IF(INDEX(Listado!F:F,ROW())="","",INDEX(Listado!F:F,ROW()))</f>
        <v/>
      </c>
      <c r="V2109" s="17">
        <f>IF(COUNTA(INDEX(Listado!B:B,ROW()):INDEX(Listado!F:F,ROW()))&gt;0,1,0)</f>
        <v/>
      </c>
      <c r="W2109" s="17" t="str">
        <f>IF(INDEX(Listado!L:L,ROW())="","",INDEX(Listado!L:L,ROW()))</f>
        <v/>
      </c>
      <c r="X2109" s="17">
        <f>IF(N2109="","",IF(INDEX(Listado!$M:$M,N2109)="No","No","Sí"))</f>
        <v/>
      </c>
    </row>
    <row r="2110" spans="2:24" ht="14.25">
      <c r="N2110" s="17" t="str">
        <f>IF(V2110=0,"",IFERROR(LOOKUP(2,1/(INDEX(Listado!A:A,2):INDEX(Listado!A:A,ROW())&lt;&gt;""),ROW(INDEX(Listado!A:A,2):INDEX(Listado!A:A,ROW()))),""))</f>
        <v/>
      </c>
      <c r="O2110" s="17" t="str">
        <f>IFERROR(IF(N2110="","",IF(INDEX(Listado!M:M,N2110)="No",IF(INDEX(Listado!N:N,N2110)=0,"",INDEX(Listado!N:N,N2110)),IF(INDEX(Listado!I:I,N2110)=0,"",INDEX(Listado!I:I,N2110)))),"")</f>
        <v/>
      </c>
      <c r="P2110" s="17">
        <f t="shared" ca="1" si="97"/>
        <v/>
      </c>
      <c r="Q2110" s="17">
        <f>IFERROR(IF(AND(N2110&lt;&gt;"",ISNUMBER(O2110),O2110&gt;0,O2110&gt;=TODAY()-90),1,0),0)</f>
        <v/>
      </c>
      <c r="R2110" s="17" t="str">
        <f t="shared" si="99"/>
        <v/>
      </c>
      <c r="S2110" s="17" t="str">
        <f>IF(INDEX(Listado!A:A,ROW())="","",INDEX(Listado!A:A,ROW()))</f>
        <v/>
      </c>
      <c r="T2110" s="17" t="str">
        <f ca="1">IF(INDEX(Listado!G:G,ROW())="","",INDEX(Listado!G:G,ROW()))</f>
        <v/>
      </c>
      <c r="U2110" s="17" t="str">
        <f>IF(INDEX(Listado!F:F,ROW())="","",INDEX(Listado!F:F,ROW()))</f>
        <v/>
      </c>
      <c r="V2110" s="17">
        <f>IF(COUNTA(INDEX(Listado!B:B,ROW()):INDEX(Listado!F:F,ROW()))&gt;0,1,0)</f>
        <v/>
      </c>
      <c r="W2110" s="17" t="str">
        <f>IF(INDEX(Listado!L:L,ROW())="","",INDEX(Listado!L:L,ROW()))</f>
        <v/>
      </c>
      <c r="X2110" s="17">
        <f>IF(N2110="","",IF(INDEX(Listado!$M:$M,N2110)="No","No","Sí"))</f>
        <v/>
      </c>
    </row>
    <row r="2111" spans="2:24" ht="14.25">
      <c r="N2111" s="17" t="str">
        <f>IF(V2111=0,"",IFERROR(LOOKUP(2,1/(INDEX(Listado!A:A,2):INDEX(Listado!A:A,ROW())&lt;&gt;""),ROW(INDEX(Listado!A:A,2):INDEX(Listado!A:A,ROW()))),""))</f>
        <v/>
      </c>
      <c r="O2111" s="17" t="str">
        <f>IFERROR(IF(N2111="","",IF(INDEX(Listado!M:M,N2111)="No",IF(INDEX(Listado!N:N,N2111)=0,"",INDEX(Listado!N:N,N2111)),IF(INDEX(Listado!I:I,N2111)=0,"",INDEX(Listado!I:I,N2111)))),"")</f>
        <v/>
      </c>
      <c r="P2111" s="17">
        <f t="shared" ca="1" si="97"/>
        <v/>
      </c>
      <c r="Q2111" s="17">
        <f>IFERROR(IF(AND(N2111&lt;&gt;"",ISNUMBER(O2111),O2111&gt;0,O2111&gt;=TODAY()-90),1,0),0)</f>
        <v/>
      </c>
      <c r="R2111" s="17" t="str">
        <f t="shared" si="99"/>
        <v/>
      </c>
      <c r="S2111" s="17" t="str">
        <f>IF(INDEX(Listado!A:A,ROW())="","",INDEX(Listado!A:A,ROW()))</f>
        <v/>
      </c>
      <c r="T2111" s="17" t="str">
        <f ca="1">IF(INDEX(Listado!G:G,ROW())="","",INDEX(Listado!G:G,ROW()))</f>
        <v/>
      </c>
      <c r="U2111" s="17" t="str">
        <f>IF(INDEX(Listado!F:F,ROW())="","",INDEX(Listado!F:F,ROW()))</f>
        <v/>
      </c>
      <c r="V2111" s="17">
        <f>IF(COUNTA(INDEX(Listado!B:B,ROW()):INDEX(Listado!F:F,ROW()))&gt;0,1,0)</f>
        <v/>
      </c>
      <c r="W2111" s="17" t="str">
        <f>IF(INDEX(Listado!L:L,ROW())="","",INDEX(Listado!L:L,ROW()))</f>
        <v/>
      </c>
      <c r="X2111" s="17">
        <f>IF(N2111="","",IF(INDEX(Listado!$M:$M,N2111)="No","No","Sí"))</f>
        <v/>
      </c>
    </row>
    <row r="2112" spans="2:24" ht="14.25">
      <c r="N2112" s="17" t="str">
        <f>IF(V2112=0,"",IFERROR(LOOKUP(2,1/(INDEX(Listado!A:A,2):INDEX(Listado!A:A,ROW())&lt;&gt;""),ROW(INDEX(Listado!A:A,2):INDEX(Listado!A:A,ROW()))),""))</f>
        <v/>
      </c>
      <c r="O2112" s="17" t="str">
        <f>IFERROR(IF(N2112="","",IF(INDEX(Listado!M:M,N2112)="No",IF(INDEX(Listado!N:N,N2112)=0,"",INDEX(Listado!N:N,N2112)),IF(INDEX(Listado!I:I,N2112)=0,"",INDEX(Listado!I:I,N2112)))),"")</f>
        <v/>
      </c>
      <c r="P2112" s="17">
        <f t="shared" ca="1" si="97"/>
        <v/>
      </c>
      <c r="Q2112" s="17">
        <f>IFERROR(IF(AND(N2112&lt;&gt;"",ISNUMBER(O2112),O2112&gt;0,O2112&gt;=TODAY()-90),1,0),0)</f>
        <v/>
      </c>
      <c r="R2112" s="17" t="str">
        <f t="shared" si="99"/>
        <v/>
      </c>
      <c r="S2112" s="17" t="str">
        <f>IF(INDEX(Listado!A:A,ROW())="","",INDEX(Listado!A:A,ROW()))</f>
        <v/>
      </c>
      <c r="T2112" s="17" t="str">
        <f ca="1">IF(INDEX(Listado!G:G,ROW())="","",INDEX(Listado!G:G,ROW()))</f>
        <v/>
      </c>
      <c r="U2112" s="17" t="str">
        <f>IF(INDEX(Listado!F:F,ROW())="","",INDEX(Listado!F:F,ROW()))</f>
        <v/>
      </c>
      <c r="V2112" s="17">
        <f>IF(COUNTA(INDEX(Listado!B:B,ROW()):INDEX(Listado!F:F,ROW()))&gt;0,1,0)</f>
        <v/>
      </c>
      <c r="W2112" s="17" t="str">
        <f>IF(INDEX(Listado!L:L,ROW())="","",INDEX(Listado!L:L,ROW()))</f>
        <v/>
      </c>
      <c r="X2112" s="17">
        <f>IF(N2112="","",IF(INDEX(Listado!$M:$M,N2112)="No","No","Sí"))</f>
        <v/>
      </c>
    </row>
    <row r="2113" spans="2:24" ht="14.25">
      <c r="N2113" s="17" t="str">
        <f>IF(V2113=0,"",IFERROR(LOOKUP(2,1/(INDEX(Listado!A:A,2):INDEX(Listado!A:A,ROW())&lt;&gt;""),ROW(INDEX(Listado!A:A,2):INDEX(Listado!A:A,ROW()))),""))</f>
        <v/>
      </c>
      <c r="O2113" s="17" t="str">
        <f>IFERROR(IF(N2113="","",IF(INDEX(Listado!M:M,N2113)="No",IF(INDEX(Listado!N:N,N2113)=0,"",INDEX(Listado!N:N,N2113)),IF(INDEX(Listado!I:I,N2113)=0,"",INDEX(Listado!I:I,N2113)))),"")</f>
        <v/>
      </c>
      <c r="P2113" s="17">
        <f t="shared" ca="1" si="97"/>
        <v/>
      </c>
      <c r="Q2113" s="17">
        <f>IFERROR(IF(AND(N2113&lt;&gt;"",ISNUMBER(O2113),O2113&gt;0,O2113&gt;=TODAY()-90),1,0),0)</f>
        <v/>
      </c>
      <c r="R2113" s="17" t="str">
        <f t="shared" si="99"/>
        <v/>
      </c>
      <c r="S2113" s="17" t="str">
        <f>IF(INDEX(Listado!A:A,ROW())="","",INDEX(Listado!A:A,ROW()))</f>
        <v/>
      </c>
      <c r="T2113" s="17" t="str">
        <f ca="1">IF(INDEX(Listado!G:G,ROW())="","",INDEX(Listado!G:G,ROW()))</f>
        <v/>
      </c>
      <c r="U2113" s="17" t="str">
        <f>IF(INDEX(Listado!F:F,ROW())="","",INDEX(Listado!F:F,ROW()))</f>
        <v/>
      </c>
      <c r="V2113" s="17">
        <f>IF(COUNTA(INDEX(Listado!B:B,ROW()):INDEX(Listado!F:F,ROW()))&gt;0,1,0)</f>
        <v/>
      </c>
      <c r="W2113" s="17" t="str">
        <f>IF(INDEX(Listado!L:L,ROW())="","",INDEX(Listado!L:L,ROW()))</f>
        <v/>
      </c>
      <c r="X2113" s="17">
        <f>IF(N2113="","",IF(INDEX(Listado!$M:$M,N2113)="No","No","Sí"))</f>
        <v/>
      </c>
    </row>
    <row r="2114" spans="2:24" ht="14.25">
      <c r="N2114" s="17" t="str">
        <f>IF(V2114=0,"",IFERROR(LOOKUP(2,1/(INDEX(Listado!A:A,2):INDEX(Listado!A:A,ROW())&lt;&gt;""),ROW(INDEX(Listado!A:A,2):INDEX(Listado!A:A,ROW()))),""))</f>
        <v/>
      </c>
      <c r="O2114" s="17" t="str">
        <f>IFERROR(IF(N2114="","",IF(INDEX(Listado!M:M,N2114)="No",IF(INDEX(Listado!N:N,N2114)=0,"",INDEX(Listado!N:N,N2114)),IF(INDEX(Listado!I:I,N2114)=0,"",INDEX(Listado!I:I,N2114)))),"")</f>
        <v/>
      </c>
      <c r="P2114" s="17">
        <f t="shared" ref="P2114:P2177" ca="1" si="100">IF(W2114="",0,IFERROR(IF(AND(ISNUMBER(W2114),W2114=INT(W2114),ISNUMBER(O2114),O2114&gt;0,W2114&gt;=TODAY(),W2114&lt;=O2114+90),0,1),1))</f>
        <v/>
      </c>
      <c r="Q2114" s="17">
        <f>IFERROR(IF(AND(N2114&lt;&gt;"",ISNUMBER(O2114),O2114&gt;0,O2114&gt;=TODAY()-90),1,0),0)</f>
        <v/>
      </c>
      <c r="R2114" s="17" t="str">
        <f t="shared" ref="R2114:R2177" si="102">IF(S2114="","",COUNTIFS($N$2:$N$2999,ROW(),$Q$2:$Q$2999,1))</f>
        <v/>
      </c>
      <c r="S2114" s="17" t="str">
        <f>IF(INDEX(Listado!A:A,ROW())="","",INDEX(Listado!A:A,ROW()))</f>
        <v/>
      </c>
      <c r="T2114" s="17" t="str">
        <f ca="1">IF(INDEX(Listado!G:G,ROW())="","",INDEX(Listado!G:G,ROW()))</f>
        <v/>
      </c>
      <c r="U2114" s="17" t="str">
        <f>IF(INDEX(Listado!F:F,ROW())="","",INDEX(Listado!F:F,ROW()))</f>
        <v/>
      </c>
      <c r="V2114" s="17">
        <f>IF(COUNTA(INDEX(Listado!B:B,ROW()):INDEX(Listado!F:F,ROW()))&gt;0,1,0)</f>
        <v/>
      </c>
      <c r="W2114" s="17" t="str">
        <f>IF(INDEX(Listado!L:L,ROW())="","",INDEX(Listado!L:L,ROW()))</f>
        <v/>
      </c>
      <c r="X2114" s="17">
        <f>IF(N2114="","",IF(INDEX(Listado!$M:$M,N2114)="No","No","Sí"))</f>
        <v/>
      </c>
    </row>
    <row r="2115" spans="2:24" ht="14.25">
      <c r="N2115" s="17" t="str">
        <f>IF(V2115=0,"",IFERROR(LOOKUP(2,1/(INDEX(Listado!A:A,2):INDEX(Listado!A:A,ROW())&lt;&gt;""),ROW(INDEX(Listado!A:A,2):INDEX(Listado!A:A,ROW()))),""))</f>
        <v/>
      </c>
      <c r="O2115" s="17" t="str">
        <f>IFERROR(IF(N2115="","",IF(INDEX(Listado!M:M,N2115)="No",IF(INDEX(Listado!N:N,N2115)=0,"",INDEX(Listado!N:N,N2115)),IF(INDEX(Listado!I:I,N2115)=0,"",INDEX(Listado!I:I,N2115)))),"")</f>
        <v/>
      </c>
      <c r="P2115" s="17">
        <f t="shared" ca="1" si="100"/>
        <v/>
      </c>
      <c r="Q2115" s="17">
        <f>IFERROR(IF(AND(N2115&lt;&gt;"",ISNUMBER(O2115),O2115&gt;0,O2115&gt;=TODAY()-90),1,0),0)</f>
        <v/>
      </c>
      <c r="R2115" s="17" t="str">
        <f t="shared" si="102"/>
        <v/>
      </c>
      <c r="S2115" s="17" t="str">
        <f>IF(INDEX(Listado!A:A,ROW())="","",INDEX(Listado!A:A,ROW()))</f>
        <v/>
      </c>
      <c r="T2115" s="17" t="str">
        <f ca="1">IF(INDEX(Listado!G:G,ROW())="","",INDEX(Listado!G:G,ROW()))</f>
        <v/>
      </c>
      <c r="U2115" s="17" t="str">
        <f>IF(INDEX(Listado!F:F,ROW())="","",INDEX(Listado!F:F,ROW()))</f>
        <v/>
      </c>
      <c r="V2115" s="17">
        <f>IF(COUNTA(INDEX(Listado!B:B,ROW()):INDEX(Listado!F:F,ROW()))&gt;0,1,0)</f>
        <v/>
      </c>
      <c r="W2115" s="17" t="str">
        <f>IF(INDEX(Listado!L:L,ROW())="","",INDEX(Listado!L:L,ROW()))</f>
        <v/>
      </c>
      <c r="X2115" s="17">
        <f>IF(N2115="","",IF(INDEX(Listado!$M:$M,N2115)="No","No","Sí"))</f>
        <v/>
      </c>
    </row>
    <row r="2116" spans="2:24" ht="14.25">
      <c r="N2116" s="17" t="str">
        <f>IF(V2116=0,"",IFERROR(LOOKUP(2,1/(INDEX(Listado!A:A,2):INDEX(Listado!A:A,ROW())&lt;&gt;""),ROW(INDEX(Listado!A:A,2):INDEX(Listado!A:A,ROW()))),""))</f>
        <v/>
      </c>
      <c r="O2116" s="17" t="str">
        <f>IFERROR(IF(N2116="","",IF(INDEX(Listado!M:M,N2116)="No",IF(INDEX(Listado!N:N,N2116)=0,"",INDEX(Listado!N:N,N2116)),IF(INDEX(Listado!I:I,N2116)=0,"",INDEX(Listado!I:I,N2116)))),"")</f>
        <v/>
      </c>
      <c r="P2116" s="17">
        <f t="shared" ca="1" si="100"/>
        <v/>
      </c>
      <c r="Q2116" s="17">
        <f>IFERROR(IF(AND(N2116&lt;&gt;"",ISNUMBER(O2116),O2116&gt;0,O2116&gt;=TODAY()-90),1,0),0)</f>
        <v/>
      </c>
      <c r="R2116" s="17" t="str">
        <f t="shared" si="102"/>
        <v/>
      </c>
      <c r="S2116" s="17" t="str">
        <f>IF(INDEX(Listado!A:A,ROW())="","",INDEX(Listado!A:A,ROW()))</f>
        <v/>
      </c>
      <c r="T2116" s="17" t="str">
        <f ca="1">IF(INDEX(Listado!G:G,ROW())="","",INDEX(Listado!G:G,ROW()))</f>
        <v/>
      </c>
      <c r="U2116" s="17" t="str">
        <f>IF(INDEX(Listado!F:F,ROW())="","",INDEX(Listado!F:F,ROW()))</f>
        <v/>
      </c>
      <c r="V2116" s="17">
        <f>IF(COUNTA(INDEX(Listado!B:B,ROW()):INDEX(Listado!F:F,ROW()))&gt;0,1,0)</f>
        <v/>
      </c>
      <c r="W2116" s="17" t="str">
        <f>IF(INDEX(Listado!L:L,ROW())="","",INDEX(Listado!L:L,ROW()))</f>
        <v/>
      </c>
      <c r="X2116" s="17">
        <f>IF(N2116="","",IF(INDEX(Listado!$M:$M,N2116)="No","No","Sí"))</f>
        <v/>
      </c>
    </row>
    <row r="2117" spans="2:24" ht="14.25">
      <c r="N2117" s="17" t="str">
        <f>IF(V2117=0,"",IFERROR(LOOKUP(2,1/(INDEX(Listado!A:A,2):INDEX(Listado!A:A,ROW())&lt;&gt;""),ROW(INDEX(Listado!A:A,2):INDEX(Listado!A:A,ROW()))),""))</f>
        <v/>
      </c>
      <c r="O2117" s="17" t="str">
        <f>IFERROR(IF(N2117="","",IF(INDEX(Listado!M:M,N2117)="No",IF(INDEX(Listado!N:N,N2117)=0,"",INDEX(Listado!N:N,N2117)),IF(INDEX(Listado!I:I,N2117)=0,"",INDEX(Listado!I:I,N2117)))),"")</f>
        <v/>
      </c>
      <c r="P2117" s="17">
        <f t="shared" ca="1" si="100"/>
        <v/>
      </c>
      <c r="Q2117" s="17">
        <f>IFERROR(IF(AND(N2117&lt;&gt;"",ISNUMBER(O2117),O2117&gt;0,O2117&gt;=TODAY()-90),1,0),0)</f>
        <v/>
      </c>
      <c r="R2117" s="17" t="str">
        <f t="shared" si="102"/>
        <v/>
      </c>
      <c r="S2117" s="17" t="str">
        <f>IF(INDEX(Listado!A:A,ROW())="","",INDEX(Listado!A:A,ROW()))</f>
        <v/>
      </c>
      <c r="T2117" s="17" t="str">
        <f ca="1">IF(INDEX(Listado!G:G,ROW())="","",INDEX(Listado!G:G,ROW()))</f>
        <v/>
      </c>
      <c r="U2117" s="17" t="str">
        <f>IF(INDEX(Listado!F:F,ROW())="","",INDEX(Listado!F:F,ROW()))</f>
        <v/>
      </c>
      <c r="V2117" s="17">
        <f>IF(COUNTA(INDEX(Listado!B:B,ROW()):INDEX(Listado!F:F,ROW()))&gt;0,1,0)</f>
        <v/>
      </c>
      <c r="W2117" s="17" t="str">
        <f>IF(INDEX(Listado!L:L,ROW())="","",INDEX(Listado!L:L,ROW()))</f>
        <v/>
      </c>
      <c r="X2117" s="17">
        <f>IF(N2117="","",IF(INDEX(Listado!$M:$M,N2117)="No","No","Sí"))</f>
        <v/>
      </c>
    </row>
    <row r="2118" spans="2:24" ht="14.25">
      <c r="N2118" s="17" t="str">
        <f>IF(V2118=0,"",IFERROR(LOOKUP(2,1/(INDEX(Listado!A:A,2):INDEX(Listado!A:A,ROW())&lt;&gt;""),ROW(INDEX(Listado!A:A,2):INDEX(Listado!A:A,ROW()))),""))</f>
        <v/>
      </c>
      <c r="O2118" s="17" t="str">
        <f>IFERROR(IF(N2118="","",IF(INDEX(Listado!M:M,N2118)="No",IF(INDEX(Listado!N:N,N2118)=0,"",INDEX(Listado!N:N,N2118)),IF(INDEX(Listado!I:I,N2118)=0,"",INDEX(Listado!I:I,N2118)))),"")</f>
        <v/>
      </c>
      <c r="P2118" s="17">
        <f t="shared" ca="1" si="100"/>
        <v/>
      </c>
      <c r="Q2118" s="17">
        <f>IFERROR(IF(AND(N2118&lt;&gt;"",ISNUMBER(O2118),O2118&gt;0,O2118&gt;=TODAY()-90),1,0),0)</f>
        <v/>
      </c>
      <c r="R2118" s="17" t="str">
        <f t="shared" si="102"/>
        <v/>
      </c>
      <c r="S2118" s="17" t="str">
        <f>IF(INDEX(Listado!A:A,ROW())="","",INDEX(Listado!A:A,ROW()))</f>
        <v/>
      </c>
      <c r="T2118" s="17" t="str">
        <f ca="1">IF(INDEX(Listado!G:G,ROW())="","",INDEX(Listado!G:G,ROW()))</f>
        <v/>
      </c>
      <c r="U2118" s="17" t="str">
        <f>IF(INDEX(Listado!F:F,ROW())="","",INDEX(Listado!F:F,ROW()))</f>
        <v/>
      </c>
      <c r="V2118" s="17">
        <f>IF(COUNTA(INDEX(Listado!B:B,ROW()):INDEX(Listado!F:F,ROW()))&gt;0,1,0)</f>
        <v/>
      </c>
      <c r="W2118" s="17" t="str">
        <f>IF(INDEX(Listado!L:L,ROW())="","",INDEX(Listado!L:L,ROW()))</f>
        <v/>
      </c>
      <c r="X2118" s="17">
        <f>IF(N2118="","",IF(INDEX(Listado!$M:$M,N2118)="No","No","Sí"))</f>
        <v/>
      </c>
    </row>
    <row r="2119" spans="2:24" ht="14.25">
      <c r="N2119" s="17" t="str">
        <f>IF(V2119=0,"",IFERROR(LOOKUP(2,1/(INDEX(Listado!A:A,2):INDEX(Listado!A:A,ROW())&lt;&gt;""),ROW(INDEX(Listado!A:A,2):INDEX(Listado!A:A,ROW()))),""))</f>
        <v/>
      </c>
      <c r="O2119" s="17" t="str">
        <f>IFERROR(IF(N2119="","",IF(INDEX(Listado!M:M,N2119)="No",IF(INDEX(Listado!N:N,N2119)=0,"",INDEX(Listado!N:N,N2119)),IF(INDEX(Listado!I:I,N2119)=0,"",INDEX(Listado!I:I,N2119)))),"")</f>
        <v/>
      </c>
      <c r="P2119" s="17">
        <f t="shared" ca="1" si="100"/>
        <v/>
      </c>
      <c r="Q2119" s="17">
        <f>IFERROR(IF(AND(N2119&lt;&gt;"",ISNUMBER(O2119),O2119&gt;0,O2119&gt;=TODAY()-90),1,0),0)</f>
        <v/>
      </c>
      <c r="R2119" s="17" t="str">
        <f t="shared" si="102"/>
        <v/>
      </c>
      <c r="S2119" s="17" t="str">
        <f>IF(INDEX(Listado!A:A,ROW())="","",INDEX(Listado!A:A,ROW()))</f>
        <v/>
      </c>
      <c r="T2119" s="17" t="str">
        <f ca="1">IF(INDEX(Listado!G:G,ROW())="","",INDEX(Listado!G:G,ROW()))</f>
        <v/>
      </c>
      <c r="U2119" s="17" t="str">
        <f>IF(INDEX(Listado!F:F,ROW())="","",INDEX(Listado!F:F,ROW()))</f>
        <v/>
      </c>
      <c r="V2119" s="17">
        <f>IF(COUNTA(INDEX(Listado!B:B,ROW()):INDEX(Listado!F:F,ROW()))&gt;0,1,0)</f>
        <v/>
      </c>
      <c r="W2119" s="17" t="str">
        <f>IF(INDEX(Listado!L:L,ROW())="","",INDEX(Listado!L:L,ROW()))</f>
        <v/>
      </c>
      <c r="X2119" s="17">
        <f>IF(N2119="","",IF(INDEX(Listado!$M:$M,N2119)="No","No","Sí"))</f>
        <v/>
      </c>
    </row>
    <row r="2120" spans="2:24" ht="14.25">
      <c r="N2120" s="17" t="str">
        <f>IF(V2120=0,"",IFERROR(LOOKUP(2,1/(INDEX(Listado!A:A,2):INDEX(Listado!A:A,ROW())&lt;&gt;""),ROW(INDEX(Listado!A:A,2):INDEX(Listado!A:A,ROW()))),""))</f>
        <v/>
      </c>
      <c r="O2120" s="17" t="str">
        <f>IFERROR(IF(N2120="","",IF(INDEX(Listado!M:M,N2120)="No",IF(INDEX(Listado!N:N,N2120)=0,"",INDEX(Listado!N:N,N2120)),IF(INDEX(Listado!I:I,N2120)=0,"",INDEX(Listado!I:I,N2120)))),"")</f>
        <v/>
      </c>
      <c r="P2120" s="17">
        <f t="shared" ca="1" si="100"/>
        <v/>
      </c>
      <c r="Q2120" s="17">
        <f>IFERROR(IF(AND(N2120&lt;&gt;"",ISNUMBER(O2120),O2120&gt;0,O2120&gt;=TODAY()-90),1,0),0)</f>
        <v/>
      </c>
      <c r="R2120" s="17" t="str">
        <f t="shared" si="102"/>
        <v/>
      </c>
      <c r="S2120" s="17" t="str">
        <f>IF(INDEX(Listado!A:A,ROW())="","",INDEX(Listado!A:A,ROW()))</f>
        <v/>
      </c>
      <c r="T2120" s="17" t="str">
        <f ca="1">IF(INDEX(Listado!G:G,ROW())="","",INDEX(Listado!G:G,ROW()))</f>
        <v/>
      </c>
      <c r="U2120" s="17" t="str">
        <f>IF(INDEX(Listado!F:F,ROW())="","",INDEX(Listado!F:F,ROW()))</f>
        <v/>
      </c>
      <c r="V2120" s="17">
        <f>IF(COUNTA(INDEX(Listado!B:B,ROW()):INDEX(Listado!F:F,ROW()))&gt;0,1,0)</f>
        <v/>
      </c>
      <c r="W2120" s="17" t="str">
        <f>IF(INDEX(Listado!L:L,ROW())="","",INDEX(Listado!L:L,ROW()))</f>
        <v/>
      </c>
      <c r="X2120" s="17">
        <f>IF(N2120="","",IF(INDEX(Listado!$M:$M,N2120)="No","No","Sí"))</f>
        <v/>
      </c>
    </row>
    <row r="2121" spans="2:24" ht="14.25">
      <c r="N2121" s="17" t="str">
        <f>IF(V2121=0,"",IFERROR(LOOKUP(2,1/(INDEX(Listado!A:A,2):INDEX(Listado!A:A,ROW())&lt;&gt;""),ROW(INDEX(Listado!A:A,2):INDEX(Listado!A:A,ROW()))),""))</f>
        <v/>
      </c>
      <c r="O2121" s="17" t="str">
        <f>IFERROR(IF(N2121="","",IF(INDEX(Listado!M:M,N2121)="No",IF(INDEX(Listado!N:N,N2121)=0,"",INDEX(Listado!N:N,N2121)),IF(INDEX(Listado!I:I,N2121)=0,"",INDEX(Listado!I:I,N2121)))),"")</f>
        <v/>
      </c>
      <c r="P2121" s="17">
        <f t="shared" ca="1" si="100"/>
        <v/>
      </c>
      <c r="Q2121" s="17">
        <f>IFERROR(IF(AND(N2121&lt;&gt;"",ISNUMBER(O2121),O2121&gt;0,O2121&gt;=TODAY()-90),1,0),0)</f>
        <v/>
      </c>
      <c r="R2121" s="17" t="str">
        <f t="shared" si="102"/>
        <v/>
      </c>
      <c r="S2121" s="17" t="str">
        <f>IF(INDEX(Listado!A:A,ROW())="","",INDEX(Listado!A:A,ROW()))</f>
        <v/>
      </c>
      <c r="T2121" s="17" t="str">
        <f ca="1">IF(INDEX(Listado!G:G,ROW())="","",INDEX(Listado!G:G,ROW()))</f>
        <v/>
      </c>
      <c r="U2121" s="17" t="str">
        <f>IF(INDEX(Listado!F:F,ROW())="","",INDEX(Listado!F:F,ROW()))</f>
        <v/>
      </c>
      <c r="V2121" s="17">
        <f>IF(COUNTA(INDEX(Listado!B:B,ROW()):INDEX(Listado!F:F,ROW()))&gt;0,1,0)</f>
        <v/>
      </c>
      <c r="W2121" s="17" t="str">
        <f>IF(INDEX(Listado!L:L,ROW())="","",INDEX(Listado!L:L,ROW()))</f>
        <v/>
      </c>
      <c r="X2121" s="17">
        <f>IF(N2121="","",IF(INDEX(Listado!$M:$M,N2121)="No","No","Sí"))</f>
        <v/>
      </c>
    </row>
    <row r="2122" spans="2:24" ht="14.25">
      <c r="N2122" s="17" t="str">
        <f>IF(V2122=0,"",IFERROR(LOOKUP(2,1/(INDEX(Listado!A:A,2):INDEX(Listado!A:A,ROW())&lt;&gt;""),ROW(INDEX(Listado!A:A,2):INDEX(Listado!A:A,ROW()))),""))</f>
        <v/>
      </c>
      <c r="O2122" s="17" t="str">
        <f>IFERROR(IF(N2122="","",IF(INDEX(Listado!M:M,N2122)="No",IF(INDEX(Listado!N:N,N2122)=0,"",INDEX(Listado!N:N,N2122)),IF(INDEX(Listado!I:I,N2122)=0,"",INDEX(Listado!I:I,N2122)))),"")</f>
        <v/>
      </c>
      <c r="P2122" s="17">
        <f t="shared" ca="1" si="100"/>
        <v/>
      </c>
      <c r="Q2122" s="17">
        <f>IFERROR(IF(AND(N2122&lt;&gt;"",ISNUMBER(O2122),O2122&gt;0,O2122&gt;=TODAY()-90),1,0),0)</f>
        <v/>
      </c>
      <c r="R2122" s="17" t="str">
        <f t="shared" si="102"/>
        <v/>
      </c>
      <c r="S2122" s="17" t="str">
        <f>IF(INDEX(Listado!A:A,ROW())="","",INDEX(Listado!A:A,ROW()))</f>
        <v/>
      </c>
      <c r="T2122" s="17" t="str">
        <f ca="1">IF(INDEX(Listado!G:G,ROW())="","",INDEX(Listado!G:G,ROW()))</f>
        <v/>
      </c>
      <c r="U2122" s="17" t="str">
        <f>IF(INDEX(Listado!F:F,ROW())="","",INDEX(Listado!F:F,ROW()))</f>
        <v/>
      </c>
      <c r="V2122" s="17">
        <f>IF(COUNTA(INDEX(Listado!B:B,ROW()):INDEX(Listado!F:F,ROW()))&gt;0,1,0)</f>
        <v/>
      </c>
      <c r="W2122" s="17" t="str">
        <f>IF(INDEX(Listado!L:L,ROW())="","",INDEX(Listado!L:L,ROW()))</f>
        <v/>
      </c>
      <c r="X2122" s="17">
        <f>IF(N2122="","",IF(INDEX(Listado!$M:$M,N2122)="No","No","Sí"))</f>
        <v/>
      </c>
    </row>
    <row r="2123" spans="2:24" ht="14.25">
      <c r="N2123" s="17" t="str">
        <f>IF(V2123=0,"",IFERROR(LOOKUP(2,1/(INDEX(Listado!A:A,2):INDEX(Listado!A:A,ROW())&lt;&gt;""),ROW(INDEX(Listado!A:A,2):INDEX(Listado!A:A,ROW()))),""))</f>
        <v/>
      </c>
      <c r="O2123" s="17" t="str">
        <f>IFERROR(IF(N2123="","",IF(INDEX(Listado!M:M,N2123)="No",IF(INDEX(Listado!N:N,N2123)=0,"",INDEX(Listado!N:N,N2123)),IF(INDEX(Listado!I:I,N2123)=0,"",INDEX(Listado!I:I,N2123)))),"")</f>
        <v/>
      </c>
      <c r="P2123" s="17">
        <f t="shared" ca="1" si="100"/>
        <v/>
      </c>
      <c r="Q2123" s="17">
        <f>IFERROR(IF(AND(N2123&lt;&gt;"",ISNUMBER(O2123),O2123&gt;0,O2123&gt;=TODAY()-90),1,0),0)</f>
        <v/>
      </c>
      <c r="R2123" s="17" t="str">
        <f t="shared" si="102"/>
        <v/>
      </c>
      <c r="S2123" s="17" t="str">
        <f>IF(INDEX(Listado!A:A,ROW())="","",INDEX(Listado!A:A,ROW()))</f>
        <v/>
      </c>
      <c r="T2123" s="17" t="str">
        <f ca="1">IF(INDEX(Listado!G:G,ROW())="","",INDEX(Listado!G:G,ROW()))</f>
        <v/>
      </c>
      <c r="U2123" s="17" t="str">
        <f>IF(INDEX(Listado!F:F,ROW())="","",INDEX(Listado!F:F,ROW()))</f>
        <v/>
      </c>
      <c r="V2123" s="17">
        <f>IF(COUNTA(INDEX(Listado!B:B,ROW()):INDEX(Listado!F:F,ROW()))&gt;0,1,0)</f>
        <v/>
      </c>
      <c r="W2123" s="17" t="str">
        <f>IF(INDEX(Listado!L:L,ROW())="","",INDEX(Listado!L:L,ROW()))</f>
        <v/>
      </c>
      <c r="X2123" s="17">
        <f>IF(N2123="","",IF(INDEX(Listado!$M:$M,N2123)="No","No","Sí"))</f>
        <v/>
      </c>
    </row>
    <row r="2124" spans="2:24" ht="14.25">
      <c r="N2124" s="17" t="str">
        <f>IF(V2124=0,"",IFERROR(LOOKUP(2,1/(INDEX(Listado!A:A,2):INDEX(Listado!A:A,ROW())&lt;&gt;""),ROW(INDEX(Listado!A:A,2):INDEX(Listado!A:A,ROW()))),""))</f>
        <v/>
      </c>
      <c r="O2124" s="17" t="str">
        <f>IFERROR(IF(N2124="","",IF(INDEX(Listado!M:M,N2124)="No",IF(INDEX(Listado!N:N,N2124)=0,"",INDEX(Listado!N:N,N2124)),IF(INDEX(Listado!I:I,N2124)=0,"",INDEX(Listado!I:I,N2124)))),"")</f>
        <v/>
      </c>
      <c r="P2124" s="17">
        <f t="shared" ca="1" si="100"/>
        <v/>
      </c>
      <c r="Q2124" s="17">
        <f>IFERROR(IF(AND(N2124&lt;&gt;"",ISNUMBER(O2124),O2124&gt;0,O2124&gt;=TODAY()-90),1,0),0)</f>
        <v/>
      </c>
      <c r="R2124" s="17" t="str">
        <f t="shared" si="102"/>
        <v/>
      </c>
      <c r="S2124" s="17" t="str">
        <f>IF(INDEX(Listado!A:A,ROW())="","",INDEX(Listado!A:A,ROW()))</f>
        <v/>
      </c>
      <c r="T2124" s="17" t="str">
        <f ca="1">IF(INDEX(Listado!G:G,ROW())="","",INDEX(Listado!G:G,ROW()))</f>
        <v/>
      </c>
      <c r="U2124" s="17" t="str">
        <f>IF(INDEX(Listado!F:F,ROW())="","",INDEX(Listado!F:F,ROW()))</f>
        <v/>
      </c>
      <c r="V2124" s="17">
        <f>IF(COUNTA(INDEX(Listado!B:B,ROW()):INDEX(Listado!F:F,ROW()))&gt;0,1,0)</f>
        <v/>
      </c>
      <c r="W2124" s="17" t="str">
        <f>IF(INDEX(Listado!L:L,ROW())="","",INDEX(Listado!L:L,ROW()))</f>
        <v/>
      </c>
      <c r="X2124" s="17">
        <f>IF(N2124="","",IF(INDEX(Listado!$M:$M,N2124)="No","No","Sí"))</f>
        <v/>
      </c>
    </row>
    <row r="2125" spans="2:24" ht="14.25">
      <c r="N2125" s="17" t="str">
        <f>IF(V2125=0,"",IFERROR(LOOKUP(2,1/(INDEX(Listado!A:A,2):INDEX(Listado!A:A,ROW())&lt;&gt;""),ROW(INDEX(Listado!A:A,2):INDEX(Listado!A:A,ROW()))),""))</f>
        <v/>
      </c>
      <c r="O2125" s="17" t="str">
        <f>IFERROR(IF(N2125="","",IF(INDEX(Listado!M:M,N2125)="No",IF(INDEX(Listado!N:N,N2125)=0,"",INDEX(Listado!N:N,N2125)),IF(INDEX(Listado!I:I,N2125)=0,"",INDEX(Listado!I:I,N2125)))),"")</f>
        <v/>
      </c>
      <c r="P2125" s="17">
        <f t="shared" ca="1" si="100"/>
        <v/>
      </c>
      <c r="Q2125" s="17">
        <f>IFERROR(IF(AND(N2125&lt;&gt;"",ISNUMBER(O2125),O2125&gt;0,O2125&gt;=TODAY()-90),1,0),0)</f>
        <v/>
      </c>
      <c r="R2125" s="17" t="str">
        <f t="shared" si="102"/>
        <v/>
      </c>
      <c r="S2125" s="17" t="str">
        <f>IF(INDEX(Listado!A:A,ROW())="","",INDEX(Listado!A:A,ROW()))</f>
        <v/>
      </c>
      <c r="T2125" s="17" t="str">
        <f ca="1">IF(INDEX(Listado!G:G,ROW())="","",INDEX(Listado!G:G,ROW()))</f>
        <v/>
      </c>
      <c r="U2125" s="17" t="str">
        <f>IF(INDEX(Listado!F:F,ROW())="","",INDEX(Listado!F:F,ROW()))</f>
        <v/>
      </c>
      <c r="V2125" s="17">
        <f>IF(COUNTA(INDEX(Listado!B:B,ROW()):INDEX(Listado!F:F,ROW()))&gt;0,1,0)</f>
        <v/>
      </c>
      <c r="W2125" s="17" t="str">
        <f>IF(INDEX(Listado!L:L,ROW())="","",INDEX(Listado!L:L,ROW()))</f>
        <v/>
      </c>
      <c r="X2125" s="17">
        <f>IF(N2125="","",IF(INDEX(Listado!$M:$M,N2125)="No","No","Sí"))</f>
        <v/>
      </c>
    </row>
    <row r="2126" spans="2:24" ht="14.25">
      <c r="N2126" s="17" t="str">
        <f>IF(V2126=0,"",IFERROR(LOOKUP(2,1/(INDEX(Listado!A:A,2):INDEX(Listado!A:A,ROW())&lt;&gt;""),ROW(INDEX(Listado!A:A,2):INDEX(Listado!A:A,ROW()))),""))</f>
        <v/>
      </c>
      <c r="O2126" s="17" t="str">
        <f>IFERROR(IF(N2126="","",IF(INDEX(Listado!M:M,N2126)="No",IF(INDEX(Listado!N:N,N2126)=0,"",INDEX(Listado!N:N,N2126)),IF(INDEX(Listado!I:I,N2126)=0,"",INDEX(Listado!I:I,N2126)))),"")</f>
        <v/>
      </c>
      <c r="P2126" s="17">
        <f t="shared" ca="1" si="100"/>
        <v/>
      </c>
      <c r="Q2126" s="17">
        <f>IFERROR(IF(AND(N2126&lt;&gt;"",ISNUMBER(O2126),O2126&gt;0,O2126&gt;=TODAY()-90),1,0),0)</f>
        <v/>
      </c>
      <c r="R2126" s="17" t="str">
        <f t="shared" si="102"/>
        <v/>
      </c>
      <c r="S2126" s="17" t="str">
        <f>IF(INDEX(Listado!A:A,ROW())="","",INDEX(Listado!A:A,ROW()))</f>
        <v/>
      </c>
      <c r="T2126" s="17" t="str">
        <f ca="1">IF(INDEX(Listado!G:G,ROW())="","",INDEX(Listado!G:G,ROW()))</f>
        <v/>
      </c>
      <c r="U2126" s="17" t="str">
        <f>IF(INDEX(Listado!F:F,ROW())="","",INDEX(Listado!F:F,ROW()))</f>
        <v/>
      </c>
      <c r="V2126" s="17">
        <f>IF(COUNTA(INDEX(Listado!B:B,ROW()):INDEX(Listado!F:F,ROW()))&gt;0,1,0)</f>
        <v/>
      </c>
      <c r="W2126" s="17" t="str">
        <f>IF(INDEX(Listado!L:L,ROW())="","",INDEX(Listado!L:L,ROW()))</f>
        <v/>
      </c>
      <c r="X2126" s="17">
        <f>IF(N2126="","",IF(INDEX(Listado!$M:$M,N2126)="No","No","Sí"))</f>
        <v/>
      </c>
    </row>
    <row r="2127" spans="2:24" ht="14.25">
      <c r="N2127" s="17" t="str">
        <f>IF(V2127=0,"",IFERROR(LOOKUP(2,1/(INDEX(Listado!A:A,2):INDEX(Listado!A:A,ROW())&lt;&gt;""),ROW(INDEX(Listado!A:A,2):INDEX(Listado!A:A,ROW()))),""))</f>
        <v/>
      </c>
      <c r="O2127" s="17" t="str">
        <f>IFERROR(IF(N2127="","",IF(INDEX(Listado!M:M,N2127)="No",IF(INDEX(Listado!N:N,N2127)=0,"",INDEX(Listado!N:N,N2127)),IF(INDEX(Listado!I:I,N2127)=0,"",INDEX(Listado!I:I,N2127)))),"")</f>
        <v/>
      </c>
      <c r="P2127" s="17">
        <f t="shared" ca="1" si="100"/>
        <v/>
      </c>
      <c r="Q2127" s="17">
        <f>IFERROR(IF(AND(N2127&lt;&gt;"",ISNUMBER(O2127),O2127&gt;0,O2127&gt;=TODAY()-90),1,0),0)</f>
        <v/>
      </c>
      <c r="R2127" s="17" t="str">
        <f t="shared" si="102"/>
        <v/>
      </c>
      <c r="S2127" s="17" t="str">
        <f>IF(INDEX(Listado!A:A,ROW())="","",INDEX(Listado!A:A,ROW()))</f>
        <v/>
      </c>
      <c r="T2127" s="17" t="str">
        <f ca="1">IF(INDEX(Listado!G:G,ROW())="","",INDEX(Listado!G:G,ROW()))</f>
        <v/>
      </c>
      <c r="U2127" s="17" t="str">
        <f>IF(INDEX(Listado!F:F,ROW())="","",INDEX(Listado!F:F,ROW()))</f>
        <v/>
      </c>
      <c r="V2127" s="17">
        <f>IF(COUNTA(INDEX(Listado!B:B,ROW()):INDEX(Listado!F:F,ROW()))&gt;0,1,0)</f>
        <v/>
      </c>
      <c r="W2127" s="17" t="str">
        <f>IF(INDEX(Listado!L:L,ROW())="","",INDEX(Listado!L:L,ROW()))</f>
        <v/>
      </c>
      <c r="X2127" s="17">
        <f>IF(N2127="","",IF(INDEX(Listado!$M:$M,N2127)="No","No","Sí"))</f>
        <v/>
      </c>
    </row>
    <row r="2128" spans="2:24" ht="14.25">
      <c r="N2128" s="17" t="str">
        <f>IF(V2128=0,"",IFERROR(LOOKUP(2,1/(INDEX(Listado!A:A,2):INDEX(Listado!A:A,ROW())&lt;&gt;""),ROW(INDEX(Listado!A:A,2):INDEX(Listado!A:A,ROW()))),""))</f>
        <v/>
      </c>
      <c r="O2128" s="17" t="str">
        <f>IFERROR(IF(N2128="","",IF(INDEX(Listado!M:M,N2128)="No",IF(INDEX(Listado!N:N,N2128)=0,"",INDEX(Listado!N:N,N2128)),IF(INDEX(Listado!I:I,N2128)=0,"",INDEX(Listado!I:I,N2128)))),"")</f>
        <v/>
      </c>
      <c r="P2128" s="17">
        <f t="shared" ca="1" si="100"/>
        <v/>
      </c>
      <c r="Q2128" s="17">
        <f>IFERROR(IF(AND(N2128&lt;&gt;"",ISNUMBER(O2128),O2128&gt;0,O2128&gt;=TODAY()-90),1,0),0)</f>
        <v/>
      </c>
      <c r="R2128" s="17" t="str">
        <f t="shared" si="102"/>
        <v/>
      </c>
      <c r="S2128" s="17" t="str">
        <f>IF(INDEX(Listado!A:A,ROW())="","",INDEX(Listado!A:A,ROW()))</f>
        <v/>
      </c>
      <c r="T2128" s="17" t="str">
        <f ca="1">IF(INDEX(Listado!G:G,ROW())="","",INDEX(Listado!G:G,ROW()))</f>
        <v/>
      </c>
      <c r="U2128" s="17" t="str">
        <f>IF(INDEX(Listado!F:F,ROW())="","",INDEX(Listado!F:F,ROW()))</f>
        <v/>
      </c>
      <c r="V2128" s="17">
        <f>IF(COUNTA(INDEX(Listado!B:B,ROW()):INDEX(Listado!F:F,ROW()))&gt;0,1,0)</f>
        <v/>
      </c>
      <c r="W2128" s="17" t="str">
        <f>IF(INDEX(Listado!L:L,ROW())="","",INDEX(Listado!L:L,ROW()))</f>
        <v/>
      </c>
      <c r="X2128" s="17">
        <f>IF(N2128="","",IF(INDEX(Listado!$M:$M,N2128)="No","No","Sí"))</f>
        <v/>
      </c>
    </row>
    <row r="2129" spans="2:24" ht="14.25">
      <c r="N2129" s="17" t="str">
        <f>IF(V2129=0,"",IFERROR(LOOKUP(2,1/(INDEX(Listado!A:A,2):INDEX(Listado!A:A,ROW())&lt;&gt;""),ROW(INDEX(Listado!A:A,2):INDEX(Listado!A:A,ROW()))),""))</f>
        <v/>
      </c>
      <c r="O2129" s="17" t="str">
        <f>IFERROR(IF(N2129="","",IF(INDEX(Listado!M:M,N2129)="No",IF(INDEX(Listado!N:N,N2129)=0,"",INDEX(Listado!N:N,N2129)),IF(INDEX(Listado!I:I,N2129)=0,"",INDEX(Listado!I:I,N2129)))),"")</f>
        <v/>
      </c>
      <c r="P2129" s="17">
        <f t="shared" ca="1" si="100"/>
        <v/>
      </c>
      <c r="Q2129" s="17">
        <f>IFERROR(IF(AND(N2129&lt;&gt;"",ISNUMBER(O2129),O2129&gt;0,O2129&gt;=TODAY()-90),1,0),0)</f>
        <v/>
      </c>
      <c r="R2129" s="17" t="str">
        <f t="shared" si="102"/>
        <v/>
      </c>
      <c r="S2129" s="17" t="str">
        <f>IF(INDEX(Listado!A:A,ROW())="","",INDEX(Listado!A:A,ROW()))</f>
        <v/>
      </c>
      <c r="T2129" s="17" t="str">
        <f ca="1">IF(INDEX(Listado!G:G,ROW())="","",INDEX(Listado!G:G,ROW()))</f>
        <v/>
      </c>
      <c r="U2129" s="17" t="str">
        <f>IF(INDEX(Listado!F:F,ROW())="","",INDEX(Listado!F:F,ROW()))</f>
        <v/>
      </c>
      <c r="V2129" s="17">
        <f>IF(COUNTA(INDEX(Listado!B:B,ROW()):INDEX(Listado!F:F,ROW()))&gt;0,1,0)</f>
        <v/>
      </c>
      <c r="W2129" s="17" t="str">
        <f>IF(INDEX(Listado!L:L,ROW())="","",INDEX(Listado!L:L,ROW()))</f>
        <v/>
      </c>
      <c r="X2129" s="17">
        <f>IF(N2129="","",IF(INDEX(Listado!$M:$M,N2129)="No","No","Sí"))</f>
        <v/>
      </c>
    </row>
    <row r="2130" spans="2:24" ht="14.25">
      <c r="N2130" s="17" t="str">
        <f>IF(V2130=0,"",IFERROR(LOOKUP(2,1/(INDEX(Listado!A:A,2):INDEX(Listado!A:A,ROW())&lt;&gt;""),ROW(INDEX(Listado!A:A,2):INDEX(Listado!A:A,ROW()))),""))</f>
        <v/>
      </c>
      <c r="O2130" s="17" t="str">
        <f>IFERROR(IF(N2130="","",IF(INDEX(Listado!M:M,N2130)="No",IF(INDEX(Listado!N:N,N2130)=0,"",INDEX(Listado!N:N,N2130)),IF(INDEX(Listado!I:I,N2130)=0,"",INDEX(Listado!I:I,N2130)))),"")</f>
        <v/>
      </c>
      <c r="P2130" s="17">
        <f t="shared" ca="1" si="100"/>
        <v/>
      </c>
      <c r="Q2130" s="17">
        <f>IFERROR(IF(AND(N2130&lt;&gt;"",ISNUMBER(O2130),O2130&gt;0,O2130&gt;=TODAY()-90),1,0),0)</f>
        <v/>
      </c>
      <c r="R2130" s="17" t="str">
        <f t="shared" si="102"/>
        <v/>
      </c>
      <c r="S2130" s="17" t="str">
        <f>IF(INDEX(Listado!A:A,ROW())="","",INDEX(Listado!A:A,ROW()))</f>
        <v/>
      </c>
      <c r="T2130" s="17" t="str">
        <f ca="1">IF(INDEX(Listado!G:G,ROW())="","",INDEX(Listado!G:G,ROW()))</f>
        <v/>
      </c>
      <c r="U2130" s="17" t="str">
        <f>IF(INDEX(Listado!F:F,ROW())="","",INDEX(Listado!F:F,ROW()))</f>
        <v/>
      </c>
      <c r="V2130" s="17">
        <f>IF(COUNTA(INDEX(Listado!B:B,ROW()):INDEX(Listado!F:F,ROW()))&gt;0,1,0)</f>
        <v/>
      </c>
      <c r="W2130" s="17" t="str">
        <f>IF(INDEX(Listado!L:L,ROW())="","",INDEX(Listado!L:L,ROW()))</f>
        <v/>
      </c>
      <c r="X2130" s="17">
        <f>IF(N2130="","",IF(INDEX(Listado!$M:$M,N2130)="No","No","Sí"))</f>
        <v/>
      </c>
    </row>
    <row r="2131" spans="2:24" ht="14.25">
      <c r="N2131" s="17" t="str">
        <f>IF(V2131=0,"",IFERROR(LOOKUP(2,1/(INDEX(Listado!A:A,2):INDEX(Listado!A:A,ROW())&lt;&gt;""),ROW(INDEX(Listado!A:A,2):INDEX(Listado!A:A,ROW()))),""))</f>
        <v/>
      </c>
      <c r="O2131" s="17" t="str">
        <f>IFERROR(IF(N2131="","",IF(INDEX(Listado!M:M,N2131)="No",IF(INDEX(Listado!N:N,N2131)=0,"",INDEX(Listado!N:N,N2131)),IF(INDEX(Listado!I:I,N2131)=0,"",INDEX(Listado!I:I,N2131)))),"")</f>
        <v/>
      </c>
      <c r="P2131" s="17">
        <f t="shared" ca="1" si="100"/>
        <v/>
      </c>
      <c r="Q2131" s="17">
        <f>IFERROR(IF(AND(N2131&lt;&gt;"",ISNUMBER(O2131),O2131&gt;0,O2131&gt;=TODAY()-90),1,0),0)</f>
        <v/>
      </c>
      <c r="R2131" s="17" t="str">
        <f t="shared" si="102"/>
        <v/>
      </c>
      <c r="S2131" s="17" t="str">
        <f>IF(INDEX(Listado!A:A,ROW())="","",INDEX(Listado!A:A,ROW()))</f>
        <v/>
      </c>
      <c r="T2131" s="17" t="str">
        <f ca="1">IF(INDEX(Listado!G:G,ROW())="","",INDEX(Listado!G:G,ROW()))</f>
        <v/>
      </c>
      <c r="U2131" s="17" t="str">
        <f>IF(INDEX(Listado!F:F,ROW())="","",INDEX(Listado!F:F,ROW()))</f>
        <v/>
      </c>
      <c r="V2131" s="17">
        <f>IF(COUNTA(INDEX(Listado!B:B,ROW()):INDEX(Listado!F:F,ROW()))&gt;0,1,0)</f>
        <v/>
      </c>
      <c r="W2131" s="17" t="str">
        <f>IF(INDEX(Listado!L:L,ROW())="","",INDEX(Listado!L:L,ROW()))</f>
        <v/>
      </c>
      <c r="X2131" s="17">
        <f>IF(N2131="","",IF(INDEX(Listado!$M:$M,N2131)="No","No","Sí"))</f>
        <v/>
      </c>
    </row>
    <row r="2132" spans="2:24" ht="14.25">
      <c r="N2132" s="17" t="str">
        <f>IF(V2132=0,"",IFERROR(LOOKUP(2,1/(INDEX(Listado!A:A,2):INDEX(Listado!A:A,ROW())&lt;&gt;""),ROW(INDEX(Listado!A:A,2):INDEX(Listado!A:A,ROW()))),""))</f>
        <v/>
      </c>
      <c r="O2132" s="17" t="str">
        <f>IFERROR(IF(N2132="","",IF(INDEX(Listado!M:M,N2132)="No",IF(INDEX(Listado!N:N,N2132)=0,"",INDEX(Listado!N:N,N2132)),IF(INDEX(Listado!I:I,N2132)=0,"",INDEX(Listado!I:I,N2132)))),"")</f>
        <v/>
      </c>
      <c r="P2132" s="17">
        <f t="shared" ca="1" si="100"/>
        <v/>
      </c>
      <c r="Q2132" s="17">
        <f>IFERROR(IF(AND(N2132&lt;&gt;"",ISNUMBER(O2132),O2132&gt;0,O2132&gt;=TODAY()-90),1,0),0)</f>
        <v/>
      </c>
      <c r="R2132" s="17" t="str">
        <f t="shared" si="102"/>
        <v/>
      </c>
      <c r="S2132" s="17" t="str">
        <f>IF(INDEX(Listado!A:A,ROW())="","",INDEX(Listado!A:A,ROW()))</f>
        <v/>
      </c>
      <c r="T2132" s="17" t="str">
        <f ca="1">IF(INDEX(Listado!G:G,ROW())="","",INDEX(Listado!G:G,ROW()))</f>
        <v/>
      </c>
      <c r="U2132" s="17" t="str">
        <f>IF(INDEX(Listado!F:F,ROW())="","",INDEX(Listado!F:F,ROW()))</f>
        <v/>
      </c>
      <c r="V2132" s="17">
        <f>IF(COUNTA(INDEX(Listado!B:B,ROW()):INDEX(Listado!F:F,ROW()))&gt;0,1,0)</f>
        <v/>
      </c>
      <c r="W2132" s="17" t="str">
        <f>IF(INDEX(Listado!L:L,ROW())="","",INDEX(Listado!L:L,ROW()))</f>
        <v/>
      </c>
      <c r="X2132" s="17">
        <f>IF(N2132="","",IF(INDEX(Listado!$M:$M,N2132)="No","No","Sí"))</f>
        <v/>
      </c>
    </row>
    <row r="2133" spans="2:24" ht="14.25">
      <c r="N2133" s="17" t="str">
        <f>IF(V2133=0,"",IFERROR(LOOKUP(2,1/(INDEX(Listado!A:A,2):INDEX(Listado!A:A,ROW())&lt;&gt;""),ROW(INDEX(Listado!A:A,2):INDEX(Listado!A:A,ROW()))),""))</f>
        <v/>
      </c>
      <c r="O2133" s="17" t="str">
        <f>IFERROR(IF(N2133="","",IF(INDEX(Listado!M:M,N2133)="No",IF(INDEX(Listado!N:N,N2133)=0,"",INDEX(Listado!N:N,N2133)),IF(INDEX(Listado!I:I,N2133)=0,"",INDEX(Listado!I:I,N2133)))),"")</f>
        <v/>
      </c>
      <c r="P2133" s="17">
        <f t="shared" ca="1" si="100"/>
        <v/>
      </c>
      <c r="Q2133" s="17">
        <f>IFERROR(IF(AND(N2133&lt;&gt;"",ISNUMBER(O2133),O2133&gt;0,O2133&gt;=TODAY()-90),1,0),0)</f>
        <v/>
      </c>
      <c r="R2133" s="17" t="str">
        <f t="shared" si="102"/>
        <v/>
      </c>
      <c r="S2133" s="17" t="str">
        <f>IF(INDEX(Listado!A:A,ROW())="","",INDEX(Listado!A:A,ROW()))</f>
        <v/>
      </c>
      <c r="T2133" s="17" t="str">
        <f ca="1">IF(INDEX(Listado!G:G,ROW())="","",INDEX(Listado!G:G,ROW()))</f>
        <v/>
      </c>
      <c r="U2133" s="17" t="str">
        <f>IF(INDEX(Listado!F:F,ROW())="","",INDEX(Listado!F:F,ROW()))</f>
        <v/>
      </c>
      <c r="V2133" s="17">
        <f>IF(COUNTA(INDEX(Listado!B:B,ROW()):INDEX(Listado!F:F,ROW()))&gt;0,1,0)</f>
        <v/>
      </c>
      <c r="W2133" s="17" t="str">
        <f>IF(INDEX(Listado!L:L,ROW())="","",INDEX(Listado!L:L,ROW()))</f>
        <v/>
      </c>
      <c r="X2133" s="17">
        <f>IF(N2133="","",IF(INDEX(Listado!$M:$M,N2133)="No","No","Sí"))</f>
        <v/>
      </c>
    </row>
    <row r="2134" spans="2:24" ht="14.25">
      <c r="N2134" s="17" t="str">
        <f>IF(V2134=0,"",IFERROR(LOOKUP(2,1/(INDEX(Listado!A:A,2):INDEX(Listado!A:A,ROW())&lt;&gt;""),ROW(INDEX(Listado!A:A,2):INDEX(Listado!A:A,ROW()))),""))</f>
        <v/>
      </c>
      <c r="O2134" s="17" t="str">
        <f>IFERROR(IF(N2134="","",IF(INDEX(Listado!M:M,N2134)="No",IF(INDEX(Listado!N:N,N2134)=0,"",INDEX(Listado!N:N,N2134)),IF(INDEX(Listado!I:I,N2134)=0,"",INDEX(Listado!I:I,N2134)))),"")</f>
        <v/>
      </c>
      <c r="P2134" s="17">
        <f t="shared" ca="1" si="100"/>
        <v/>
      </c>
      <c r="Q2134" s="17">
        <f>IFERROR(IF(AND(N2134&lt;&gt;"",ISNUMBER(O2134),O2134&gt;0,O2134&gt;=TODAY()-90),1,0),0)</f>
        <v/>
      </c>
      <c r="R2134" s="17" t="str">
        <f t="shared" si="102"/>
        <v/>
      </c>
      <c r="S2134" s="17" t="str">
        <f>IF(INDEX(Listado!A:A,ROW())="","",INDEX(Listado!A:A,ROW()))</f>
        <v/>
      </c>
      <c r="T2134" s="17" t="str">
        <f ca="1">IF(INDEX(Listado!G:G,ROW())="","",INDEX(Listado!G:G,ROW()))</f>
        <v/>
      </c>
      <c r="U2134" s="17" t="str">
        <f>IF(INDEX(Listado!F:F,ROW())="","",INDEX(Listado!F:F,ROW()))</f>
        <v/>
      </c>
      <c r="V2134" s="17">
        <f>IF(COUNTA(INDEX(Listado!B:B,ROW()):INDEX(Listado!F:F,ROW()))&gt;0,1,0)</f>
        <v/>
      </c>
      <c r="W2134" s="17" t="str">
        <f>IF(INDEX(Listado!L:L,ROW())="","",INDEX(Listado!L:L,ROW()))</f>
        <v/>
      </c>
      <c r="X2134" s="17">
        <f>IF(N2134="","",IF(INDEX(Listado!$M:$M,N2134)="No","No","Sí"))</f>
        <v/>
      </c>
    </row>
    <row r="2135" spans="2:24" ht="14.25">
      <c r="N2135" s="17" t="str">
        <f>IF(V2135=0,"",IFERROR(LOOKUP(2,1/(INDEX(Listado!A:A,2):INDEX(Listado!A:A,ROW())&lt;&gt;""),ROW(INDEX(Listado!A:A,2):INDEX(Listado!A:A,ROW()))),""))</f>
        <v/>
      </c>
      <c r="O2135" s="17" t="str">
        <f>IFERROR(IF(N2135="","",IF(INDEX(Listado!M:M,N2135)="No",IF(INDEX(Listado!N:N,N2135)=0,"",INDEX(Listado!N:N,N2135)),IF(INDEX(Listado!I:I,N2135)=0,"",INDEX(Listado!I:I,N2135)))),"")</f>
        <v/>
      </c>
      <c r="P2135" s="17">
        <f t="shared" ca="1" si="100"/>
        <v/>
      </c>
      <c r="Q2135" s="17">
        <f>IFERROR(IF(AND(N2135&lt;&gt;"",ISNUMBER(O2135),O2135&gt;0,O2135&gt;=TODAY()-90),1,0),0)</f>
        <v/>
      </c>
      <c r="R2135" s="17" t="str">
        <f t="shared" si="102"/>
        <v/>
      </c>
      <c r="S2135" s="17" t="str">
        <f>IF(INDEX(Listado!A:A,ROW())="","",INDEX(Listado!A:A,ROW()))</f>
        <v/>
      </c>
      <c r="T2135" s="17" t="str">
        <f ca="1">IF(INDEX(Listado!G:G,ROW())="","",INDEX(Listado!G:G,ROW()))</f>
        <v/>
      </c>
      <c r="U2135" s="17" t="str">
        <f>IF(INDEX(Listado!F:F,ROW())="","",INDEX(Listado!F:F,ROW()))</f>
        <v/>
      </c>
      <c r="V2135" s="17">
        <f>IF(COUNTA(INDEX(Listado!B:B,ROW()):INDEX(Listado!F:F,ROW()))&gt;0,1,0)</f>
        <v/>
      </c>
      <c r="W2135" s="17" t="str">
        <f>IF(INDEX(Listado!L:L,ROW())="","",INDEX(Listado!L:L,ROW()))</f>
        <v/>
      </c>
      <c r="X2135" s="17">
        <f>IF(N2135="","",IF(INDEX(Listado!$M:$M,N2135)="No","No","Sí"))</f>
        <v/>
      </c>
    </row>
    <row r="2136" spans="2:24" ht="14.25">
      <c r="N2136" s="17" t="str">
        <f>IF(V2136=0,"",IFERROR(LOOKUP(2,1/(INDEX(Listado!A:A,2):INDEX(Listado!A:A,ROW())&lt;&gt;""),ROW(INDEX(Listado!A:A,2):INDEX(Listado!A:A,ROW()))),""))</f>
        <v/>
      </c>
      <c r="O2136" s="17" t="str">
        <f>IFERROR(IF(N2136="","",IF(INDEX(Listado!M:M,N2136)="No",IF(INDEX(Listado!N:N,N2136)=0,"",INDEX(Listado!N:N,N2136)),IF(INDEX(Listado!I:I,N2136)=0,"",INDEX(Listado!I:I,N2136)))),"")</f>
        <v/>
      </c>
      <c r="P2136" s="17">
        <f t="shared" ca="1" si="100"/>
        <v/>
      </c>
      <c r="Q2136" s="17">
        <f>IFERROR(IF(AND(N2136&lt;&gt;"",ISNUMBER(O2136),O2136&gt;0,O2136&gt;=TODAY()-90),1,0),0)</f>
        <v/>
      </c>
      <c r="R2136" s="17" t="str">
        <f t="shared" si="102"/>
        <v/>
      </c>
      <c r="S2136" s="17" t="str">
        <f>IF(INDEX(Listado!A:A,ROW())="","",INDEX(Listado!A:A,ROW()))</f>
        <v/>
      </c>
      <c r="T2136" s="17" t="str">
        <f ca="1">IF(INDEX(Listado!G:G,ROW())="","",INDEX(Listado!G:G,ROW()))</f>
        <v/>
      </c>
      <c r="U2136" s="17" t="str">
        <f>IF(INDEX(Listado!F:F,ROW())="","",INDEX(Listado!F:F,ROW()))</f>
        <v/>
      </c>
      <c r="V2136" s="17">
        <f>IF(COUNTA(INDEX(Listado!B:B,ROW()):INDEX(Listado!F:F,ROW()))&gt;0,1,0)</f>
        <v/>
      </c>
      <c r="W2136" s="17" t="str">
        <f>IF(INDEX(Listado!L:L,ROW())="","",INDEX(Listado!L:L,ROW()))</f>
        <v/>
      </c>
      <c r="X2136" s="17">
        <f>IF(N2136="","",IF(INDEX(Listado!$M:$M,N2136)="No","No","Sí"))</f>
        <v/>
      </c>
    </row>
    <row r="2137" spans="2:24" ht="14.25">
      <c r="N2137" s="17" t="str">
        <f>IF(V2137=0,"",IFERROR(LOOKUP(2,1/(INDEX(Listado!A:A,2):INDEX(Listado!A:A,ROW())&lt;&gt;""),ROW(INDEX(Listado!A:A,2):INDEX(Listado!A:A,ROW()))),""))</f>
        <v/>
      </c>
      <c r="O2137" s="17" t="str">
        <f>IFERROR(IF(N2137="","",IF(INDEX(Listado!M:M,N2137)="No",IF(INDEX(Listado!N:N,N2137)=0,"",INDEX(Listado!N:N,N2137)),IF(INDEX(Listado!I:I,N2137)=0,"",INDEX(Listado!I:I,N2137)))),"")</f>
        <v/>
      </c>
      <c r="P2137" s="17">
        <f t="shared" ca="1" si="100"/>
        <v/>
      </c>
      <c r="Q2137" s="17">
        <f>IFERROR(IF(AND(N2137&lt;&gt;"",ISNUMBER(O2137),O2137&gt;0,O2137&gt;=TODAY()-90),1,0),0)</f>
        <v/>
      </c>
      <c r="R2137" s="17" t="str">
        <f t="shared" si="102"/>
        <v/>
      </c>
      <c r="S2137" s="17" t="str">
        <f>IF(INDEX(Listado!A:A,ROW())="","",INDEX(Listado!A:A,ROW()))</f>
        <v/>
      </c>
      <c r="T2137" s="17" t="str">
        <f ca="1">IF(INDEX(Listado!G:G,ROW())="","",INDEX(Listado!G:G,ROW()))</f>
        <v/>
      </c>
      <c r="U2137" s="17" t="str">
        <f>IF(INDEX(Listado!F:F,ROW())="","",INDEX(Listado!F:F,ROW()))</f>
        <v/>
      </c>
      <c r="V2137" s="17">
        <f>IF(COUNTA(INDEX(Listado!B:B,ROW()):INDEX(Listado!F:F,ROW()))&gt;0,1,0)</f>
        <v/>
      </c>
      <c r="W2137" s="17" t="str">
        <f>IF(INDEX(Listado!L:L,ROW())="","",INDEX(Listado!L:L,ROW()))</f>
        <v/>
      </c>
      <c r="X2137" s="17">
        <f>IF(N2137="","",IF(INDEX(Listado!$M:$M,N2137)="No","No","Sí"))</f>
        <v/>
      </c>
    </row>
    <row r="2138" spans="2:24" ht="14.25">
      <c r="N2138" s="17" t="str">
        <f>IF(V2138=0,"",IFERROR(LOOKUP(2,1/(INDEX(Listado!A:A,2):INDEX(Listado!A:A,ROW())&lt;&gt;""),ROW(INDEX(Listado!A:A,2):INDEX(Listado!A:A,ROW()))),""))</f>
        <v/>
      </c>
      <c r="O2138" s="17" t="str">
        <f>IFERROR(IF(N2138="","",IF(INDEX(Listado!M:M,N2138)="No",IF(INDEX(Listado!N:N,N2138)=0,"",INDEX(Listado!N:N,N2138)),IF(INDEX(Listado!I:I,N2138)=0,"",INDEX(Listado!I:I,N2138)))),"")</f>
        <v/>
      </c>
      <c r="P2138" s="17">
        <f t="shared" ca="1" si="100"/>
        <v/>
      </c>
      <c r="Q2138" s="17">
        <f>IFERROR(IF(AND(N2138&lt;&gt;"",ISNUMBER(O2138),O2138&gt;0,O2138&gt;=TODAY()-90),1,0),0)</f>
        <v/>
      </c>
      <c r="R2138" s="17" t="str">
        <f t="shared" si="102"/>
        <v/>
      </c>
      <c r="S2138" s="17" t="str">
        <f>IF(INDEX(Listado!A:A,ROW())="","",INDEX(Listado!A:A,ROW()))</f>
        <v/>
      </c>
      <c r="T2138" s="17" t="str">
        <f ca="1">IF(INDEX(Listado!G:G,ROW())="","",INDEX(Listado!G:G,ROW()))</f>
        <v/>
      </c>
      <c r="U2138" s="17" t="str">
        <f>IF(INDEX(Listado!F:F,ROW())="","",INDEX(Listado!F:F,ROW()))</f>
        <v/>
      </c>
      <c r="V2138" s="17">
        <f>IF(COUNTA(INDEX(Listado!B:B,ROW()):INDEX(Listado!F:F,ROW()))&gt;0,1,0)</f>
        <v/>
      </c>
      <c r="W2138" s="17" t="str">
        <f>IF(INDEX(Listado!L:L,ROW())="","",INDEX(Listado!L:L,ROW()))</f>
        <v/>
      </c>
      <c r="X2138" s="17">
        <f>IF(N2138="","",IF(INDEX(Listado!$M:$M,N2138)="No","No","Sí"))</f>
        <v/>
      </c>
    </row>
    <row r="2139" spans="2:24" ht="14.25">
      <c r="N2139" s="17" t="str">
        <f>IF(V2139=0,"",IFERROR(LOOKUP(2,1/(INDEX(Listado!A:A,2):INDEX(Listado!A:A,ROW())&lt;&gt;""),ROW(INDEX(Listado!A:A,2):INDEX(Listado!A:A,ROW()))),""))</f>
        <v/>
      </c>
      <c r="O2139" s="17" t="str">
        <f>IFERROR(IF(N2139="","",IF(INDEX(Listado!M:M,N2139)="No",IF(INDEX(Listado!N:N,N2139)=0,"",INDEX(Listado!N:N,N2139)),IF(INDEX(Listado!I:I,N2139)=0,"",INDEX(Listado!I:I,N2139)))),"")</f>
        <v/>
      </c>
      <c r="P2139" s="17">
        <f t="shared" ca="1" si="100"/>
        <v/>
      </c>
      <c r="Q2139" s="17">
        <f>IFERROR(IF(AND(N2139&lt;&gt;"",ISNUMBER(O2139),O2139&gt;0,O2139&gt;=TODAY()-90),1,0),0)</f>
        <v/>
      </c>
      <c r="R2139" s="17" t="str">
        <f t="shared" si="102"/>
        <v/>
      </c>
      <c r="S2139" s="17" t="str">
        <f>IF(INDEX(Listado!A:A,ROW())="","",INDEX(Listado!A:A,ROW()))</f>
        <v/>
      </c>
      <c r="T2139" s="17" t="str">
        <f ca="1">IF(INDEX(Listado!G:G,ROW())="","",INDEX(Listado!G:G,ROW()))</f>
        <v/>
      </c>
      <c r="U2139" s="17" t="str">
        <f>IF(INDEX(Listado!F:F,ROW())="","",INDEX(Listado!F:F,ROW()))</f>
        <v/>
      </c>
      <c r="V2139" s="17">
        <f>IF(COUNTA(INDEX(Listado!B:B,ROW()):INDEX(Listado!F:F,ROW()))&gt;0,1,0)</f>
        <v/>
      </c>
      <c r="W2139" s="17" t="str">
        <f>IF(INDEX(Listado!L:L,ROW())="","",INDEX(Listado!L:L,ROW()))</f>
        <v/>
      </c>
      <c r="X2139" s="17">
        <f>IF(N2139="","",IF(INDEX(Listado!$M:$M,N2139)="No","No","Sí"))</f>
        <v/>
      </c>
    </row>
    <row r="2140" spans="2:24" ht="14.25">
      <c r="N2140" s="17" t="str">
        <f>IF(V2140=0,"",IFERROR(LOOKUP(2,1/(INDEX(Listado!A:A,2):INDEX(Listado!A:A,ROW())&lt;&gt;""),ROW(INDEX(Listado!A:A,2):INDEX(Listado!A:A,ROW()))),""))</f>
        <v/>
      </c>
      <c r="O2140" s="17" t="str">
        <f>IFERROR(IF(N2140="","",IF(INDEX(Listado!M:M,N2140)="No",IF(INDEX(Listado!N:N,N2140)=0,"",INDEX(Listado!N:N,N2140)),IF(INDEX(Listado!I:I,N2140)=0,"",INDEX(Listado!I:I,N2140)))),"")</f>
        <v/>
      </c>
      <c r="P2140" s="17">
        <f t="shared" ca="1" si="100"/>
        <v/>
      </c>
      <c r="Q2140" s="17">
        <f>IFERROR(IF(AND(N2140&lt;&gt;"",ISNUMBER(O2140),O2140&gt;0,O2140&gt;=TODAY()-90),1,0),0)</f>
        <v/>
      </c>
      <c r="R2140" s="17" t="str">
        <f t="shared" si="102"/>
        <v/>
      </c>
      <c r="S2140" s="17" t="str">
        <f>IF(INDEX(Listado!A:A,ROW())="","",INDEX(Listado!A:A,ROW()))</f>
        <v/>
      </c>
      <c r="T2140" s="17" t="str">
        <f ca="1">IF(INDEX(Listado!G:G,ROW())="","",INDEX(Listado!G:G,ROW()))</f>
        <v/>
      </c>
      <c r="U2140" s="17" t="str">
        <f>IF(INDEX(Listado!F:F,ROW())="","",INDEX(Listado!F:F,ROW()))</f>
        <v/>
      </c>
      <c r="V2140" s="17">
        <f>IF(COUNTA(INDEX(Listado!B:B,ROW()):INDEX(Listado!F:F,ROW()))&gt;0,1,0)</f>
        <v/>
      </c>
      <c r="W2140" s="17" t="str">
        <f>IF(INDEX(Listado!L:L,ROW())="","",INDEX(Listado!L:L,ROW()))</f>
        <v/>
      </c>
      <c r="X2140" s="17">
        <f>IF(N2140="","",IF(INDEX(Listado!$M:$M,N2140)="No","No","Sí"))</f>
        <v/>
      </c>
    </row>
    <row r="2141" spans="2:24" ht="14.25">
      <c r="N2141" s="17" t="str">
        <f>IF(V2141=0,"",IFERROR(LOOKUP(2,1/(INDEX(Listado!A:A,2):INDEX(Listado!A:A,ROW())&lt;&gt;""),ROW(INDEX(Listado!A:A,2):INDEX(Listado!A:A,ROW()))),""))</f>
        <v/>
      </c>
      <c r="O2141" s="17" t="str">
        <f>IFERROR(IF(N2141="","",IF(INDEX(Listado!M:M,N2141)="No",IF(INDEX(Listado!N:N,N2141)=0,"",INDEX(Listado!N:N,N2141)),IF(INDEX(Listado!I:I,N2141)=0,"",INDEX(Listado!I:I,N2141)))),"")</f>
        <v/>
      </c>
      <c r="P2141" s="17">
        <f t="shared" ca="1" si="100"/>
        <v/>
      </c>
      <c r="Q2141" s="17">
        <f>IFERROR(IF(AND(N2141&lt;&gt;"",ISNUMBER(O2141),O2141&gt;0,O2141&gt;=TODAY()-90),1,0),0)</f>
        <v/>
      </c>
      <c r="R2141" s="17" t="str">
        <f t="shared" si="102"/>
        <v/>
      </c>
      <c r="S2141" s="17" t="str">
        <f>IF(INDEX(Listado!A:A,ROW())="","",INDEX(Listado!A:A,ROW()))</f>
        <v/>
      </c>
      <c r="T2141" s="17" t="str">
        <f ca="1">IF(INDEX(Listado!G:G,ROW())="","",INDEX(Listado!G:G,ROW()))</f>
        <v/>
      </c>
      <c r="U2141" s="17" t="str">
        <f>IF(INDEX(Listado!F:F,ROW())="","",INDEX(Listado!F:F,ROW()))</f>
        <v/>
      </c>
      <c r="V2141" s="17">
        <f>IF(COUNTA(INDEX(Listado!B:B,ROW()):INDEX(Listado!F:F,ROW()))&gt;0,1,0)</f>
        <v/>
      </c>
      <c r="W2141" s="17" t="str">
        <f>IF(INDEX(Listado!L:L,ROW())="","",INDEX(Listado!L:L,ROW()))</f>
        <v/>
      </c>
      <c r="X2141" s="17">
        <f>IF(N2141="","",IF(INDEX(Listado!$M:$M,N2141)="No","No","Sí"))</f>
        <v/>
      </c>
    </row>
    <row r="2142" spans="2:24" ht="14.25">
      <c r="N2142" s="17" t="str">
        <f>IF(V2142=0,"",IFERROR(LOOKUP(2,1/(INDEX(Listado!A:A,2):INDEX(Listado!A:A,ROW())&lt;&gt;""),ROW(INDEX(Listado!A:A,2):INDEX(Listado!A:A,ROW()))),""))</f>
        <v/>
      </c>
      <c r="O2142" s="17" t="str">
        <f>IFERROR(IF(N2142="","",IF(INDEX(Listado!M:M,N2142)="No",IF(INDEX(Listado!N:N,N2142)=0,"",INDEX(Listado!N:N,N2142)),IF(INDEX(Listado!I:I,N2142)=0,"",INDEX(Listado!I:I,N2142)))),"")</f>
        <v/>
      </c>
      <c r="P2142" s="17">
        <f t="shared" ca="1" si="100"/>
        <v/>
      </c>
      <c r="Q2142" s="17">
        <f>IFERROR(IF(AND(N2142&lt;&gt;"",ISNUMBER(O2142),O2142&gt;0,O2142&gt;=TODAY()-90),1,0),0)</f>
        <v/>
      </c>
      <c r="R2142" s="17" t="str">
        <f t="shared" si="102"/>
        <v/>
      </c>
      <c r="S2142" s="17" t="str">
        <f>IF(INDEX(Listado!A:A,ROW())="","",INDEX(Listado!A:A,ROW()))</f>
        <v/>
      </c>
      <c r="T2142" s="17" t="str">
        <f ca="1">IF(INDEX(Listado!G:G,ROW())="","",INDEX(Listado!G:G,ROW()))</f>
        <v/>
      </c>
      <c r="U2142" s="17" t="str">
        <f>IF(INDEX(Listado!F:F,ROW())="","",INDEX(Listado!F:F,ROW()))</f>
        <v/>
      </c>
      <c r="V2142" s="17">
        <f>IF(COUNTA(INDEX(Listado!B:B,ROW()):INDEX(Listado!F:F,ROW()))&gt;0,1,0)</f>
        <v/>
      </c>
      <c r="W2142" s="17" t="str">
        <f>IF(INDEX(Listado!L:L,ROW())="","",INDEX(Listado!L:L,ROW()))</f>
        <v/>
      </c>
      <c r="X2142" s="17">
        <f>IF(N2142="","",IF(INDEX(Listado!$M:$M,N2142)="No","No","Sí"))</f>
        <v/>
      </c>
    </row>
    <row r="2143" spans="2:24" ht="14.25">
      <c r="N2143" s="17" t="str">
        <f>IF(V2143=0,"",IFERROR(LOOKUP(2,1/(INDEX(Listado!A:A,2):INDEX(Listado!A:A,ROW())&lt;&gt;""),ROW(INDEX(Listado!A:A,2):INDEX(Listado!A:A,ROW()))),""))</f>
        <v/>
      </c>
      <c r="O2143" s="17" t="str">
        <f>IFERROR(IF(N2143="","",IF(INDEX(Listado!M:M,N2143)="No",IF(INDEX(Listado!N:N,N2143)=0,"",INDEX(Listado!N:N,N2143)),IF(INDEX(Listado!I:I,N2143)=0,"",INDEX(Listado!I:I,N2143)))),"")</f>
        <v/>
      </c>
      <c r="P2143" s="17">
        <f t="shared" ca="1" si="100"/>
        <v/>
      </c>
      <c r="Q2143" s="17">
        <f>IFERROR(IF(AND(N2143&lt;&gt;"",ISNUMBER(O2143),O2143&gt;0,O2143&gt;=TODAY()-90),1,0),0)</f>
        <v/>
      </c>
      <c r="R2143" s="17" t="str">
        <f t="shared" si="102"/>
        <v/>
      </c>
      <c r="S2143" s="17" t="str">
        <f>IF(INDEX(Listado!A:A,ROW())="","",INDEX(Listado!A:A,ROW()))</f>
        <v/>
      </c>
      <c r="T2143" s="17" t="str">
        <f ca="1">IF(INDEX(Listado!G:G,ROW())="","",INDEX(Listado!G:G,ROW()))</f>
        <v/>
      </c>
      <c r="U2143" s="17" t="str">
        <f>IF(INDEX(Listado!F:F,ROW())="","",INDEX(Listado!F:F,ROW()))</f>
        <v/>
      </c>
      <c r="V2143" s="17">
        <f>IF(COUNTA(INDEX(Listado!B:B,ROW()):INDEX(Listado!F:F,ROW()))&gt;0,1,0)</f>
        <v/>
      </c>
      <c r="W2143" s="17" t="str">
        <f>IF(INDEX(Listado!L:L,ROW())="","",INDEX(Listado!L:L,ROW()))</f>
        <v/>
      </c>
      <c r="X2143" s="17">
        <f>IF(N2143="","",IF(INDEX(Listado!$M:$M,N2143)="No","No","Sí"))</f>
        <v/>
      </c>
    </row>
    <row r="2144" spans="2:24" ht="14.25">
      <c r="N2144" s="17" t="str">
        <f>IF(V2144=0,"",IFERROR(LOOKUP(2,1/(INDEX(Listado!A:A,2):INDEX(Listado!A:A,ROW())&lt;&gt;""),ROW(INDEX(Listado!A:A,2):INDEX(Listado!A:A,ROW()))),""))</f>
        <v/>
      </c>
      <c r="O2144" s="17" t="str">
        <f>IFERROR(IF(N2144="","",IF(INDEX(Listado!M:M,N2144)="No",IF(INDEX(Listado!N:N,N2144)=0,"",INDEX(Listado!N:N,N2144)),IF(INDEX(Listado!I:I,N2144)=0,"",INDEX(Listado!I:I,N2144)))),"")</f>
        <v/>
      </c>
      <c r="P2144" s="17">
        <f t="shared" ca="1" si="100"/>
        <v/>
      </c>
      <c r="Q2144" s="17">
        <f>IFERROR(IF(AND(N2144&lt;&gt;"",ISNUMBER(O2144),O2144&gt;0,O2144&gt;=TODAY()-90),1,0),0)</f>
        <v/>
      </c>
      <c r="R2144" s="17" t="str">
        <f t="shared" si="102"/>
        <v/>
      </c>
      <c r="S2144" s="17" t="str">
        <f>IF(INDEX(Listado!A:A,ROW())="","",INDEX(Listado!A:A,ROW()))</f>
        <v/>
      </c>
      <c r="T2144" s="17" t="str">
        <f ca="1">IF(INDEX(Listado!G:G,ROW())="","",INDEX(Listado!G:G,ROW()))</f>
        <v/>
      </c>
      <c r="U2144" s="17" t="str">
        <f>IF(INDEX(Listado!F:F,ROW())="","",INDEX(Listado!F:F,ROW()))</f>
        <v/>
      </c>
      <c r="V2144" s="17">
        <f>IF(COUNTA(INDEX(Listado!B:B,ROW()):INDEX(Listado!F:F,ROW()))&gt;0,1,0)</f>
        <v/>
      </c>
      <c r="W2144" s="17" t="str">
        <f>IF(INDEX(Listado!L:L,ROW())="","",INDEX(Listado!L:L,ROW()))</f>
        <v/>
      </c>
      <c r="X2144" s="17">
        <f>IF(N2144="","",IF(INDEX(Listado!$M:$M,N2144)="No","No","Sí"))</f>
        <v/>
      </c>
    </row>
    <row r="2145" spans="2:24" ht="14.25">
      <c r="N2145" s="17" t="str">
        <f>IF(V2145=0,"",IFERROR(LOOKUP(2,1/(INDEX(Listado!A:A,2):INDEX(Listado!A:A,ROW())&lt;&gt;""),ROW(INDEX(Listado!A:A,2):INDEX(Listado!A:A,ROW()))),""))</f>
        <v/>
      </c>
      <c r="O2145" s="17" t="str">
        <f>IFERROR(IF(N2145="","",IF(INDEX(Listado!M:M,N2145)="No",IF(INDEX(Listado!N:N,N2145)=0,"",INDEX(Listado!N:N,N2145)),IF(INDEX(Listado!I:I,N2145)=0,"",INDEX(Listado!I:I,N2145)))),"")</f>
        <v/>
      </c>
      <c r="P2145" s="17">
        <f t="shared" ca="1" si="100"/>
        <v/>
      </c>
      <c r="Q2145" s="17">
        <f>IFERROR(IF(AND(N2145&lt;&gt;"",ISNUMBER(O2145),O2145&gt;0,O2145&gt;=TODAY()-90),1,0),0)</f>
        <v/>
      </c>
      <c r="R2145" s="17" t="str">
        <f t="shared" si="102"/>
        <v/>
      </c>
      <c r="S2145" s="17" t="str">
        <f>IF(INDEX(Listado!A:A,ROW())="","",INDEX(Listado!A:A,ROW()))</f>
        <v/>
      </c>
      <c r="T2145" s="17" t="str">
        <f ca="1">IF(INDEX(Listado!G:G,ROW())="","",INDEX(Listado!G:G,ROW()))</f>
        <v/>
      </c>
      <c r="U2145" s="17" t="str">
        <f>IF(INDEX(Listado!F:F,ROW())="","",INDEX(Listado!F:F,ROW()))</f>
        <v/>
      </c>
      <c r="V2145" s="17">
        <f>IF(COUNTA(INDEX(Listado!B:B,ROW()):INDEX(Listado!F:F,ROW()))&gt;0,1,0)</f>
        <v/>
      </c>
      <c r="W2145" s="17" t="str">
        <f>IF(INDEX(Listado!L:L,ROW())="","",INDEX(Listado!L:L,ROW()))</f>
        <v/>
      </c>
      <c r="X2145" s="17">
        <f>IF(N2145="","",IF(INDEX(Listado!$M:$M,N2145)="No","No","Sí"))</f>
        <v/>
      </c>
    </row>
    <row r="2146" spans="2:24" ht="14.25">
      <c r="N2146" s="17" t="str">
        <f>IF(V2146=0,"",IFERROR(LOOKUP(2,1/(INDEX(Listado!A:A,2):INDEX(Listado!A:A,ROW())&lt;&gt;""),ROW(INDEX(Listado!A:A,2):INDEX(Listado!A:A,ROW()))),""))</f>
        <v/>
      </c>
      <c r="O2146" s="17" t="str">
        <f>IFERROR(IF(N2146="","",IF(INDEX(Listado!M:M,N2146)="No",IF(INDEX(Listado!N:N,N2146)=0,"",INDEX(Listado!N:N,N2146)),IF(INDEX(Listado!I:I,N2146)=0,"",INDEX(Listado!I:I,N2146)))),"")</f>
        <v/>
      </c>
      <c r="P2146" s="17">
        <f t="shared" ca="1" si="100"/>
        <v/>
      </c>
      <c r="Q2146" s="17">
        <f>IFERROR(IF(AND(N2146&lt;&gt;"",ISNUMBER(O2146),O2146&gt;0,O2146&gt;=TODAY()-90),1,0),0)</f>
        <v/>
      </c>
      <c r="R2146" s="17" t="str">
        <f t="shared" si="102"/>
        <v/>
      </c>
      <c r="S2146" s="17" t="str">
        <f>IF(INDEX(Listado!A:A,ROW())="","",INDEX(Listado!A:A,ROW()))</f>
        <v/>
      </c>
      <c r="T2146" s="17" t="str">
        <f ca="1">IF(INDEX(Listado!G:G,ROW())="","",INDEX(Listado!G:G,ROW()))</f>
        <v/>
      </c>
      <c r="U2146" s="17" t="str">
        <f>IF(INDEX(Listado!F:F,ROW())="","",INDEX(Listado!F:F,ROW()))</f>
        <v/>
      </c>
      <c r="V2146" s="17">
        <f>IF(COUNTA(INDEX(Listado!B:B,ROW()):INDEX(Listado!F:F,ROW()))&gt;0,1,0)</f>
        <v/>
      </c>
      <c r="W2146" s="17" t="str">
        <f>IF(INDEX(Listado!L:L,ROW())="","",INDEX(Listado!L:L,ROW()))</f>
        <v/>
      </c>
      <c r="X2146" s="17">
        <f>IF(N2146="","",IF(INDEX(Listado!$M:$M,N2146)="No","No","Sí"))</f>
        <v/>
      </c>
    </row>
    <row r="2147" spans="2:24" ht="14.25">
      <c r="N2147" s="17" t="str">
        <f>IF(V2147=0,"",IFERROR(LOOKUP(2,1/(INDEX(Listado!A:A,2):INDEX(Listado!A:A,ROW())&lt;&gt;""),ROW(INDEX(Listado!A:A,2):INDEX(Listado!A:A,ROW()))),""))</f>
        <v/>
      </c>
      <c r="O2147" s="17" t="str">
        <f>IFERROR(IF(N2147="","",IF(INDEX(Listado!M:M,N2147)="No",IF(INDEX(Listado!N:N,N2147)=0,"",INDEX(Listado!N:N,N2147)),IF(INDEX(Listado!I:I,N2147)=0,"",INDEX(Listado!I:I,N2147)))),"")</f>
        <v/>
      </c>
      <c r="P2147" s="17">
        <f t="shared" ca="1" si="100"/>
        <v/>
      </c>
      <c r="Q2147" s="17">
        <f>IFERROR(IF(AND(N2147&lt;&gt;"",ISNUMBER(O2147),O2147&gt;0,O2147&gt;=TODAY()-90),1,0),0)</f>
        <v/>
      </c>
      <c r="R2147" s="17" t="str">
        <f t="shared" si="102"/>
        <v/>
      </c>
      <c r="S2147" s="17" t="str">
        <f>IF(INDEX(Listado!A:A,ROW())="","",INDEX(Listado!A:A,ROW()))</f>
        <v/>
      </c>
      <c r="T2147" s="17" t="str">
        <f ca="1">IF(INDEX(Listado!G:G,ROW())="","",INDEX(Listado!G:G,ROW()))</f>
        <v/>
      </c>
      <c r="U2147" s="17" t="str">
        <f>IF(INDEX(Listado!F:F,ROW())="","",INDEX(Listado!F:F,ROW()))</f>
        <v/>
      </c>
      <c r="V2147" s="17">
        <f>IF(COUNTA(INDEX(Listado!B:B,ROW()):INDEX(Listado!F:F,ROW()))&gt;0,1,0)</f>
        <v/>
      </c>
      <c r="W2147" s="17" t="str">
        <f>IF(INDEX(Listado!L:L,ROW())="","",INDEX(Listado!L:L,ROW()))</f>
        <v/>
      </c>
      <c r="X2147" s="17">
        <f>IF(N2147="","",IF(INDEX(Listado!$M:$M,N2147)="No","No","Sí"))</f>
        <v/>
      </c>
    </row>
    <row r="2148" spans="2:24" ht="14.25">
      <c r="N2148" s="17" t="str">
        <f>IF(V2148=0,"",IFERROR(LOOKUP(2,1/(INDEX(Listado!A:A,2):INDEX(Listado!A:A,ROW())&lt;&gt;""),ROW(INDEX(Listado!A:A,2):INDEX(Listado!A:A,ROW()))),""))</f>
        <v/>
      </c>
      <c r="O2148" s="17" t="str">
        <f>IFERROR(IF(N2148="","",IF(INDEX(Listado!M:M,N2148)="No",IF(INDEX(Listado!N:N,N2148)=0,"",INDEX(Listado!N:N,N2148)),IF(INDEX(Listado!I:I,N2148)=0,"",INDEX(Listado!I:I,N2148)))),"")</f>
        <v/>
      </c>
      <c r="P2148" s="17">
        <f t="shared" ca="1" si="100"/>
        <v/>
      </c>
      <c r="Q2148" s="17">
        <f>IFERROR(IF(AND(N2148&lt;&gt;"",ISNUMBER(O2148),O2148&gt;0,O2148&gt;=TODAY()-90),1,0),0)</f>
        <v/>
      </c>
      <c r="R2148" s="17" t="str">
        <f t="shared" si="102"/>
        <v/>
      </c>
      <c r="S2148" s="17" t="str">
        <f>IF(INDEX(Listado!A:A,ROW())="","",INDEX(Listado!A:A,ROW()))</f>
        <v/>
      </c>
      <c r="T2148" s="17" t="str">
        <f ca="1">IF(INDEX(Listado!G:G,ROW())="","",INDEX(Listado!G:G,ROW()))</f>
        <v/>
      </c>
      <c r="U2148" s="17" t="str">
        <f>IF(INDEX(Listado!F:F,ROW())="","",INDEX(Listado!F:F,ROW()))</f>
        <v/>
      </c>
      <c r="V2148" s="17">
        <f>IF(COUNTA(INDEX(Listado!B:B,ROW()):INDEX(Listado!F:F,ROW()))&gt;0,1,0)</f>
        <v/>
      </c>
      <c r="W2148" s="17" t="str">
        <f>IF(INDEX(Listado!L:L,ROW())="","",INDEX(Listado!L:L,ROW()))</f>
        <v/>
      </c>
      <c r="X2148" s="17">
        <f>IF(N2148="","",IF(INDEX(Listado!$M:$M,N2148)="No","No","Sí"))</f>
        <v/>
      </c>
    </row>
    <row r="2149" spans="2:24" ht="14.25">
      <c r="N2149" s="17" t="str">
        <f>IF(V2149=0,"",IFERROR(LOOKUP(2,1/(INDEX(Listado!A:A,2):INDEX(Listado!A:A,ROW())&lt;&gt;""),ROW(INDEX(Listado!A:A,2):INDEX(Listado!A:A,ROW()))),""))</f>
        <v/>
      </c>
      <c r="O2149" s="17" t="str">
        <f>IFERROR(IF(N2149="","",IF(INDEX(Listado!M:M,N2149)="No",IF(INDEX(Listado!N:N,N2149)=0,"",INDEX(Listado!N:N,N2149)),IF(INDEX(Listado!I:I,N2149)=0,"",INDEX(Listado!I:I,N2149)))),"")</f>
        <v/>
      </c>
      <c r="P2149" s="17">
        <f t="shared" ca="1" si="100"/>
        <v/>
      </c>
      <c r="Q2149" s="17">
        <f>IFERROR(IF(AND(N2149&lt;&gt;"",ISNUMBER(O2149),O2149&gt;0,O2149&gt;=TODAY()-90),1,0),0)</f>
        <v/>
      </c>
      <c r="R2149" s="17" t="str">
        <f t="shared" si="102"/>
        <v/>
      </c>
      <c r="S2149" s="17" t="str">
        <f>IF(INDEX(Listado!A:A,ROW())="","",INDEX(Listado!A:A,ROW()))</f>
        <v/>
      </c>
      <c r="T2149" s="17" t="str">
        <f ca="1">IF(INDEX(Listado!G:G,ROW())="","",INDEX(Listado!G:G,ROW()))</f>
        <v/>
      </c>
      <c r="U2149" s="17" t="str">
        <f>IF(INDEX(Listado!F:F,ROW())="","",INDEX(Listado!F:F,ROW()))</f>
        <v/>
      </c>
      <c r="V2149" s="17">
        <f>IF(COUNTA(INDEX(Listado!B:B,ROW()):INDEX(Listado!F:F,ROW()))&gt;0,1,0)</f>
        <v/>
      </c>
      <c r="W2149" s="17" t="str">
        <f>IF(INDEX(Listado!L:L,ROW())="","",INDEX(Listado!L:L,ROW()))</f>
        <v/>
      </c>
      <c r="X2149" s="17">
        <f>IF(N2149="","",IF(INDEX(Listado!$M:$M,N2149)="No","No","Sí"))</f>
        <v/>
      </c>
    </row>
    <row r="2150" spans="2:24" ht="14.25">
      <c r="N2150" s="17" t="str">
        <f>IF(V2150=0,"",IFERROR(LOOKUP(2,1/(INDEX(Listado!A:A,2):INDEX(Listado!A:A,ROW())&lt;&gt;""),ROW(INDEX(Listado!A:A,2):INDEX(Listado!A:A,ROW()))),""))</f>
        <v/>
      </c>
      <c r="O2150" s="17" t="str">
        <f>IFERROR(IF(N2150="","",IF(INDEX(Listado!M:M,N2150)="No",IF(INDEX(Listado!N:N,N2150)=0,"",INDEX(Listado!N:N,N2150)),IF(INDEX(Listado!I:I,N2150)=0,"",INDEX(Listado!I:I,N2150)))),"")</f>
        <v/>
      </c>
      <c r="P2150" s="17">
        <f t="shared" ca="1" si="100"/>
        <v/>
      </c>
      <c r="Q2150" s="17">
        <f>IFERROR(IF(AND(N2150&lt;&gt;"",ISNUMBER(O2150),O2150&gt;0,O2150&gt;=TODAY()-90),1,0),0)</f>
        <v/>
      </c>
      <c r="R2150" s="17" t="str">
        <f t="shared" si="102"/>
        <v/>
      </c>
      <c r="S2150" s="17" t="str">
        <f>IF(INDEX(Listado!A:A,ROW())="","",INDEX(Listado!A:A,ROW()))</f>
        <v/>
      </c>
      <c r="T2150" s="17" t="str">
        <f ca="1">IF(INDEX(Listado!G:G,ROW())="","",INDEX(Listado!G:G,ROW()))</f>
        <v/>
      </c>
      <c r="U2150" s="17" t="str">
        <f>IF(INDEX(Listado!F:F,ROW())="","",INDEX(Listado!F:F,ROW()))</f>
        <v/>
      </c>
      <c r="V2150" s="17">
        <f>IF(COUNTA(INDEX(Listado!B:B,ROW()):INDEX(Listado!F:F,ROW()))&gt;0,1,0)</f>
        <v/>
      </c>
      <c r="W2150" s="17" t="str">
        <f>IF(INDEX(Listado!L:L,ROW())="","",INDEX(Listado!L:L,ROW()))</f>
        <v/>
      </c>
      <c r="X2150" s="17">
        <f>IF(N2150="","",IF(INDEX(Listado!$M:$M,N2150)="No","No","Sí"))</f>
        <v/>
      </c>
    </row>
    <row r="2151" spans="2:24" ht="14.25">
      <c r="N2151" s="17" t="str">
        <f>IF(V2151=0,"",IFERROR(LOOKUP(2,1/(INDEX(Listado!A:A,2):INDEX(Listado!A:A,ROW())&lt;&gt;""),ROW(INDEX(Listado!A:A,2):INDEX(Listado!A:A,ROW()))),""))</f>
        <v/>
      </c>
      <c r="O2151" s="17" t="str">
        <f>IFERROR(IF(N2151="","",IF(INDEX(Listado!M:M,N2151)="No",IF(INDEX(Listado!N:N,N2151)=0,"",INDEX(Listado!N:N,N2151)),IF(INDEX(Listado!I:I,N2151)=0,"",INDEX(Listado!I:I,N2151)))),"")</f>
        <v/>
      </c>
      <c r="P2151" s="17">
        <f t="shared" ca="1" si="100"/>
        <v/>
      </c>
      <c r="Q2151" s="17">
        <f>IFERROR(IF(AND(N2151&lt;&gt;"",ISNUMBER(O2151),O2151&gt;0,O2151&gt;=TODAY()-90),1,0),0)</f>
        <v/>
      </c>
      <c r="R2151" s="17" t="str">
        <f t="shared" si="102"/>
        <v/>
      </c>
      <c r="S2151" s="17" t="str">
        <f>IF(INDEX(Listado!A:A,ROW())="","",INDEX(Listado!A:A,ROW()))</f>
        <v/>
      </c>
      <c r="T2151" s="17" t="str">
        <f ca="1">IF(INDEX(Listado!G:G,ROW())="","",INDEX(Listado!G:G,ROW()))</f>
        <v/>
      </c>
      <c r="U2151" s="17" t="str">
        <f>IF(INDEX(Listado!F:F,ROW())="","",INDEX(Listado!F:F,ROW()))</f>
        <v/>
      </c>
      <c r="V2151" s="17">
        <f>IF(COUNTA(INDEX(Listado!B:B,ROW()):INDEX(Listado!F:F,ROW()))&gt;0,1,0)</f>
        <v/>
      </c>
      <c r="W2151" s="17" t="str">
        <f>IF(INDEX(Listado!L:L,ROW())="","",INDEX(Listado!L:L,ROW()))</f>
        <v/>
      </c>
      <c r="X2151" s="17">
        <f>IF(N2151="","",IF(INDEX(Listado!$M:$M,N2151)="No","No","Sí"))</f>
        <v/>
      </c>
    </row>
    <row r="2152" spans="2:24" ht="14.25">
      <c r="N2152" s="17" t="str">
        <f>IF(V2152=0,"",IFERROR(LOOKUP(2,1/(INDEX(Listado!A:A,2):INDEX(Listado!A:A,ROW())&lt;&gt;""),ROW(INDEX(Listado!A:A,2):INDEX(Listado!A:A,ROW()))),""))</f>
        <v/>
      </c>
      <c r="O2152" s="17" t="str">
        <f>IFERROR(IF(N2152="","",IF(INDEX(Listado!M:M,N2152)="No",IF(INDEX(Listado!N:N,N2152)=0,"",INDEX(Listado!N:N,N2152)),IF(INDEX(Listado!I:I,N2152)=0,"",INDEX(Listado!I:I,N2152)))),"")</f>
        <v/>
      </c>
      <c r="P2152" s="17">
        <f t="shared" ca="1" si="100"/>
        <v/>
      </c>
      <c r="Q2152" s="17">
        <f>IFERROR(IF(AND(N2152&lt;&gt;"",ISNUMBER(O2152),O2152&gt;0,O2152&gt;=TODAY()-90),1,0),0)</f>
        <v/>
      </c>
      <c r="R2152" s="17" t="str">
        <f t="shared" si="102"/>
        <v/>
      </c>
      <c r="S2152" s="17" t="str">
        <f>IF(INDEX(Listado!A:A,ROW())="","",INDEX(Listado!A:A,ROW()))</f>
        <v/>
      </c>
      <c r="T2152" s="17" t="str">
        <f ca="1">IF(INDEX(Listado!G:G,ROW())="","",INDEX(Listado!G:G,ROW()))</f>
        <v/>
      </c>
      <c r="U2152" s="17" t="str">
        <f>IF(INDEX(Listado!F:F,ROW())="","",INDEX(Listado!F:F,ROW()))</f>
        <v/>
      </c>
      <c r="V2152" s="17">
        <f>IF(COUNTA(INDEX(Listado!B:B,ROW()):INDEX(Listado!F:F,ROW()))&gt;0,1,0)</f>
        <v/>
      </c>
      <c r="W2152" s="17" t="str">
        <f>IF(INDEX(Listado!L:L,ROW())="","",INDEX(Listado!L:L,ROW()))</f>
        <v/>
      </c>
      <c r="X2152" s="17">
        <f>IF(N2152="","",IF(INDEX(Listado!$M:$M,N2152)="No","No","Sí"))</f>
        <v/>
      </c>
    </row>
    <row r="2153" spans="2:24" ht="14.25">
      <c r="N2153" s="17" t="str">
        <f>IF(V2153=0,"",IFERROR(LOOKUP(2,1/(INDEX(Listado!A:A,2):INDEX(Listado!A:A,ROW())&lt;&gt;""),ROW(INDEX(Listado!A:A,2):INDEX(Listado!A:A,ROW()))),""))</f>
        <v/>
      </c>
      <c r="O2153" s="17" t="str">
        <f>IFERROR(IF(N2153="","",IF(INDEX(Listado!M:M,N2153)="No",IF(INDEX(Listado!N:N,N2153)=0,"",INDEX(Listado!N:N,N2153)),IF(INDEX(Listado!I:I,N2153)=0,"",INDEX(Listado!I:I,N2153)))),"")</f>
        <v/>
      </c>
      <c r="P2153" s="17">
        <f t="shared" ca="1" si="100"/>
        <v/>
      </c>
      <c r="Q2153" s="17">
        <f>IFERROR(IF(AND(N2153&lt;&gt;"",ISNUMBER(O2153),O2153&gt;0,O2153&gt;=TODAY()-90),1,0),0)</f>
        <v/>
      </c>
      <c r="R2153" s="17" t="str">
        <f t="shared" si="102"/>
        <v/>
      </c>
      <c r="S2153" s="17" t="str">
        <f>IF(INDEX(Listado!A:A,ROW())="","",INDEX(Listado!A:A,ROW()))</f>
        <v/>
      </c>
      <c r="T2153" s="17" t="str">
        <f ca="1">IF(INDEX(Listado!G:G,ROW())="","",INDEX(Listado!G:G,ROW()))</f>
        <v/>
      </c>
      <c r="U2153" s="17" t="str">
        <f>IF(INDEX(Listado!F:F,ROW())="","",INDEX(Listado!F:F,ROW()))</f>
        <v/>
      </c>
      <c r="V2153" s="17">
        <f>IF(COUNTA(INDEX(Listado!B:B,ROW()):INDEX(Listado!F:F,ROW()))&gt;0,1,0)</f>
        <v/>
      </c>
      <c r="W2153" s="17" t="str">
        <f>IF(INDEX(Listado!L:L,ROW())="","",INDEX(Listado!L:L,ROW()))</f>
        <v/>
      </c>
      <c r="X2153" s="17">
        <f>IF(N2153="","",IF(INDEX(Listado!$M:$M,N2153)="No","No","Sí"))</f>
        <v/>
      </c>
    </row>
    <row r="2154" spans="2:24" ht="14.25">
      <c r="N2154" s="17" t="str">
        <f>IF(V2154=0,"",IFERROR(LOOKUP(2,1/(INDEX(Listado!A:A,2):INDEX(Listado!A:A,ROW())&lt;&gt;""),ROW(INDEX(Listado!A:A,2):INDEX(Listado!A:A,ROW()))),""))</f>
        <v/>
      </c>
      <c r="O2154" s="17" t="str">
        <f>IFERROR(IF(N2154="","",IF(INDEX(Listado!M:M,N2154)="No",IF(INDEX(Listado!N:N,N2154)=0,"",INDEX(Listado!N:N,N2154)),IF(INDEX(Listado!I:I,N2154)=0,"",INDEX(Listado!I:I,N2154)))),"")</f>
        <v/>
      </c>
      <c r="P2154" s="17">
        <f t="shared" ca="1" si="100"/>
        <v/>
      </c>
      <c r="Q2154" s="17">
        <f>IFERROR(IF(AND(N2154&lt;&gt;"",ISNUMBER(O2154),O2154&gt;0,O2154&gt;=TODAY()-90),1,0),0)</f>
        <v/>
      </c>
      <c r="R2154" s="17" t="str">
        <f t="shared" si="102"/>
        <v/>
      </c>
      <c r="S2154" s="17" t="str">
        <f>IF(INDEX(Listado!A:A,ROW())="","",INDEX(Listado!A:A,ROW()))</f>
        <v/>
      </c>
      <c r="T2154" s="17" t="str">
        <f ca="1">IF(INDEX(Listado!G:G,ROW())="","",INDEX(Listado!G:G,ROW()))</f>
        <v/>
      </c>
      <c r="U2154" s="17" t="str">
        <f>IF(INDEX(Listado!F:F,ROW())="","",INDEX(Listado!F:F,ROW()))</f>
        <v/>
      </c>
      <c r="V2154" s="17">
        <f>IF(COUNTA(INDEX(Listado!B:B,ROW()):INDEX(Listado!F:F,ROW()))&gt;0,1,0)</f>
        <v/>
      </c>
      <c r="W2154" s="17" t="str">
        <f>IF(INDEX(Listado!L:L,ROW())="","",INDEX(Listado!L:L,ROW()))</f>
        <v/>
      </c>
      <c r="X2154" s="17">
        <f>IF(N2154="","",IF(INDEX(Listado!$M:$M,N2154)="No","No","Sí"))</f>
        <v/>
      </c>
    </row>
    <row r="2155" spans="2:24" ht="14.25">
      <c r="N2155" s="17" t="str">
        <f>IF(V2155=0,"",IFERROR(LOOKUP(2,1/(INDEX(Listado!A:A,2):INDEX(Listado!A:A,ROW())&lt;&gt;""),ROW(INDEX(Listado!A:A,2):INDEX(Listado!A:A,ROW()))),""))</f>
        <v/>
      </c>
      <c r="O2155" s="17" t="str">
        <f>IFERROR(IF(N2155="","",IF(INDEX(Listado!M:M,N2155)="No",IF(INDEX(Listado!N:N,N2155)=0,"",INDEX(Listado!N:N,N2155)),IF(INDEX(Listado!I:I,N2155)=0,"",INDEX(Listado!I:I,N2155)))),"")</f>
        <v/>
      </c>
      <c r="P2155" s="17">
        <f t="shared" ca="1" si="100"/>
        <v/>
      </c>
      <c r="Q2155" s="17">
        <f>IFERROR(IF(AND(N2155&lt;&gt;"",ISNUMBER(O2155),O2155&gt;0,O2155&gt;=TODAY()-90),1,0),0)</f>
        <v/>
      </c>
      <c r="R2155" s="17" t="str">
        <f t="shared" si="102"/>
        <v/>
      </c>
      <c r="S2155" s="17" t="str">
        <f>IF(INDEX(Listado!A:A,ROW())="","",INDEX(Listado!A:A,ROW()))</f>
        <v/>
      </c>
      <c r="T2155" s="17" t="str">
        <f ca="1">IF(INDEX(Listado!G:G,ROW())="","",INDEX(Listado!G:G,ROW()))</f>
        <v/>
      </c>
      <c r="U2155" s="17" t="str">
        <f>IF(INDEX(Listado!F:F,ROW())="","",INDEX(Listado!F:F,ROW()))</f>
        <v/>
      </c>
      <c r="V2155" s="17">
        <f>IF(COUNTA(INDEX(Listado!B:B,ROW()):INDEX(Listado!F:F,ROW()))&gt;0,1,0)</f>
        <v/>
      </c>
      <c r="W2155" s="17" t="str">
        <f>IF(INDEX(Listado!L:L,ROW())="","",INDEX(Listado!L:L,ROW()))</f>
        <v/>
      </c>
      <c r="X2155" s="17">
        <f>IF(N2155="","",IF(INDEX(Listado!$M:$M,N2155)="No","No","Sí"))</f>
        <v/>
      </c>
    </row>
    <row r="2156" spans="2:24" ht="14.25">
      <c r="N2156" s="17" t="str">
        <f>IF(V2156=0,"",IFERROR(LOOKUP(2,1/(INDEX(Listado!A:A,2):INDEX(Listado!A:A,ROW())&lt;&gt;""),ROW(INDEX(Listado!A:A,2):INDEX(Listado!A:A,ROW()))),""))</f>
        <v/>
      </c>
      <c r="O2156" s="17" t="str">
        <f>IFERROR(IF(N2156="","",IF(INDEX(Listado!M:M,N2156)="No",IF(INDEX(Listado!N:N,N2156)=0,"",INDEX(Listado!N:N,N2156)),IF(INDEX(Listado!I:I,N2156)=0,"",INDEX(Listado!I:I,N2156)))),"")</f>
        <v/>
      </c>
      <c r="P2156" s="17">
        <f t="shared" ca="1" si="100"/>
        <v/>
      </c>
      <c r="Q2156" s="17">
        <f>IFERROR(IF(AND(N2156&lt;&gt;"",ISNUMBER(O2156),O2156&gt;0,O2156&gt;=TODAY()-90),1,0),0)</f>
        <v/>
      </c>
      <c r="R2156" s="17" t="str">
        <f t="shared" si="102"/>
        <v/>
      </c>
      <c r="S2156" s="17" t="str">
        <f>IF(INDEX(Listado!A:A,ROW())="","",INDEX(Listado!A:A,ROW()))</f>
        <v/>
      </c>
      <c r="T2156" s="17" t="str">
        <f ca="1">IF(INDEX(Listado!G:G,ROW())="","",INDEX(Listado!G:G,ROW()))</f>
        <v/>
      </c>
      <c r="U2156" s="17" t="str">
        <f>IF(INDEX(Listado!F:F,ROW())="","",INDEX(Listado!F:F,ROW()))</f>
        <v/>
      </c>
      <c r="V2156" s="17">
        <f>IF(COUNTA(INDEX(Listado!B:B,ROW()):INDEX(Listado!F:F,ROW()))&gt;0,1,0)</f>
        <v/>
      </c>
      <c r="W2156" s="17" t="str">
        <f>IF(INDEX(Listado!L:L,ROW())="","",INDEX(Listado!L:L,ROW()))</f>
        <v/>
      </c>
      <c r="X2156" s="17">
        <f>IF(N2156="","",IF(INDEX(Listado!$M:$M,N2156)="No","No","Sí"))</f>
        <v/>
      </c>
    </row>
    <row r="2157" spans="2:24" ht="14.25">
      <c r="N2157" s="17" t="str">
        <f>IF(V2157=0,"",IFERROR(LOOKUP(2,1/(INDEX(Listado!A:A,2):INDEX(Listado!A:A,ROW())&lt;&gt;""),ROW(INDEX(Listado!A:A,2):INDEX(Listado!A:A,ROW()))),""))</f>
        <v/>
      </c>
      <c r="O2157" s="17" t="str">
        <f>IFERROR(IF(N2157="","",IF(INDEX(Listado!M:M,N2157)="No",IF(INDEX(Listado!N:N,N2157)=0,"",INDEX(Listado!N:N,N2157)),IF(INDEX(Listado!I:I,N2157)=0,"",INDEX(Listado!I:I,N2157)))),"")</f>
        <v/>
      </c>
      <c r="P2157" s="17">
        <f t="shared" ca="1" si="100"/>
        <v/>
      </c>
      <c r="Q2157" s="17">
        <f>IFERROR(IF(AND(N2157&lt;&gt;"",ISNUMBER(O2157),O2157&gt;0,O2157&gt;=TODAY()-90),1,0),0)</f>
        <v/>
      </c>
      <c r="R2157" s="17" t="str">
        <f t="shared" si="102"/>
        <v/>
      </c>
      <c r="S2157" s="17" t="str">
        <f>IF(INDEX(Listado!A:A,ROW())="","",INDEX(Listado!A:A,ROW()))</f>
        <v/>
      </c>
      <c r="T2157" s="17" t="str">
        <f ca="1">IF(INDEX(Listado!G:G,ROW())="","",INDEX(Listado!G:G,ROW()))</f>
        <v/>
      </c>
      <c r="U2157" s="17" t="str">
        <f>IF(INDEX(Listado!F:F,ROW())="","",INDEX(Listado!F:F,ROW()))</f>
        <v/>
      </c>
      <c r="V2157" s="17">
        <f>IF(COUNTA(INDEX(Listado!B:B,ROW()):INDEX(Listado!F:F,ROW()))&gt;0,1,0)</f>
        <v/>
      </c>
      <c r="W2157" s="17" t="str">
        <f>IF(INDEX(Listado!L:L,ROW())="","",INDEX(Listado!L:L,ROW()))</f>
        <v/>
      </c>
      <c r="X2157" s="17">
        <f>IF(N2157="","",IF(INDEX(Listado!$M:$M,N2157)="No","No","Sí"))</f>
        <v/>
      </c>
    </row>
    <row r="2158" spans="2:24" ht="14.25">
      <c r="N2158" s="17" t="str">
        <f>IF(V2158=0,"",IFERROR(LOOKUP(2,1/(INDEX(Listado!A:A,2):INDEX(Listado!A:A,ROW())&lt;&gt;""),ROW(INDEX(Listado!A:A,2):INDEX(Listado!A:A,ROW()))),""))</f>
        <v/>
      </c>
      <c r="O2158" s="17" t="str">
        <f>IFERROR(IF(N2158="","",IF(INDEX(Listado!M:M,N2158)="No",IF(INDEX(Listado!N:N,N2158)=0,"",INDEX(Listado!N:N,N2158)),IF(INDEX(Listado!I:I,N2158)=0,"",INDEX(Listado!I:I,N2158)))),"")</f>
        <v/>
      </c>
      <c r="P2158" s="17">
        <f t="shared" ca="1" si="100"/>
        <v/>
      </c>
      <c r="Q2158" s="17">
        <f>IFERROR(IF(AND(N2158&lt;&gt;"",ISNUMBER(O2158),O2158&gt;0,O2158&gt;=TODAY()-90),1,0),0)</f>
        <v/>
      </c>
      <c r="R2158" s="17" t="str">
        <f t="shared" si="102"/>
        <v/>
      </c>
      <c r="S2158" s="17" t="str">
        <f>IF(INDEX(Listado!A:A,ROW())="","",INDEX(Listado!A:A,ROW()))</f>
        <v/>
      </c>
      <c r="T2158" s="17" t="str">
        <f ca="1">IF(INDEX(Listado!G:G,ROW())="","",INDEX(Listado!G:G,ROW()))</f>
        <v/>
      </c>
      <c r="U2158" s="17" t="str">
        <f>IF(INDEX(Listado!F:F,ROW())="","",INDEX(Listado!F:F,ROW()))</f>
        <v/>
      </c>
      <c r="V2158" s="17">
        <f>IF(COUNTA(INDEX(Listado!B:B,ROW()):INDEX(Listado!F:F,ROW()))&gt;0,1,0)</f>
        <v/>
      </c>
      <c r="W2158" s="17" t="str">
        <f>IF(INDEX(Listado!L:L,ROW())="","",INDEX(Listado!L:L,ROW()))</f>
        <v/>
      </c>
      <c r="X2158" s="17">
        <f>IF(N2158="","",IF(INDEX(Listado!$M:$M,N2158)="No","No","Sí"))</f>
        <v/>
      </c>
    </row>
    <row r="2159" spans="2:24" ht="14.25">
      <c r="N2159" s="17" t="str">
        <f>IF(V2159=0,"",IFERROR(LOOKUP(2,1/(INDEX(Listado!A:A,2):INDEX(Listado!A:A,ROW())&lt;&gt;""),ROW(INDEX(Listado!A:A,2):INDEX(Listado!A:A,ROW()))),""))</f>
        <v/>
      </c>
      <c r="O2159" s="17" t="str">
        <f>IFERROR(IF(N2159="","",IF(INDEX(Listado!M:M,N2159)="No",IF(INDEX(Listado!N:N,N2159)=0,"",INDEX(Listado!N:N,N2159)),IF(INDEX(Listado!I:I,N2159)=0,"",INDEX(Listado!I:I,N2159)))),"")</f>
        <v/>
      </c>
      <c r="P2159" s="17">
        <f t="shared" ca="1" si="100"/>
        <v/>
      </c>
      <c r="Q2159" s="17">
        <f>IFERROR(IF(AND(N2159&lt;&gt;"",ISNUMBER(O2159),O2159&gt;0,O2159&gt;=TODAY()-90),1,0),0)</f>
        <v/>
      </c>
      <c r="R2159" s="17" t="str">
        <f t="shared" si="102"/>
        <v/>
      </c>
      <c r="S2159" s="17" t="str">
        <f>IF(INDEX(Listado!A:A,ROW())="","",INDEX(Listado!A:A,ROW()))</f>
        <v/>
      </c>
      <c r="T2159" s="17" t="str">
        <f ca="1">IF(INDEX(Listado!G:G,ROW())="","",INDEX(Listado!G:G,ROW()))</f>
        <v/>
      </c>
      <c r="U2159" s="17" t="str">
        <f>IF(INDEX(Listado!F:F,ROW())="","",INDEX(Listado!F:F,ROW()))</f>
        <v/>
      </c>
      <c r="V2159" s="17">
        <f>IF(COUNTA(INDEX(Listado!B:B,ROW()):INDEX(Listado!F:F,ROW()))&gt;0,1,0)</f>
        <v/>
      </c>
      <c r="W2159" s="17" t="str">
        <f>IF(INDEX(Listado!L:L,ROW())="","",INDEX(Listado!L:L,ROW()))</f>
        <v/>
      </c>
      <c r="X2159" s="17">
        <f>IF(N2159="","",IF(INDEX(Listado!$M:$M,N2159)="No","No","Sí"))</f>
        <v/>
      </c>
    </row>
    <row r="2160" spans="2:24" ht="14.25">
      <c r="N2160" s="17" t="str">
        <f>IF(V2160=0,"",IFERROR(LOOKUP(2,1/(INDEX(Listado!A:A,2):INDEX(Listado!A:A,ROW())&lt;&gt;""),ROW(INDEX(Listado!A:A,2):INDEX(Listado!A:A,ROW()))),""))</f>
        <v/>
      </c>
      <c r="O2160" s="17" t="str">
        <f>IFERROR(IF(N2160="","",IF(INDEX(Listado!M:M,N2160)="No",IF(INDEX(Listado!N:N,N2160)=0,"",INDEX(Listado!N:N,N2160)),IF(INDEX(Listado!I:I,N2160)=0,"",INDEX(Listado!I:I,N2160)))),"")</f>
        <v/>
      </c>
      <c r="P2160" s="17">
        <f t="shared" ca="1" si="100"/>
        <v/>
      </c>
      <c r="Q2160" s="17">
        <f>IFERROR(IF(AND(N2160&lt;&gt;"",ISNUMBER(O2160),O2160&gt;0,O2160&gt;=TODAY()-90),1,0),0)</f>
        <v/>
      </c>
      <c r="R2160" s="17" t="str">
        <f t="shared" si="102"/>
        <v/>
      </c>
      <c r="S2160" s="17" t="str">
        <f>IF(INDEX(Listado!A:A,ROW())="","",INDEX(Listado!A:A,ROW()))</f>
        <v/>
      </c>
      <c r="T2160" s="17" t="str">
        <f ca="1">IF(INDEX(Listado!G:G,ROW())="","",INDEX(Listado!G:G,ROW()))</f>
        <v/>
      </c>
      <c r="U2160" s="17" t="str">
        <f>IF(INDEX(Listado!F:F,ROW())="","",INDEX(Listado!F:F,ROW()))</f>
        <v/>
      </c>
      <c r="V2160" s="17">
        <f>IF(COUNTA(INDEX(Listado!B:B,ROW()):INDEX(Listado!F:F,ROW()))&gt;0,1,0)</f>
        <v/>
      </c>
      <c r="W2160" s="17" t="str">
        <f>IF(INDEX(Listado!L:L,ROW())="","",INDEX(Listado!L:L,ROW()))</f>
        <v/>
      </c>
      <c r="X2160" s="17">
        <f>IF(N2160="","",IF(INDEX(Listado!$M:$M,N2160)="No","No","Sí"))</f>
        <v/>
      </c>
    </row>
    <row r="2161" spans="2:24" ht="14.25">
      <c r="N2161" s="17" t="str">
        <f>IF(V2161=0,"",IFERROR(LOOKUP(2,1/(INDEX(Listado!A:A,2):INDEX(Listado!A:A,ROW())&lt;&gt;""),ROW(INDEX(Listado!A:A,2):INDEX(Listado!A:A,ROW()))),""))</f>
        <v/>
      </c>
      <c r="O2161" s="17" t="str">
        <f>IFERROR(IF(N2161="","",IF(INDEX(Listado!M:M,N2161)="No",IF(INDEX(Listado!N:N,N2161)=0,"",INDEX(Listado!N:N,N2161)),IF(INDEX(Listado!I:I,N2161)=0,"",INDEX(Listado!I:I,N2161)))),"")</f>
        <v/>
      </c>
      <c r="P2161" s="17">
        <f t="shared" ca="1" si="100"/>
        <v/>
      </c>
      <c r="Q2161" s="17">
        <f>IFERROR(IF(AND(N2161&lt;&gt;"",ISNUMBER(O2161),O2161&gt;0,O2161&gt;=TODAY()-90),1,0),0)</f>
        <v/>
      </c>
      <c r="R2161" s="17" t="str">
        <f t="shared" si="102"/>
        <v/>
      </c>
      <c r="S2161" s="17" t="str">
        <f>IF(INDEX(Listado!A:A,ROW())="","",INDEX(Listado!A:A,ROW()))</f>
        <v/>
      </c>
      <c r="T2161" s="17" t="str">
        <f ca="1">IF(INDEX(Listado!G:G,ROW())="","",INDEX(Listado!G:G,ROW()))</f>
        <v/>
      </c>
      <c r="U2161" s="17" t="str">
        <f>IF(INDEX(Listado!F:F,ROW())="","",INDEX(Listado!F:F,ROW()))</f>
        <v/>
      </c>
      <c r="V2161" s="17">
        <f>IF(COUNTA(INDEX(Listado!B:B,ROW()):INDEX(Listado!F:F,ROW()))&gt;0,1,0)</f>
        <v/>
      </c>
      <c r="W2161" s="17" t="str">
        <f>IF(INDEX(Listado!L:L,ROW())="","",INDEX(Listado!L:L,ROW()))</f>
        <v/>
      </c>
      <c r="X2161" s="17">
        <f>IF(N2161="","",IF(INDEX(Listado!$M:$M,N2161)="No","No","Sí"))</f>
        <v/>
      </c>
    </row>
    <row r="2162" spans="2:24" ht="14.25">
      <c r="N2162" s="17" t="str">
        <f>IF(V2162=0,"",IFERROR(LOOKUP(2,1/(INDEX(Listado!A:A,2):INDEX(Listado!A:A,ROW())&lt;&gt;""),ROW(INDEX(Listado!A:A,2):INDEX(Listado!A:A,ROW()))),""))</f>
        <v/>
      </c>
      <c r="O2162" s="17" t="str">
        <f>IFERROR(IF(N2162="","",IF(INDEX(Listado!M:M,N2162)="No",IF(INDEX(Listado!N:N,N2162)=0,"",INDEX(Listado!N:N,N2162)),IF(INDEX(Listado!I:I,N2162)=0,"",INDEX(Listado!I:I,N2162)))),"")</f>
        <v/>
      </c>
      <c r="P2162" s="17">
        <f t="shared" ca="1" si="100"/>
        <v/>
      </c>
      <c r="Q2162" s="17">
        <f>IFERROR(IF(AND(N2162&lt;&gt;"",ISNUMBER(O2162),O2162&gt;0,O2162&gt;=TODAY()-90),1,0),0)</f>
        <v/>
      </c>
      <c r="R2162" s="17" t="str">
        <f t="shared" si="102"/>
        <v/>
      </c>
      <c r="S2162" s="17" t="str">
        <f>IF(INDEX(Listado!A:A,ROW())="","",INDEX(Listado!A:A,ROW()))</f>
        <v/>
      </c>
      <c r="T2162" s="17" t="str">
        <f ca="1">IF(INDEX(Listado!G:G,ROW())="","",INDEX(Listado!G:G,ROW()))</f>
        <v/>
      </c>
      <c r="U2162" s="17" t="str">
        <f>IF(INDEX(Listado!F:F,ROW())="","",INDEX(Listado!F:F,ROW()))</f>
        <v/>
      </c>
      <c r="V2162" s="17">
        <f>IF(COUNTA(INDEX(Listado!B:B,ROW()):INDEX(Listado!F:F,ROW()))&gt;0,1,0)</f>
        <v/>
      </c>
      <c r="W2162" s="17" t="str">
        <f>IF(INDEX(Listado!L:L,ROW())="","",INDEX(Listado!L:L,ROW()))</f>
        <v/>
      </c>
      <c r="X2162" s="17">
        <f>IF(N2162="","",IF(INDEX(Listado!$M:$M,N2162)="No","No","Sí"))</f>
        <v/>
      </c>
    </row>
    <row r="2163" spans="2:24" ht="14.25">
      <c r="N2163" s="17" t="str">
        <f>IF(V2163=0,"",IFERROR(LOOKUP(2,1/(INDEX(Listado!A:A,2):INDEX(Listado!A:A,ROW())&lt;&gt;""),ROW(INDEX(Listado!A:A,2):INDEX(Listado!A:A,ROW()))),""))</f>
        <v/>
      </c>
      <c r="O2163" s="17" t="str">
        <f>IFERROR(IF(N2163="","",IF(INDEX(Listado!M:M,N2163)="No",IF(INDEX(Listado!N:N,N2163)=0,"",INDEX(Listado!N:N,N2163)),IF(INDEX(Listado!I:I,N2163)=0,"",INDEX(Listado!I:I,N2163)))),"")</f>
        <v/>
      </c>
      <c r="P2163" s="17">
        <f t="shared" ca="1" si="100"/>
        <v/>
      </c>
      <c r="Q2163" s="17">
        <f>IFERROR(IF(AND(N2163&lt;&gt;"",ISNUMBER(O2163),O2163&gt;0,O2163&gt;=TODAY()-90),1,0),0)</f>
        <v/>
      </c>
      <c r="R2163" s="17" t="str">
        <f t="shared" si="102"/>
        <v/>
      </c>
      <c r="S2163" s="17" t="str">
        <f>IF(INDEX(Listado!A:A,ROW())="","",INDEX(Listado!A:A,ROW()))</f>
        <v/>
      </c>
      <c r="T2163" s="17" t="str">
        <f ca="1">IF(INDEX(Listado!G:G,ROW())="","",INDEX(Listado!G:G,ROW()))</f>
        <v/>
      </c>
      <c r="U2163" s="17" t="str">
        <f>IF(INDEX(Listado!F:F,ROW())="","",INDEX(Listado!F:F,ROW()))</f>
        <v/>
      </c>
      <c r="V2163" s="17">
        <f>IF(COUNTA(INDEX(Listado!B:B,ROW()):INDEX(Listado!F:F,ROW()))&gt;0,1,0)</f>
        <v/>
      </c>
      <c r="W2163" s="17" t="str">
        <f>IF(INDEX(Listado!L:L,ROW())="","",INDEX(Listado!L:L,ROW()))</f>
        <v/>
      </c>
      <c r="X2163" s="17">
        <f>IF(N2163="","",IF(INDEX(Listado!$M:$M,N2163)="No","No","Sí"))</f>
        <v/>
      </c>
    </row>
    <row r="2164" spans="2:24" ht="14.25">
      <c r="N2164" s="17" t="str">
        <f>IF(V2164=0,"",IFERROR(LOOKUP(2,1/(INDEX(Listado!A:A,2):INDEX(Listado!A:A,ROW())&lt;&gt;""),ROW(INDEX(Listado!A:A,2):INDEX(Listado!A:A,ROW()))),""))</f>
        <v/>
      </c>
      <c r="O2164" s="17" t="str">
        <f>IFERROR(IF(N2164="","",IF(INDEX(Listado!M:M,N2164)="No",IF(INDEX(Listado!N:N,N2164)=0,"",INDEX(Listado!N:N,N2164)),IF(INDEX(Listado!I:I,N2164)=0,"",INDEX(Listado!I:I,N2164)))),"")</f>
        <v/>
      </c>
      <c r="P2164" s="17">
        <f t="shared" ca="1" si="100"/>
        <v/>
      </c>
      <c r="Q2164" s="17">
        <f>IFERROR(IF(AND(N2164&lt;&gt;"",ISNUMBER(O2164),O2164&gt;0,O2164&gt;=TODAY()-90),1,0),0)</f>
        <v/>
      </c>
      <c r="R2164" s="17" t="str">
        <f t="shared" si="102"/>
        <v/>
      </c>
      <c r="S2164" s="17" t="str">
        <f>IF(INDEX(Listado!A:A,ROW())="","",INDEX(Listado!A:A,ROW()))</f>
        <v/>
      </c>
      <c r="T2164" s="17" t="str">
        <f ca="1">IF(INDEX(Listado!G:G,ROW())="","",INDEX(Listado!G:G,ROW()))</f>
        <v/>
      </c>
      <c r="U2164" s="17" t="str">
        <f>IF(INDEX(Listado!F:F,ROW())="","",INDEX(Listado!F:F,ROW()))</f>
        <v/>
      </c>
      <c r="V2164" s="17">
        <f>IF(COUNTA(INDEX(Listado!B:B,ROW()):INDEX(Listado!F:F,ROW()))&gt;0,1,0)</f>
        <v/>
      </c>
      <c r="W2164" s="17" t="str">
        <f>IF(INDEX(Listado!L:L,ROW())="","",INDEX(Listado!L:L,ROW()))</f>
        <v/>
      </c>
      <c r="X2164" s="17">
        <f>IF(N2164="","",IF(INDEX(Listado!$M:$M,N2164)="No","No","Sí"))</f>
        <v/>
      </c>
    </row>
    <row r="2165" spans="2:24" ht="14.25">
      <c r="N2165" s="17" t="str">
        <f>IF(V2165=0,"",IFERROR(LOOKUP(2,1/(INDEX(Listado!A:A,2):INDEX(Listado!A:A,ROW())&lt;&gt;""),ROW(INDEX(Listado!A:A,2):INDEX(Listado!A:A,ROW()))),""))</f>
        <v/>
      </c>
      <c r="O2165" s="17" t="str">
        <f>IFERROR(IF(N2165="","",IF(INDEX(Listado!M:M,N2165)="No",IF(INDEX(Listado!N:N,N2165)=0,"",INDEX(Listado!N:N,N2165)),IF(INDEX(Listado!I:I,N2165)=0,"",INDEX(Listado!I:I,N2165)))),"")</f>
        <v/>
      </c>
      <c r="P2165" s="17">
        <f t="shared" ca="1" si="100"/>
        <v/>
      </c>
      <c r="Q2165" s="17">
        <f>IFERROR(IF(AND(N2165&lt;&gt;"",ISNUMBER(O2165),O2165&gt;0,O2165&gt;=TODAY()-90),1,0),0)</f>
        <v/>
      </c>
      <c r="R2165" s="17" t="str">
        <f t="shared" si="102"/>
        <v/>
      </c>
      <c r="S2165" s="17" t="str">
        <f>IF(INDEX(Listado!A:A,ROW())="","",INDEX(Listado!A:A,ROW()))</f>
        <v/>
      </c>
      <c r="T2165" s="17" t="str">
        <f ca="1">IF(INDEX(Listado!G:G,ROW())="","",INDEX(Listado!G:G,ROW()))</f>
        <v/>
      </c>
      <c r="U2165" s="17" t="str">
        <f>IF(INDEX(Listado!F:F,ROW())="","",INDEX(Listado!F:F,ROW()))</f>
        <v/>
      </c>
      <c r="V2165" s="17">
        <f>IF(COUNTA(INDEX(Listado!B:B,ROW()):INDEX(Listado!F:F,ROW()))&gt;0,1,0)</f>
        <v/>
      </c>
      <c r="W2165" s="17" t="str">
        <f>IF(INDEX(Listado!L:L,ROW())="","",INDEX(Listado!L:L,ROW()))</f>
        <v/>
      </c>
      <c r="X2165" s="17">
        <f>IF(N2165="","",IF(INDEX(Listado!$M:$M,N2165)="No","No","Sí"))</f>
        <v/>
      </c>
    </row>
    <row r="2166" spans="2:24" ht="14.25">
      <c r="N2166" s="17" t="str">
        <f>IF(V2166=0,"",IFERROR(LOOKUP(2,1/(INDEX(Listado!A:A,2):INDEX(Listado!A:A,ROW())&lt;&gt;""),ROW(INDEX(Listado!A:A,2):INDEX(Listado!A:A,ROW()))),""))</f>
        <v/>
      </c>
      <c r="O2166" s="17" t="str">
        <f>IFERROR(IF(N2166="","",IF(INDEX(Listado!M:M,N2166)="No",IF(INDEX(Listado!N:N,N2166)=0,"",INDEX(Listado!N:N,N2166)),IF(INDEX(Listado!I:I,N2166)=0,"",INDEX(Listado!I:I,N2166)))),"")</f>
        <v/>
      </c>
      <c r="P2166" s="17">
        <f t="shared" ca="1" si="100"/>
        <v/>
      </c>
      <c r="Q2166" s="17">
        <f>IFERROR(IF(AND(N2166&lt;&gt;"",ISNUMBER(O2166),O2166&gt;0,O2166&gt;=TODAY()-90),1,0),0)</f>
        <v/>
      </c>
      <c r="R2166" s="17" t="str">
        <f t="shared" si="102"/>
        <v/>
      </c>
      <c r="S2166" s="17" t="str">
        <f>IF(INDEX(Listado!A:A,ROW())="","",INDEX(Listado!A:A,ROW()))</f>
        <v/>
      </c>
      <c r="T2166" s="17" t="str">
        <f ca="1">IF(INDEX(Listado!G:G,ROW())="","",INDEX(Listado!G:G,ROW()))</f>
        <v/>
      </c>
      <c r="U2166" s="17" t="str">
        <f>IF(INDEX(Listado!F:F,ROW())="","",INDEX(Listado!F:F,ROW()))</f>
        <v/>
      </c>
      <c r="V2166" s="17">
        <f>IF(COUNTA(INDEX(Listado!B:B,ROW()):INDEX(Listado!F:F,ROW()))&gt;0,1,0)</f>
        <v/>
      </c>
      <c r="W2166" s="17" t="str">
        <f>IF(INDEX(Listado!L:L,ROW())="","",INDEX(Listado!L:L,ROW()))</f>
        <v/>
      </c>
      <c r="X2166" s="17">
        <f>IF(N2166="","",IF(INDEX(Listado!$M:$M,N2166)="No","No","Sí"))</f>
        <v/>
      </c>
    </row>
    <row r="2167" spans="2:24" ht="14.25">
      <c r="N2167" s="17" t="str">
        <f>IF(V2167=0,"",IFERROR(LOOKUP(2,1/(INDEX(Listado!A:A,2):INDEX(Listado!A:A,ROW())&lt;&gt;""),ROW(INDEX(Listado!A:A,2):INDEX(Listado!A:A,ROW()))),""))</f>
        <v/>
      </c>
      <c r="O2167" s="17" t="str">
        <f>IFERROR(IF(N2167="","",IF(INDEX(Listado!M:M,N2167)="No",IF(INDEX(Listado!N:N,N2167)=0,"",INDEX(Listado!N:N,N2167)),IF(INDEX(Listado!I:I,N2167)=0,"",INDEX(Listado!I:I,N2167)))),"")</f>
        <v/>
      </c>
      <c r="P2167" s="17">
        <f t="shared" ca="1" si="100"/>
        <v/>
      </c>
      <c r="Q2167" s="17">
        <f>IFERROR(IF(AND(N2167&lt;&gt;"",ISNUMBER(O2167),O2167&gt;0,O2167&gt;=TODAY()-90),1,0),0)</f>
        <v/>
      </c>
      <c r="R2167" s="17" t="str">
        <f t="shared" si="102"/>
        <v/>
      </c>
      <c r="S2167" s="17" t="str">
        <f>IF(INDEX(Listado!A:A,ROW())="","",INDEX(Listado!A:A,ROW()))</f>
        <v/>
      </c>
      <c r="T2167" s="17" t="str">
        <f ca="1">IF(INDEX(Listado!G:G,ROW())="","",INDEX(Listado!G:G,ROW()))</f>
        <v/>
      </c>
      <c r="U2167" s="17" t="str">
        <f>IF(INDEX(Listado!F:F,ROW())="","",INDEX(Listado!F:F,ROW()))</f>
        <v/>
      </c>
      <c r="V2167" s="17">
        <f>IF(COUNTA(INDEX(Listado!B:B,ROW()):INDEX(Listado!F:F,ROW()))&gt;0,1,0)</f>
        <v/>
      </c>
      <c r="W2167" s="17" t="str">
        <f>IF(INDEX(Listado!L:L,ROW())="","",INDEX(Listado!L:L,ROW()))</f>
        <v/>
      </c>
      <c r="X2167" s="17">
        <f>IF(N2167="","",IF(INDEX(Listado!$M:$M,N2167)="No","No","Sí"))</f>
        <v/>
      </c>
    </row>
    <row r="2168" spans="2:24" ht="14.25">
      <c r="N2168" s="17" t="str">
        <f>IF(V2168=0,"",IFERROR(LOOKUP(2,1/(INDEX(Listado!A:A,2):INDEX(Listado!A:A,ROW())&lt;&gt;""),ROW(INDEX(Listado!A:A,2):INDEX(Listado!A:A,ROW()))),""))</f>
        <v/>
      </c>
      <c r="O2168" s="17" t="str">
        <f>IFERROR(IF(N2168="","",IF(INDEX(Listado!M:M,N2168)="No",IF(INDEX(Listado!N:N,N2168)=0,"",INDEX(Listado!N:N,N2168)),IF(INDEX(Listado!I:I,N2168)=0,"",INDEX(Listado!I:I,N2168)))),"")</f>
        <v/>
      </c>
      <c r="P2168" s="17">
        <f t="shared" ca="1" si="100"/>
        <v/>
      </c>
      <c r="Q2168" s="17">
        <f>IFERROR(IF(AND(N2168&lt;&gt;"",ISNUMBER(O2168),O2168&gt;0,O2168&gt;=TODAY()-90),1,0),0)</f>
        <v/>
      </c>
      <c r="R2168" s="17" t="str">
        <f t="shared" si="102"/>
        <v/>
      </c>
      <c r="S2168" s="17" t="str">
        <f>IF(INDEX(Listado!A:A,ROW())="","",INDEX(Listado!A:A,ROW()))</f>
        <v/>
      </c>
      <c r="T2168" s="17" t="str">
        <f ca="1">IF(INDEX(Listado!G:G,ROW())="","",INDEX(Listado!G:G,ROW()))</f>
        <v/>
      </c>
      <c r="U2168" s="17" t="str">
        <f>IF(INDEX(Listado!F:F,ROW())="","",INDEX(Listado!F:F,ROW()))</f>
        <v/>
      </c>
      <c r="V2168" s="17">
        <f>IF(COUNTA(INDEX(Listado!B:B,ROW()):INDEX(Listado!F:F,ROW()))&gt;0,1,0)</f>
        <v/>
      </c>
      <c r="W2168" s="17" t="str">
        <f>IF(INDEX(Listado!L:L,ROW())="","",INDEX(Listado!L:L,ROW()))</f>
        <v/>
      </c>
      <c r="X2168" s="17">
        <f>IF(N2168="","",IF(INDEX(Listado!$M:$M,N2168)="No","No","Sí"))</f>
        <v/>
      </c>
    </row>
    <row r="2169" spans="2:24" ht="14.25">
      <c r="N2169" s="17" t="str">
        <f>IF(V2169=0,"",IFERROR(LOOKUP(2,1/(INDEX(Listado!A:A,2):INDEX(Listado!A:A,ROW())&lt;&gt;""),ROW(INDEX(Listado!A:A,2):INDEX(Listado!A:A,ROW()))),""))</f>
        <v/>
      </c>
      <c r="O2169" s="17" t="str">
        <f>IFERROR(IF(N2169="","",IF(INDEX(Listado!M:M,N2169)="No",IF(INDEX(Listado!N:N,N2169)=0,"",INDEX(Listado!N:N,N2169)),IF(INDEX(Listado!I:I,N2169)=0,"",INDEX(Listado!I:I,N2169)))),"")</f>
        <v/>
      </c>
      <c r="P2169" s="17">
        <f t="shared" ca="1" si="100"/>
        <v/>
      </c>
      <c r="Q2169" s="17">
        <f>IFERROR(IF(AND(N2169&lt;&gt;"",ISNUMBER(O2169),O2169&gt;0,O2169&gt;=TODAY()-90),1,0),0)</f>
        <v/>
      </c>
      <c r="R2169" s="17" t="str">
        <f t="shared" si="102"/>
        <v/>
      </c>
      <c r="S2169" s="17" t="str">
        <f>IF(INDEX(Listado!A:A,ROW())="","",INDEX(Listado!A:A,ROW()))</f>
        <v/>
      </c>
      <c r="T2169" s="17" t="str">
        <f ca="1">IF(INDEX(Listado!G:G,ROW())="","",INDEX(Listado!G:G,ROW()))</f>
        <v/>
      </c>
      <c r="U2169" s="17" t="str">
        <f>IF(INDEX(Listado!F:F,ROW())="","",INDEX(Listado!F:F,ROW()))</f>
        <v/>
      </c>
      <c r="V2169" s="17">
        <f>IF(COUNTA(INDEX(Listado!B:B,ROW()):INDEX(Listado!F:F,ROW()))&gt;0,1,0)</f>
        <v/>
      </c>
      <c r="W2169" s="17" t="str">
        <f>IF(INDEX(Listado!L:L,ROW())="","",INDEX(Listado!L:L,ROW()))</f>
        <v/>
      </c>
      <c r="X2169" s="17">
        <f>IF(N2169="","",IF(INDEX(Listado!$M:$M,N2169)="No","No","Sí"))</f>
        <v/>
      </c>
    </row>
    <row r="2170" spans="2:24" ht="14.25">
      <c r="N2170" s="17" t="str">
        <f>IF(V2170=0,"",IFERROR(LOOKUP(2,1/(INDEX(Listado!A:A,2):INDEX(Listado!A:A,ROW())&lt;&gt;""),ROW(INDEX(Listado!A:A,2):INDEX(Listado!A:A,ROW()))),""))</f>
        <v/>
      </c>
      <c r="O2170" s="17" t="str">
        <f>IFERROR(IF(N2170="","",IF(INDEX(Listado!M:M,N2170)="No",IF(INDEX(Listado!N:N,N2170)=0,"",INDEX(Listado!N:N,N2170)),IF(INDEX(Listado!I:I,N2170)=0,"",INDEX(Listado!I:I,N2170)))),"")</f>
        <v/>
      </c>
      <c r="P2170" s="17">
        <f t="shared" ca="1" si="100"/>
        <v/>
      </c>
      <c r="Q2170" s="17">
        <f>IFERROR(IF(AND(N2170&lt;&gt;"",ISNUMBER(O2170),O2170&gt;0,O2170&gt;=TODAY()-90),1,0),0)</f>
        <v/>
      </c>
      <c r="R2170" s="17" t="str">
        <f t="shared" si="102"/>
        <v/>
      </c>
      <c r="S2170" s="17" t="str">
        <f>IF(INDEX(Listado!A:A,ROW())="","",INDEX(Listado!A:A,ROW()))</f>
        <v/>
      </c>
      <c r="T2170" s="17" t="str">
        <f ca="1">IF(INDEX(Listado!G:G,ROW())="","",INDEX(Listado!G:G,ROW()))</f>
        <v/>
      </c>
      <c r="U2170" s="17" t="str">
        <f>IF(INDEX(Listado!F:F,ROW())="","",INDEX(Listado!F:F,ROW()))</f>
        <v/>
      </c>
      <c r="V2170" s="17">
        <f>IF(COUNTA(INDEX(Listado!B:B,ROW()):INDEX(Listado!F:F,ROW()))&gt;0,1,0)</f>
        <v/>
      </c>
      <c r="W2170" s="17" t="str">
        <f>IF(INDEX(Listado!L:L,ROW())="","",INDEX(Listado!L:L,ROW()))</f>
        <v/>
      </c>
      <c r="X2170" s="17">
        <f>IF(N2170="","",IF(INDEX(Listado!$M:$M,N2170)="No","No","Sí"))</f>
        <v/>
      </c>
    </row>
    <row r="2171" spans="2:24" ht="14.25">
      <c r="N2171" s="17" t="str">
        <f>IF(V2171=0,"",IFERROR(LOOKUP(2,1/(INDEX(Listado!A:A,2):INDEX(Listado!A:A,ROW())&lt;&gt;""),ROW(INDEX(Listado!A:A,2):INDEX(Listado!A:A,ROW()))),""))</f>
        <v/>
      </c>
      <c r="O2171" s="17" t="str">
        <f>IFERROR(IF(N2171="","",IF(INDEX(Listado!M:M,N2171)="No",IF(INDEX(Listado!N:N,N2171)=0,"",INDEX(Listado!N:N,N2171)),IF(INDEX(Listado!I:I,N2171)=0,"",INDEX(Listado!I:I,N2171)))),"")</f>
        <v/>
      </c>
      <c r="P2171" s="17">
        <f t="shared" ca="1" si="100"/>
        <v/>
      </c>
      <c r="Q2171" s="17">
        <f>IFERROR(IF(AND(N2171&lt;&gt;"",ISNUMBER(O2171),O2171&gt;0,O2171&gt;=TODAY()-90),1,0),0)</f>
        <v/>
      </c>
      <c r="R2171" s="17" t="str">
        <f t="shared" si="102"/>
        <v/>
      </c>
      <c r="S2171" s="17" t="str">
        <f>IF(INDEX(Listado!A:A,ROW())="","",INDEX(Listado!A:A,ROW()))</f>
        <v/>
      </c>
      <c r="T2171" s="17" t="str">
        <f ca="1">IF(INDEX(Listado!G:G,ROW())="","",INDEX(Listado!G:G,ROW()))</f>
        <v/>
      </c>
      <c r="U2171" s="17" t="str">
        <f>IF(INDEX(Listado!F:F,ROW())="","",INDEX(Listado!F:F,ROW()))</f>
        <v/>
      </c>
      <c r="V2171" s="17">
        <f>IF(COUNTA(INDEX(Listado!B:B,ROW()):INDEX(Listado!F:F,ROW()))&gt;0,1,0)</f>
        <v/>
      </c>
      <c r="W2171" s="17" t="str">
        <f>IF(INDEX(Listado!L:L,ROW())="","",INDEX(Listado!L:L,ROW()))</f>
        <v/>
      </c>
      <c r="X2171" s="17">
        <f>IF(N2171="","",IF(INDEX(Listado!$M:$M,N2171)="No","No","Sí"))</f>
        <v/>
      </c>
    </row>
    <row r="2172" spans="2:24" ht="14.25">
      <c r="N2172" s="17" t="str">
        <f>IF(V2172=0,"",IFERROR(LOOKUP(2,1/(INDEX(Listado!A:A,2):INDEX(Listado!A:A,ROW())&lt;&gt;""),ROW(INDEX(Listado!A:A,2):INDEX(Listado!A:A,ROW()))),""))</f>
        <v/>
      </c>
      <c r="O2172" s="17" t="str">
        <f>IFERROR(IF(N2172="","",IF(INDEX(Listado!M:M,N2172)="No",IF(INDEX(Listado!N:N,N2172)=0,"",INDEX(Listado!N:N,N2172)),IF(INDEX(Listado!I:I,N2172)=0,"",INDEX(Listado!I:I,N2172)))),"")</f>
        <v/>
      </c>
      <c r="P2172" s="17">
        <f t="shared" ca="1" si="100"/>
        <v/>
      </c>
      <c r="Q2172" s="17">
        <f>IFERROR(IF(AND(N2172&lt;&gt;"",ISNUMBER(O2172),O2172&gt;0,O2172&gt;=TODAY()-90),1,0),0)</f>
        <v/>
      </c>
      <c r="R2172" s="17" t="str">
        <f t="shared" si="102"/>
        <v/>
      </c>
      <c r="S2172" s="17" t="str">
        <f>IF(INDEX(Listado!A:A,ROW())="","",INDEX(Listado!A:A,ROW()))</f>
        <v/>
      </c>
      <c r="T2172" s="17" t="str">
        <f ca="1">IF(INDEX(Listado!G:G,ROW())="","",INDEX(Listado!G:G,ROW()))</f>
        <v/>
      </c>
      <c r="U2172" s="17" t="str">
        <f>IF(INDEX(Listado!F:F,ROW())="","",INDEX(Listado!F:F,ROW()))</f>
        <v/>
      </c>
      <c r="V2172" s="17">
        <f>IF(COUNTA(INDEX(Listado!B:B,ROW()):INDEX(Listado!F:F,ROW()))&gt;0,1,0)</f>
        <v/>
      </c>
      <c r="W2172" s="17" t="str">
        <f>IF(INDEX(Listado!L:L,ROW())="","",INDEX(Listado!L:L,ROW()))</f>
        <v/>
      </c>
      <c r="X2172" s="17">
        <f>IF(N2172="","",IF(INDEX(Listado!$M:$M,N2172)="No","No","Sí"))</f>
        <v/>
      </c>
    </row>
    <row r="2173" spans="2:24" ht="14.25">
      <c r="N2173" s="17" t="str">
        <f>IF(V2173=0,"",IFERROR(LOOKUP(2,1/(INDEX(Listado!A:A,2):INDEX(Listado!A:A,ROW())&lt;&gt;""),ROW(INDEX(Listado!A:A,2):INDEX(Listado!A:A,ROW()))),""))</f>
        <v/>
      </c>
      <c r="O2173" s="17" t="str">
        <f>IFERROR(IF(N2173="","",IF(INDEX(Listado!M:M,N2173)="No",IF(INDEX(Listado!N:N,N2173)=0,"",INDEX(Listado!N:N,N2173)),IF(INDEX(Listado!I:I,N2173)=0,"",INDEX(Listado!I:I,N2173)))),"")</f>
        <v/>
      </c>
      <c r="P2173" s="17">
        <f t="shared" ca="1" si="100"/>
        <v/>
      </c>
      <c r="Q2173" s="17">
        <f>IFERROR(IF(AND(N2173&lt;&gt;"",ISNUMBER(O2173),O2173&gt;0,O2173&gt;=TODAY()-90),1,0),0)</f>
        <v/>
      </c>
      <c r="R2173" s="17" t="str">
        <f t="shared" si="102"/>
        <v/>
      </c>
      <c r="S2173" s="17" t="str">
        <f>IF(INDEX(Listado!A:A,ROW())="","",INDEX(Listado!A:A,ROW()))</f>
        <v/>
      </c>
      <c r="T2173" s="17" t="str">
        <f ca="1">IF(INDEX(Listado!G:G,ROW())="","",INDEX(Listado!G:G,ROW()))</f>
        <v/>
      </c>
      <c r="U2173" s="17" t="str">
        <f>IF(INDEX(Listado!F:F,ROW())="","",INDEX(Listado!F:F,ROW()))</f>
        <v/>
      </c>
      <c r="V2173" s="17">
        <f>IF(COUNTA(INDEX(Listado!B:B,ROW()):INDEX(Listado!F:F,ROW()))&gt;0,1,0)</f>
        <v/>
      </c>
      <c r="W2173" s="17" t="str">
        <f>IF(INDEX(Listado!L:L,ROW())="","",INDEX(Listado!L:L,ROW()))</f>
        <v/>
      </c>
      <c r="X2173" s="17">
        <f>IF(N2173="","",IF(INDEX(Listado!$M:$M,N2173)="No","No","Sí"))</f>
        <v/>
      </c>
    </row>
    <row r="2174" spans="2:24" ht="14.25">
      <c r="N2174" s="17" t="str">
        <f>IF(V2174=0,"",IFERROR(LOOKUP(2,1/(INDEX(Listado!A:A,2):INDEX(Listado!A:A,ROW())&lt;&gt;""),ROW(INDEX(Listado!A:A,2):INDEX(Listado!A:A,ROW()))),""))</f>
        <v/>
      </c>
      <c r="O2174" s="17" t="str">
        <f>IFERROR(IF(N2174="","",IF(INDEX(Listado!M:M,N2174)="No",IF(INDEX(Listado!N:N,N2174)=0,"",INDEX(Listado!N:N,N2174)),IF(INDEX(Listado!I:I,N2174)=0,"",INDEX(Listado!I:I,N2174)))),"")</f>
        <v/>
      </c>
      <c r="P2174" s="17">
        <f t="shared" ca="1" si="100"/>
        <v/>
      </c>
      <c r="Q2174" s="17">
        <f>IFERROR(IF(AND(N2174&lt;&gt;"",ISNUMBER(O2174),O2174&gt;0,O2174&gt;=TODAY()-90),1,0),0)</f>
        <v/>
      </c>
      <c r="R2174" s="17" t="str">
        <f t="shared" si="102"/>
        <v/>
      </c>
      <c r="S2174" s="17" t="str">
        <f>IF(INDEX(Listado!A:A,ROW())="","",INDEX(Listado!A:A,ROW()))</f>
        <v/>
      </c>
      <c r="T2174" s="17" t="str">
        <f ca="1">IF(INDEX(Listado!G:G,ROW())="","",INDEX(Listado!G:G,ROW()))</f>
        <v/>
      </c>
      <c r="U2174" s="17" t="str">
        <f>IF(INDEX(Listado!F:F,ROW())="","",INDEX(Listado!F:F,ROW()))</f>
        <v/>
      </c>
      <c r="V2174" s="17">
        <f>IF(COUNTA(INDEX(Listado!B:B,ROW()):INDEX(Listado!F:F,ROW()))&gt;0,1,0)</f>
        <v/>
      </c>
      <c r="W2174" s="17" t="str">
        <f>IF(INDEX(Listado!L:L,ROW())="","",INDEX(Listado!L:L,ROW()))</f>
        <v/>
      </c>
      <c r="X2174" s="17">
        <f>IF(N2174="","",IF(INDEX(Listado!$M:$M,N2174)="No","No","Sí"))</f>
        <v/>
      </c>
    </row>
    <row r="2175" spans="2:24" ht="14.25">
      <c r="N2175" s="17" t="str">
        <f>IF(V2175=0,"",IFERROR(LOOKUP(2,1/(INDEX(Listado!A:A,2):INDEX(Listado!A:A,ROW())&lt;&gt;""),ROW(INDEX(Listado!A:A,2):INDEX(Listado!A:A,ROW()))),""))</f>
        <v/>
      </c>
      <c r="O2175" s="17" t="str">
        <f>IFERROR(IF(N2175="","",IF(INDEX(Listado!M:M,N2175)="No",IF(INDEX(Listado!N:N,N2175)=0,"",INDEX(Listado!N:N,N2175)),IF(INDEX(Listado!I:I,N2175)=0,"",INDEX(Listado!I:I,N2175)))),"")</f>
        <v/>
      </c>
      <c r="P2175" s="17">
        <f t="shared" ca="1" si="100"/>
        <v/>
      </c>
      <c r="Q2175" s="17">
        <f>IFERROR(IF(AND(N2175&lt;&gt;"",ISNUMBER(O2175),O2175&gt;0,O2175&gt;=TODAY()-90),1,0),0)</f>
        <v/>
      </c>
      <c r="R2175" s="17" t="str">
        <f t="shared" si="102"/>
        <v/>
      </c>
      <c r="S2175" s="17" t="str">
        <f>IF(INDEX(Listado!A:A,ROW())="","",INDEX(Listado!A:A,ROW()))</f>
        <v/>
      </c>
      <c r="T2175" s="17" t="str">
        <f ca="1">IF(INDEX(Listado!G:G,ROW())="","",INDEX(Listado!G:G,ROW()))</f>
        <v/>
      </c>
      <c r="U2175" s="17" t="str">
        <f>IF(INDEX(Listado!F:F,ROW())="","",INDEX(Listado!F:F,ROW()))</f>
        <v/>
      </c>
      <c r="V2175" s="17">
        <f>IF(COUNTA(INDEX(Listado!B:B,ROW()):INDEX(Listado!F:F,ROW()))&gt;0,1,0)</f>
        <v/>
      </c>
      <c r="W2175" s="17" t="str">
        <f>IF(INDEX(Listado!L:L,ROW())="","",INDEX(Listado!L:L,ROW()))</f>
        <v/>
      </c>
      <c r="X2175" s="17">
        <f>IF(N2175="","",IF(INDEX(Listado!$M:$M,N2175)="No","No","Sí"))</f>
        <v/>
      </c>
    </row>
    <row r="2176" spans="2:24" ht="14.25">
      <c r="N2176" s="17" t="str">
        <f>IF(V2176=0,"",IFERROR(LOOKUP(2,1/(INDEX(Listado!A:A,2):INDEX(Listado!A:A,ROW())&lt;&gt;""),ROW(INDEX(Listado!A:A,2):INDEX(Listado!A:A,ROW()))),""))</f>
        <v/>
      </c>
      <c r="O2176" s="17" t="str">
        <f>IFERROR(IF(N2176="","",IF(INDEX(Listado!M:M,N2176)="No",IF(INDEX(Listado!N:N,N2176)=0,"",INDEX(Listado!N:N,N2176)),IF(INDEX(Listado!I:I,N2176)=0,"",INDEX(Listado!I:I,N2176)))),"")</f>
        <v/>
      </c>
      <c r="P2176" s="17">
        <f t="shared" ca="1" si="100"/>
        <v/>
      </c>
      <c r="Q2176" s="17">
        <f>IFERROR(IF(AND(N2176&lt;&gt;"",ISNUMBER(O2176),O2176&gt;0,O2176&gt;=TODAY()-90),1,0),0)</f>
        <v/>
      </c>
      <c r="R2176" s="17" t="str">
        <f t="shared" si="102"/>
        <v/>
      </c>
      <c r="S2176" s="17" t="str">
        <f>IF(INDEX(Listado!A:A,ROW())="","",INDEX(Listado!A:A,ROW()))</f>
        <v/>
      </c>
      <c r="T2176" s="17" t="str">
        <f ca="1">IF(INDEX(Listado!G:G,ROW())="","",INDEX(Listado!G:G,ROW()))</f>
        <v/>
      </c>
      <c r="U2176" s="17" t="str">
        <f>IF(INDEX(Listado!F:F,ROW())="","",INDEX(Listado!F:F,ROW()))</f>
        <v/>
      </c>
      <c r="V2176" s="17">
        <f>IF(COUNTA(INDEX(Listado!B:B,ROW()):INDEX(Listado!F:F,ROW()))&gt;0,1,0)</f>
        <v/>
      </c>
      <c r="W2176" s="17" t="str">
        <f>IF(INDEX(Listado!L:L,ROW())="","",INDEX(Listado!L:L,ROW()))</f>
        <v/>
      </c>
      <c r="X2176" s="17">
        <f>IF(N2176="","",IF(INDEX(Listado!$M:$M,N2176)="No","No","Sí"))</f>
        <v/>
      </c>
    </row>
    <row r="2177" spans="2:24" ht="14.25">
      <c r="N2177" s="17" t="str">
        <f>IF(V2177=0,"",IFERROR(LOOKUP(2,1/(INDEX(Listado!A:A,2):INDEX(Listado!A:A,ROW())&lt;&gt;""),ROW(INDEX(Listado!A:A,2):INDEX(Listado!A:A,ROW()))),""))</f>
        <v/>
      </c>
      <c r="O2177" s="17" t="str">
        <f>IFERROR(IF(N2177="","",IF(INDEX(Listado!M:M,N2177)="No",IF(INDEX(Listado!N:N,N2177)=0,"",INDEX(Listado!N:N,N2177)),IF(INDEX(Listado!I:I,N2177)=0,"",INDEX(Listado!I:I,N2177)))),"")</f>
        <v/>
      </c>
      <c r="P2177" s="17">
        <f t="shared" ca="1" si="100"/>
        <v/>
      </c>
      <c r="Q2177" s="17">
        <f>IFERROR(IF(AND(N2177&lt;&gt;"",ISNUMBER(O2177),O2177&gt;0,O2177&gt;=TODAY()-90),1,0),0)</f>
        <v/>
      </c>
      <c r="R2177" s="17" t="str">
        <f t="shared" si="102"/>
        <v/>
      </c>
      <c r="S2177" s="17" t="str">
        <f>IF(INDEX(Listado!A:A,ROW())="","",INDEX(Listado!A:A,ROW()))</f>
        <v/>
      </c>
      <c r="T2177" s="17" t="str">
        <f ca="1">IF(INDEX(Listado!G:G,ROW())="","",INDEX(Listado!G:G,ROW()))</f>
        <v/>
      </c>
      <c r="U2177" s="17" t="str">
        <f>IF(INDEX(Listado!F:F,ROW())="","",INDEX(Listado!F:F,ROW()))</f>
        <v/>
      </c>
      <c r="V2177" s="17">
        <f>IF(COUNTA(INDEX(Listado!B:B,ROW()):INDEX(Listado!F:F,ROW()))&gt;0,1,0)</f>
        <v/>
      </c>
      <c r="W2177" s="17" t="str">
        <f>IF(INDEX(Listado!L:L,ROW())="","",INDEX(Listado!L:L,ROW()))</f>
        <v/>
      </c>
      <c r="X2177" s="17">
        <f>IF(N2177="","",IF(INDEX(Listado!$M:$M,N2177)="No","No","Sí"))</f>
        <v/>
      </c>
    </row>
    <row r="2178" spans="2:24" ht="14.25">
      <c r="N2178" s="17" t="str">
        <f>IF(V2178=0,"",IFERROR(LOOKUP(2,1/(INDEX(Listado!A:A,2):INDEX(Listado!A:A,ROW())&lt;&gt;""),ROW(INDEX(Listado!A:A,2):INDEX(Listado!A:A,ROW()))),""))</f>
        <v/>
      </c>
      <c r="O2178" s="17" t="str">
        <f>IFERROR(IF(N2178="","",IF(INDEX(Listado!M:M,N2178)="No",IF(INDEX(Listado!N:N,N2178)=0,"",INDEX(Listado!N:N,N2178)),IF(INDEX(Listado!I:I,N2178)=0,"",INDEX(Listado!I:I,N2178)))),"")</f>
        <v/>
      </c>
      <c r="P2178" s="17">
        <f t="shared" ref="P2178:P2241" ca="1" si="103">IF(W2178="",0,IFERROR(IF(AND(ISNUMBER(W2178),W2178=INT(W2178),ISNUMBER(O2178),O2178&gt;0,W2178&gt;=TODAY(),W2178&lt;=O2178+90),0,1),1))</f>
        <v/>
      </c>
      <c r="Q2178" s="17">
        <f>IFERROR(IF(AND(N2178&lt;&gt;"",ISNUMBER(O2178),O2178&gt;0,O2178&gt;=TODAY()-90),1,0),0)</f>
        <v/>
      </c>
      <c r="R2178" s="17" t="str">
        <f t="shared" ref="R2178:R2241" si="105">IF(S2178="","",COUNTIFS($N$2:$N$2999,ROW(),$Q$2:$Q$2999,1))</f>
        <v/>
      </c>
      <c r="S2178" s="17" t="str">
        <f>IF(INDEX(Listado!A:A,ROW())="","",INDEX(Listado!A:A,ROW()))</f>
        <v/>
      </c>
      <c r="T2178" s="17" t="str">
        <f ca="1">IF(INDEX(Listado!G:G,ROW())="","",INDEX(Listado!G:G,ROW()))</f>
        <v/>
      </c>
      <c r="U2178" s="17" t="str">
        <f>IF(INDEX(Listado!F:F,ROW())="","",INDEX(Listado!F:F,ROW()))</f>
        <v/>
      </c>
      <c r="V2178" s="17">
        <f>IF(COUNTA(INDEX(Listado!B:B,ROW()):INDEX(Listado!F:F,ROW()))&gt;0,1,0)</f>
        <v/>
      </c>
      <c r="W2178" s="17" t="str">
        <f>IF(INDEX(Listado!L:L,ROW())="","",INDEX(Listado!L:L,ROW()))</f>
        <v/>
      </c>
      <c r="X2178" s="17">
        <f>IF(N2178="","",IF(INDEX(Listado!$M:$M,N2178)="No","No","Sí"))</f>
        <v/>
      </c>
    </row>
    <row r="2179" spans="2:24" ht="14.25">
      <c r="N2179" s="17" t="str">
        <f>IF(V2179=0,"",IFERROR(LOOKUP(2,1/(INDEX(Listado!A:A,2):INDEX(Listado!A:A,ROW())&lt;&gt;""),ROW(INDEX(Listado!A:A,2):INDEX(Listado!A:A,ROW()))),""))</f>
        <v/>
      </c>
      <c r="O2179" s="17" t="str">
        <f>IFERROR(IF(N2179="","",IF(INDEX(Listado!M:M,N2179)="No",IF(INDEX(Listado!N:N,N2179)=0,"",INDEX(Listado!N:N,N2179)),IF(INDEX(Listado!I:I,N2179)=0,"",INDEX(Listado!I:I,N2179)))),"")</f>
        <v/>
      </c>
      <c r="P2179" s="17">
        <f t="shared" ca="1" si="103"/>
        <v/>
      </c>
      <c r="Q2179" s="17">
        <f>IFERROR(IF(AND(N2179&lt;&gt;"",ISNUMBER(O2179),O2179&gt;0,O2179&gt;=TODAY()-90),1,0),0)</f>
        <v/>
      </c>
      <c r="R2179" s="17" t="str">
        <f t="shared" si="105"/>
        <v/>
      </c>
      <c r="S2179" s="17" t="str">
        <f>IF(INDEX(Listado!A:A,ROW())="","",INDEX(Listado!A:A,ROW()))</f>
        <v/>
      </c>
      <c r="T2179" s="17" t="str">
        <f ca="1">IF(INDEX(Listado!G:G,ROW())="","",INDEX(Listado!G:G,ROW()))</f>
        <v/>
      </c>
      <c r="U2179" s="17" t="str">
        <f>IF(INDEX(Listado!F:F,ROW())="","",INDEX(Listado!F:F,ROW()))</f>
        <v/>
      </c>
      <c r="V2179" s="17">
        <f>IF(COUNTA(INDEX(Listado!B:B,ROW()):INDEX(Listado!F:F,ROW()))&gt;0,1,0)</f>
        <v/>
      </c>
      <c r="W2179" s="17" t="str">
        <f>IF(INDEX(Listado!L:L,ROW())="","",INDEX(Listado!L:L,ROW()))</f>
        <v/>
      </c>
      <c r="X2179" s="17">
        <f>IF(N2179="","",IF(INDEX(Listado!$M:$M,N2179)="No","No","Sí"))</f>
        <v/>
      </c>
    </row>
    <row r="2180" spans="2:24" ht="14.25">
      <c r="N2180" s="17" t="str">
        <f>IF(V2180=0,"",IFERROR(LOOKUP(2,1/(INDEX(Listado!A:A,2):INDEX(Listado!A:A,ROW())&lt;&gt;""),ROW(INDEX(Listado!A:A,2):INDEX(Listado!A:A,ROW()))),""))</f>
        <v/>
      </c>
      <c r="O2180" s="17" t="str">
        <f>IFERROR(IF(N2180="","",IF(INDEX(Listado!M:M,N2180)="No",IF(INDEX(Listado!N:N,N2180)=0,"",INDEX(Listado!N:N,N2180)),IF(INDEX(Listado!I:I,N2180)=0,"",INDEX(Listado!I:I,N2180)))),"")</f>
        <v/>
      </c>
      <c r="P2180" s="17">
        <f t="shared" ca="1" si="103"/>
        <v/>
      </c>
      <c r="Q2180" s="17">
        <f>IFERROR(IF(AND(N2180&lt;&gt;"",ISNUMBER(O2180),O2180&gt;0,O2180&gt;=TODAY()-90),1,0),0)</f>
        <v/>
      </c>
      <c r="R2180" s="17" t="str">
        <f t="shared" si="105"/>
        <v/>
      </c>
      <c r="S2180" s="17" t="str">
        <f>IF(INDEX(Listado!A:A,ROW())="","",INDEX(Listado!A:A,ROW()))</f>
        <v/>
      </c>
      <c r="T2180" s="17" t="str">
        <f ca="1">IF(INDEX(Listado!G:G,ROW())="","",INDEX(Listado!G:G,ROW()))</f>
        <v/>
      </c>
      <c r="U2180" s="17" t="str">
        <f>IF(INDEX(Listado!F:F,ROW())="","",INDEX(Listado!F:F,ROW()))</f>
        <v/>
      </c>
      <c r="V2180" s="17">
        <f>IF(COUNTA(INDEX(Listado!B:B,ROW()):INDEX(Listado!F:F,ROW()))&gt;0,1,0)</f>
        <v/>
      </c>
      <c r="W2180" s="17" t="str">
        <f>IF(INDEX(Listado!L:L,ROW())="","",INDEX(Listado!L:L,ROW()))</f>
        <v/>
      </c>
      <c r="X2180" s="17">
        <f>IF(N2180="","",IF(INDEX(Listado!$M:$M,N2180)="No","No","Sí"))</f>
        <v/>
      </c>
    </row>
    <row r="2181" spans="2:24" ht="14.25">
      <c r="N2181" s="17" t="str">
        <f>IF(V2181=0,"",IFERROR(LOOKUP(2,1/(INDEX(Listado!A:A,2):INDEX(Listado!A:A,ROW())&lt;&gt;""),ROW(INDEX(Listado!A:A,2):INDEX(Listado!A:A,ROW()))),""))</f>
        <v/>
      </c>
      <c r="O2181" s="17" t="str">
        <f>IFERROR(IF(N2181="","",IF(INDEX(Listado!M:M,N2181)="No",IF(INDEX(Listado!N:N,N2181)=0,"",INDEX(Listado!N:N,N2181)),IF(INDEX(Listado!I:I,N2181)=0,"",INDEX(Listado!I:I,N2181)))),"")</f>
        <v/>
      </c>
      <c r="P2181" s="17">
        <f t="shared" ca="1" si="103"/>
        <v/>
      </c>
      <c r="Q2181" s="17">
        <f>IFERROR(IF(AND(N2181&lt;&gt;"",ISNUMBER(O2181),O2181&gt;0,O2181&gt;=TODAY()-90),1,0),0)</f>
        <v/>
      </c>
      <c r="R2181" s="17" t="str">
        <f t="shared" si="105"/>
        <v/>
      </c>
      <c r="S2181" s="17" t="str">
        <f>IF(INDEX(Listado!A:A,ROW())="","",INDEX(Listado!A:A,ROW()))</f>
        <v/>
      </c>
      <c r="T2181" s="17" t="str">
        <f ca="1">IF(INDEX(Listado!G:G,ROW())="","",INDEX(Listado!G:G,ROW()))</f>
        <v/>
      </c>
      <c r="U2181" s="17" t="str">
        <f>IF(INDEX(Listado!F:F,ROW())="","",INDEX(Listado!F:F,ROW()))</f>
        <v/>
      </c>
      <c r="V2181" s="17">
        <f>IF(COUNTA(INDEX(Listado!B:B,ROW()):INDEX(Listado!F:F,ROW()))&gt;0,1,0)</f>
        <v/>
      </c>
      <c r="W2181" s="17" t="str">
        <f>IF(INDEX(Listado!L:L,ROW())="","",INDEX(Listado!L:L,ROW()))</f>
        <v/>
      </c>
      <c r="X2181" s="17">
        <f>IF(N2181="","",IF(INDEX(Listado!$M:$M,N2181)="No","No","Sí"))</f>
        <v/>
      </c>
    </row>
    <row r="2182" spans="2:24" ht="14.25">
      <c r="N2182" s="17" t="str">
        <f>IF(V2182=0,"",IFERROR(LOOKUP(2,1/(INDEX(Listado!A:A,2):INDEX(Listado!A:A,ROW())&lt;&gt;""),ROW(INDEX(Listado!A:A,2):INDEX(Listado!A:A,ROW()))),""))</f>
        <v/>
      </c>
      <c r="O2182" s="17" t="str">
        <f>IFERROR(IF(N2182="","",IF(INDEX(Listado!M:M,N2182)="No",IF(INDEX(Listado!N:N,N2182)=0,"",INDEX(Listado!N:N,N2182)),IF(INDEX(Listado!I:I,N2182)=0,"",INDEX(Listado!I:I,N2182)))),"")</f>
        <v/>
      </c>
      <c r="P2182" s="17">
        <f t="shared" ca="1" si="103"/>
        <v/>
      </c>
      <c r="Q2182" s="17">
        <f>IFERROR(IF(AND(N2182&lt;&gt;"",ISNUMBER(O2182),O2182&gt;0,O2182&gt;=TODAY()-90),1,0),0)</f>
        <v/>
      </c>
      <c r="R2182" s="17" t="str">
        <f t="shared" si="105"/>
        <v/>
      </c>
      <c r="S2182" s="17" t="str">
        <f>IF(INDEX(Listado!A:A,ROW())="","",INDEX(Listado!A:A,ROW()))</f>
        <v/>
      </c>
      <c r="T2182" s="17" t="str">
        <f ca="1">IF(INDEX(Listado!G:G,ROW())="","",INDEX(Listado!G:G,ROW()))</f>
        <v/>
      </c>
      <c r="U2182" s="17" t="str">
        <f>IF(INDEX(Listado!F:F,ROW())="","",INDEX(Listado!F:F,ROW()))</f>
        <v/>
      </c>
      <c r="V2182" s="17">
        <f>IF(COUNTA(INDEX(Listado!B:B,ROW()):INDEX(Listado!F:F,ROW()))&gt;0,1,0)</f>
        <v/>
      </c>
      <c r="W2182" s="17" t="str">
        <f>IF(INDEX(Listado!L:L,ROW())="","",INDEX(Listado!L:L,ROW()))</f>
        <v/>
      </c>
      <c r="X2182" s="17">
        <f>IF(N2182="","",IF(INDEX(Listado!$M:$M,N2182)="No","No","Sí"))</f>
        <v/>
      </c>
    </row>
    <row r="2183" spans="2:24" ht="14.25">
      <c r="N2183" s="17" t="str">
        <f>IF(V2183=0,"",IFERROR(LOOKUP(2,1/(INDEX(Listado!A:A,2):INDEX(Listado!A:A,ROW())&lt;&gt;""),ROW(INDEX(Listado!A:A,2):INDEX(Listado!A:A,ROW()))),""))</f>
        <v/>
      </c>
      <c r="O2183" s="17" t="str">
        <f>IFERROR(IF(N2183="","",IF(INDEX(Listado!M:M,N2183)="No",IF(INDEX(Listado!N:N,N2183)=0,"",INDEX(Listado!N:N,N2183)),IF(INDEX(Listado!I:I,N2183)=0,"",INDEX(Listado!I:I,N2183)))),"")</f>
        <v/>
      </c>
      <c r="P2183" s="17">
        <f t="shared" ca="1" si="103"/>
        <v/>
      </c>
      <c r="Q2183" s="17">
        <f>IFERROR(IF(AND(N2183&lt;&gt;"",ISNUMBER(O2183),O2183&gt;0,O2183&gt;=TODAY()-90),1,0),0)</f>
        <v/>
      </c>
      <c r="R2183" s="17" t="str">
        <f t="shared" si="105"/>
        <v/>
      </c>
      <c r="S2183" s="17" t="str">
        <f>IF(INDEX(Listado!A:A,ROW())="","",INDEX(Listado!A:A,ROW()))</f>
        <v/>
      </c>
      <c r="T2183" s="17" t="str">
        <f ca="1">IF(INDEX(Listado!G:G,ROW())="","",INDEX(Listado!G:G,ROW()))</f>
        <v/>
      </c>
      <c r="U2183" s="17" t="str">
        <f>IF(INDEX(Listado!F:F,ROW())="","",INDEX(Listado!F:F,ROW()))</f>
        <v/>
      </c>
      <c r="V2183" s="17">
        <f>IF(COUNTA(INDEX(Listado!B:B,ROW()):INDEX(Listado!F:F,ROW()))&gt;0,1,0)</f>
        <v/>
      </c>
      <c r="W2183" s="17" t="str">
        <f>IF(INDEX(Listado!L:L,ROW())="","",INDEX(Listado!L:L,ROW()))</f>
        <v/>
      </c>
      <c r="X2183" s="17">
        <f>IF(N2183="","",IF(INDEX(Listado!$M:$M,N2183)="No","No","Sí"))</f>
        <v/>
      </c>
    </row>
    <row r="2184" spans="2:24" ht="14.25">
      <c r="N2184" s="17" t="str">
        <f>IF(V2184=0,"",IFERROR(LOOKUP(2,1/(INDEX(Listado!A:A,2):INDEX(Listado!A:A,ROW())&lt;&gt;""),ROW(INDEX(Listado!A:A,2):INDEX(Listado!A:A,ROW()))),""))</f>
        <v/>
      </c>
      <c r="O2184" s="17" t="str">
        <f>IFERROR(IF(N2184="","",IF(INDEX(Listado!M:M,N2184)="No",IF(INDEX(Listado!N:N,N2184)=0,"",INDEX(Listado!N:N,N2184)),IF(INDEX(Listado!I:I,N2184)=0,"",INDEX(Listado!I:I,N2184)))),"")</f>
        <v/>
      </c>
      <c r="P2184" s="17">
        <f t="shared" ca="1" si="103"/>
        <v/>
      </c>
      <c r="Q2184" s="17">
        <f>IFERROR(IF(AND(N2184&lt;&gt;"",ISNUMBER(O2184),O2184&gt;0,O2184&gt;=TODAY()-90),1,0),0)</f>
        <v/>
      </c>
      <c r="R2184" s="17" t="str">
        <f t="shared" si="105"/>
        <v/>
      </c>
      <c r="S2184" s="17" t="str">
        <f>IF(INDEX(Listado!A:A,ROW())="","",INDEX(Listado!A:A,ROW()))</f>
        <v/>
      </c>
      <c r="T2184" s="17" t="str">
        <f ca="1">IF(INDEX(Listado!G:G,ROW())="","",INDEX(Listado!G:G,ROW()))</f>
        <v/>
      </c>
      <c r="U2184" s="17" t="str">
        <f>IF(INDEX(Listado!F:F,ROW())="","",INDEX(Listado!F:F,ROW()))</f>
        <v/>
      </c>
      <c r="V2184" s="17">
        <f>IF(COUNTA(INDEX(Listado!B:B,ROW()):INDEX(Listado!F:F,ROW()))&gt;0,1,0)</f>
        <v/>
      </c>
      <c r="W2184" s="17" t="str">
        <f>IF(INDEX(Listado!L:L,ROW())="","",INDEX(Listado!L:L,ROW()))</f>
        <v/>
      </c>
      <c r="X2184" s="17">
        <f>IF(N2184="","",IF(INDEX(Listado!$M:$M,N2184)="No","No","Sí"))</f>
        <v/>
      </c>
    </row>
    <row r="2185" spans="2:24" ht="14.25">
      <c r="N2185" s="17" t="str">
        <f>IF(V2185=0,"",IFERROR(LOOKUP(2,1/(INDEX(Listado!A:A,2):INDEX(Listado!A:A,ROW())&lt;&gt;""),ROW(INDEX(Listado!A:A,2):INDEX(Listado!A:A,ROW()))),""))</f>
        <v/>
      </c>
      <c r="O2185" s="17" t="str">
        <f>IFERROR(IF(N2185="","",IF(INDEX(Listado!M:M,N2185)="No",IF(INDEX(Listado!N:N,N2185)=0,"",INDEX(Listado!N:N,N2185)),IF(INDEX(Listado!I:I,N2185)=0,"",INDEX(Listado!I:I,N2185)))),"")</f>
        <v/>
      </c>
      <c r="P2185" s="17">
        <f t="shared" ca="1" si="103"/>
        <v/>
      </c>
      <c r="Q2185" s="17">
        <f>IFERROR(IF(AND(N2185&lt;&gt;"",ISNUMBER(O2185),O2185&gt;0,O2185&gt;=TODAY()-90),1,0),0)</f>
        <v/>
      </c>
      <c r="R2185" s="17" t="str">
        <f t="shared" si="105"/>
        <v/>
      </c>
      <c r="S2185" s="17" t="str">
        <f>IF(INDEX(Listado!A:A,ROW())="","",INDEX(Listado!A:A,ROW()))</f>
        <v/>
      </c>
      <c r="T2185" s="17" t="str">
        <f ca="1">IF(INDEX(Listado!G:G,ROW())="","",INDEX(Listado!G:G,ROW()))</f>
        <v/>
      </c>
      <c r="U2185" s="17" t="str">
        <f>IF(INDEX(Listado!F:F,ROW())="","",INDEX(Listado!F:F,ROW()))</f>
        <v/>
      </c>
      <c r="V2185" s="17">
        <f>IF(COUNTA(INDEX(Listado!B:B,ROW()):INDEX(Listado!F:F,ROW()))&gt;0,1,0)</f>
        <v/>
      </c>
      <c r="W2185" s="17" t="str">
        <f>IF(INDEX(Listado!L:L,ROW())="","",INDEX(Listado!L:L,ROW()))</f>
        <v/>
      </c>
      <c r="X2185" s="17">
        <f>IF(N2185="","",IF(INDEX(Listado!$M:$M,N2185)="No","No","Sí"))</f>
        <v/>
      </c>
    </row>
    <row r="2186" spans="2:24" ht="14.25">
      <c r="N2186" s="17" t="str">
        <f>IF(V2186=0,"",IFERROR(LOOKUP(2,1/(INDEX(Listado!A:A,2):INDEX(Listado!A:A,ROW())&lt;&gt;""),ROW(INDEX(Listado!A:A,2):INDEX(Listado!A:A,ROW()))),""))</f>
        <v/>
      </c>
      <c r="O2186" s="17" t="str">
        <f>IFERROR(IF(N2186="","",IF(INDEX(Listado!M:M,N2186)="No",IF(INDEX(Listado!N:N,N2186)=0,"",INDEX(Listado!N:N,N2186)),IF(INDEX(Listado!I:I,N2186)=0,"",INDEX(Listado!I:I,N2186)))),"")</f>
        <v/>
      </c>
      <c r="P2186" s="17">
        <f t="shared" ca="1" si="103"/>
        <v/>
      </c>
      <c r="Q2186" s="17">
        <f>IFERROR(IF(AND(N2186&lt;&gt;"",ISNUMBER(O2186),O2186&gt;0,O2186&gt;=TODAY()-90),1,0),0)</f>
        <v/>
      </c>
      <c r="R2186" s="17" t="str">
        <f t="shared" si="105"/>
        <v/>
      </c>
      <c r="S2186" s="17" t="str">
        <f>IF(INDEX(Listado!A:A,ROW())="","",INDEX(Listado!A:A,ROW()))</f>
        <v/>
      </c>
      <c r="T2186" s="17" t="str">
        <f ca="1">IF(INDEX(Listado!G:G,ROW())="","",INDEX(Listado!G:G,ROW()))</f>
        <v/>
      </c>
      <c r="U2186" s="17" t="str">
        <f>IF(INDEX(Listado!F:F,ROW())="","",INDEX(Listado!F:F,ROW()))</f>
        <v/>
      </c>
      <c r="V2186" s="17">
        <f>IF(COUNTA(INDEX(Listado!B:B,ROW()):INDEX(Listado!F:F,ROW()))&gt;0,1,0)</f>
        <v/>
      </c>
      <c r="W2186" s="17" t="str">
        <f>IF(INDEX(Listado!L:L,ROW())="","",INDEX(Listado!L:L,ROW()))</f>
        <v/>
      </c>
      <c r="X2186" s="17">
        <f>IF(N2186="","",IF(INDEX(Listado!$M:$M,N2186)="No","No","Sí"))</f>
        <v/>
      </c>
    </row>
    <row r="2187" spans="2:24" ht="14.25">
      <c r="N2187" s="17" t="str">
        <f>IF(V2187=0,"",IFERROR(LOOKUP(2,1/(INDEX(Listado!A:A,2):INDEX(Listado!A:A,ROW())&lt;&gt;""),ROW(INDEX(Listado!A:A,2):INDEX(Listado!A:A,ROW()))),""))</f>
        <v/>
      </c>
      <c r="O2187" s="17" t="str">
        <f>IFERROR(IF(N2187="","",IF(INDEX(Listado!M:M,N2187)="No",IF(INDEX(Listado!N:N,N2187)=0,"",INDEX(Listado!N:N,N2187)),IF(INDEX(Listado!I:I,N2187)=0,"",INDEX(Listado!I:I,N2187)))),"")</f>
        <v/>
      </c>
      <c r="P2187" s="17">
        <f t="shared" ca="1" si="103"/>
        <v/>
      </c>
      <c r="Q2187" s="17">
        <f>IFERROR(IF(AND(N2187&lt;&gt;"",ISNUMBER(O2187),O2187&gt;0,O2187&gt;=TODAY()-90),1,0),0)</f>
        <v/>
      </c>
      <c r="R2187" s="17" t="str">
        <f t="shared" si="105"/>
        <v/>
      </c>
      <c r="S2187" s="17" t="str">
        <f>IF(INDEX(Listado!A:A,ROW())="","",INDEX(Listado!A:A,ROW()))</f>
        <v/>
      </c>
      <c r="T2187" s="17" t="str">
        <f ca="1">IF(INDEX(Listado!G:G,ROW())="","",INDEX(Listado!G:G,ROW()))</f>
        <v/>
      </c>
      <c r="U2187" s="17" t="str">
        <f>IF(INDEX(Listado!F:F,ROW())="","",INDEX(Listado!F:F,ROW()))</f>
        <v/>
      </c>
      <c r="V2187" s="17">
        <f>IF(COUNTA(INDEX(Listado!B:B,ROW()):INDEX(Listado!F:F,ROW()))&gt;0,1,0)</f>
        <v/>
      </c>
      <c r="W2187" s="17" t="str">
        <f>IF(INDEX(Listado!L:L,ROW())="","",INDEX(Listado!L:L,ROW()))</f>
        <v/>
      </c>
      <c r="X2187" s="17">
        <f>IF(N2187="","",IF(INDEX(Listado!$M:$M,N2187)="No","No","Sí"))</f>
        <v/>
      </c>
    </row>
    <row r="2188" spans="2:24" ht="14.25">
      <c r="N2188" s="17" t="str">
        <f>IF(V2188=0,"",IFERROR(LOOKUP(2,1/(INDEX(Listado!A:A,2):INDEX(Listado!A:A,ROW())&lt;&gt;""),ROW(INDEX(Listado!A:A,2):INDEX(Listado!A:A,ROW()))),""))</f>
        <v/>
      </c>
      <c r="O2188" s="17" t="str">
        <f>IFERROR(IF(N2188="","",IF(INDEX(Listado!M:M,N2188)="No",IF(INDEX(Listado!N:N,N2188)=0,"",INDEX(Listado!N:N,N2188)),IF(INDEX(Listado!I:I,N2188)=0,"",INDEX(Listado!I:I,N2188)))),"")</f>
        <v/>
      </c>
      <c r="P2188" s="17">
        <f t="shared" ca="1" si="103"/>
        <v/>
      </c>
      <c r="Q2188" s="17">
        <f>IFERROR(IF(AND(N2188&lt;&gt;"",ISNUMBER(O2188),O2188&gt;0,O2188&gt;=TODAY()-90),1,0),0)</f>
        <v/>
      </c>
      <c r="R2188" s="17" t="str">
        <f t="shared" si="105"/>
        <v/>
      </c>
      <c r="S2188" s="17" t="str">
        <f>IF(INDEX(Listado!A:A,ROW())="","",INDEX(Listado!A:A,ROW()))</f>
        <v/>
      </c>
      <c r="T2188" s="17" t="str">
        <f ca="1">IF(INDEX(Listado!G:G,ROW())="","",INDEX(Listado!G:G,ROW()))</f>
        <v/>
      </c>
      <c r="U2188" s="17" t="str">
        <f>IF(INDEX(Listado!F:F,ROW())="","",INDEX(Listado!F:F,ROW()))</f>
        <v/>
      </c>
      <c r="V2188" s="17">
        <f>IF(COUNTA(INDEX(Listado!B:B,ROW()):INDEX(Listado!F:F,ROW()))&gt;0,1,0)</f>
        <v/>
      </c>
      <c r="W2188" s="17" t="str">
        <f>IF(INDEX(Listado!L:L,ROW())="","",INDEX(Listado!L:L,ROW()))</f>
        <v/>
      </c>
      <c r="X2188" s="17">
        <f>IF(N2188="","",IF(INDEX(Listado!$M:$M,N2188)="No","No","Sí"))</f>
        <v/>
      </c>
    </row>
    <row r="2189" spans="2:24" ht="14.25">
      <c r="N2189" s="17" t="str">
        <f>IF(V2189=0,"",IFERROR(LOOKUP(2,1/(INDEX(Listado!A:A,2):INDEX(Listado!A:A,ROW())&lt;&gt;""),ROW(INDEX(Listado!A:A,2):INDEX(Listado!A:A,ROW()))),""))</f>
        <v/>
      </c>
      <c r="O2189" s="17" t="str">
        <f>IFERROR(IF(N2189="","",IF(INDEX(Listado!M:M,N2189)="No",IF(INDEX(Listado!N:N,N2189)=0,"",INDEX(Listado!N:N,N2189)),IF(INDEX(Listado!I:I,N2189)=0,"",INDEX(Listado!I:I,N2189)))),"")</f>
        <v/>
      </c>
      <c r="P2189" s="17">
        <f t="shared" ca="1" si="103"/>
        <v/>
      </c>
      <c r="Q2189" s="17">
        <f>IFERROR(IF(AND(N2189&lt;&gt;"",ISNUMBER(O2189),O2189&gt;0,O2189&gt;=TODAY()-90),1,0),0)</f>
        <v/>
      </c>
      <c r="R2189" s="17" t="str">
        <f t="shared" si="105"/>
        <v/>
      </c>
      <c r="S2189" s="17" t="str">
        <f>IF(INDEX(Listado!A:A,ROW())="","",INDEX(Listado!A:A,ROW()))</f>
        <v/>
      </c>
      <c r="T2189" s="17" t="str">
        <f ca="1">IF(INDEX(Listado!G:G,ROW())="","",INDEX(Listado!G:G,ROW()))</f>
        <v/>
      </c>
      <c r="U2189" s="17" t="str">
        <f>IF(INDEX(Listado!F:F,ROW())="","",INDEX(Listado!F:F,ROW()))</f>
        <v/>
      </c>
      <c r="V2189" s="17">
        <f>IF(COUNTA(INDEX(Listado!B:B,ROW()):INDEX(Listado!F:F,ROW()))&gt;0,1,0)</f>
        <v/>
      </c>
      <c r="W2189" s="17" t="str">
        <f>IF(INDEX(Listado!L:L,ROW())="","",INDEX(Listado!L:L,ROW()))</f>
        <v/>
      </c>
      <c r="X2189" s="17">
        <f>IF(N2189="","",IF(INDEX(Listado!$M:$M,N2189)="No","No","Sí"))</f>
        <v/>
      </c>
    </row>
    <row r="2190" spans="2:24" ht="14.25">
      <c r="N2190" s="17" t="str">
        <f>IF(V2190=0,"",IFERROR(LOOKUP(2,1/(INDEX(Listado!A:A,2):INDEX(Listado!A:A,ROW())&lt;&gt;""),ROW(INDEX(Listado!A:A,2):INDEX(Listado!A:A,ROW()))),""))</f>
        <v/>
      </c>
      <c r="O2190" s="17" t="str">
        <f>IFERROR(IF(N2190="","",IF(INDEX(Listado!M:M,N2190)="No",IF(INDEX(Listado!N:N,N2190)=0,"",INDEX(Listado!N:N,N2190)),IF(INDEX(Listado!I:I,N2190)=0,"",INDEX(Listado!I:I,N2190)))),"")</f>
        <v/>
      </c>
      <c r="P2190" s="17">
        <f t="shared" ca="1" si="103"/>
        <v/>
      </c>
      <c r="Q2190" s="17">
        <f>IFERROR(IF(AND(N2190&lt;&gt;"",ISNUMBER(O2190),O2190&gt;0,O2190&gt;=TODAY()-90),1,0),0)</f>
        <v/>
      </c>
      <c r="R2190" s="17" t="str">
        <f t="shared" si="105"/>
        <v/>
      </c>
      <c r="S2190" s="17" t="str">
        <f>IF(INDEX(Listado!A:A,ROW())="","",INDEX(Listado!A:A,ROW()))</f>
        <v/>
      </c>
      <c r="T2190" s="17" t="str">
        <f ca="1">IF(INDEX(Listado!G:G,ROW())="","",INDEX(Listado!G:G,ROW()))</f>
        <v/>
      </c>
      <c r="U2190" s="17" t="str">
        <f>IF(INDEX(Listado!F:F,ROW())="","",INDEX(Listado!F:F,ROW()))</f>
        <v/>
      </c>
      <c r="V2190" s="17">
        <f>IF(COUNTA(INDEX(Listado!B:B,ROW()):INDEX(Listado!F:F,ROW()))&gt;0,1,0)</f>
        <v/>
      </c>
      <c r="W2190" s="17" t="str">
        <f>IF(INDEX(Listado!L:L,ROW())="","",INDEX(Listado!L:L,ROW()))</f>
        <v/>
      </c>
      <c r="X2190" s="17">
        <f>IF(N2190="","",IF(INDEX(Listado!$M:$M,N2190)="No","No","Sí"))</f>
        <v/>
      </c>
    </row>
    <row r="2191" spans="2:24" ht="14.25">
      <c r="N2191" s="17" t="str">
        <f>IF(V2191=0,"",IFERROR(LOOKUP(2,1/(INDEX(Listado!A:A,2):INDEX(Listado!A:A,ROW())&lt;&gt;""),ROW(INDEX(Listado!A:A,2):INDEX(Listado!A:A,ROW()))),""))</f>
        <v/>
      </c>
      <c r="O2191" s="17" t="str">
        <f>IFERROR(IF(N2191="","",IF(INDEX(Listado!M:M,N2191)="No",IF(INDEX(Listado!N:N,N2191)=0,"",INDEX(Listado!N:N,N2191)),IF(INDEX(Listado!I:I,N2191)=0,"",INDEX(Listado!I:I,N2191)))),"")</f>
        <v/>
      </c>
      <c r="P2191" s="17">
        <f t="shared" ca="1" si="103"/>
        <v/>
      </c>
      <c r="Q2191" s="17">
        <f>IFERROR(IF(AND(N2191&lt;&gt;"",ISNUMBER(O2191),O2191&gt;0,O2191&gt;=TODAY()-90),1,0),0)</f>
        <v/>
      </c>
      <c r="R2191" s="17" t="str">
        <f t="shared" si="105"/>
        <v/>
      </c>
      <c r="S2191" s="17" t="str">
        <f>IF(INDEX(Listado!A:A,ROW())="","",INDEX(Listado!A:A,ROW()))</f>
        <v/>
      </c>
      <c r="T2191" s="17" t="str">
        <f ca="1">IF(INDEX(Listado!G:G,ROW())="","",INDEX(Listado!G:G,ROW()))</f>
        <v/>
      </c>
      <c r="U2191" s="17" t="str">
        <f>IF(INDEX(Listado!F:F,ROW())="","",INDEX(Listado!F:F,ROW()))</f>
        <v/>
      </c>
      <c r="V2191" s="17">
        <f>IF(COUNTA(INDEX(Listado!B:B,ROW()):INDEX(Listado!F:F,ROW()))&gt;0,1,0)</f>
        <v/>
      </c>
      <c r="W2191" s="17" t="str">
        <f>IF(INDEX(Listado!L:L,ROW())="","",INDEX(Listado!L:L,ROW()))</f>
        <v/>
      </c>
      <c r="X2191" s="17">
        <f>IF(N2191="","",IF(INDEX(Listado!$M:$M,N2191)="No","No","Sí"))</f>
        <v/>
      </c>
    </row>
    <row r="2192" spans="2:24" ht="14.25">
      <c r="N2192" s="17" t="str">
        <f>IF(V2192=0,"",IFERROR(LOOKUP(2,1/(INDEX(Listado!A:A,2):INDEX(Listado!A:A,ROW())&lt;&gt;""),ROW(INDEX(Listado!A:A,2):INDEX(Listado!A:A,ROW()))),""))</f>
        <v/>
      </c>
      <c r="O2192" s="17" t="str">
        <f>IFERROR(IF(N2192="","",IF(INDEX(Listado!M:M,N2192)="No",IF(INDEX(Listado!N:N,N2192)=0,"",INDEX(Listado!N:N,N2192)),IF(INDEX(Listado!I:I,N2192)=0,"",INDEX(Listado!I:I,N2192)))),"")</f>
        <v/>
      </c>
      <c r="P2192" s="17">
        <f t="shared" ca="1" si="103"/>
        <v/>
      </c>
      <c r="Q2192" s="17">
        <f>IFERROR(IF(AND(N2192&lt;&gt;"",ISNUMBER(O2192),O2192&gt;0,O2192&gt;=TODAY()-90),1,0),0)</f>
        <v/>
      </c>
      <c r="R2192" s="17" t="str">
        <f t="shared" si="105"/>
        <v/>
      </c>
      <c r="S2192" s="17" t="str">
        <f>IF(INDEX(Listado!A:A,ROW())="","",INDEX(Listado!A:A,ROW()))</f>
        <v/>
      </c>
      <c r="T2192" s="17" t="str">
        <f ca="1">IF(INDEX(Listado!G:G,ROW())="","",INDEX(Listado!G:G,ROW()))</f>
        <v/>
      </c>
      <c r="U2192" s="17" t="str">
        <f>IF(INDEX(Listado!F:F,ROW())="","",INDEX(Listado!F:F,ROW()))</f>
        <v/>
      </c>
      <c r="V2192" s="17">
        <f>IF(COUNTA(INDEX(Listado!B:B,ROW()):INDEX(Listado!F:F,ROW()))&gt;0,1,0)</f>
        <v/>
      </c>
      <c r="W2192" s="17" t="str">
        <f>IF(INDEX(Listado!L:L,ROW())="","",INDEX(Listado!L:L,ROW()))</f>
        <v/>
      </c>
      <c r="X2192" s="17">
        <f>IF(N2192="","",IF(INDEX(Listado!$M:$M,N2192)="No","No","Sí"))</f>
        <v/>
      </c>
    </row>
    <row r="2193" spans="2:24" ht="14.25">
      <c r="N2193" s="17" t="str">
        <f>IF(V2193=0,"",IFERROR(LOOKUP(2,1/(INDEX(Listado!A:A,2):INDEX(Listado!A:A,ROW())&lt;&gt;""),ROW(INDEX(Listado!A:A,2):INDEX(Listado!A:A,ROW()))),""))</f>
        <v/>
      </c>
      <c r="O2193" s="17" t="str">
        <f>IFERROR(IF(N2193="","",IF(INDEX(Listado!M:M,N2193)="No",IF(INDEX(Listado!N:N,N2193)=0,"",INDEX(Listado!N:N,N2193)),IF(INDEX(Listado!I:I,N2193)=0,"",INDEX(Listado!I:I,N2193)))),"")</f>
        <v/>
      </c>
      <c r="P2193" s="17">
        <f t="shared" ca="1" si="103"/>
        <v/>
      </c>
      <c r="Q2193" s="17">
        <f>IFERROR(IF(AND(N2193&lt;&gt;"",ISNUMBER(O2193),O2193&gt;0,O2193&gt;=TODAY()-90),1,0),0)</f>
        <v/>
      </c>
      <c r="R2193" s="17" t="str">
        <f t="shared" si="105"/>
        <v/>
      </c>
      <c r="S2193" s="17" t="str">
        <f>IF(INDEX(Listado!A:A,ROW())="","",INDEX(Listado!A:A,ROW()))</f>
        <v/>
      </c>
      <c r="T2193" s="17" t="str">
        <f ca="1">IF(INDEX(Listado!G:G,ROW())="","",INDEX(Listado!G:G,ROW()))</f>
        <v/>
      </c>
      <c r="U2193" s="17" t="str">
        <f>IF(INDEX(Listado!F:F,ROW())="","",INDEX(Listado!F:F,ROW()))</f>
        <v/>
      </c>
      <c r="V2193" s="17">
        <f>IF(COUNTA(INDEX(Listado!B:B,ROW()):INDEX(Listado!F:F,ROW()))&gt;0,1,0)</f>
        <v/>
      </c>
      <c r="W2193" s="17" t="str">
        <f>IF(INDEX(Listado!L:L,ROW())="","",INDEX(Listado!L:L,ROW()))</f>
        <v/>
      </c>
      <c r="X2193" s="17">
        <f>IF(N2193="","",IF(INDEX(Listado!$M:$M,N2193)="No","No","Sí"))</f>
        <v/>
      </c>
    </row>
    <row r="2194" spans="2:24" ht="14.25">
      <c r="N2194" s="17" t="str">
        <f>IF(V2194=0,"",IFERROR(LOOKUP(2,1/(INDEX(Listado!A:A,2):INDEX(Listado!A:A,ROW())&lt;&gt;""),ROW(INDEX(Listado!A:A,2):INDEX(Listado!A:A,ROW()))),""))</f>
        <v/>
      </c>
      <c r="O2194" s="17" t="str">
        <f>IFERROR(IF(N2194="","",IF(INDEX(Listado!M:M,N2194)="No",IF(INDEX(Listado!N:N,N2194)=0,"",INDEX(Listado!N:N,N2194)),IF(INDEX(Listado!I:I,N2194)=0,"",INDEX(Listado!I:I,N2194)))),"")</f>
        <v/>
      </c>
      <c r="P2194" s="17">
        <f t="shared" ca="1" si="103"/>
        <v/>
      </c>
      <c r="Q2194" s="17">
        <f>IFERROR(IF(AND(N2194&lt;&gt;"",ISNUMBER(O2194),O2194&gt;0,O2194&gt;=TODAY()-90),1,0),0)</f>
        <v/>
      </c>
      <c r="R2194" s="17" t="str">
        <f t="shared" si="105"/>
        <v/>
      </c>
      <c r="S2194" s="17" t="str">
        <f>IF(INDEX(Listado!A:A,ROW())="","",INDEX(Listado!A:A,ROW()))</f>
        <v/>
      </c>
      <c r="T2194" s="17" t="str">
        <f ca="1">IF(INDEX(Listado!G:G,ROW())="","",INDEX(Listado!G:G,ROW()))</f>
        <v/>
      </c>
      <c r="U2194" s="17" t="str">
        <f>IF(INDEX(Listado!F:F,ROW())="","",INDEX(Listado!F:F,ROW()))</f>
        <v/>
      </c>
      <c r="V2194" s="17">
        <f>IF(COUNTA(INDEX(Listado!B:B,ROW()):INDEX(Listado!F:F,ROW()))&gt;0,1,0)</f>
        <v/>
      </c>
      <c r="W2194" s="17" t="str">
        <f>IF(INDEX(Listado!L:L,ROW())="","",INDEX(Listado!L:L,ROW()))</f>
        <v/>
      </c>
      <c r="X2194" s="17">
        <f>IF(N2194="","",IF(INDEX(Listado!$M:$M,N2194)="No","No","Sí"))</f>
        <v/>
      </c>
    </row>
    <row r="2195" spans="2:24" ht="14.25">
      <c r="N2195" s="17" t="str">
        <f>IF(V2195=0,"",IFERROR(LOOKUP(2,1/(INDEX(Listado!A:A,2):INDEX(Listado!A:A,ROW())&lt;&gt;""),ROW(INDEX(Listado!A:A,2):INDEX(Listado!A:A,ROW()))),""))</f>
        <v/>
      </c>
      <c r="O2195" s="17" t="str">
        <f>IFERROR(IF(N2195="","",IF(INDEX(Listado!M:M,N2195)="No",IF(INDEX(Listado!N:N,N2195)=0,"",INDEX(Listado!N:N,N2195)),IF(INDEX(Listado!I:I,N2195)=0,"",INDEX(Listado!I:I,N2195)))),"")</f>
        <v/>
      </c>
      <c r="P2195" s="17">
        <f t="shared" ca="1" si="103"/>
        <v/>
      </c>
      <c r="Q2195" s="17">
        <f>IFERROR(IF(AND(N2195&lt;&gt;"",ISNUMBER(O2195),O2195&gt;0,O2195&gt;=TODAY()-90),1,0),0)</f>
        <v/>
      </c>
      <c r="R2195" s="17" t="str">
        <f t="shared" si="105"/>
        <v/>
      </c>
      <c r="S2195" s="17" t="str">
        <f>IF(INDEX(Listado!A:A,ROW())="","",INDEX(Listado!A:A,ROW()))</f>
        <v/>
      </c>
      <c r="T2195" s="17" t="str">
        <f ca="1">IF(INDEX(Listado!G:G,ROW())="","",INDEX(Listado!G:G,ROW()))</f>
        <v/>
      </c>
      <c r="U2195" s="17" t="str">
        <f>IF(INDEX(Listado!F:F,ROW())="","",INDEX(Listado!F:F,ROW()))</f>
        <v/>
      </c>
      <c r="V2195" s="17">
        <f>IF(COUNTA(INDEX(Listado!B:B,ROW()):INDEX(Listado!F:F,ROW()))&gt;0,1,0)</f>
        <v/>
      </c>
      <c r="W2195" s="17" t="str">
        <f>IF(INDEX(Listado!L:L,ROW())="","",INDEX(Listado!L:L,ROW()))</f>
        <v/>
      </c>
      <c r="X2195" s="17">
        <f>IF(N2195="","",IF(INDEX(Listado!$M:$M,N2195)="No","No","Sí"))</f>
        <v/>
      </c>
    </row>
    <row r="2196" spans="2:24" ht="14.25">
      <c r="N2196" s="17" t="str">
        <f>IF(V2196=0,"",IFERROR(LOOKUP(2,1/(INDEX(Listado!A:A,2):INDEX(Listado!A:A,ROW())&lt;&gt;""),ROW(INDEX(Listado!A:A,2):INDEX(Listado!A:A,ROW()))),""))</f>
        <v/>
      </c>
      <c r="O2196" s="17" t="str">
        <f>IFERROR(IF(N2196="","",IF(INDEX(Listado!M:M,N2196)="No",IF(INDEX(Listado!N:N,N2196)=0,"",INDEX(Listado!N:N,N2196)),IF(INDEX(Listado!I:I,N2196)=0,"",INDEX(Listado!I:I,N2196)))),"")</f>
        <v/>
      </c>
      <c r="P2196" s="17">
        <f t="shared" ca="1" si="103"/>
        <v/>
      </c>
      <c r="Q2196" s="17">
        <f>IFERROR(IF(AND(N2196&lt;&gt;"",ISNUMBER(O2196),O2196&gt;0,O2196&gt;=TODAY()-90),1,0),0)</f>
        <v/>
      </c>
      <c r="R2196" s="17" t="str">
        <f t="shared" si="105"/>
        <v/>
      </c>
      <c r="S2196" s="17" t="str">
        <f>IF(INDEX(Listado!A:A,ROW())="","",INDEX(Listado!A:A,ROW()))</f>
        <v/>
      </c>
      <c r="T2196" s="17" t="str">
        <f ca="1">IF(INDEX(Listado!G:G,ROW())="","",INDEX(Listado!G:G,ROW()))</f>
        <v/>
      </c>
      <c r="U2196" s="17" t="str">
        <f>IF(INDEX(Listado!F:F,ROW())="","",INDEX(Listado!F:F,ROW()))</f>
        <v/>
      </c>
      <c r="V2196" s="17">
        <f>IF(COUNTA(INDEX(Listado!B:B,ROW()):INDEX(Listado!F:F,ROW()))&gt;0,1,0)</f>
        <v/>
      </c>
      <c r="W2196" s="17" t="str">
        <f>IF(INDEX(Listado!L:L,ROW())="","",INDEX(Listado!L:L,ROW()))</f>
        <v/>
      </c>
      <c r="X2196" s="17">
        <f>IF(N2196="","",IF(INDEX(Listado!$M:$M,N2196)="No","No","Sí"))</f>
        <v/>
      </c>
    </row>
    <row r="2197" spans="2:24" ht="14.25">
      <c r="N2197" s="17" t="str">
        <f>IF(V2197=0,"",IFERROR(LOOKUP(2,1/(INDEX(Listado!A:A,2):INDEX(Listado!A:A,ROW())&lt;&gt;""),ROW(INDEX(Listado!A:A,2):INDEX(Listado!A:A,ROW()))),""))</f>
        <v/>
      </c>
      <c r="O2197" s="17" t="str">
        <f>IFERROR(IF(N2197="","",IF(INDEX(Listado!M:M,N2197)="No",IF(INDEX(Listado!N:N,N2197)=0,"",INDEX(Listado!N:N,N2197)),IF(INDEX(Listado!I:I,N2197)=0,"",INDEX(Listado!I:I,N2197)))),"")</f>
        <v/>
      </c>
      <c r="P2197" s="17">
        <f t="shared" ca="1" si="103"/>
        <v/>
      </c>
      <c r="Q2197" s="17">
        <f>IFERROR(IF(AND(N2197&lt;&gt;"",ISNUMBER(O2197),O2197&gt;0,O2197&gt;=TODAY()-90),1,0),0)</f>
        <v/>
      </c>
      <c r="R2197" s="17" t="str">
        <f t="shared" si="105"/>
        <v/>
      </c>
      <c r="S2197" s="17" t="str">
        <f>IF(INDEX(Listado!A:A,ROW())="","",INDEX(Listado!A:A,ROW()))</f>
        <v/>
      </c>
      <c r="T2197" s="17" t="str">
        <f ca="1">IF(INDEX(Listado!G:G,ROW())="","",INDEX(Listado!G:G,ROW()))</f>
        <v/>
      </c>
      <c r="U2197" s="17" t="str">
        <f>IF(INDEX(Listado!F:F,ROW())="","",INDEX(Listado!F:F,ROW()))</f>
        <v/>
      </c>
      <c r="V2197" s="17">
        <f>IF(COUNTA(INDEX(Listado!B:B,ROW()):INDEX(Listado!F:F,ROW()))&gt;0,1,0)</f>
        <v/>
      </c>
      <c r="W2197" s="17" t="str">
        <f>IF(INDEX(Listado!L:L,ROW())="","",INDEX(Listado!L:L,ROW()))</f>
        <v/>
      </c>
      <c r="X2197" s="17">
        <f>IF(N2197="","",IF(INDEX(Listado!$M:$M,N2197)="No","No","Sí"))</f>
        <v/>
      </c>
    </row>
    <row r="2198" spans="2:24" ht="14.25">
      <c r="N2198" s="17" t="str">
        <f>IF(V2198=0,"",IFERROR(LOOKUP(2,1/(INDEX(Listado!A:A,2):INDEX(Listado!A:A,ROW())&lt;&gt;""),ROW(INDEX(Listado!A:A,2):INDEX(Listado!A:A,ROW()))),""))</f>
        <v/>
      </c>
      <c r="O2198" s="17" t="str">
        <f>IFERROR(IF(N2198="","",IF(INDEX(Listado!M:M,N2198)="No",IF(INDEX(Listado!N:N,N2198)=0,"",INDEX(Listado!N:N,N2198)),IF(INDEX(Listado!I:I,N2198)=0,"",INDEX(Listado!I:I,N2198)))),"")</f>
        <v/>
      </c>
      <c r="P2198" s="17">
        <f t="shared" ca="1" si="103"/>
        <v/>
      </c>
      <c r="Q2198" s="17">
        <f>IFERROR(IF(AND(N2198&lt;&gt;"",ISNUMBER(O2198),O2198&gt;0,O2198&gt;=TODAY()-90),1,0),0)</f>
        <v/>
      </c>
      <c r="R2198" s="17" t="str">
        <f t="shared" si="105"/>
        <v/>
      </c>
      <c r="S2198" s="17" t="str">
        <f>IF(INDEX(Listado!A:A,ROW())="","",INDEX(Listado!A:A,ROW()))</f>
        <v/>
      </c>
      <c r="T2198" s="17" t="str">
        <f ca="1">IF(INDEX(Listado!G:G,ROW())="","",INDEX(Listado!G:G,ROW()))</f>
        <v/>
      </c>
      <c r="U2198" s="17" t="str">
        <f>IF(INDEX(Listado!F:F,ROW())="","",INDEX(Listado!F:F,ROW()))</f>
        <v/>
      </c>
      <c r="V2198" s="17">
        <f>IF(COUNTA(INDEX(Listado!B:B,ROW()):INDEX(Listado!F:F,ROW()))&gt;0,1,0)</f>
        <v/>
      </c>
      <c r="W2198" s="17" t="str">
        <f>IF(INDEX(Listado!L:L,ROW())="","",INDEX(Listado!L:L,ROW()))</f>
        <v/>
      </c>
      <c r="X2198" s="17">
        <f>IF(N2198="","",IF(INDEX(Listado!$M:$M,N2198)="No","No","Sí"))</f>
        <v/>
      </c>
    </row>
    <row r="2199" spans="2:24" ht="14.25">
      <c r="N2199" s="17" t="str">
        <f>IF(V2199=0,"",IFERROR(LOOKUP(2,1/(INDEX(Listado!A:A,2):INDEX(Listado!A:A,ROW())&lt;&gt;""),ROW(INDEX(Listado!A:A,2):INDEX(Listado!A:A,ROW()))),""))</f>
        <v/>
      </c>
      <c r="O2199" s="17" t="str">
        <f>IFERROR(IF(N2199="","",IF(INDEX(Listado!M:M,N2199)="No",IF(INDEX(Listado!N:N,N2199)=0,"",INDEX(Listado!N:N,N2199)),IF(INDEX(Listado!I:I,N2199)=0,"",INDEX(Listado!I:I,N2199)))),"")</f>
        <v/>
      </c>
      <c r="P2199" s="17">
        <f t="shared" ca="1" si="103"/>
        <v/>
      </c>
      <c r="Q2199" s="17">
        <f>IFERROR(IF(AND(N2199&lt;&gt;"",ISNUMBER(O2199),O2199&gt;0,O2199&gt;=TODAY()-90),1,0),0)</f>
        <v/>
      </c>
      <c r="R2199" s="17" t="str">
        <f t="shared" si="105"/>
        <v/>
      </c>
      <c r="S2199" s="17" t="str">
        <f>IF(INDEX(Listado!A:A,ROW())="","",INDEX(Listado!A:A,ROW()))</f>
        <v/>
      </c>
      <c r="T2199" s="17" t="str">
        <f ca="1">IF(INDEX(Listado!G:G,ROW())="","",INDEX(Listado!G:G,ROW()))</f>
        <v/>
      </c>
      <c r="U2199" s="17" t="str">
        <f>IF(INDEX(Listado!F:F,ROW())="","",INDEX(Listado!F:F,ROW()))</f>
        <v/>
      </c>
      <c r="V2199" s="17">
        <f>IF(COUNTA(INDEX(Listado!B:B,ROW()):INDEX(Listado!F:F,ROW()))&gt;0,1,0)</f>
        <v/>
      </c>
      <c r="W2199" s="17" t="str">
        <f>IF(INDEX(Listado!L:L,ROW())="","",INDEX(Listado!L:L,ROW()))</f>
        <v/>
      </c>
      <c r="X2199" s="17">
        <f>IF(N2199="","",IF(INDEX(Listado!$M:$M,N2199)="No","No","Sí"))</f>
        <v/>
      </c>
    </row>
    <row r="2200" spans="2:24" ht="14.25">
      <c r="N2200" s="17" t="str">
        <f>IF(V2200=0,"",IFERROR(LOOKUP(2,1/(INDEX(Listado!A:A,2):INDEX(Listado!A:A,ROW())&lt;&gt;""),ROW(INDEX(Listado!A:A,2):INDEX(Listado!A:A,ROW()))),""))</f>
        <v/>
      </c>
      <c r="O2200" s="17" t="str">
        <f>IFERROR(IF(N2200="","",IF(INDEX(Listado!M:M,N2200)="No",IF(INDEX(Listado!N:N,N2200)=0,"",INDEX(Listado!N:N,N2200)),IF(INDEX(Listado!I:I,N2200)=0,"",INDEX(Listado!I:I,N2200)))),"")</f>
        <v/>
      </c>
      <c r="P2200" s="17">
        <f t="shared" ca="1" si="103"/>
        <v/>
      </c>
      <c r="Q2200" s="17">
        <f>IFERROR(IF(AND(N2200&lt;&gt;"",ISNUMBER(O2200),O2200&gt;0,O2200&gt;=TODAY()-90),1,0),0)</f>
        <v/>
      </c>
      <c r="R2200" s="17" t="str">
        <f t="shared" si="105"/>
        <v/>
      </c>
      <c r="S2200" s="17" t="str">
        <f>IF(INDEX(Listado!A:A,ROW())="","",INDEX(Listado!A:A,ROW()))</f>
        <v/>
      </c>
      <c r="T2200" s="17" t="str">
        <f ca="1">IF(INDEX(Listado!G:G,ROW())="","",INDEX(Listado!G:G,ROW()))</f>
        <v/>
      </c>
      <c r="U2200" s="17" t="str">
        <f>IF(INDEX(Listado!F:F,ROW())="","",INDEX(Listado!F:F,ROW()))</f>
        <v/>
      </c>
      <c r="V2200" s="17">
        <f>IF(COUNTA(INDEX(Listado!B:B,ROW()):INDEX(Listado!F:F,ROW()))&gt;0,1,0)</f>
        <v/>
      </c>
      <c r="W2200" s="17" t="str">
        <f>IF(INDEX(Listado!L:L,ROW())="","",INDEX(Listado!L:L,ROW()))</f>
        <v/>
      </c>
      <c r="X2200" s="17">
        <f>IF(N2200="","",IF(INDEX(Listado!$M:$M,N2200)="No","No","Sí"))</f>
        <v/>
      </c>
    </row>
    <row r="2201" spans="2:24" ht="14.25">
      <c r="N2201" s="17" t="str">
        <f>IF(V2201=0,"",IFERROR(LOOKUP(2,1/(INDEX(Listado!A:A,2):INDEX(Listado!A:A,ROW())&lt;&gt;""),ROW(INDEX(Listado!A:A,2):INDEX(Listado!A:A,ROW()))),""))</f>
        <v/>
      </c>
      <c r="O2201" s="17" t="str">
        <f>IFERROR(IF(N2201="","",IF(INDEX(Listado!M:M,N2201)="No",IF(INDEX(Listado!N:N,N2201)=0,"",INDEX(Listado!N:N,N2201)),IF(INDEX(Listado!I:I,N2201)=0,"",INDEX(Listado!I:I,N2201)))),"")</f>
        <v/>
      </c>
      <c r="P2201" s="17">
        <f t="shared" ca="1" si="103"/>
        <v/>
      </c>
      <c r="Q2201" s="17">
        <f>IFERROR(IF(AND(N2201&lt;&gt;"",ISNUMBER(O2201),O2201&gt;0,O2201&gt;=TODAY()-90),1,0),0)</f>
        <v/>
      </c>
      <c r="R2201" s="17" t="str">
        <f t="shared" si="105"/>
        <v/>
      </c>
      <c r="S2201" s="17" t="str">
        <f>IF(INDEX(Listado!A:A,ROW())="","",INDEX(Listado!A:A,ROW()))</f>
        <v/>
      </c>
      <c r="T2201" s="17" t="str">
        <f ca="1">IF(INDEX(Listado!G:G,ROW())="","",INDEX(Listado!G:G,ROW()))</f>
        <v/>
      </c>
      <c r="U2201" s="17" t="str">
        <f>IF(INDEX(Listado!F:F,ROW())="","",INDEX(Listado!F:F,ROW()))</f>
        <v/>
      </c>
      <c r="V2201" s="17">
        <f>IF(COUNTA(INDEX(Listado!B:B,ROW()):INDEX(Listado!F:F,ROW()))&gt;0,1,0)</f>
        <v/>
      </c>
      <c r="W2201" s="17" t="str">
        <f>IF(INDEX(Listado!L:L,ROW())="","",INDEX(Listado!L:L,ROW()))</f>
        <v/>
      </c>
      <c r="X2201" s="17">
        <f>IF(N2201="","",IF(INDEX(Listado!$M:$M,N2201)="No","No","Sí"))</f>
        <v/>
      </c>
    </row>
    <row r="2202" spans="2:24" ht="14.25">
      <c r="N2202" s="17" t="str">
        <f>IF(V2202=0,"",IFERROR(LOOKUP(2,1/(INDEX(Listado!A:A,2):INDEX(Listado!A:A,ROW())&lt;&gt;""),ROW(INDEX(Listado!A:A,2):INDEX(Listado!A:A,ROW()))),""))</f>
        <v/>
      </c>
      <c r="O2202" s="17" t="str">
        <f>IFERROR(IF(N2202="","",IF(INDEX(Listado!M:M,N2202)="No",IF(INDEX(Listado!N:N,N2202)=0,"",INDEX(Listado!N:N,N2202)),IF(INDEX(Listado!I:I,N2202)=0,"",INDEX(Listado!I:I,N2202)))),"")</f>
        <v/>
      </c>
      <c r="P2202" s="17">
        <f t="shared" ca="1" si="103"/>
        <v/>
      </c>
      <c r="Q2202" s="17">
        <f>IFERROR(IF(AND(N2202&lt;&gt;"",ISNUMBER(O2202),O2202&gt;0,O2202&gt;=TODAY()-90),1,0),0)</f>
        <v/>
      </c>
      <c r="R2202" s="17" t="str">
        <f t="shared" si="105"/>
        <v/>
      </c>
      <c r="S2202" s="17" t="str">
        <f>IF(INDEX(Listado!A:A,ROW())="","",INDEX(Listado!A:A,ROW()))</f>
        <v/>
      </c>
      <c r="T2202" s="17" t="str">
        <f ca="1">IF(INDEX(Listado!G:G,ROW())="","",INDEX(Listado!G:G,ROW()))</f>
        <v/>
      </c>
      <c r="U2202" s="17" t="str">
        <f>IF(INDEX(Listado!F:F,ROW())="","",INDEX(Listado!F:F,ROW()))</f>
        <v/>
      </c>
      <c r="V2202" s="17">
        <f>IF(COUNTA(INDEX(Listado!B:B,ROW()):INDEX(Listado!F:F,ROW()))&gt;0,1,0)</f>
        <v/>
      </c>
      <c r="W2202" s="17" t="str">
        <f>IF(INDEX(Listado!L:L,ROW())="","",INDEX(Listado!L:L,ROW()))</f>
        <v/>
      </c>
      <c r="X2202" s="17">
        <f>IF(N2202="","",IF(INDEX(Listado!$M:$M,N2202)="No","No","Sí"))</f>
        <v/>
      </c>
    </row>
    <row r="2203" spans="2:24" ht="14.25">
      <c r="N2203" s="17" t="str">
        <f>IF(V2203=0,"",IFERROR(LOOKUP(2,1/(INDEX(Listado!A:A,2):INDEX(Listado!A:A,ROW())&lt;&gt;""),ROW(INDEX(Listado!A:A,2):INDEX(Listado!A:A,ROW()))),""))</f>
        <v/>
      </c>
      <c r="O2203" s="17" t="str">
        <f>IFERROR(IF(N2203="","",IF(INDEX(Listado!M:M,N2203)="No",IF(INDEX(Listado!N:N,N2203)=0,"",INDEX(Listado!N:N,N2203)),IF(INDEX(Listado!I:I,N2203)=0,"",INDEX(Listado!I:I,N2203)))),"")</f>
        <v/>
      </c>
      <c r="P2203" s="17">
        <f t="shared" ca="1" si="103"/>
        <v/>
      </c>
      <c r="Q2203" s="17">
        <f>IFERROR(IF(AND(N2203&lt;&gt;"",ISNUMBER(O2203),O2203&gt;0,O2203&gt;=TODAY()-90),1,0),0)</f>
        <v/>
      </c>
      <c r="R2203" s="17" t="str">
        <f t="shared" si="105"/>
        <v/>
      </c>
      <c r="S2203" s="17" t="str">
        <f>IF(INDEX(Listado!A:A,ROW())="","",INDEX(Listado!A:A,ROW()))</f>
        <v/>
      </c>
      <c r="T2203" s="17" t="str">
        <f ca="1">IF(INDEX(Listado!G:G,ROW())="","",INDEX(Listado!G:G,ROW()))</f>
        <v/>
      </c>
      <c r="U2203" s="17" t="str">
        <f>IF(INDEX(Listado!F:F,ROW())="","",INDEX(Listado!F:F,ROW()))</f>
        <v/>
      </c>
      <c r="V2203" s="17">
        <f>IF(COUNTA(INDEX(Listado!B:B,ROW()):INDEX(Listado!F:F,ROW()))&gt;0,1,0)</f>
        <v/>
      </c>
      <c r="W2203" s="17" t="str">
        <f>IF(INDEX(Listado!L:L,ROW())="","",INDEX(Listado!L:L,ROW()))</f>
        <v/>
      </c>
      <c r="X2203" s="17">
        <f>IF(N2203="","",IF(INDEX(Listado!$M:$M,N2203)="No","No","Sí"))</f>
        <v/>
      </c>
    </row>
    <row r="2204" spans="2:24" ht="14.25">
      <c r="N2204" s="17" t="str">
        <f>IF(V2204=0,"",IFERROR(LOOKUP(2,1/(INDEX(Listado!A:A,2):INDEX(Listado!A:A,ROW())&lt;&gt;""),ROW(INDEX(Listado!A:A,2):INDEX(Listado!A:A,ROW()))),""))</f>
        <v/>
      </c>
      <c r="O2204" s="17" t="str">
        <f>IFERROR(IF(N2204="","",IF(INDEX(Listado!M:M,N2204)="No",IF(INDEX(Listado!N:N,N2204)=0,"",INDEX(Listado!N:N,N2204)),IF(INDEX(Listado!I:I,N2204)=0,"",INDEX(Listado!I:I,N2204)))),"")</f>
        <v/>
      </c>
      <c r="P2204" s="17">
        <f t="shared" ca="1" si="103"/>
        <v/>
      </c>
      <c r="Q2204" s="17">
        <f>IFERROR(IF(AND(N2204&lt;&gt;"",ISNUMBER(O2204),O2204&gt;0,O2204&gt;=TODAY()-90),1,0),0)</f>
        <v/>
      </c>
      <c r="R2204" s="17" t="str">
        <f t="shared" si="105"/>
        <v/>
      </c>
      <c r="S2204" s="17" t="str">
        <f>IF(INDEX(Listado!A:A,ROW())="","",INDEX(Listado!A:A,ROW()))</f>
        <v/>
      </c>
      <c r="T2204" s="17" t="str">
        <f ca="1">IF(INDEX(Listado!G:G,ROW())="","",INDEX(Listado!G:G,ROW()))</f>
        <v/>
      </c>
      <c r="U2204" s="17" t="str">
        <f>IF(INDEX(Listado!F:F,ROW())="","",INDEX(Listado!F:F,ROW()))</f>
        <v/>
      </c>
      <c r="V2204" s="17">
        <f>IF(COUNTA(INDEX(Listado!B:B,ROW()):INDEX(Listado!F:F,ROW()))&gt;0,1,0)</f>
        <v/>
      </c>
      <c r="W2204" s="17" t="str">
        <f>IF(INDEX(Listado!L:L,ROW())="","",INDEX(Listado!L:L,ROW()))</f>
        <v/>
      </c>
      <c r="X2204" s="17">
        <f>IF(N2204="","",IF(INDEX(Listado!$M:$M,N2204)="No","No","Sí"))</f>
        <v/>
      </c>
    </row>
    <row r="2205" spans="2:24" ht="14.25">
      <c r="N2205" s="17" t="str">
        <f>IF(V2205=0,"",IFERROR(LOOKUP(2,1/(INDEX(Listado!A:A,2):INDEX(Listado!A:A,ROW())&lt;&gt;""),ROW(INDEX(Listado!A:A,2):INDEX(Listado!A:A,ROW()))),""))</f>
        <v/>
      </c>
      <c r="O2205" s="17" t="str">
        <f>IFERROR(IF(N2205="","",IF(INDEX(Listado!M:M,N2205)="No",IF(INDEX(Listado!N:N,N2205)=0,"",INDEX(Listado!N:N,N2205)),IF(INDEX(Listado!I:I,N2205)=0,"",INDEX(Listado!I:I,N2205)))),"")</f>
        <v/>
      </c>
      <c r="P2205" s="17">
        <f t="shared" ca="1" si="103"/>
        <v/>
      </c>
      <c r="Q2205" s="17">
        <f>IFERROR(IF(AND(N2205&lt;&gt;"",ISNUMBER(O2205),O2205&gt;0,O2205&gt;=TODAY()-90),1,0),0)</f>
        <v/>
      </c>
      <c r="R2205" s="17" t="str">
        <f t="shared" si="105"/>
        <v/>
      </c>
      <c r="S2205" s="17" t="str">
        <f>IF(INDEX(Listado!A:A,ROW())="","",INDEX(Listado!A:A,ROW()))</f>
        <v/>
      </c>
      <c r="T2205" s="17" t="str">
        <f ca="1">IF(INDEX(Listado!G:G,ROW())="","",INDEX(Listado!G:G,ROW()))</f>
        <v/>
      </c>
      <c r="U2205" s="17" t="str">
        <f>IF(INDEX(Listado!F:F,ROW())="","",INDEX(Listado!F:F,ROW()))</f>
        <v/>
      </c>
      <c r="V2205" s="17">
        <f>IF(COUNTA(INDEX(Listado!B:B,ROW()):INDEX(Listado!F:F,ROW()))&gt;0,1,0)</f>
        <v/>
      </c>
      <c r="W2205" s="17" t="str">
        <f>IF(INDEX(Listado!L:L,ROW())="","",INDEX(Listado!L:L,ROW()))</f>
        <v/>
      </c>
      <c r="X2205" s="17">
        <f>IF(N2205="","",IF(INDEX(Listado!$M:$M,N2205)="No","No","Sí"))</f>
        <v/>
      </c>
    </row>
    <row r="2206" spans="2:24" ht="14.25">
      <c r="N2206" s="17" t="str">
        <f>IF(V2206=0,"",IFERROR(LOOKUP(2,1/(INDEX(Listado!A:A,2):INDEX(Listado!A:A,ROW())&lt;&gt;""),ROW(INDEX(Listado!A:A,2):INDEX(Listado!A:A,ROW()))),""))</f>
        <v/>
      </c>
      <c r="O2206" s="17" t="str">
        <f>IFERROR(IF(N2206="","",IF(INDEX(Listado!M:M,N2206)="No",IF(INDEX(Listado!N:N,N2206)=0,"",INDEX(Listado!N:N,N2206)),IF(INDEX(Listado!I:I,N2206)=0,"",INDEX(Listado!I:I,N2206)))),"")</f>
        <v/>
      </c>
      <c r="P2206" s="17">
        <f t="shared" ca="1" si="103"/>
        <v/>
      </c>
      <c r="Q2206" s="17">
        <f>IFERROR(IF(AND(N2206&lt;&gt;"",ISNUMBER(O2206),O2206&gt;0,O2206&gt;=TODAY()-90),1,0),0)</f>
        <v/>
      </c>
      <c r="R2206" s="17" t="str">
        <f t="shared" si="105"/>
        <v/>
      </c>
      <c r="S2206" s="17" t="str">
        <f>IF(INDEX(Listado!A:A,ROW())="","",INDEX(Listado!A:A,ROW()))</f>
        <v/>
      </c>
      <c r="T2206" s="17" t="str">
        <f ca="1">IF(INDEX(Listado!G:G,ROW())="","",INDEX(Listado!G:G,ROW()))</f>
        <v/>
      </c>
      <c r="U2206" s="17" t="str">
        <f>IF(INDEX(Listado!F:F,ROW())="","",INDEX(Listado!F:F,ROW()))</f>
        <v/>
      </c>
      <c r="V2206" s="17">
        <f>IF(COUNTA(INDEX(Listado!B:B,ROW()):INDEX(Listado!F:F,ROW()))&gt;0,1,0)</f>
        <v/>
      </c>
      <c r="W2206" s="17" t="str">
        <f>IF(INDEX(Listado!L:L,ROW())="","",INDEX(Listado!L:L,ROW()))</f>
        <v/>
      </c>
      <c r="X2206" s="17">
        <f>IF(N2206="","",IF(INDEX(Listado!$M:$M,N2206)="No","No","Sí"))</f>
        <v/>
      </c>
    </row>
    <row r="2207" spans="2:24" ht="14.25">
      <c r="N2207" s="17" t="str">
        <f>IF(V2207=0,"",IFERROR(LOOKUP(2,1/(INDEX(Listado!A:A,2):INDEX(Listado!A:A,ROW())&lt;&gt;""),ROW(INDEX(Listado!A:A,2):INDEX(Listado!A:A,ROW()))),""))</f>
        <v/>
      </c>
      <c r="O2207" s="17" t="str">
        <f>IFERROR(IF(N2207="","",IF(INDEX(Listado!M:M,N2207)="No",IF(INDEX(Listado!N:N,N2207)=0,"",INDEX(Listado!N:N,N2207)),IF(INDEX(Listado!I:I,N2207)=0,"",INDEX(Listado!I:I,N2207)))),"")</f>
        <v/>
      </c>
      <c r="P2207" s="17">
        <f t="shared" ca="1" si="103"/>
        <v/>
      </c>
      <c r="Q2207" s="17">
        <f>IFERROR(IF(AND(N2207&lt;&gt;"",ISNUMBER(O2207),O2207&gt;0,O2207&gt;=TODAY()-90),1,0),0)</f>
        <v/>
      </c>
      <c r="R2207" s="17" t="str">
        <f t="shared" si="105"/>
        <v/>
      </c>
      <c r="S2207" s="17" t="str">
        <f>IF(INDEX(Listado!A:A,ROW())="","",INDEX(Listado!A:A,ROW()))</f>
        <v/>
      </c>
      <c r="T2207" s="17" t="str">
        <f ca="1">IF(INDEX(Listado!G:G,ROW())="","",INDEX(Listado!G:G,ROW()))</f>
        <v/>
      </c>
      <c r="U2207" s="17" t="str">
        <f>IF(INDEX(Listado!F:F,ROW())="","",INDEX(Listado!F:F,ROW()))</f>
        <v/>
      </c>
      <c r="V2207" s="17">
        <f>IF(COUNTA(INDEX(Listado!B:B,ROW()):INDEX(Listado!F:F,ROW()))&gt;0,1,0)</f>
        <v/>
      </c>
      <c r="W2207" s="17" t="str">
        <f>IF(INDEX(Listado!L:L,ROW())="","",INDEX(Listado!L:L,ROW()))</f>
        <v/>
      </c>
      <c r="X2207" s="17">
        <f>IF(N2207="","",IF(INDEX(Listado!$M:$M,N2207)="No","No","Sí"))</f>
        <v/>
      </c>
    </row>
    <row r="2208" spans="2:24" ht="14.25">
      <c r="N2208" s="17" t="str">
        <f>IF(V2208=0,"",IFERROR(LOOKUP(2,1/(INDEX(Listado!A:A,2):INDEX(Listado!A:A,ROW())&lt;&gt;""),ROW(INDEX(Listado!A:A,2):INDEX(Listado!A:A,ROW()))),""))</f>
        <v/>
      </c>
      <c r="O2208" s="17" t="str">
        <f>IFERROR(IF(N2208="","",IF(INDEX(Listado!M:M,N2208)="No",IF(INDEX(Listado!N:N,N2208)=0,"",INDEX(Listado!N:N,N2208)),IF(INDEX(Listado!I:I,N2208)=0,"",INDEX(Listado!I:I,N2208)))),"")</f>
        <v/>
      </c>
      <c r="P2208" s="17">
        <f t="shared" ca="1" si="103"/>
        <v/>
      </c>
      <c r="Q2208" s="17">
        <f>IFERROR(IF(AND(N2208&lt;&gt;"",ISNUMBER(O2208),O2208&gt;0,O2208&gt;=TODAY()-90),1,0),0)</f>
        <v/>
      </c>
      <c r="R2208" s="17" t="str">
        <f t="shared" si="105"/>
        <v/>
      </c>
      <c r="S2208" s="17" t="str">
        <f>IF(INDEX(Listado!A:A,ROW())="","",INDEX(Listado!A:A,ROW()))</f>
        <v/>
      </c>
      <c r="T2208" s="17" t="str">
        <f ca="1">IF(INDEX(Listado!G:G,ROW())="","",INDEX(Listado!G:G,ROW()))</f>
        <v/>
      </c>
      <c r="U2208" s="17" t="str">
        <f>IF(INDEX(Listado!F:F,ROW())="","",INDEX(Listado!F:F,ROW()))</f>
        <v/>
      </c>
      <c r="V2208" s="17">
        <f>IF(COUNTA(INDEX(Listado!B:B,ROW()):INDEX(Listado!F:F,ROW()))&gt;0,1,0)</f>
        <v/>
      </c>
      <c r="W2208" s="17" t="str">
        <f>IF(INDEX(Listado!L:L,ROW())="","",INDEX(Listado!L:L,ROW()))</f>
        <v/>
      </c>
      <c r="X2208" s="17">
        <f>IF(N2208="","",IF(INDEX(Listado!$M:$M,N2208)="No","No","Sí"))</f>
        <v/>
      </c>
    </row>
    <row r="2209" spans="2:24" ht="14.25">
      <c r="N2209" s="17" t="str">
        <f>IF(V2209=0,"",IFERROR(LOOKUP(2,1/(INDEX(Listado!A:A,2):INDEX(Listado!A:A,ROW())&lt;&gt;""),ROW(INDEX(Listado!A:A,2):INDEX(Listado!A:A,ROW()))),""))</f>
        <v/>
      </c>
      <c r="O2209" s="17" t="str">
        <f>IFERROR(IF(N2209="","",IF(INDEX(Listado!M:M,N2209)="No",IF(INDEX(Listado!N:N,N2209)=0,"",INDEX(Listado!N:N,N2209)),IF(INDEX(Listado!I:I,N2209)=0,"",INDEX(Listado!I:I,N2209)))),"")</f>
        <v/>
      </c>
      <c r="P2209" s="17">
        <f t="shared" ca="1" si="103"/>
        <v/>
      </c>
      <c r="Q2209" s="17">
        <f>IFERROR(IF(AND(N2209&lt;&gt;"",ISNUMBER(O2209),O2209&gt;0,O2209&gt;=TODAY()-90),1,0),0)</f>
        <v/>
      </c>
      <c r="R2209" s="17" t="str">
        <f t="shared" si="105"/>
        <v/>
      </c>
      <c r="S2209" s="17" t="str">
        <f>IF(INDEX(Listado!A:A,ROW())="","",INDEX(Listado!A:A,ROW()))</f>
        <v/>
      </c>
      <c r="T2209" s="17" t="str">
        <f ca="1">IF(INDEX(Listado!G:G,ROW())="","",INDEX(Listado!G:G,ROW()))</f>
        <v/>
      </c>
      <c r="U2209" s="17" t="str">
        <f>IF(INDEX(Listado!F:F,ROW())="","",INDEX(Listado!F:F,ROW()))</f>
        <v/>
      </c>
      <c r="V2209" s="17">
        <f>IF(COUNTA(INDEX(Listado!B:B,ROW()):INDEX(Listado!F:F,ROW()))&gt;0,1,0)</f>
        <v/>
      </c>
      <c r="W2209" s="17" t="str">
        <f>IF(INDEX(Listado!L:L,ROW())="","",INDEX(Listado!L:L,ROW()))</f>
        <v/>
      </c>
      <c r="X2209" s="17">
        <f>IF(N2209="","",IF(INDEX(Listado!$M:$M,N2209)="No","No","Sí"))</f>
        <v/>
      </c>
    </row>
    <row r="2210" spans="2:24" ht="14.25">
      <c r="N2210" s="17" t="str">
        <f>IF(V2210=0,"",IFERROR(LOOKUP(2,1/(INDEX(Listado!A:A,2):INDEX(Listado!A:A,ROW())&lt;&gt;""),ROW(INDEX(Listado!A:A,2):INDEX(Listado!A:A,ROW()))),""))</f>
        <v/>
      </c>
      <c r="O2210" s="17" t="str">
        <f>IFERROR(IF(N2210="","",IF(INDEX(Listado!M:M,N2210)="No",IF(INDEX(Listado!N:N,N2210)=0,"",INDEX(Listado!N:N,N2210)),IF(INDEX(Listado!I:I,N2210)=0,"",INDEX(Listado!I:I,N2210)))),"")</f>
        <v/>
      </c>
      <c r="P2210" s="17">
        <f t="shared" ca="1" si="103"/>
        <v/>
      </c>
      <c r="Q2210" s="17">
        <f>IFERROR(IF(AND(N2210&lt;&gt;"",ISNUMBER(O2210),O2210&gt;0,O2210&gt;=TODAY()-90),1,0),0)</f>
        <v/>
      </c>
      <c r="R2210" s="17" t="str">
        <f t="shared" si="105"/>
        <v/>
      </c>
      <c r="S2210" s="17" t="str">
        <f>IF(INDEX(Listado!A:A,ROW())="","",INDEX(Listado!A:A,ROW()))</f>
        <v/>
      </c>
      <c r="T2210" s="17" t="str">
        <f ca="1">IF(INDEX(Listado!G:G,ROW())="","",INDEX(Listado!G:G,ROW()))</f>
        <v/>
      </c>
      <c r="U2210" s="17" t="str">
        <f>IF(INDEX(Listado!F:F,ROW())="","",INDEX(Listado!F:F,ROW()))</f>
        <v/>
      </c>
      <c r="V2210" s="17">
        <f>IF(COUNTA(INDEX(Listado!B:B,ROW()):INDEX(Listado!F:F,ROW()))&gt;0,1,0)</f>
        <v/>
      </c>
      <c r="W2210" s="17" t="str">
        <f>IF(INDEX(Listado!L:L,ROW())="","",INDEX(Listado!L:L,ROW()))</f>
        <v/>
      </c>
      <c r="X2210" s="17">
        <f>IF(N2210="","",IF(INDEX(Listado!$M:$M,N2210)="No","No","Sí"))</f>
        <v/>
      </c>
    </row>
    <row r="2211" spans="2:24" ht="14.25">
      <c r="N2211" s="17" t="str">
        <f>IF(V2211=0,"",IFERROR(LOOKUP(2,1/(INDEX(Listado!A:A,2):INDEX(Listado!A:A,ROW())&lt;&gt;""),ROW(INDEX(Listado!A:A,2):INDEX(Listado!A:A,ROW()))),""))</f>
        <v/>
      </c>
      <c r="O2211" s="17" t="str">
        <f>IFERROR(IF(N2211="","",IF(INDEX(Listado!M:M,N2211)="No",IF(INDEX(Listado!N:N,N2211)=0,"",INDEX(Listado!N:N,N2211)),IF(INDEX(Listado!I:I,N2211)=0,"",INDEX(Listado!I:I,N2211)))),"")</f>
        <v/>
      </c>
      <c r="P2211" s="17">
        <f t="shared" ca="1" si="103"/>
        <v/>
      </c>
      <c r="Q2211" s="17">
        <f>IFERROR(IF(AND(N2211&lt;&gt;"",ISNUMBER(O2211),O2211&gt;0,O2211&gt;=TODAY()-90),1,0),0)</f>
        <v/>
      </c>
      <c r="R2211" s="17" t="str">
        <f t="shared" si="105"/>
        <v/>
      </c>
      <c r="S2211" s="17" t="str">
        <f>IF(INDEX(Listado!A:A,ROW())="","",INDEX(Listado!A:A,ROW()))</f>
        <v/>
      </c>
      <c r="T2211" s="17" t="str">
        <f ca="1">IF(INDEX(Listado!G:G,ROW())="","",INDEX(Listado!G:G,ROW()))</f>
        <v/>
      </c>
      <c r="U2211" s="17" t="str">
        <f>IF(INDEX(Listado!F:F,ROW())="","",INDEX(Listado!F:F,ROW()))</f>
        <v/>
      </c>
      <c r="V2211" s="17">
        <f>IF(COUNTA(INDEX(Listado!B:B,ROW()):INDEX(Listado!F:F,ROW()))&gt;0,1,0)</f>
        <v/>
      </c>
      <c r="W2211" s="17" t="str">
        <f>IF(INDEX(Listado!L:L,ROW())="","",INDEX(Listado!L:L,ROW()))</f>
        <v/>
      </c>
      <c r="X2211" s="17">
        <f>IF(N2211="","",IF(INDEX(Listado!$M:$M,N2211)="No","No","Sí"))</f>
        <v/>
      </c>
    </row>
    <row r="2212" spans="2:24" ht="14.25">
      <c r="N2212" s="17" t="str">
        <f>IF(V2212=0,"",IFERROR(LOOKUP(2,1/(INDEX(Listado!A:A,2):INDEX(Listado!A:A,ROW())&lt;&gt;""),ROW(INDEX(Listado!A:A,2):INDEX(Listado!A:A,ROW()))),""))</f>
        <v/>
      </c>
      <c r="O2212" s="17" t="str">
        <f>IFERROR(IF(N2212="","",IF(INDEX(Listado!M:M,N2212)="No",IF(INDEX(Listado!N:N,N2212)=0,"",INDEX(Listado!N:N,N2212)),IF(INDEX(Listado!I:I,N2212)=0,"",INDEX(Listado!I:I,N2212)))),"")</f>
        <v/>
      </c>
      <c r="P2212" s="17">
        <f t="shared" ca="1" si="103"/>
        <v/>
      </c>
      <c r="Q2212" s="17">
        <f>IFERROR(IF(AND(N2212&lt;&gt;"",ISNUMBER(O2212),O2212&gt;0,O2212&gt;=TODAY()-90),1,0),0)</f>
        <v/>
      </c>
      <c r="R2212" s="17" t="str">
        <f t="shared" si="105"/>
        <v/>
      </c>
      <c r="S2212" s="17" t="str">
        <f>IF(INDEX(Listado!A:A,ROW())="","",INDEX(Listado!A:A,ROW()))</f>
        <v/>
      </c>
      <c r="T2212" s="17" t="str">
        <f ca="1">IF(INDEX(Listado!G:G,ROW())="","",INDEX(Listado!G:G,ROW()))</f>
        <v/>
      </c>
      <c r="U2212" s="17" t="str">
        <f>IF(INDEX(Listado!F:F,ROW())="","",INDEX(Listado!F:F,ROW()))</f>
        <v/>
      </c>
      <c r="V2212" s="17">
        <f>IF(COUNTA(INDEX(Listado!B:B,ROW()):INDEX(Listado!F:F,ROW()))&gt;0,1,0)</f>
        <v/>
      </c>
      <c r="W2212" s="17" t="str">
        <f>IF(INDEX(Listado!L:L,ROW())="","",INDEX(Listado!L:L,ROW()))</f>
        <v/>
      </c>
      <c r="X2212" s="17">
        <f>IF(N2212="","",IF(INDEX(Listado!$M:$M,N2212)="No","No","Sí"))</f>
        <v/>
      </c>
    </row>
    <row r="2213" spans="2:24" ht="14.25">
      <c r="N2213" s="17" t="str">
        <f>IF(V2213=0,"",IFERROR(LOOKUP(2,1/(INDEX(Listado!A:A,2):INDEX(Listado!A:A,ROW())&lt;&gt;""),ROW(INDEX(Listado!A:A,2):INDEX(Listado!A:A,ROW()))),""))</f>
        <v/>
      </c>
      <c r="O2213" s="17" t="str">
        <f>IFERROR(IF(N2213="","",IF(INDEX(Listado!M:M,N2213)="No",IF(INDEX(Listado!N:N,N2213)=0,"",INDEX(Listado!N:N,N2213)),IF(INDEX(Listado!I:I,N2213)=0,"",INDEX(Listado!I:I,N2213)))),"")</f>
        <v/>
      </c>
      <c r="P2213" s="17">
        <f t="shared" ca="1" si="103"/>
        <v/>
      </c>
      <c r="Q2213" s="17">
        <f>IFERROR(IF(AND(N2213&lt;&gt;"",ISNUMBER(O2213),O2213&gt;0,O2213&gt;=TODAY()-90),1,0),0)</f>
        <v/>
      </c>
      <c r="R2213" s="17" t="str">
        <f t="shared" si="105"/>
        <v/>
      </c>
      <c r="S2213" s="17" t="str">
        <f>IF(INDEX(Listado!A:A,ROW())="","",INDEX(Listado!A:A,ROW()))</f>
        <v/>
      </c>
      <c r="T2213" s="17" t="str">
        <f ca="1">IF(INDEX(Listado!G:G,ROW())="","",INDEX(Listado!G:G,ROW()))</f>
        <v/>
      </c>
      <c r="U2213" s="17" t="str">
        <f>IF(INDEX(Listado!F:F,ROW())="","",INDEX(Listado!F:F,ROW()))</f>
        <v/>
      </c>
      <c r="V2213" s="17">
        <f>IF(COUNTA(INDEX(Listado!B:B,ROW()):INDEX(Listado!F:F,ROW()))&gt;0,1,0)</f>
        <v/>
      </c>
      <c r="W2213" s="17" t="str">
        <f>IF(INDEX(Listado!L:L,ROW())="","",INDEX(Listado!L:L,ROW()))</f>
        <v/>
      </c>
      <c r="X2213" s="17">
        <f>IF(N2213="","",IF(INDEX(Listado!$M:$M,N2213)="No","No","Sí"))</f>
        <v/>
      </c>
    </row>
    <row r="2214" spans="2:24" ht="14.25">
      <c r="N2214" s="17" t="str">
        <f>IF(V2214=0,"",IFERROR(LOOKUP(2,1/(INDEX(Listado!A:A,2):INDEX(Listado!A:A,ROW())&lt;&gt;""),ROW(INDEX(Listado!A:A,2):INDEX(Listado!A:A,ROW()))),""))</f>
        <v/>
      </c>
      <c r="O2214" s="17" t="str">
        <f>IFERROR(IF(N2214="","",IF(INDEX(Listado!M:M,N2214)="No",IF(INDEX(Listado!N:N,N2214)=0,"",INDEX(Listado!N:N,N2214)),IF(INDEX(Listado!I:I,N2214)=0,"",INDEX(Listado!I:I,N2214)))),"")</f>
        <v/>
      </c>
      <c r="P2214" s="17">
        <f t="shared" ca="1" si="103"/>
        <v/>
      </c>
      <c r="Q2214" s="17">
        <f>IFERROR(IF(AND(N2214&lt;&gt;"",ISNUMBER(O2214),O2214&gt;0,O2214&gt;=TODAY()-90),1,0),0)</f>
        <v/>
      </c>
      <c r="R2214" s="17" t="str">
        <f t="shared" si="105"/>
        <v/>
      </c>
      <c r="S2214" s="17" t="str">
        <f>IF(INDEX(Listado!A:A,ROW())="","",INDEX(Listado!A:A,ROW()))</f>
        <v/>
      </c>
      <c r="T2214" s="17" t="str">
        <f ca="1">IF(INDEX(Listado!G:G,ROW())="","",INDEX(Listado!G:G,ROW()))</f>
        <v/>
      </c>
      <c r="U2214" s="17" t="str">
        <f>IF(INDEX(Listado!F:F,ROW())="","",INDEX(Listado!F:F,ROW()))</f>
        <v/>
      </c>
      <c r="V2214" s="17">
        <f>IF(COUNTA(INDEX(Listado!B:B,ROW()):INDEX(Listado!F:F,ROW()))&gt;0,1,0)</f>
        <v/>
      </c>
      <c r="W2214" s="17" t="str">
        <f>IF(INDEX(Listado!L:L,ROW())="","",INDEX(Listado!L:L,ROW()))</f>
        <v/>
      </c>
      <c r="X2214" s="17">
        <f>IF(N2214="","",IF(INDEX(Listado!$M:$M,N2214)="No","No","Sí"))</f>
        <v/>
      </c>
    </row>
    <row r="2215" spans="2:24" ht="14.25">
      <c r="N2215" s="17" t="str">
        <f>IF(V2215=0,"",IFERROR(LOOKUP(2,1/(INDEX(Listado!A:A,2):INDEX(Listado!A:A,ROW())&lt;&gt;""),ROW(INDEX(Listado!A:A,2):INDEX(Listado!A:A,ROW()))),""))</f>
        <v/>
      </c>
      <c r="O2215" s="17" t="str">
        <f>IFERROR(IF(N2215="","",IF(INDEX(Listado!M:M,N2215)="No",IF(INDEX(Listado!N:N,N2215)=0,"",INDEX(Listado!N:N,N2215)),IF(INDEX(Listado!I:I,N2215)=0,"",INDEX(Listado!I:I,N2215)))),"")</f>
        <v/>
      </c>
      <c r="P2215" s="17">
        <f t="shared" ca="1" si="103"/>
        <v/>
      </c>
      <c r="Q2215" s="17">
        <f>IFERROR(IF(AND(N2215&lt;&gt;"",ISNUMBER(O2215),O2215&gt;0,O2215&gt;=TODAY()-90),1,0),0)</f>
        <v/>
      </c>
      <c r="R2215" s="17" t="str">
        <f t="shared" si="105"/>
        <v/>
      </c>
      <c r="S2215" s="17" t="str">
        <f>IF(INDEX(Listado!A:A,ROW())="","",INDEX(Listado!A:A,ROW()))</f>
        <v/>
      </c>
      <c r="T2215" s="17" t="str">
        <f ca="1">IF(INDEX(Listado!G:G,ROW())="","",INDEX(Listado!G:G,ROW()))</f>
        <v/>
      </c>
      <c r="U2215" s="17" t="str">
        <f>IF(INDEX(Listado!F:F,ROW())="","",INDEX(Listado!F:F,ROW()))</f>
        <v/>
      </c>
      <c r="V2215" s="17">
        <f>IF(COUNTA(INDEX(Listado!B:B,ROW()):INDEX(Listado!F:F,ROW()))&gt;0,1,0)</f>
        <v/>
      </c>
      <c r="W2215" s="17" t="str">
        <f>IF(INDEX(Listado!L:L,ROW())="","",INDEX(Listado!L:L,ROW()))</f>
        <v/>
      </c>
      <c r="X2215" s="17">
        <f>IF(N2215="","",IF(INDEX(Listado!$M:$M,N2215)="No","No","Sí"))</f>
        <v/>
      </c>
    </row>
    <row r="2216" spans="2:24" ht="14.25">
      <c r="N2216" s="17" t="str">
        <f>IF(V2216=0,"",IFERROR(LOOKUP(2,1/(INDEX(Listado!A:A,2):INDEX(Listado!A:A,ROW())&lt;&gt;""),ROW(INDEX(Listado!A:A,2):INDEX(Listado!A:A,ROW()))),""))</f>
        <v/>
      </c>
      <c r="O2216" s="17" t="str">
        <f>IFERROR(IF(N2216="","",IF(INDEX(Listado!M:M,N2216)="No",IF(INDEX(Listado!N:N,N2216)=0,"",INDEX(Listado!N:N,N2216)),IF(INDEX(Listado!I:I,N2216)=0,"",INDEX(Listado!I:I,N2216)))),"")</f>
        <v/>
      </c>
      <c r="P2216" s="17">
        <f t="shared" ca="1" si="103"/>
        <v/>
      </c>
      <c r="Q2216" s="17">
        <f>IFERROR(IF(AND(N2216&lt;&gt;"",ISNUMBER(O2216),O2216&gt;0,O2216&gt;=TODAY()-90),1,0),0)</f>
        <v/>
      </c>
      <c r="R2216" s="17" t="str">
        <f t="shared" si="105"/>
        <v/>
      </c>
      <c r="S2216" s="17" t="str">
        <f>IF(INDEX(Listado!A:A,ROW())="","",INDEX(Listado!A:A,ROW()))</f>
        <v/>
      </c>
      <c r="T2216" s="17" t="str">
        <f ca="1">IF(INDEX(Listado!G:G,ROW())="","",INDEX(Listado!G:G,ROW()))</f>
        <v/>
      </c>
      <c r="U2216" s="17" t="str">
        <f>IF(INDEX(Listado!F:F,ROW())="","",INDEX(Listado!F:F,ROW()))</f>
        <v/>
      </c>
      <c r="V2216" s="17">
        <f>IF(COUNTA(INDEX(Listado!B:B,ROW()):INDEX(Listado!F:F,ROW()))&gt;0,1,0)</f>
        <v/>
      </c>
      <c r="W2216" s="17" t="str">
        <f>IF(INDEX(Listado!L:L,ROW())="","",INDEX(Listado!L:L,ROW()))</f>
        <v/>
      </c>
      <c r="X2216" s="17">
        <f>IF(N2216="","",IF(INDEX(Listado!$M:$M,N2216)="No","No","Sí"))</f>
        <v/>
      </c>
    </row>
    <row r="2217" spans="2:24" ht="14.25">
      <c r="N2217" s="17" t="str">
        <f>IF(V2217=0,"",IFERROR(LOOKUP(2,1/(INDEX(Listado!A:A,2):INDEX(Listado!A:A,ROW())&lt;&gt;""),ROW(INDEX(Listado!A:A,2):INDEX(Listado!A:A,ROW()))),""))</f>
        <v/>
      </c>
      <c r="O2217" s="17" t="str">
        <f>IFERROR(IF(N2217="","",IF(INDEX(Listado!M:M,N2217)="No",IF(INDEX(Listado!N:N,N2217)=0,"",INDEX(Listado!N:N,N2217)),IF(INDEX(Listado!I:I,N2217)=0,"",INDEX(Listado!I:I,N2217)))),"")</f>
        <v/>
      </c>
      <c r="P2217" s="17">
        <f t="shared" ca="1" si="103"/>
        <v/>
      </c>
      <c r="Q2217" s="17">
        <f>IFERROR(IF(AND(N2217&lt;&gt;"",ISNUMBER(O2217),O2217&gt;0,O2217&gt;=TODAY()-90),1,0),0)</f>
        <v/>
      </c>
      <c r="R2217" s="17" t="str">
        <f t="shared" si="105"/>
        <v/>
      </c>
      <c r="S2217" s="17" t="str">
        <f>IF(INDEX(Listado!A:A,ROW())="","",INDEX(Listado!A:A,ROW()))</f>
        <v/>
      </c>
      <c r="T2217" s="17" t="str">
        <f ca="1">IF(INDEX(Listado!G:G,ROW())="","",INDEX(Listado!G:G,ROW()))</f>
        <v/>
      </c>
      <c r="U2217" s="17" t="str">
        <f>IF(INDEX(Listado!F:F,ROW())="","",INDEX(Listado!F:F,ROW()))</f>
        <v/>
      </c>
      <c r="V2217" s="17">
        <f>IF(COUNTA(INDEX(Listado!B:B,ROW()):INDEX(Listado!F:F,ROW()))&gt;0,1,0)</f>
        <v/>
      </c>
      <c r="W2217" s="17" t="str">
        <f>IF(INDEX(Listado!L:L,ROW())="","",INDEX(Listado!L:L,ROW()))</f>
        <v/>
      </c>
      <c r="X2217" s="17">
        <f>IF(N2217="","",IF(INDEX(Listado!$M:$M,N2217)="No","No","Sí"))</f>
        <v/>
      </c>
    </row>
    <row r="2218" spans="2:24" ht="14.25">
      <c r="N2218" s="17" t="str">
        <f>IF(V2218=0,"",IFERROR(LOOKUP(2,1/(INDEX(Listado!A:A,2):INDEX(Listado!A:A,ROW())&lt;&gt;""),ROW(INDEX(Listado!A:A,2):INDEX(Listado!A:A,ROW()))),""))</f>
        <v/>
      </c>
      <c r="O2218" s="17" t="str">
        <f>IFERROR(IF(N2218="","",IF(INDEX(Listado!M:M,N2218)="No",IF(INDEX(Listado!N:N,N2218)=0,"",INDEX(Listado!N:N,N2218)),IF(INDEX(Listado!I:I,N2218)=0,"",INDEX(Listado!I:I,N2218)))),"")</f>
        <v/>
      </c>
      <c r="P2218" s="17">
        <f t="shared" ca="1" si="103"/>
        <v/>
      </c>
      <c r="Q2218" s="17">
        <f>IFERROR(IF(AND(N2218&lt;&gt;"",ISNUMBER(O2218),O2218&gt;0,O2218&gt;=TODAY()-90),1,0),0)</f>
        <v/>
      </c>
      <c r="R2218" s="17" t="str">
        <f t="shared" si="105"/>
        <v/>
      </c>
      <c r="S2218" s="17" t="str">
        <f>IF(INDEX(Listado!A:A,ROW())="","",INDEX(Listado!A:A,ROW()))</f>
        <v/>
      </c>
      <c r="T2218" s="17" t="str">
        <f ca="1">IF(INDEX(Listado!G:G,ROW())="","",INDEX(Listado!G:G,ROW()))</f>
        <v/>
      </c>
      <c r="U2218" s="17" t="str">
        <f>IF(INDEX(Listado!F:F,ROW())="","",INDEX(Listado!F:F,ROW()))</f>
        <v/>
      </c>
      <c r="V2218" s="17">
        <f>IF(COUNTA(INDEX(Listado!B:B,ROW()):INDEX(Listado!F:F,ROW()))&gt;0,1,0)</f>
        <v/>
      </c>
      <c r="W2218" s="17" t="str">
        <f>IF(INDEX(Listado!L:L,ROW())="","",INDEX(Listado!L:L,ROW()))</f>
        <v/>
      </c>
      <c r="X2218" s="17">
        <f>IF(N2218="","",IF(INDEX(Listado!$M:$M,N2218)="No","No","Sí"))</f>
        <v/>
      </c>
    </row>
    <row r="2219" spans="2:24" ht="14.25">
      <c r="N2219" s="17" t="str">
        <f>IF(V2219=0,"",IFERROR(LOOKUP(2,1/(INDEX(Listado!A:A,2):INDEX(Listado!A:A,ROW())&lt;&gt;""),ROW(INDEX(Listado!A:A,2):INDEX(Listado!A:A,ROW()))),""))</f>
        <v/>
      </c>
      <c r="O2219" s="17" t="str">
        <f>IFERROR(IF(N2219="","",IF(INDEX(Listado!M:M,N2219)="No",IF(INDEX(Listado!N:N,N2219)=0,"",INDEX(Listado!N:N,N2219)),IF(INDEX(Listado!I:I,N2219)=0,"",INDEX(Listado!I:I,N2219)))),"")</f>
        <v/>
      </c>
      <c r="P2219" s="17">
        <f t="shared" ca="1" si="103"/>
        <v/>
      </c>
      <c r="Q2219" s="17">
        <f>IFERROR(IF(AND(N2219&lt;&gt;"",ISNUMBER(O2219),O2219&gt;0,O2219&gt;=TODAY()-90),1,0),0)</f>
        <v/>
      </c>
      <c r="R2219" s="17" t="str">
        <f t="shared" si="105"/>
        <v/>
      </c>
      <c r="S2219" s="17" t="str">
        <f>IF(INDEX(Listado!A:A,ROW())="","",INDEX(Listado!A:A,ROW()))</f>
        <v/>
      </c>
      <c r="T2219" s="17" t="str">
        <f ca="1">IF(INDEX(Listado!G:G,ROW())="","",INDEX(Listado!G:G,ROW()))</f>
        <v/>
      </c>
      <c r="U2219" s="17" t="str">
        <f>IF(INDEX(Listado!F:F,ROW())="","",INDEX(Listado!F:F,ROW()))</f>
        <v/>
      </c>
      <c r="V2219" s="17">
        <f>IF(COUNTA(INDEX(Listado!B:B,ROW()):INDEX(Listado!F:F,ROW()))&gt;0,1,0)</f>
        <v/>
      </c>
      <c r="W2219" s="17" t="str">
        <f>IF(INDEX(Listado!L:L,ROW())="","",INDEX(Listado!L:L,ROW()))</f>
        <v/>
      </c>
      <c r="X2219" s="17">
        <f>IF(N2219="","",IF(INDEX(Listado!$M:$M,N2219)="No","No","Sí"))</f>
        <v/>
      </c>
    </row>
    <row r="2220" spans="2:24" ht="14.25">
      <c r="N2220" s="17" t="str">
        <f>IF(V2220=0,"",IFERROR(LOOKUP(2,1/(INDEX(Listado!A:A,2):INDEX(Listado!A:A,ROW())&lt;&gt;""),ROW(INDEX(Listado!A:A,2):INDEX(Listado!A:A,ROW()))),""))</f>
        <v/>
      </c>
      <c r="O2220" s="17" t="str">
        <f>IFERROR(IF(N2220="","",IF(INDEX(Listado!M:M,N2220)="No",IF(INDEX(Listado!N:N,N2220)=0,"",INDEX(Listado!N:N,N2220)),IF(INDEX(Listado!I:I,N2220)=0,"",INDEX(Listado!I:I,N2220)))),"")</f>
        <v/>
      </c>
      <c r="P2220" s="17">
        <f t="shared" ca="1" si="103"/>
        <v/>
      </c>
      <c r="Q2220" s="17">
        <f>IFERROR(IF(AND(N2220&lt;&gt;"",ISNUMBER(O2220),O2220&gt;0,O2220&gt;=TODAY()-90),1,0),0)</f>
        <v/>
      </c>
      <c r="R2220" s="17" t="str">
        <f t="shared" si="105"/>
        <v/>
      </c>
      <c r="S2220" s="17" t="str">
        <f>IF(INDEX(Listado!A:A,ROW())="","",INDEX(Listado!A:A,ROW()))</f>
        <v/>
      </c>
      <c r="T2220" s="17" t="str">
        <f ca="1">IF(INDEX(Listado!G:G,ROW())="","",INDEX(Listado!G:G,ROW()))</f>
        <v/>
      </c>
      <c r="U2220" s="17" t="str">
        <f>IF(INDEX(Listado!F:F,ROW())="","",INDEX(Listado!F:F,ROW()))</f>
        <v/>
      </c>
      <c r="V2220" s="17">
        <f>IF(COUNTA(INDEX(Listado!B:B,ROW()):INDEX(Listado!F:F,ROW()))&gt;0,1,0)</f>
        <v/>
      </c>
      <c r="W2220" s="17" t="str">
        <f>IF(INDEX(Listado!L:L,ROW())="","",INDEX(Listado!L:L,ROW()))</f>
        <v/>
      </c>
      <c r="X2220" s="17">
        <f>IF(N2220="","",IF(INDEX(Listado!$M:$M,N2220)="No","No","Sí"))</f>
        <v/>
      </c>
    </row>
    <row r="2221" spans="2:24" ht="14.25">
      <c r="N2221" s="17" t="str">
        <f>IF(V2221=0,"",IFERROR(LOOKUP(2,1/(INDEX(Listado!A:A,2):INDEX(Listado!A:A,ROW())&lt;&gt;""),ROW(INDEX(Listado!A:A,2):INDEX(Listado!A:A,ROW()))),""))</f>
        <v/>
      </c>
      <c r="O2221" s="17" t="str">
        <f>IFERROR(IF(N2221="","",IF(INDEX(Listado!M:M,N2221)="No",IF(INDEX(Listado!N:N,N2221)=0,"",INDEX(Listado!N:N,N2221)),IF(INDEX(Listado!I:I,N2221)=0,"",INDEX(Listado!I:I,N2221)))),"")</f>
        <v/>
      </c>
      <c r="P2221" s="17">
        <f t="shared" ca="1" si="103"/>
        <v/>
      </c>
      <c r="Q2221" s="17">
        <f>IFERROR(IF(AND(N2221&lt;&gt;"",ISNUMBER(O2221),O2221&gt;0,O2221&gt;=TODAY()-90),1,0),0)</f>
        <v/>
      </c>
      <c r="R2221" s="17" t="str">
        <f t="shared" si="105"/>
        <v/>
      </c>
      <c r="S2221" s="17" t="str">
        <f>IF(INDEX(Listado!A:A,ROW())="","",INDEX(Listado!A:A,ROW()))</f>
        <v/>
      </c>
      <c r="T2221" s="17" t="str">
        <f ca="1">IF(INDEX(Listado!G:G,ROW())="","",INDEX(Listado!G:G,ROW()))</f>
        <v/>
      </c>
      <c r="U2221" s="17" t="str">
        <f>IF(INDEX(Listado!F:F,ROW())="","",INDEX(Listado!F:F,ROW()))</f>
        <v/>
      </c>
      <c r="V2221" s="17">
        <f>IF(COUNTA(INDEX(Listado!B:B,ROW()):INDEX(Listado!F:F,ROW()))&gt;0,1,0)</f>
        <v/>
      </c>
      <c r="W2221" s="17" t="str">
        <f>IF(INDEX(Listado!L:L,ROW())="","",INDEX(Listado!L:L,ROW()))</f>
        <v/>
      </c>
      <c r="X2221" s="17">
        <f>IF(N2221="","",IF(INDEX(Listado!$M:$M,N2221)="No","No","Sí"))</f>
        <v/>
      </c>
    </row>
    <row r="2222" spans="2:24" ht="14.25">
      <c r="N2222" s="17" t="str">
        <f>IF(V2222=0,"",IFERROR(LOOKUP(2,1/(INDEX(Listado!A:A,2):INDEX(Listado!A:A,ROW())&lt;&gt;""),ROW(INDEX(Listado!A:A,2):INDEX(Listado!A:A,ROW()))),""))</f>
        <v/>
      </c>
      <c r="O2222" s="17" t="str">
        <f>IFERROR(IF(N2222="","",IF(INDEX(Listado!M:M,N2222)="No",IF(INDEX(Listado!N:N,N2222)=0,"",INDEX(Listado!N:N,N2222)),IF(INDEX(Listado!I:I,N2222)=0,"",INDEX(Listado!I:I,N2222)))),"")</f>
        <v/>
      </c>
      <c r="P2222" s="17">
        <f t="shared" ca="1" si="103"/>
        <v/>
      </c>
      <c r="Q2222" s="17">
        <f>IFERROR(IF(AND(N2222&lt;&gt;"",ISNUMBER(O2222),O2222&gt;0,O2222&gt;=TODAY()-90),1,0),0)</f>
        <v/>
      </c>
      <c r="R2222" s="17" t="str">
        <f t="shared" si="105"/>
        <v/>
      </c>
      <c r="S2222" s="17" t="str">
        <f>IF(INDEX(Listado!A:A,ROW())="","",INDEX(Listado!A:A,ROW()))</f>
        <v/>
      </c>
      <c r="T2222" s="17" t="str">
        <f ca="1">IF(INDEX(Listado!G:G,ROW())="","",INDEX(Listado!G:G,ROW()))</f>
        <v/>
      </c>
      <c r="U2222" s="17" t="str">
        <f>IF(INDEX(Listado!F:F,ROW())="","",INDEX(Listado!F:F,ROW()))</f>
        <v/>
      </c>
      <c r="V2222" s="17">
        <f>IF(COUNTA(INDEX(Listado!B:B,ROW()):INDEX(Listado!F:F,ROW()))&gt;0,1,0)</f>
        <v/>
      </c>
      <c r="W2222" s="17" t="str">
        <f>IF(INDEX(Listado!L:L,ROW())="","",INDEX(Listado!L:L,ROW()))</f>
        <v/>
      </c>
      <c r="X2222" s="17">
        <f>IF(N2222="","",IF(INDEX(Listado!$M:$M,N2222)="No","No","Sí"))</f>
        <v/>
      </c>
    </row>
    <row r="2223" spans="2:24" ht="14.25">
      <c r="N2223" s="17" t="str">
        <f>IF(V2223=0,"",IFERROR(LOOKUP(2,1/(INDEX(Listado!A:A,2):INDEX(Listado!A:A,ROW())&lt;&gt;""),ROW(INDEX(Listado!A:A,2):INDEX(Listado!A:A,ROW()))),""))</f>
        <v/>
      </c>
      <c r="O2223" s="17" t="str">
        <f>IFERROR(IF(N2223="","",IF(INDEX(Listado!M:M,N2223)="No",IF(INDEX(Listado!N:N,N2223)=0,"",INDEX(Listado!N:N,N2223)),IF(INDEX(Listado!I:I,N2223)=0,"",INDEX(Listado!I:I,N2223)))),"")</f>
        <v/>
      </c>
      <c r="P2223" s="17">
        <f t="shared" ca="1" si="103"/>
        <v/>
      </c>
      <c r="Q2223" s="17">
        <f>IFERROR(IF(AND(N2223&lt;&gt;"",ISNUMBER(O2223),O2223&gt;0,O2223&gt;=TODAY()-90),1,0),0)</f>
        <v/>
      </c>
      <c r="R2223" s="17" t="str">
        <f t="shared" si="105"/>
        <v/>
      </c>
      <c r="S2223" s="17" t="str">
        <f>IF(INDEX(Listado!A:A,ROW())="","",INDEX(Listado!A:A,ROW()))</f>
        <v/>
      </c>
      <c r="T2223" s="17" t="str">
        <f ca="1">IF(INDEX(Listado!G:G,ROW())="","",INDEX(Listado!G:G,ROW()))</f>
        <v/>
      </c>
      <c r="U2223" s="17" t="str">
        <f>IF(INDEX(Listado!F:F,ROW())="","",INDEX(Listado!F:F,ROW()))</f>
        <v/>
      </c>
      <c r="V2223" s="17">
        <f>IF(COUNTA(INDEX(Listado!B:B,ROW()):INDEX(Listado!F:F,ROW()))&gt;0,1,0)</f>
        <v/>
      </c>
      <c r="W2223" s="17" t="str">
        <f>IF(INDEX(Listado!L:L,ROW())="","",INDEX(Listado!L:L,ROW()))</f>
        <v/>
      </c>
      <c r="X2223" s="17">
        <f>IF(N2223="","",IF(INDEX(Listado!$M:$M,N2223)="No","No","Sí"))</f>
        <v/>
      </c>
    </row>
    <row r="2224" spans="2:24" ht="14.25">
      <c r="N2224" s="17" t="str">
        <f>IF(V2224=0,"",IFERROR(LOOKUP(2,1/(INDEX(Listado!A:A,2):INDEX(Listado!A:A,ROW())&lt;&gt;""),ROW(INDEX(Listado!A:A,2):INDEX(Listado!A:A,ROW()))),""))</f>
        <v/>
      </c>
      <c r="O2224" s="17" t="str">
        <f>IFERROR(IF(N2224="","",IF(INDEX(Listado!M:M,N2224)="No",IF(INDEX(Listado!N:N,N2224)=0,"",INDEX(Listado!N:N,N2224)),IF(INDEX(Listado!I:I,N2224)=0,"",INDEX(Listado!I:I,N2224)))),"")</f>
        <v/>
      </c>
      <c r="P2224" s="17">
        <f t="shared" ca="1" si="103"/>
        <v/>
      </c>
      <c r="Q2224" s="17">
        <f>IFERROR(IF(AND(N2224&lt;&gt;"",ISNUMBER(O2224),O2224&gt;0,O2224&gt;=TODAY()-90),1,0),0)</f>
        <v/>
      </c>
      <c r="R2224" s="17" t="str">
        <f t="shared" si="105"/>
        <v/>
      </c>
      <c r="S2224" s="17" t="str">
        <f>IF(INDEX(Listado!A:A,ROW())="","",INDEX(Listado!A:A,ROW()))</f>
        <v/>
      </c>
      <c r="T2224" s="17" t="str">
        <f ca="1">IF(INDEX(Listado!G:G,ROW())="","",INDEX(Listado!G:G,ROW()))</f>
        <v/>
      </c>
      <c r="U2224" s="17" t="str">
        <f>IF(INDEX(Listado!F:F,ROW())="","",INDEX(Listado!F:F,ROW()))</f>
        <v/>
      </c>
      <c r="V2224" s="17">
        <f>IF(COUNTA(INDEX(Listado!B:B,ROW()):INDEX(Listado!F:F,ROW()))&gt;0,1,0)</f>
        <v/>
      </c>
      <c r="W2224" s="17" t="str">
        <f>IF(INDEX(Listado!L:L,ROW())="","",INDEX(Listado!L:L,ROW()))</f>
        <v/>
      </c>
      <c r="X2224" s="17">
        <f>IF(N2224="","",IF(INDEX(Listado!$M:$M,N2224)="No","No","Sí"))</f>
        <v/>
      </c>
    </row>
    <row r="2225" spans="2:24" ht="14.25">
      <c r="N2225" s="17" t="str">
        <f>IF(V2225=0,"",IFERROR(LOOKUP(2,1/(INDEX(Listado!A:A,2):INDEX(Listado!A:A,ROW())&lt;&gt;""),ROW(INDEX(Listado!A:A,2):INDEX(Listado!A:A,ROW()))),""))</f>
        <v/>
      </c>
      <c r="O2225" s="17" t="str">
        <f>IFERROR(IF(N2225="","",IF(INDEX(Listado!M:M,N2225)="No",IF(INDEX(Listado!N:N,N2225)=0,"",INDEX(Listado!N:N,N2225)),IF(INDEX(Listado!I:I,N2225)=0,"",INDEX(Listado!I:I,N2225)))),"")</f>
        <v/>
      </c>
      <c r="P2225" s="17">
        <f t="shared" ca="1" si="103"/>
        <v/>
      </c>
      <c r="Q2225" s="17">
        <f>IFERROR(IF(AND(N2225&lt;&gt;"",ISNUMBER(O2225),O2225&gt;0,O2225&gt;=TODAY()-90),1,0),0)</f>
        <v/>
      </c>
      <c r="R2225" s="17" t="str">
        <f t="shared" si="105"/>
        <v/>
      </c>
      <c r="S2225" s="17" t="str">
        <f>IF(INDEX(Listado!A:A,ROW())="","",INDEX(Listado!A:A,ROW()))</f>
        <v/>
      </c>
      <c r="T2225" s="17" t="str">
        <f ca="1">IF(INDEX(Listado!G:G,ROW())="","",INDEX(Listado!G:G,ROW()))</f>
        <v/>
      </c>
      <c r="U2225" s="17" t="str">
        <f>IF(INDEX(Listado!F:F,ROW())="","",INDEX(Listado!F:F,ROW()))</f>
        <v/>
      </c>
      <c r="V2225" s="17">
        <f>IF(COUNTA(INDEX(Listado!B:B,ROW()):INDEX(Listado!F:F,ROW()))&gt;0,1,0)</f>
        <v/>
      </c>
      <c r="W2225" s="17" t="str">
        <f>IF(INDEX(Listado!L:L,ROW())="","",INDEX(Listado!L:L,ROW()))</f>
        <v/>
      </c>
      <c r="X2225" s="17">
        <f>IF(N2225="","",IF(INDEX(Listado!$M:$M,N2225)="No","No","Sí"))</f>
        <v/>
      </c>
    </row>
    <row r="2226" spans="2:24" ht="14.25">
      <c r="N2226" s="17" t="str">
        <f>IF(V2226=0,"",IFERROR(LOOKUP(2,1/(INDEX(Listado!A:A,2):INDEX(Listado!A:A,ROW())&lt;&gt;""),ROW(INDEX(Listado!A:A,2):INDEX(Listado!A:A,ROW()))),""))</f>
        <v/>
      </c>
      <c r="O2226" s="17" t="str">
        <f>IFERROR(IF(N2226="","",IF(INDEX(Listado!M:M,N2226)="No",IF(INDEX(Listado!N:N,N2226)=0,"",INDEX(Listado!N:N,N2226)),IF(INDEX(Listado!I:I,N2226)=0,"",INDEX(Listado!I:I,N2226)))),"")</f>
        <v/>
      </c>
      <c r="P2226" s="17">
        <f t="shared" ca="1" si="103"/>
        <v/>
      </c>
      <c r="Q2226" s="17">
        <f>IFERROR(IF(AND(N2226&lt;&gt;"",ISNUMBER(O2226),O2226&gt;0,O2226&gt;=TODAY()-90),1,0),0)</f>
        <v/>
      </c>
      <c r="R2226" s="17" t="str">
        <f t="shared" si="105"/>
        <v/>
      </c>
      <c r="S2226" s="17" t="str">
        <f>IF(INDEX(Listado!A:A,ROW())="","",INDEX(Listado!A:A,ROW()))</f>
        <v/>
      </c>
      <c r="T2226" s="17" t="str">
        <f ca="1">IF(INDEX(Listado!G:G,ROW())="","",INDEX(Listado!G:G,ROW()))</f>
        <v/>
      </c>
      <c r="U2226" s="17" t="str">
        <f>IF(INDEX(Listado!F:F,ROW())="","",INDEX(Listado!F:F,ROW()))</f>
        <v/>
      </c>
      <c r="V2226" s="17">
        <f>IF(COUNTA(INDEX(Listado!B:B,ROW()):INDEX(Listado!F:F,ROW()))&gt;0,1,0)</f>
        <v/>
      </c>
      <c r="W2226" s="17" t="str">
        <f>IF(INDEX(Listado!L:L,ROW())="","",INDEX(Listado!L:L,ROW()))</f>
        <v/>
      </c>
      <c r="X2226" s="17">
        <f>IF(N2226="","",IF(INDEX(Listado!$M:$M,N2226)="No","No","Sí"))</f>
        <v/>
      </c>
    </row>
    <row r="2227" spans="2:24" ht="14.25">
      <c r="N2227" s="17" t="str">
        <f>IF(V2227=0,"",IFERROR(LOOKUP(2,1/(INDEX(Listado!A:A,2):INDEX(Listado!A:A,ROW())&lt;&gt;""),ROW(INDEX(Listado!A:A,2):INDEX(Listado!A:A,ROW()))),""))</f>
        <v/>
      </c>
      <c r="O2227" s="17" t="str">
        <f>IFERROR(IF(N2227="","",IF(INDEX(Listado!M:M,N2227)="No",IF(INDEX(Listado!N:N,N2227)=0,"",INDEX(Listado!N:N,N2227)),IF(INDEX(Listado!I:I,N2227)=0,"",INDEX(Listado!I:I,N2227)))),"")</f>
        <v/>
      </c>
      <c r="P2227" s="17">
        <f t="shared" ca="1" si="103"/>
        <v/>
      </c>
      <c r="Q2227" s="17">
        <f>IFERROR(IF(AND(N2227&lt;&gt;"",ISNUMBER(O2227),O2227&gt;0,O2227&gt;=TODAY()-90),1,0),0)</f>
        <v/>
      </c>
      <c r="R2227" s="17" t="str">
        <f t="shared" si="105"/>
        <v/>
      </c>
      <c r="S2227" s="17" t="str">
        <f>IF(INDEX(Listado!A:A,ROW())="","",INDEX(Listado!A:A,ROW()))</f>
        <v/>
      </c>
      <c r="T2227" s="17" t="str">
        <f ca="1">IF(INDEX(Listado!G:G,ROW())="","",INDEX(Listado!G:G,ROW()))</f>
        <v/>
      </c>
      <c r="U2227" s="17" t="str">
        <f>IF(INDEX(Listado!F:F,ROW())="","",INDEX(Listado!F:F,ROW()))</f>
        <v/>
      </c>
      <c r="V2227" s="17">
        <f>IF(COUNTA(INDEX(Listado!B:B,ROW()):INDEX(Listado!F:F,ROW()))&gt;0,1,0)</f>
        <v/>
      </c>
      <c r="W2227" s="17" t="str">
        <f>IF(INDEX(Listado!L:L,ROW())="","",INDEX(Listado!L:L,ROW()))</f>
        <v/>
      </c>
      <c r="X2227" s="17">
        <f>IF(N2227="","",IF(INDEX(Listado!$M:$M,N2227)="No","No","Sí"))</f>
        <v/>
      </c>
    </row>
    <row r="2228" spans="2:24" ht="14.25">
      <c r="N2228" s="17" t="str">
        <f>IF(V2228=0,"",IFERROR(LOOKUP(2,1/(INDEX(Listado!A:A,2):INDEX(Listado!A:A,ROW())&lt;&gt;""),ROW(INDEX(Listado!A:A,2):INDEX(Listado!A:A,ROW()))),""))</f>
        <v/>
      </c>
      <c r="O2228" s="17" t="str">
        <f>IFERROR(IF(N2228="","",IF(INDEX(Listado!M:M,N2228)="No",IF(INDEX(Listado!N:N,N2228)=0,"",INDEX(Listado!N:N,N2228)),IF(INDEX(Listado!I:I,N2228)=0,"",INDEX(Listado!I:I,N2228)))),"")</f>
        <v/>
      </c>
      <c r="P2228" s="17">
        <f t="shared" ca="1" si="103"/>
        <v/>
      </c>
      <c r="Q2228" s="17">
        <f>IFERROR(IF(AND(N2228&lt;&gt;"",ISNUMBER(O2228),O2228&gt;0,O2228&gt;=TODAY()-90),1,0),0)</f>
        <v/>
      </c>
      <c r="R2228" s="17" t="str">
        <f t="shared" si="105"/>
        <v/>
      </c>
      <c r="S2228" s="17" t="str">
        <f>IF(INDEX(Listado!A:A,ROW())="","",INDEX(Listado!A:A,ROW()))</f>
        <v/>
      </c>
      <c r="T2228" s="17" t="str">
        <f ca="1">IF(INDEX(Listado!G:G,ROW())="","",INDEX(Listado!G:G,ROW()))</f>
        <v/>
      </c>
      <c r="U2228" s="17" t="str">
        <f>IF(INDEX(Listado!F:F,ROW())="","",INDEX(Listado!F:F,ROW()))</f>
        <v/>
      </c>
      <c r="V2228" s="17">
        <f>IF(COUNTA(INDEX(Listado!B:B,ROW()):INDEX(Listado!F:F,ROW()))&gt;0,1,0)</f>
        <v/>
      </c>
      <c r="W2228" s="17" t="str">
        <f>IF(INDEX(Listado!L:L,ROW())="","",INDEX(Listado!L:L,ROW()))</f>
        <v/>
      </c>
      <c r="X2228" s="17">
        <f>IF(N2228="","",IF(INDEX(Listado!$M:$M,N2228)="No","No","Sí"))</f>
        <v/>
      </c>
    </row>
    <row r="2229" spans="2:24" ht="14.25">
      <c r="N2229" s="17" t="str">
        <f>IF(V2229=0,"",IFERROR(LOOKUP(2,1/(INDEX(Listado!A:A,2):INDEX(Listado!A:A,ROW())&lt;&gt;""),ROW(INDEX(Listado!A:A,2):INDEX(Listado!A:A,ROW()))),""))</f>
        <v/>
      </c>
      <c r="O2229" s="17" t="str">
        <f>IFERROR(IF(N2229="","",IF(INDEX(Listado!M:M,N2229)="No",IF(INDEX(Listado!N:N,N2229)=0,"",INDEX(Listado!N:N,N2229)),IF(INDEX(Listado!I:I,N2229)=0,"",INDEX(Listado!I:I,N2229)))),"")</f>
        <v/>
      </c>
      <c r="P2229" s="17">
        <f t="shared" ca="1" si="103"/>
        <v/>
      </c>
      <c r="Q2229" s="17">
        <f>IFERROR(IF(AND(N2229&lt;&gt;"",ISNUMBER(O2229),O2229&gt;0,O2229&gt;=TODAY()-90),1,0),0)</f>
        <v/>
      </c>
      <c r="R2229" s="17" t="str">
        <f t="shared" si="105"/>
        <v/>
      </c>
      <c r="S2229" s="17" t="str">
        <f>IF(INDEX(Listado!A:A,ROW())="","",INDEX(Listado!A:A,ROW()))</f>
        <v/>
      </c>
      <c r="T2229" s="17" t="str">
        <f ca="1">IF(INDEX(Listado!G:G,ROW())="","",INDEX(Listado!G:G,ROW()))</f>
        <v/>
      </c>
      <c r="U2229" s="17" t="str">
        <f>IF(INDEX(Listado!F:F,ROW())="","",INDEX(Listado!F:F,ROW()))</f>
        <v/>
      </c>
      <c r="V2229" s="17">
        <f>IF(COUNTA(INDEX(Listado!B:B,ROW()):INDEX(Listado!F:F,ROW()))&gt;0,1,0)</f>
        <v/>
      </c>
      <c r="W2229" s="17" t="str">
        <f>IF(INDEX(Listado!L:L,ROW())="","",INDEX(Listado!L:L,ROW()))</f>
        <v/>
      </c>
      <c r="X2229" s="17">
        <f>IF(N2229="","",IF(INDEX(Listado!$M:$M,N2229)="No","No","Sí"))</f>
        <v/>
      </c>
    </row>
    <row r="2230" spans="2:24" ht="14.25">
      <c r="N2230" s="17" t="str">
        <f>IF(V2230=0,"",IFERROR(LOOKUP(2,1/(INDEX(Listado!A:A,2):INDEX(Listado!A:A,ROW())&lt;&gt;""),ROW(INDEX(Listado!A:A,2):INDEX(Listado!A:A,ROW()))),""))</f>
        <v/>
      </c>
      <c r="O2230" s="17" t="str">
        <f>IFERROR(IF(N2230="","",IF(INDEX(Listado!M:M,N2230)="No",IF(INDEX(Listado!N:N,N2230)=0,"",INDEX(Listado!N:N,N2230)),IF(INDEX(Listado!I:I,N2230)=0,"",INDEX(Listado!I:I,N2230)))),"")</f>
        <v/>
      </c>
      <c r="P2230" s="17">
        <f t="shared" ca="1" si="103"/>
        <v/>
      </c>
      <c r="Q2230" s="17">
        <f>IFERROR(IF(AND(N2230&lt;&gt;"",ISNUMBER(O2230),O2230&gt;0,O2230&gt;=TODAY()-90),1,0),0)</f>
        <v/>
      </c>
      <c r="R2230" s="17" t="str">
        <f t="shared" si="105"/>
        <v/>
      </c>
      <c r="S2230" s="17" t="str">
        <f>IF(INDEX(Listado!A:A,ROW())="","",INDEX(Listado!A:A,ROW()))</f>
        <v/>
      </c>
      <c r="T2230" s="17" t="str">
        <f ca="1">IF(INDEX(Listado!G:G,ROW())="","",INDEX(Listado!G:G,ROW()))</f>
        <v/>
      </c>
      <c r="U2230" s="17" t="str">
        <f>IF(INDEX(Listado!F:F,ROW())="","",INDEX(Listado!F:F,ROW()))</f>
        <v/>
      </c>
      <c r="V2230" s="17">
        <f>IF(COUNTA(INDEX(Listado!B:B,ROW()):INDEX(Listado!F:F,ROW()))&gt;0,1,0)</f>
        <v/>
      </c>
      <c r="W2230" s="17" t="str">
        <f>IF(INDEX(Listado!L:L,ROW())="","",INDEX(Listado!L:L,ROW()))</f>
        <v/>
      </c>
      <c r="X2230" s="17">
        <f>IF(N2230="","",IF(INDEX(Listado!$M:$M,N2230)="No","No","Sí"))</f>
        <v/>
      </c>
    </row>
    <row r="2231" spans="2:24" ht="14.25">
      <c r="N2231" s="17" t="str">
        <f>IF(V2231=0,"",IFERROR(LOOKUP(2,1/(INDEX(Listado!A:A,2):INDEX(Listado!A:A,ROW())&lt;&gt;""),ROW(INDEX(Listado!A:A,2):INDEX(Listado!A:A,ROW()))),""))</f>
        <v/>
      </c>
      <c r="O2231" s="17" t="str">
        <f>IFERROR(IF(N2231="","",IF(INDEX(Listado!M:M,N2231)="No",IF(INDEX(Listado!N:N,N2231)=0,"",INDEX(Listado!N:N,N2231)),IF(INDEX(Listado!I:I,N2231)=0,"",INDEX(Listado!I:I,N2231)))),"")</f>
        <v/>
      </c>
      <c r="P2231" s="17">
        <f t="shared" ca="1" si="103"/>
        <v/>
      </c>
      <c r="Q2231" s="17">
        <f>IFERROR(IF(AND(N2231&lt;&gt;"",ISNUMBER(O2231),O2231&gt;0,O2231&gt;=TODAY()-90),1,0),0)</f>
        <v/>
      </c>
      <c r="R2231" s="17" t="str">
        <f t="shared" si="105"/>
        <v/>
      </c>
      <c r="S2231" s="17" t="str">
        <f>IF(INDEX(Listado!A:A,ROW())="","",INDEX(Listado!A:A,ROW()))</f>
        <v/>
      </c>
      <c r="T2231" s="17" t="str">
        <f ca="1">IF(INDEX(Listado!G:G,ROW())="","",INDEX(Listado!G:G,ROW()))</f>
        <v/>
      </c>
      <c r="U2231" s="17" t="str">
        <f>IF(INDEX(Listado!F:F,ROW())="","",INDEX(Listado!F:F,ROW()))</f>
        <v/>
      </c>
      <c r="V2231" s="17">
        <f>IF(COUNTA(INDEX(Listado!B:B,ROW()):INDEX(Listado!F:F,ROW()))&gt;0,1,0)</f>
        <v/>
      </c>
      <c r="W2231" s="17" t="str">
        <f>IF(INDEX(Listado!L:L,ROW())="","",INDEX(Listado!L:L,ROW()))</f>
        <v/>
      </c>
      <c r="X2231" s="17">
        <f>IF(N2231="","",IF(INDEX(Listado!$M:$M,N2231)="No","No","Sí"))</f>
        <v/>
      </c>
    </row>
    <row r="2232" spans="2:24" ht="14.25">
      <c r="N2232" s="17" t="str">
        <f>IF(V2232=0,"",IFERROR(LOOKUP(2,1/(INDEX(Listado!A:A,2):INDEX(Listado!A:A,ROW())&lt;&gt;""),ROW(INDEX(Listado!A:A,2):INDEX(Listado!A:A,ROW()))),""))</f>
        <v/>
      </c>
      <c r="O2232" s="17" t="str">
        <f>IFERROR(IF(N2232="","",IF(INDEX(Listado!M:M,N2232)="No",IF(INDEX(Listado!N:N,N2232)=0,"",INDEX(Listado!N:N,N2232)),IF(INDEX(Listado!I:I,N2232)=0,"",INDEX(Listado!I:I,N2232)))),"")</f>
        <v/>
      </c>
      <c r="P2232" s="17">
        <f t="shared" ca="1" si="103"/>
        <v/>
      </c>
      <c r="Q2232" s="17">
        <f>IFERROR(IF(AND(N2232&lt;&gt;"",ISNUMBER(O2232),O2232&gt;0,O2232&gt;=TODAY()-90),1,0),0)</f>
        <v/>
      </c>
      <c r="R2232" s="17" t="str">
        <f t="shared" si="105"/>
        <v/>
      </c>
      <c r="S2232" s="17" t="str">
        <f>IF(INDEX(Listado!A:A,ROW())="","",INDEX(Listado!A:A,ROW()))</f>
        <v/>
      </c>
      <c r="T2232" s="17" t="str">
        <f ca="1">IF(INDEX(Listado!G:G,ROW())="","",INDEX(Listado!G:G,ROW()))</f>
        <v/>
      </c>
      <c r="U2232" s="17" t="str">
        <f>IF(INDEX(Listado!F:F,ROW())="","",INDEX(Listado!F:F,ROW()))</f>
        <v/>
      </c>
      <c r="V2232" s="17">
        <f>IF(COUNTA(INDEX(Listado!B:B,ROW()):INDEX(Listado!F:F,ROW()))&gt;0,1,0)</f>
        <v/>
      </c>
      <c r="W2232" s="17" t="str">
        <f>IF(INDEX(Listado!L:L,ROW())="","",INDEX(Listado!L:L,ROW()))</f>
        <v/>
      </c>
      <c r="X2232" s="17">
        <f>IF(N2232="","",IF(INDEX(Listado!$M:$M,N2232)="No","No","Sí"))</f>
        <v/>
      </c>
    </row>
    <row r="2233" spans="2:24" ht="14.25">
      <c r="N2233" s="17" t="str">
        <f>IF(V2233=0,"",IFERROR(LOOKUP(2,1/(INDEX(Listado!A:A,2):INDEX(Listado!A:A,ROW())&lt;&gt;""),ROW(INDEX(Listado!A:A,2):INDEX(Listado!A:A,ROW()))),""))</f>
        <v/>
      </c>
      <c r="O2233" s="17" t="str">
        <f>IFERROR(IF(N2233="","",IF(INDEX(Listado!M:M,N2233)="No",IF(INDEX(Listado!N:N,N2233)=0,"",INDEX(Listado!N:N,N2233)),IF(INDEX(Listado!I:I,N2233)=0,"",INDEX(Listado!I:I,N2233)))),"")</f>
        <v/>
      </c>
      <c r="P2233" s="17">
        <f t="shared" ca="1" si="103"/>
        <v/>
      </c>
      <c r="Q2233" s="17">
        <f>IFERROR(IF(AND(N2233&lt;&gt;"",ISNUMBER(O2233),O2233&gt;0,O2233&gt;=TODAY()-90),1,0),0)</f>
        <v/>
      </c>
      <c r="R2233" s="17" t="str">
        <f t="shared" si="105"/>
        <v/>
      </c>
      <c r="S2233" s="17" t="str">
        <f>IF(INDEX(Listado!A:A,ROW())="","",INDEX(Listado!A:A,ROW()))</f>
        <v/>
      </c>
      <c r="T2233" s="17" t="str">
        <f ca="1">IF(INDEX(Listado!G:G,ROW())="","",INDEX(Listado!G:G,ROW()))</f>
        <v/>
      </c>
      <c r="U2233" s="17" t="str">
        <f>IF(INDEX(Listado!F:F,ROW())="","",INDEX(Listado!F:F,ROW()))</f>
        <v/>
      </c>
      <c r="V2233" s="17">
        <f>IF(COUNTA(INDEX(Listado!B:B,ROW()):INDEX(Listado!F:F,ROW()))&gt;0,1,0)</f>
        <v/>
      </c>
      <c r="W2233" s="17" t="str">
        <f>IF(INDEX(Listado!L:L,ROW())="","",INDEX(Listado!L:L,ROW()))</f>
        <v/>
      </c>
      <c r="X2233" s="17">
        <f>IF(N2233="","",IF(INDEX(Listado!$M:$M,N2233)="No","No","Sí"))</f>
        <v/>
      </c>
    </row>
    <row r="2234" spans="2:24" ht="14.25">
      <c r="N2234" s="17" t="str">
        <f>IF(V2234=0,"",IFERROR(LOOKUP(2,1/(INDEX(Listado!A:A,2):INDEX(Listado!A:A,ROW())&lt;&gt;""),ROW(INDEX(Listado!A:A,2):INDEX(Listado!A:A,ROW()))),""))</f>
        <v/>
      </c>
      <c r="O2234" s="17" t="str">
        <f>IFERROR(IF(N2234="","",IF(INDEX(Listado!M:M,N2234)="No",IF(INDEX(Listado!N:N,N2234)=0,"",INDEX(Listado!N:N,N2234)),IF(INDEX(Listado!I:I,N2234)=0,"",INDEX(Listado!I:I,N2234)))),"")</f>
        <v/>
      </c>
      <c r="P2234" s="17">
        <f t="shared" ca="1" si="103"/>
        <v/>
      </c>
      <c r="Q2234" s="17">
        <f>IFERROR(IF(AND(N2234&lt;&gt;"",ISNUMBER(O2234),O2234&gt;0,O2234&gt;=TODAY()-90),1,0),0)</f>
        <v/>
      </c>
      <c r="R2234" s="17" t="str">
        <f t="shared" si="105"/>
        <v/>
      </c>
      <c r="S2234" s="17" t="str">
        <f>IF(INDEX(Listado!A:A,ROW())="","",INDEX(Listado!A:A,ROW()))</f>
        <v/>
      </c>
      <c r="T2234" s="17" t="str">
        <f ca="1">IF(INDEX(Listado!G:G,ROW())="","",INDEX(Listado!G:G,ROW()))</f>
        <v/>
      </c>
      <c r="U2234" s="17" t="str">
        <f>IF(INDEX(Listado!F:F,ROW())="","",INDEX(Listado!F:F,ROW()))</f>
        <v/>
      </c>
      <c r="V2234" s="17">
        <f>IF(COUNTA(INDEX(Listado!B:B,ROW()):INDEX(Listado!F:F,ROW()))&gt;0,1,0)</f>
        <v/>
      </c>
      <c r="W2234" s="17" t="str">
        <f>IF(INDEX(Listado!L:L,ROW())="","",INDEX(Listado!L:L,ROW()))</f>
        <v/>
      </c>
      <c r="X2234" s="17">
        <f>IF(N2234="","",IF(INDEX(Listado!$M:$M,N2234)="No","No","Sí"))</f>
        <v/>
      </c>
    </row>
    <row r="2235" spans="2:24" ht="14.25">
      <c r="N2235" s="17" t="str">
        <f>IF(V2235=0,"",IFERROR(LOOKUP(2,1/(INDEX(Listado!A:A,2):INDEX(Listado!A:A,ROW())&lt;&gt;""),ROW(INDEX(Listado!A:A,2):INDEX(Listado!A:A,ROW()))),""))</f>
        <v/>
      </c>
      <c r="O2235" s="17" t="str">
        <f>IFERROR(IF(N2235="","",IF(INDEX(Listado!M:M,N2235)="No",IF(INDEX(Listado!N:N,N2235)=0,"",INDEX(Listado!N:N,N2235)),IF(INDEX(Listado!I:I,N2235)=0,"",INDEX(Listado!I:I,N2235)))),"")</f>
        <v/>
      </c>
      <c r="P2235" s="17">
        <f t="shared" ca="1" si="103"/>
        <v/>
      </c>
      <c r="Q2235" s="17">
        <f>IFERROR(IF(AND(N2235&lt;&gt;"",ISNUMBER(O2235),O2235&gt;0,O2235&gt;=TODAY()-90),1,0),0)</f>
        <v/>
      </c>
      <c r="R2235" s="17" t="str">
        <f t="shared" si="105"/>
        <v/>
      </c>
      <c r="S2235" s="17" t="str">
        <f>IF(INDEX(Listado!A:A,ROW())="","",INDEX(Listado!A:A,ROW()))</f>
        <v/>
      </c>
      <c r="T2235" s="17" t="str">
        <f ca="1">IF(INDEX(Listado!G:G,ROW())="","",INDEX(Listado!G:G,ROW()))</f>
        <v/>
      </c>
      <c r="U2235" s="17" t="str">
        <f>IF(INDEX(Listado!F:F,ROW())="","",INDEX(Listado!F:F,ROW()))</f>
        <v/>
      </c>
      <c r="V2235" s="17">
        <f>IF(COUNTA(INDEX(Listado!B:B,ROW()):INDEX(Listado!F:F,ROW()))&gt;0,1,0)</f>
        <v/>
      </c>
      <c r="W2235" s="17" t="str">
        <f>IF(INDEX(Listado!L:L,ROW())="","",INDEX(Listado!L:L,ROW()))</f>
        <v/>
      </c>
      <c r="X2235" s="17">
        <f>IF(N2235="","",IF(INDEX(Listado!$M:$M,N2235)="No","No","Sí"))</f>
        <v/>
      </c>
    </row>
    <row r="2236" spans="2:24" ht="14.25">
      <c r="N2236" s="17" t="str">
        <f>IF(V2236=0,"",IFERROR(LOOKUP(2,1/(INDEX(Listado!A:A,2):INDEX(Listado!A:A,ROW())&lt;&gt;""),ROW(INDEX(Listado!A:A,2):INDEX(Listado!A:A,ROW()))),""))</f>
        <v/>
      </c>
      <c r="O2236" s="17" t="str">
        <f>IFERROR(IF(N2236="","",IF(INDEX(Listado!M:M,N2236)="No",IF(INDEX(Listado!N:N,N2236)=0,"",INDEX(Listado!N:N,N2236)),IF(INDEX(Listado!I:I,N2236)=0,"",INDEX(Listado!I:I,N2236)))),"")</f>
        <v/>
      </c>
      <c r="P2236" s="17">
        <f t="shared" ca="1" si="103"/>
        <v/>
      </c>
      <c r="Q2236" s="17">
        <f>IFERROR(IF(AND(N2236&lt;&gt;"",ISNUMBER(O2236),O2236&gt;0,O2236&gt;=TODAY()-90),1,0),0)</f>
        <v/>
      </c>
      <c r="R2236" s="17" t="str">
        <f t="shared" si="105"/>
        <v/>
      </c>
      <c r="S2236" s="17" t="str">
        <f>IF(INDEX(Listado!A:A,ROW())="","",INDEX(Listado!A:A,ROW()))</f>
        <v/>
      </c>
      <c r="T2236" s="17" t="str">
        <f ca="1">IF(INDEX(Listado!G:G,ROW())="","",INDEX(Listado!G:G,ROW()))</f>
        <v/>
      </c>
      <c r="U2236" s="17" t="str">
        <f>IF(INDEX(Listado!F:F,ROW())="","",INDEX(Listado!F:F,ROW()))</f>
        <v/>
      </c>
      <c r="V2236" s="17">
        <f>IF(COUNTA(INDEX(Listado!B:B,ROW()):INDEX(Listado!F:F,ROW()))&gt;0,1,0)</f>
        <v/>
      </c>
      <c r="W2236" s="17" t="str">
        <f>IF(INDEX(Listado!L:L,ROW())="","",INDEX(Listado!L:L,ROW()))</f>
        <v/>
      </c>
      <c r="X2236" s="17">
        <f>IF(N2236="","",IF(INDEX(Listado!$M:$M,N2236)="No","No","Sí"))</f>
        <v/>
      </c>
    </row>
    <row r="2237" spans="2:24" ht="14.25">
      <c r="N2237" s="17" t="str">
        <f>IF(V2237=0,"",IFERROR(LOOKUP(2,1/(INDEX(Listado!A:A,2):INDEX(Listado!A:A,ROW())&lt;&gt;""),ROW(INDEX(Listado!A:A,2):INDEX(Listado!A:A,ROW()))),""))</f>
        <v/>
      </c>
      <c r="O2237" s="17" t="str">
        <f>IFERROR(IF(N2237="","",IF(INDEX(Listado!M:M,N2237)="No",IF(INDEX(Listado!N:N,N2237)=0,"",INDEX(Listado!N:N,N2237)),IF(INDEX(Listado!I:I,N2237)=0,"",INDEX(Listado!I:I,N2237)))),"")</f>
        <v/>
      </c>
      <c r="P2237" s="17">
        <f t="shared" ca="1" si="103"/>
        <v/>
      </c>
      <c r="Q2237" s="17">
        <f>IFERROR(IF(AND(N2237&lt;&gt;"",ISNUMBER(O2237),O2237&gt;0,O2237&gt;=TODAY()-90),1,0),0)</f>
        <v/>
      </c>
      <c r="R2237" s="17" t="str">
        <f t="shared" si="105"/>
        <v/>
      </c>
      <c r="S2237" s="17" t="str">
        <f>IF(INDEX(Listado!A:A,ROW())="","",INDEX(Listado!A:A,ROW()))</f>
        <v/>
      </c>
      <c r="T2237" s="17" t="str">
        <f ca="1">IF(INDEX(Listado!G:G,ROW())="","",INDEX(Listado!G:G,ROW()))</f>
        <v/>
      </c>
      <c r="U2237" s="17" t="str">
        <f>IF(INDEX(Listado!F:F,ROW())="","",INDEX(Listado!F:F,ROW()))</f>
        <v/>
      </c>
      <c r="V2237" s="17">
        <f>IF(COUNTA(INDEX(Listado!B:B,ROW()):INDEX(Listado!F:F,ROW()))&gt;0,1,0)</f>
        <v/>
      </c>
      <c r="W2237" s="17" t="str">
        <f>IF(INDEX(Listado!L:L,ROW())="","",INDEX(Listado!L:L,ROW()))</f>
        <v/>
      </c>
      <c r="X2237" s="17">
        <f>IF(N2237="","",IF(INDEX(Listado!$M:$M,N2237)="No","No","Sí"))</f>
        <v/>
      </c>
    </row>
    <row r="2238" spans="2:24" ht="14.25">
      <c r="N2238" s="17" t="str">
        <f>IF(V2238=0,"",IFERROR(LOOKUP(2,1/(INDEX(Listado!A:A,2):INDEX(Listado!A:A,ROW())&lt;&gt;""),ROW(INDEX(Listado!A:A,2):INDEX(Listado!A:A,ROW()))),""))</f>
        <v/>
      </c>
      <c r="O2238" s="17" t="str">
        <f>IFERROR(IF(N2238="","",IF(INDEX(Listado!M:M,N2238)="No",IF(INDEX(Listado!N:N,N2238)=0,"",INDEX(Listado!N:N,N2238)),IF(INDEX(Listado!I:I,N2238)=0,"",INDEX(Listado!I:I,N2238)))),"")</f>
        <v/>
      </c>
      <c r="P2238" s="17">
        <f t="shared" ca="1" si="103"/>
        <v/>
      </c>
      <c r="Q2238" s="17">
        <f>IFERROR(IF(AND(N2238&lt;&gt;"",ISNUMBER(O2238),O2238&gt;0,O2238&gt;=TODAY()-90),1,0),0)</f>
        <v/>
      </c>
      <c r="R2238" s="17" t="str">
        <f t="shared" si="105"/>
        <v/>
      </c>
      <c r="S2238" s="17" t="str">
        <f>IF(INDEX(Listado!A:A,ROW())="","",INDEX(Listado!A:A,ROW()))</f>
        <v/>
      </c>
      <c r="T2238" s="17" t="str">
        <f ca="1">IF(INDEX(Listado!G:G,ROW())="","",INDEX(Listado!G:G,ROW()))</f>
        <v/>
      </c>
      <c r="U2238" s="17" t="str">
        <f>IF(INDEX(Listado!F:F,ROW())="","",INDEX(Listado!F:F,ROW()))</f>
        <v/>
      </c>
      <c r="V2238" s="17">
        <f>IF(COUNTA(INDEX(Listado!B:B,ROW()):INDEX(Listado!F:F,ROW()))&gt;0,1,0)</f>
        <v/>
      </c>
      <c r="W2238" s="17" t="str">
        <f>IF(INDEX(Listado!L:L,ROW())="","",INDEX(Listado!L:L,ROW()))</f>
        <v/>
      </c>
      <c r="X2238" s="17">
        <f>IF(N2238="","",IF(INDEX(Listado!$M:$M,N2238)="No","No","Sí"))</f>
        <v/>
      </c>
    </row>
    <row r="2239" spans="2:24" ht="14.25">
      <c r="N2239" s="17" t="str">
        <f>IF(V2239=0,"",IFERROR(LOOKUP(2,1/(INDEX(Listado!A:A,2):INDEX(Listado!A:A,ROW())&lt;&gt;""),ROW(INDEX(Listado!A:A,2):INDEX(Listado!A:A,ROW()))),""))</f>
        <v/>
      </c>
      <c r="O2239" s="17" t="str">
        <f>IFERROR(IF(N2239="","",IF(INDEX(Listado!M:M,N2239)="No",IF(INDEX(Listado!N:N,N2239)=0,"",INDEX(Listado!N:N,N2239)),IF(INDEX(Listado!I:I,N2239)=0,"",INDEX(Listado!I:I,N2239)))),"")</f>
        <v/>
      </c>
      <c r="P2239" s="17">
        <f t="shared" ca="1" si="103"/>
        <v/>
      </c>
      <c r="Q2239" s="17">
        <f>IFERROR(IF(AND(N2239&lt;&gt;"",ISNUMBER(O2239),O2239&gt;0,O2239&gt;=TODAY()-90),1,0),0)</f>
        <v/>
      </c>
      <c r="R2239" s="17" t="str">
        <f t="shared" si="105"/>
        <v/>
      </c>
      <c r="S2239" s="17" t="str">
        <f>IF(INDEX(Listado!A:A,ROW())="","",INDEX(Listado!A:A,ROW()))</f>
        <v/>
      </c>
      <c r="T2239" s="17" t="str">
        <f ca="1">IF(INDEX(Listado!G:G,ROW())="","",INDEX(Listado!G:G,ROW()))</f>
        <v/>
      </c>
      <c r="U2239" s="17" t="str">
        <f>IF(INDEX(Listado!F:F,ROW())="","",INDEX(Listado!F:F,ROW()))</f>
        <v/>
      </c>
      <c r="V2239" s="17">
        <f>IF(COUNTA(INDEX(Listado!B:B,ROW()):INDEX(Listado!F:F,ROW()))&gt;0,1,0)</f>
        <v/>
      </c>
      <c r="W2239" s="17" t="str">
        <f>IF(INDEX(Listado!L:L,ROW())="","",INDEX(Listado!L:L,ROW()))</f>
        <v/>
      </c>
      <c r="X2239" s="17">
        <f>IF(N2239="","",IF(INDEX(Listado!$M:$M,N2239)="No","No","Sí"))</f>
        <v/>
      </c>
    </row>
    <row r="2240" spans="2:24" ht="14.25">
      <c r="N2240" s="17" t="str">
        <f>IF(V2240=0,"",IFERROR(LOOKUP(2,1/(INDEX(Listado!A:A,2):INDEX(Listado!A:A,ROW())&lt;&gt;""),ROW(INDEX(Listado!A:A,2):INDEX(Listado!A:A,ROW()))),""))</f>
        <v/>
      </c>
      <c r="O2240" s="17" t="str">
        <f>IFERROR(IF(N2240="","",IF(INDEX(Listado!M:M,N2240)="No",IF(INDEX(Listado!N:N,N2240)=0,"",INDEX(Listado!N:N,N2240)),IF(INDEX(Listado!I:I,N2240)=0,"",INDEX(Listado!I:I,N2240)))),"")</f>
        <v/>
      </c>
      <c r="P2240" s="17">
        <f t="shared" ca="1" si="103"/>
        <v/>
      </c>
      <c r="Q2240" s="17">
        <f>IFERROR(IF(AND(N2240&lt;&gt;"",ISNUMBER(O2240),O2240&gt;0,O2240&gt;=TODAY()-90),1,0),0)</f>
        <v/>
      </c>
      <c r="R2240" s="17" t="str">
        <f t="shared" si="105"/>
        <v/>
      </c>
      <c r="S2240" s="17" t="str">
        <f>IF(INDEX(Listado!A:A,ROW())="","",INDEX(Listado!A:A,ROW()))</f>
        <v/>
      </c>
      <c r="T2240" s="17" t="str">
        <f ca="1">IF(INDEX(Listado!G:G,ROW())="","",INDEX(Listado!G:G,ROW()))</f>
        <v/>
      </c>
      <c r="U2240" s="17" t="str">
        <f>IF(INDEX(Listado!F:F,ROW())="","",INDEX(Listado!F:F,ROW()))</f>
        <v/>
      </c>
      <c r="V2240" s="17">
        <f>IF(COUNTA(INDEX(Listado!B:B,ROW()):INDEX(Listado!F:F,ROW()))&gt;0,1,0)</f>
        <v/>
      </c>
      <c r="W2240" s="17" t="str">
        <f>IF(INDEX(Listado!L:L,ROW())="","",INDEX(Listado!L:L,ROW()))</f>
        <v/>
      </c>
      <c r="X2240" s="17">
        <f>IF(N2240="","",IF(INDEX(Listado!$M:$M,N2240)="No","No","Sí"))</f>
        <v/>
      </c>
    </row>
    <row r="2241" spans="2:24" ht="14.25">
      <c r="N2241" s="17" t="str">
        <f>IF(V2241=0,"",IFERROR(LOOKUP(2,1/(INDEX(Listado!A:A,2):INDEX(Listado!A:A,ROW())&lt;&gt;""),ROW(INDEX(Listado!A:A,2):INDEX(Listado!A:A,ROW()))),""))</f>
        <v/>
      </c>
      <c r="O2241" s="17" t="str">
        <f>IFERROR(IF(N2241="","",IF(INDEX(Listado!M:M,N2241)="No",IF(INDEX(Listado!N:N,N2241)=0,"",INDEX(Listado!N:N,N2241)),IF(INDEX(Listado!I:I,N2241)=0,"",INDEX(Listado!I:I,N2241)))),"")</f>
        <v/>
      </c>
      <c r="P2241" s="17">
        <f t="shared" ca="1" si="103"/>
        <v/>
      </c>
      <c r="Q2241" s="17">
        <f>IFERROR(IF(AND(N2241&lt;&gt;"",ISNUMBER(O2241),O2241&gt;0,O2241&gt;=TODAY()-90),1,0),0)</f>
        <v/>
      </c>
      <c r="R2241" s="17" t="str">
        <f t="shared" si="105"/>
        <v/>
      </c>
      <c r="S2241" s="17" t="str">
        <f>IF(INDEX(Listado!A:A,ROW())="","",INDEX(Listado!A:A,ROW()))</f>
        <v/>
      </c>
      <c r="T2241" s="17" t="str">
        <f ca="1">IF(INDEX(Listado!G:G,ROW())="","",INDEX(Listado!G:G,ROW()))</f>
        <v/>
      </c>
      <c r="U2241" s="17" t="str">
        <f>IF(INDEX(Listado!F:F,ROW())="","",INDEX(Listado!F:F,ROW()))</f>
        <v/>
      </c>
      <c r="V2241" s="17">
        <f>IF(COUNTA(INDEX(Listado!B:B,ROW()):INDEX(Listado!F:F,ROW()))&gt;0,1,0)</f>
        <v/>
      </c>
      <c r="W2241" s="17" t="str">
        <f>IF(INDEX(Listado!L:L,ROW())="","",INDEX(Listado!L:L,ROW()))</f>
        <v/>
      </c>
      <c r="X2241" s="17">
        <f>IF(N2241="","",IF(INDEX(Listado!$M:$M,N2241)="No","No","Sí"))</f>
        <v/>
      </c>
    </row>
    <row r="2242" spans="2:24" ht="14.25">
      <c r="N2242" s="17" t="str">
        <f>IF(V2242=0,"",IFERROR(LOOKUP(2,1/(INDEX(Listado!A:A,2):INDEX(Listado!A:A,ROW())&lt;&gt;""),ROW(INDEX(Listado!A:A,2):INDEX(Listado!A:A,ROW()))),""))</f>
        <v/>
      </c>
      <c r="O2242" s="17" t="str">
        <f>IFERROR(IF(N2242="","",IF(INDEX(Listado!M:M,N2242)="No",IF(INDEX(Listado!N:N,N2242)=0,"",INDEX(Listado!N:N,N2242)),IF(INDEX(Listado!I:I,N2242)=0,"",INDEX(Listado!I:I,N2242)))),"")</f>
        <v/>
      </c>
      <c r="P2242" s="17">
        <f t="shared" ref="P2242:P2305" ca="1" si="106">IF(W2242="",0,IFERROR(IF(AND(ISNUMBER(W2242),W2242=INT(W2242),ISNUMBER(O2242),O2242&gt;0,W2242&gt;=TODAY(),W2242&lt;=O2242+90),0,1),1))</f>
        <v/>
      </c>
      <c r="Q2242" s="17">
        <f>IFERROR(IF(AND(N2242&lt;&gt;"",ISNUMBER(O2242),O2242&gt;0,O2242&gt;=TODAY()-90),1,0),0)</f>
        <v/>
      </c>
      <c r="R2242" s="17" t="str">
        <f t="shared" ref="R2242:R2305" si="108">IF(S2242="","",COUNTIFS($N$2:$N$2999,ROW(),$Q$2:$Q$2999,1))</f>
        <v/>
      </c>
      <c r="S2242" s="17" t="str">
        <f>IF(INDEX(Listado!A:A,ROW())="","",INDEX(Listado!A:A,ROW()))</f>
        <v/>
      </c>
      <c r="T2242" s="17" t="str">
        <f ca="1">IF(INDEX(Listado!G:G,ROW())="","",INDEX(Listado!G:G,ROW()))</f>
        <v/>
      </c>
      <c r="U2242" s="17" t="str">
        <f>IF(INDEX(Listado!F:F,ROW())="","",INDEX(Listado!F:F,ROW()))</f>
        <v/>
      </c>
      <c r="V2242" s="17">
        <f>IF(COUNTA(INDEX(Listado!B:B,ROW()):INDEX(Listado!F:F,ROW()))&gt;0,1,0)</f>
        <v/>
      </c>
      <c r="W2242" s="17" t="str">
        <f>IF(INDEX(Listado!L:L,ROW())="","",INDEX(Listado!L:L,ROW()))</f>
        <v/>
      </c>
      <c r="X2242" s="17">
        <f>IF(N2242="","",IF(INDEX(Listado!$M:$M,N2242)="No","No","Sí"))</f>
        <v/>
      </c>
    </row>
    <row r="2243" spans="2:24" ht="14.25">
      <c r="N2243" s="17" t="str">
        <f>IF(V2243=0,"",IFERROR(LOOKUP(2,1/(INDEX(Listado!A:A,2):INDEX(Listado!A:A,ROW())&lt;&gt;""),ROW(INDEX(Listado!A:A,2):INDEX(Listado!A:A,ROW()))),""))</f>
        <v/>
      </c>
      <c r="O2243" s="17" t="str">
        <f>IFERROR(IF(N2243="","",IF(INDEX(Listado!M:M,N2243)="No",IF(INDEX(Listado!N:N,N2243)=0,"",INDEX(Listado!N:N,N2243)),IF(INDEX(Listado!I:I,N2243)=0,"",INDEX(Listado!I:I,N2243)))),"")</f>
        <v/>
      </c>
      <c r="P2243" s="17">
        <f t="shared" ca="1" si="106"/>
        <v/>
      </c>
      <c r="Q2243" s="17">
        <f>IFERROR(IF(AND(N2243&lt;&gt;"",ISNUMBER(O2243),O2243&gt;0,O2243&gt;=TODAY()-90),1,0),0)</f>
        <v/>
      </c>
      <c r="R2243" s="17" t="str">
        <f t="shared" si="108"/>
        <v/>
      </c>
      <c r="S2243" s="17" t="str">
        <f>IF(INDEX(Listado!A:A,ROW())="","",INDEX(Listado!A:A,ROW()))</f>
        <v/>
      </c>
      <c r="T2243" s="17" t="str">
        <f ca="1">IF(INDEX(Listado!G:G,ROW())="","",INDEX(Listado!G:G,ROW()))</f>
        <v/>
      </c>
      <c r="U2243" s="17" t="str">
        <f>IF(INDEX(Listado!F:F,ROW())="","",INDEX(Listado!F:F,ROW()))</f>
        <v/>
      </c>
      <c r="V2243" s="17">
        <f>IF(COUNTA(INDEX(Listado!B:B,ROW()):INDEX(Listado!F:F,ROW()))&gt;0,1,0)</f>
        <v/>
      </c>
      <c r="W2243" s="17" t="str">
        <f>IF(INDEX(Listado!L:L,ROW())="","",INDEX(Listado!L:L,ROW()))</f>
        <v/>
      </c>
      <c r="X2243" s="17">
        <f>IF(N2243="","",IF(INDEX(Listado!$M:$M,N2243)="No","No","Sí"))</f>
        <v/>
      </c>
    </row>
    <row r="2244" spans="2:24" ht="14.25">
      <c r="N2244" s="17" t="str">
        <f>IF(V2244=0,"",IFERROR(LOOKUP(2,1/(INDEX(Listado!A:A,2):INDEX(Listado!A:A,ROW())&lt;&gt;""),ROW(INDEX(Listado!A:A,2):INDEX(Listado!A:A,ROW()))),""))</f>
        <v/>
      </c>
      <c r="O2244" s="17" t="str">
        <f>IFERROR(IF(N2244="","",IF(INDEX(Listado!M:M,N2244)="No",IF(INDEX(Listado!N:N,N2244)=0,"",INDEX(Listado!N:N,N2244)),IF(INDEX(Listado!I:I,N2244)=0,"",INDEX(Listado!I:I,N2244)))),"")</f>
        <v/>
      </c>
      <c r="P2244" s="17">
        <f t="shared" ca="1" si="106"/>
        <v/>
      </c>
      <c r="Q2244" s="17">
        <f>IFERROR(IF(AND(N2244&lt;&gt;"",ISNUMBER(O2244),O2244&gt;0,O2244&gt;=TODAY()-90),1,0),0)</f>
        <v/>
      </c>
      <c r="R2244" s="17" t="str">
        <f t="shared" si="108"/>
        <v/>
      </c>
      <c r="S2244" s="17" t="str">
        <f>IF(INDEX(Listado!A:A,ROW())="","",INDEX(Listado!A:A,ROW()))</f>
        <v/>
      </c>
      <c r="T2244" s="17" t="str">
        <f ca="1">IF(INDEX(Listado!G:G,ROW())="","",INDEX(Listado!G:G,ROW()))</f>
        <v/>
      </c>
      <c r="U2244" s="17" t="str">
        <f>IF(INDEX(Listado!F:F,ROW())="","",INDEX(Listado!F:F,ROW()))</f>
        <v/>
      </c>
      <c r="V2244" s="17">
        <f>IF(COUNTA(INDEX(Listado!B:B,ROW()):INDEX(Listado!F:F,ROW()))&gt;0,1,0)</f>
        <v/>
      </c>
      <c r="W2244" s="17" t="str">
        <f>IF(INDEX(Listado!L:L,ROW())="","",INDEX(Listado!L:L,ROW()))</f>
        <v/>
      </c>
      <c r="X2244" s="17">
        <f>IF(N2244="","",IF(INDEX(Listado!$M:$M,N2244)="No","No","Sí"))</f>
        <v/>
      </c>
    </row>
    <row r="2245" spans="2:24" ht="14.25">
      <c r="N2245" s="17" t="str">
        <f>IF(V2245=0,"",IFERROR(LOOKUP(2,1/(INDEX(Listado!A:A,2):INDEX(Listado!A:A,ROW())&lt;&gt;""),ROW(INDEX(Listado!A:A,2):INDEX(Listado!A:A,ROW()))),""))</f>
        <v/>
      </c>
      <c r="O2245" s="17" t="str">
        <f>IFERROR(IF(N2245="","",IF(INDEX(Listado!M:M,N2245)="No",IF(INDEX(Listado!N:N,N2245)=0,"",INDEX(Listado!N:N,N2245)),IF(INDEX(Listado!I:I,N2245)=0,"",INDEX(Listado!I:I,N2245)))),"")</f>
        <v/>
      </c>
      <c r="P2245" s="17">
        <f t="shared" ca="1" si="106"/>
        <v/>
      </c>
      <c r="Q2245" s="17">
        <f>IFERROR(IF(AND(N2245&lt;&gt;"",ISNUMBER(O2245),O2245&gt;0,O2245&gt;=TODAY()-90),1,0),0)</f>
        <v/>
      </c>
      <c r="R2245" s="17" t="str">
        <f t="shared" si="108"/>
        <v/>
      </c>
      <c r="S2245" s="17" t="str">
        <f>IF(INDEX(Listado!A:A,ROW())="","",INDEX(Listado!A:A,ROW()))</f>
        <v/>
      </c>
      <c r="T2245" s="17" t="str">
        <f ca="1">IF(INDEX(Listado!G:G,ROW())="","",INDEX(Listado!G:G,ROW()))</f>
        <v/>
      </c>
      <c r="U2245" s="17" t="str">
        <f>IF(INDEX(Listado!F:F,ROW())="","",INDEX(Listado!F:F,ROW()))</f>
        <v/>
      </c>
      <c r="V2245" s="17">
        <f>IF(COUNTA(INDEX(Listado!B:B,ROW()):INDEX(Listado!F:F,ROW()))&gt;0,1,0)</f>
        <v/>
      </c>
      <c r="W2245" s="17" t="str">
        <f>IF(INDEX(Listado!L:L,ROW())="","",INDEX(Listado!L:L,ROW()))</f>
        <v/>
      </c>
      <c r="X2245" s="17">
        <f>IF(N2245="","",IF(INDEX(Listado!$M:$M,N2245)="No","No","Sí"))</f>
        <v/>
      </c>
    </row>
    <row r="2246" spans="2:24" ht="14.25">
      <c r="N2246" s="17" t="str">
        <f>IF(V2246=0,"",IFERROR(LOOKUP(2,1/(INDEX(Listado!A:A,2):INDEX(Listado!A:A,ROW())&lt;&gt;""),ROW(INDEX(Listado!A:A,2):INDEX(Listado!A:A,ROW()))),""))</f>
        <v/>
      </c>
      <c r="O2246" s="17" t="str">
        <f>IFERROR(IF(N2246="","",IF(INDEX(Listado!M:M,N2246)="No",IF(INDEX(Listado!N:N,N2246)=0,"",INDEX(Listado!N:N,N2246)),IF(INDEX(Listado!I:I,N2246)=0,"",INDEX(Listado!I:I,N2246)))),"")</f>
        <v/>
      </c>
      <c r="P2246" s="17">
        <f t="shared" ca="1" si="106"/>
        <v/>
      </c>
      <c r="Q2246" s="17">
        <f>IFERROR(IF(AND(N2246&lt;&gt;"",ISNUMBER(O2246),O2246&gt;0,O2246&gt;=TODAY()-90),1,0),0)</f>
        <v/>
      </c>
      <c r="R2246" s="17" t="str">
        <f t="shared" si="108"/>
        <v/>
      </c>
      <c r="S2246" s="17" t="str">
        <f>IF(INDEX(Listado!A:A,ROW())="","",INDEX(Listado!A:A,ROW()))</f>
        <v/>
      </c>
      <c r="T2246" s="17" t="str">
        <f ca="1">IF(INDEX(Listado!G:G,ROW())="","",INDEX(Listado!G:G,ROW()))</f>
        <v/>
      </c>
      <c r="U2246" s="17" t="str">
        <f>IF(INDEX(Listado!F:F,ROW())="","",INDEX(Listado!F:F,ROW()))</f>
        <v/>
      </c>
      <c r="V2246" s="17">
        <f>IF(COUNTA(INDEX(Listado!B:B,ROW()):INDEX(Listado!F:F,ROW()))&gt;0,1,0)</f>
        <v/>
      </c>
      <c r="W2246" s="17" t="str">
        <f>IF(INDEX(Listado!L:L,ROW())="","",INDEX(Listado!L:L,ROW()))</f>
        <v/>
      </c>
      <c r="X2246" s="17">
        <f>IF(N2246="","",IF(INDEX(Listado!$M:$M,N2246)="No","No","Sí"))</f>
        <v/>
      </c>
    </row>
    <row r="2247" spans="2:24" ht="14.25">
      <c r="N2247" s="17" t="str">
        <f>IF(V2247=0,"",IFERROR(LOOKUP(2,1/(INDEX(Listado!A:A,2):INDEX(Listado!A:A,ROW())&lt;&gt;""),ROW(INDEX(Listado!A:A,2):INDEX(Listado!A:A,ROW()))),""))</f>
        <v/>
      </c>
      <c r="O2247" s="17" t="str">
        <f>IFERROR(IF(N2247="","",IF(INDEX(Listado!M:M,N2247)="No",IF(INDEX(Listado!N:N,N2247)=0,"",INDEX(Listado!N:N,N2247)),IF(INDEX(Listado!I:I,N2247)=0,"",INDEX(Listado!I:I,N2247)))),"")</f>
        <v/>
      </c>
      <c r="P2247" s="17">
        <f t="shared" ca="1" si="106"/>
        <v/>
      </c>
      <c r="Q2247" s="17">
        <f>IFERROR(IF(AND(N2247&lt;&gt;"",ISNUMBER(O2247),O2247&gt;0,O2247&gt;=TODAY()-90),1,0),0)</f>
        <v/>
      </c>
      <c r="R2247" s="17" t="str">
        <f t="shared" si="108"/>
        <v/>
      </c>
      <c r="S2247" s="17" t="str">
        <f>IF(INDEX(Listado!A:A,ROW())="","",INDEX(Listado!A:A,ROW()))</f>
        <v/>
      </c>
      <c r="T2247" s="17" t="str">
        <f ca="1">IF(INDEX(Listado!G:G,ROW())="","",INDEX(Listado!G:G,ROW()))</f>
        <v/>
      </c>
      <c r="U2247" s="17" t="str">
        <f>IF(INDEX(Listado!F:F,ROW())="","",INDEX(Listado!F:F,ROW()))</f>
        <v/>
      </c>
      <c r="V2247" s="17">
        <f>IF(COUNTA(INDEX(Listado!B:B,ROW()):INDEX(Listado!F:F,ROW()))&gt;0,1,0)</f>
        <v/>
      </c>
      <c r="W2247" s="17" t="str">
        <f>IF(INDEX(Listado!L:L,ROW())="","",INDEX(Listado!L:L,ROW()))</f>
        <v/>
      </c>
      <c r="X2247" s="17">
        <f>IF(N2247="","",IF(INDEX(Listado!$M:$M,N2247)="No","No","Sí"))</f>
        <v/>
      </c>
    </row>
    <row r="2248" spans="2:24" ht="14.25">
      <c r="N2248" s="17" t="str">
        <f>IF(V2248=0,"",IFERROR(LOOKUP(2,1/(INDEX(Listado!A:A,2):INDEX(Listado!A:A,ROW())&lt;&gt;""),ROW(INDEX(Listado!A:A,2):INDEX(Listado!A:A,ROW()))),""))</f>
        <v/>
      </c>
      <c r="O2248" s="17" t="str">
        <f>IFERROR(IF(N2248="","",IF(INDEX(Listado!M:M,N2248)="No",IF(INDEX(Listado!N:N,N2248)=0,"",INDEX(Listado!N:N,N2248)),IF(INDEX(Listado!I:I,N2248)=0,"",INDEX(Listado!I:I,N2248)))),"")</f>
        <v/>
      </c>
      <c r="P2248" s="17">
        <f t="shared" ca="1" si="106"/>
        <v/>
      </c>
      <c r="Q2248" s="17">
        <f>IFERROR(IF(AND(N2248&lt;&gt;"",ISNUMBER(O2248),O2248&gt;0,O2248&gt;=TODAY()-90),1,0),0)</f>
        <v/>
      </c>
      <c r="R2248" s="17" t="str">
        <f t="shared" si="108"/>
        <v/>
      </c>
      <c r="S2248" s="17" t="str">
        <f>IF(INDEX(Listado!A:A,ROW())="","",INDEX(Listado!A:A,ROW()))</f>
        <v/>
      </c>
      <c r="T2248" s="17" t="str">
        <f ca="1">IF(INDEX(Listado!G:G,ROW())="","",INDEX(Listado!G:G,ROW()))</f>
        <v/>
      </c>
      <c r="U2248" s="17" t="str">
        <f>IF(INDEX(Listado!F:F,ROW())="","",INDEX(Listado!F:F,ROW()))</f>
        <v/>
      </c>
      <c r="V2248" s="17">
        <f>IF(COUNTA(INDEX(Listado!B:B,ROW()):INDEX(Listado!F:F,ROW()))&gt;0,1,0)</f>
        <v/>
      </c>
      <c r="W2248" s="17" t="str">
        <f>IF(INDEX(Listado!L:L,ROW())="","",INDEX(Listado!L:L,ROW()))</f>
        <v/>
      </c>
      <c r="X2248" s="17">
        <f>IF(N2248="","",IF(INDEX(Listado!$M:$M,N2248)="No","No","Sí"))</f>
        <v/>
      </c>
    </row>
    <row r="2249" spans="2:24" ht="14.25">
      <c r="N2249" s="17" t="str">
        <f>IF(V2249=0,"",IFERROR(LOOKUP(2,1/(INDEX(Listado!A:A,2):INDEX(Listado!A:A,ROW())&lt;&gt;""),ROW(INDEX(Listado!A:A,2):INDEX(Listado!A:A,ROW()))),""))</f>
        <v/>
      </c>
      <c r="O2249" s="17" t="str">
        <f>IFERROR(IF(N2249="","",IF(INDEX(Listado!M:M,N2249)="No",IF(INDEX(Listado!N:N,N2249)=0,"",INDEX(Listado!N:N,N2249)),IF(INDEX(Listado!I:I,N2249)=0,"",INDEX(Listado!I:I,N2249)))),"")</f>
        <v/>
      </c>
      <c r="P2249" s="17">
        <f t="shared" ca="1" si="106"/>
        <v/>
      </c>
      <c r="Q2249" s="17">
        <f>IFERROR(IF(AND(N2249&lt;&gt;"",ISNUMBER(O2249),O2249&gt;0,O2249&gt;=TODAY()-90),1,0),0)</f>
        <v/>
      </c>
      <c r="R2249" s="17" t="str">
        <f t="shared" si="108"/>
        <v/>
      </c>
      <c r="S2249" s="17" t="str">
        <f>IF(INDEX(Listado!A:A,ROW())="","",INDEX(Listado!A:A,ROW()))</f>
        <v/>
      </c>
      <c r="T2249" s="17" t="str">
        <f ca="1">IF(INDEX(Listado!G:G,ROW())="","",INDEX(Listado!G:G,ROW()))</f>
        <v/>
      </c>
      <c r="U2249" s="17" t="str">
        <f>IF(INDEX(Listado!F:F,ROW())="","",INDEX(Listado!F:F,ROW()))</f>
        <v/>
      </c>
      <c r="V2249" s="17">
        <f>IF(COUNTA(INDEX(Listado!B:B,ROW()):INDEX(Listado!F:F,ROW()))&gt;0,1,0)</f>
        <v/>
      </c>
      <c r="W2249" s="17" t="str">
        <f>IF(INDEX(Listado!L:L,ROW())="","",INDEX(Listado!L:L,ROW()))</f>
        <v/>
      </c>
      <c r="X2249" s="17">
        <f>IF(N2249="","",IF(INDEX(Listado!$M:$M,N2249)="No","No","Sí"))</f>
        <v/>
      </c>
    </row>
    <row r="2250" spans="2:24" ht="14.25">
      <c r="N2250" s="17" t="str">
        <f>IF(V2250=0,"",IFERROR(LOOKUP(2,1/(INDEX(Listado!A:A,2):INDEX(Listado!A:A,ROW())&lt;&gt;""),ROW(INDEX(Listado!A:A,2):INDEX(Listado!A:A,ROW()))),""))</f>
        <v/>
      </c>
      <c r="O2250" s="17" t="str">
        <f>IFERROR(IF(N2250="","",IF(INDEX(Listado!M:M,N2250)="No",IF(INDEX(Listado!N:N,N2250)=0,"",INDEX(Listado!N:N,N2250)),IF(INDEX(Listado!I:I,N2250)=0,"",INDEX(Listado!I:I,N2250)))),"")</f>
        <v/>
      </c>
      <c r="P2250" s="17">
        <f t="shared" ca="1" si="106"/>
        <v/>
      </c>
      <c r="Q2250" s="17">
        <f>IFERROR(IF(AND(N2250&lt;&gt;"",ISNUMBER(O2250),O2250&gt;0,O2250&gt;=TODAY()-90),1,0),0)</f>
        <v/>
      </c>
      <c r="R2250" s="17" t="str">
        <f t="shared" si="108"/>
        <v/>
      </c>
      <c r="S2250" s="17" t="str">
        <f>IF(INDEX(Listado!A:A,ROW())="","",INDEX(Listado!A:A,ROW()))</f>
        <v/>
      </c>
      <c r="T2250" s="17" t="str">
        <f ca="1">IF(INDEX(Listado!G:G,ROW())="","",INDEX(Listado!G:G,ROW()))</f>
        <v/>
      </c>
      <c r="U2250" s="17" t="str">
        <f>IF(INDEX(Listado!F:F,ROW())="","",INDEX(Listado!F:F,ROW()))</f>
        <v/>
      </c>
      <c r="V2250" s="17">
        <f>IF(COUNTA(INDEX(Listado!B:B,ROW()):INDEX(Listado!F:F,ROW()))&gt;0,1,0)</f>
        <v/>
      </c>
      <c r="W2250" s="17" t="str">
        <f>IF(INDEX(Listado!L:L,ROW())="","",INDEX(Listado!L:L,ROW()))</f>
        <v/>
      </c>
      <c r="X2250" s="17">
        <f>IF(N2250="","",IF(INDEX(Listado!$M:$M,N2250)="No","No","Sí"))</f>
        <v/>
      </c>
    </row>
    <row r="2251" spans="2:24" ht="14.25">
      <c r="N2251" s="17" t="str">
        <f>IF(V2251=0,"",IFERROR(LOOKUP(2,1/(INDEX(Listado!A:A,2):INDEX(Listado!A:A,ROW())&lt;&gt;""),ROW(INDEX(Listado!A:A,2):INDEX(Listado!A:A,ROW()))),""))</f>
        <v/>
      </c>
      <c r="O2251" s="17" t="str">
        <f>IFERROR(IF(N2251="","",IF(INDEX(Listado!M:M,N2251)="No",IF(INDEX(Listado!N:N,N2251)=0,"",INDEX(Listado!N:N,N2251)),IF(INDEX(Listado!I:I,N2251)=0,"",INDEX(Listado!I:I,N2251)))),"")</f>
        <v/>
      </c>
      <c r="P2251" s="17">
        <f t="shared" ca="1" si="106"/>
        <v/>
      </c>
      <c r="Q2251" s="17">
        <f>IFERROR(IF(AND(N2251&lt;&gt;"",ISNUMBER(O2251),O2251&gt;0,O2251&gt;=TODAY()-90),1,0),0)</f>
        <v/>
      </c>
      <c r="R2251" s="17" t="str">
        <f t="shared" si="108"/>
        <v/>
      </c>
      <c r="S2251" s="17" t="str">
        <f>IF(INDEX(Listado!A:A,ROW())="","",INDEX(Listado!A:A,ROW()))</f>
        <v/>
      </c>
      <c r="T2251" s="17" t="str">
        <f ca="1">IF(INDEX(Listado!G:G,ROW())="","",INDEX(Listado!G:G,ROW()))</f>
        <v/>
      </c>
      <c r="U2251" s="17" t="str">
        <f>IF(INDEX(Listado!F:F,ROW())="","",INDEX(Listado!F:F,ROW()))</f>
        <v/>
      </c>
      <c r="V2251" s="17">
        <f>IF(COUNTA(INDEX(Listado!B:B,ROW()):INDEX(Listado!F:F,ROW()))&gt;0,1,0)</f>
        <v/>
      </c>
      <c r="W2251" s="17" t="str">
        <f>IF(INDEX(Listado!L:L,ROW())="","",INDEX(Listado!L:L,ROW()))</f>
        <v/>
      </c>
      <c r="X2251" s="17">
        <f>IF(N2251="","",IF(INDEX(Listado!$M:$M,N2251)="No","No","Sí"))</f>
        <v/>
      </c>
    </row>
    <row r="2252" spans="2:24" ht="14.25">
      <c r="N2252" s="17" t="str">
        <f>IF(V2252=0,"",IFERROR(LOOKUP(2,1/(INDEX(Listado!A:A,2):INDEX(Listado!A:A,ROW())&lt;&gt;""),ROW(INDEX(Listado!A:A,2):INDEX(Listado!A:A,ROW()))),""))</f>
        <v/>
      </c>
      <c r="O2252" s="17" t="str">
        <f>IFERROR(IF(N2252="","",IF(INDEX(Listado!M:M,N2252)="No",IF(INDEX(Listado!N:N,N2252)=0,"",INDEX(Listado!N:N,N2252)),IF(INDEX(Listado!I:I,N2252)=0,"",INDEX(Listado!I:I,N2252)))),"")</f>
        <v/>
      </c>
      <c r="P2252" s="17">
        <f t="shared" ca="1" si="106"/>
        <v/>
      </c>
      <c r="Q2252" s="17">
        <f>IFERROR(IF(AND(N2252&lt;&gt;"",ISNUMBER(O2252),O2252&gt;0,O2252&gt;=TODAY()-90),1,0),0)</f>
        <v/>
      </c>
      <c r="R2252" s="17" t="str">
        <f t="shared" si="108"/>
        <v/>
      </c>
      <c r="S2252" s="17" t="str">
        <f>IF(INDEX(Listado!A:A,ROW())="","",INDEX(Listado!A:A,ROW()))</f>
        <v/>
      </c>
      <c r="T2252" s="17" t="str">
        <f ca="1">IF(INDEX(Listado!G:G,ROW())="","",INDEX(Listado!G:G,ROW()))</f>
        <v/>
      </c>
      <c r="U2252" s="17" t="str">
        <f>IF(INDEX(Listado!F:F,ROW())="","",INDEX(Listado!F:F,ROW()))</f>
        <v/>
      </c>
      <c r="V2252" s="17">
        <f>IF(COUNTA(INDEX(Listado!B:B,ROW()):INDEX(Listado!F:F,ROW()))&gt;0,1,0)</f>
        <v/>
      </c>
      <c r="W2252" s="17" t="str">
        <f>IF(INDEX(Listado!L:L,ROW())="","",INDEX(Listado!L:L,ROW()))</f>
        <v/>
      </c>
      <c r="X2252" s="17">
        <f>IF(N2252="","",IF(INDEX(Listado!$M:$M,N2252)="No","No","Sí"))</f>
        <v/>
      </c>
    </row>
    <row r="2253" spans="2:24" ht="14.25">
      <c r="N2253" s="17" t="str">
        <f>IF(V2253=0,"",IFERROR(LOOKUP(2,1/(INDEX(Listado!A:A,2):INDEX(Listado!A:A,ROW())&lt;&gt;""),ROW(INDEX(Listado!A:A,2):INDEX(Listado!A:A,ROW()))),""))</f>
        <v/>
      </c>
      <c r="O2253" s="17" t="str">
        <f>IFERROR(IF(N2253="","",IF(INDEX(Listado!M:M,N2253)="No",IF(INDEX(Listado!N:N,N2253)=0,"",INDEX(Listado!N:N,N2253)),IF(INDEX(Listado!I:I,N2253)=0,"",INDEX(Listado!I:I,N2253)))),"")</f>
        <v/>
      </c>
      <c r="P2253" s="17">
        <f t="shared" ca="1" si="106"/>
        <v/>
      </c>
      <c r="Q2253" s="17">
        <f>IFERROR(IF(AND(N2253&lt;&gt;"",ISNUMBER(O2253),O2253&gt;0,O2253&gt;=TODAY()-90),1,0),0)</f>
        <v/>
      </c>
      <c r="R2253" s="17" t="str">
        <f t="shared" si="108"/>
        <v/>
      </c>
      <c r="S2253" s="17" t="str">
        <f>IF(INDEX(Listado!A:A,ROW())="","",INDEX(Listado!A:A,ROW()))</f>
        <v/>
      </c>
      <c r="T2253" s="17" t="str">
        <f ca="1">IF(INDEX(Listado!G:G,ROW())="","",INDEX(Listado!G:G,ROW()))</f>
        <v/>
      </c>
      <c r="U2253" s="17" t="str">
        <f>IF(INDEX(Listado!F:F,ROW())="","",INDEX(Listado!F:F,ROW()))</f>
        <v/>
      </c>
      <c r="V2253" s="17">
        <f>IF(COUNTA(INDEX(Listado!B:B,ROW()):INDEX(Listado!F:F,ROW()))&gt;0,1,0)</f>
        <v/>
      </c>
      <c r="W2253" s="17" t="str">
        <f>IF(INDEX(Listado!L:L,ROW())="","",INDEX(Listado!L:L,ROW()))</f>
        <v/>
      </c>
      <c r="X2253" s="17">
        <f>IF(N2253="","",IF(INDEX(Listado!$M:$M,N2253)="No","No","Sí"))</f>
        <v/>
      </c>
    </row>
    <row r="2254" spans="2:24" ht="14.25">
      <c r="N2254" s="17" t="str">
        <f>IF(V2254=0,"",IFERROR(LOOKUP(2,1/(INDEX(Listado!A:A,2):INDEX(Listado!A:A,ROW())&lt;&gt;""),ROW(INDEX(Listado!A:A,2):INDEX(Listado!A:A,ROW()))),""))</f>
        <v/>
      </c>
      <c r="O2254" s="17" t="str">
        <f>IFERROR(IF(N2254="","",IF(INDEX(Listado!M:M,N2254)="No",IF(INDEX(Listado!N:N,N2254)=0,"",INDEX(Listado!N:N,N2254)),IF(INDEX(Listado!I:I,N2254)=0,"",INDEX(Listado!I:I,N2254)))),"")</f>
        <v/>
      </c>
      <c r="P2254" s="17">
        <f t="shared" ca="1" si="106"/>
        <v/>
      </c>
      <c r="Q2254" s="17">
        <f>IFERROR(IF(AND(N2254&lt;&gt;"",ISNUMBER(O2254),O2254&gt;0,O2254&gt;=TODAY()-90),1,0),0)</f>
        <v/>
      </c>
      <c r="R2254" s="17" t="str">
        <f t="shared" si="108"/>
        <v/>
      </c>
      <c r="S2254" s="17" t="str">
        <f>IF(INDEX(Listado!A:A,ROW())="","",INDEX(Listado!A:A,ROW()))</f>
        <v/>
      </c>
      <c r="T2254" s="17" t="str">
        <f ca="1">IF(INDEX(Listado!G:G,ROW())="","",INDEX(Listado!G:G,ROW()))</f>
        <v/>
      </c>
      <c r="U2254" s="17" t="str">
        <f>IF(INDEX(Listado!F:F,ROW())="","",INDEX(Listado!F:F,ROW()))</f>
        <v/>
      </c>
      <c r="V2254" s="17">
        <f>IF(COUNTA(INDEX(Listado!B:B,ROW()):INDEX(Listado!F:F,ROW()))&gt;0,1,0)</f>
        <v/>
      </c>
      <c r="W2254" s="17" t="str">
        <f>IF(INDEX(Listado!L:L,ROW())="","",INDEX(Listado!L:L,ROW()))</f>
        <v/>
      </c>
      <c r="X2254" s="17">
        <f>IF(N2254="","",IF(INDEX(Listado!$M:$M,N2254)="No","No","Sí"))</f>
        <v/>
      </c>
    </row>
    <row r="2255" spans="2:24" ht="14.25">
      <c r="N2255" s="17" t="str">
        <f>IF(V2255=0,"",IFERROR(LOOKUP(2,1/(INDEX(Listado!A:A,2):INDEX(Listado!A:A,ROW())&lt;&gt;""),ROW(INDEX(Listado!A:A,2):INDEX(Listado!A:A,ROW()))),""))</f>
        <v/>
      </c>
      <c r="O2255" s="17" t="str">
        <f>IFERROR(IF(N2255="","",IF(INDEX(Listado!M:M,N2255)="No",IF(INDEX(Listado!N:N,N2255)=0,"",INDEX(Listado!N:N,N2255)),IF(INDEX(Listado!I:I,N2255)=0,"",INDEX(Listado!I:I,N2255)))),"")</f>
        <v/>
      </c>
      <c r="P2255" s="17">
        <f t="shared" ca="1" si="106"/>
        <v/>
      </c>
      <c r="Q2255" s="17">
        <f>IFERROR(IF(AND(N2255&lt;&gt;"",ISNUMBER(O2255),O2255&gt;0,O2255&gt;=TODAY()-90),1,0),0)</f>
        <v/>
      </c>
      <c r="R2255" s="17" t="str">
        <f t="shared" si="108"/>
        <v/>
      </c>
      <c r="S2255" s="17" t="str">
        <f>IF(INDEX(Listado!A:A,ROW())="","",INDEX(Listado!A:A,ROW()))</f>
        <v/>
      </c>
      <c r="T2255" s="17" t="str">
        <f ca="1">IF(INDEX(Listado!G:G,ROW())="","",INDEX(Listado!G:G,ROW()))</f>
        <v/>
      </c>
      <c r="U2255" s="17" t="str">
        <f>IF(INDEX(Listado!F:F,ROW())="","",INDEX(Listado!F:F,ROW()))</f>
        <v/>
      </c>
      <c r="V2255" s="17">
        <f>IF(COUNTA(INDEX(Listado!B:B,ROW()):INDEX(Listado!F:F,ROW()))&gt;0,1,0)</f>
        <v/>
      </c>
      <c r="W2255" s="17" t="str">
        <f>IF(INDEX(Listado!L:L,ROW())="","",INDEX(Listado!L:L,ROW()))</f>
        <v/>
      </c>
      <c r="X2255" s="17">
        <f>IF(N2255="","",IF(INDEX(Listado!$M:$M,N2255)="No","No","Sí"))</f>
        <v/>
      </c>
    </row>
    <row r="2256" spans="2:24" ht="14.25">
      <c r="N2256" s="17" t="str">
        <f>IF(V2256=0,"",IFERROR(LOOKUP(2,1/(INDEX(Listado!A:A,2):INDEX(Listado!A:A,ROW())&lt;&gt;""),ROW(INDEX(Listado!A:A,2):INDEX(Listado!A:A,ROW()))),""))</f>
        <v/>
      </c>
      <c r="O2256" s="17" t="str">
        <f>IFERROR(IF(N2256="","",IF(INDEX(Listado!M:M,N2256)="No",IF(INDEX(Listado!N:N,N2256)=0,"",INDEX(Listado!N:N,N2256)),IF(INDEX(Listado!I:I,N2256)=0,"",INDEX(Listado!I:I,N2256)))),"")</f>
        <v/>
      </c>
      <c r="P2256" s="17">
        <f t="shared" ca="1" si="106"/>
        <v/>
      </c>
      <c r="Q2256" s="17">
        <f>IFERROR(IF(AND(N2256&lt;&gt;"",ISNUMBER(O2256),O2256&gt;0,O2256&gt;=TODAY()-90),1,0),0)</f>
        <v/>
      </c>
      <c r="R2256" s="17" t="str">
        <f t="shared" si="108"/>
        <v/>
      </c>
      <c r="S2256" s="17" t="str">
        <f>IF(INDEX(Listado!A:A,ROW())="","",INDEX(Listado!A:A,ROW()))</f>
        <v/>
      </c>
      <c r="T2256" s="17" t="str">
        <f ca="1">IF(INDEX(Listado!G:G,ROW())="","",INDEX(Listado!G:G,ROW()))</f>
        <v/>
      </c>
      <c r="U2256" s="17" t="str">
        <f>IF(INDEX(Listado!F:F,ROW())="","",INDEX(Listado!F:F,ROW()))</f>
        <v/>
      </c>
      <c r="V2256" s="17">
        <f>IF(COUNTA(INDEX(Listado!B:B,ROW()):INDEX(Listado!F:F,ROW()))&gt;0,1,0)</f>
        <v/>
      </c>
      <c r="W2256" s="17" t="str">
        <f>IF(INDEX(Listado!L:L,ROW())="","",INDEX(Listado!L:L,ROW()))</f>
        <v/>
      </c>
      <c r="X2256" s="17">
        <f>IF(N2256="","",IF(INDEX(Listado!$M:$M,N2256)="No","No","Sí"))</f>
        <v/>
      </c>
    </row>
    <row r="2257" spans="2:24" ht="14.25">
      <c r="N2257" s="17" t="str">
        <f>IF(V2257=0,"",IFERROR(LOOKUP(2,1/(INDEX(Listado!A:A,2):INDEX(Listado!A:A,ROW())&lt;&gt;""),ROW(INDEX(Listado!A:A,2):INDEX(Listado!A:A,ROW()))),""))</f>
        <v/>
      </c>
      <c r="O2257" s="17" t="str">
        <f>IFERROR(IF(N2257="","",IF(INDEX(Listado!M:M,N2257)="No",IF(INDEX(Listado!N:N,N2257)=0,"",INDEX(Listado!N:N,N2257)),IF(INDEX(Listado!I:I,N2257)=0,"",INDEX(Listado!I:I,N2257)))),"")</f>
        <v/>
      </c>
      <c r="P2257" s="17">
        <f t="shared" ca="1" si="106"/>
        <v/>
      </c>
      <c r="Q2257" s="17">
        <f>IFERROR(IF(AND(N2257&lt;&gt;"",ISNUMBER(O2257),O2257&gt;0,O2257&gt;=TODAY()-90),1,0),0)</f>
        <v/>
      </c>
      <c r="R2257" s="17" t="str">
        <f t="shared" si="108"/>
        <v/>
      </c>
      <c r="S2257" s="17" t="str">
        <f>IF(INDEX(Listado!A:A,ROW())="","",INDEX(Listado!A:A,ROW()))</f>
        <v/>
      </c>
      <c r="T2257" s="17" t="str">
        <f ca="1">IF(INDEX(Listado!G:G,ROW())="","",INDEX(Listado!G:G,ROW()))</f>
        <v/>
      </c>
      <c r="U2257" s="17" t="str">
        <f>IF(INDEX(Listado!F:F,ROW())="","",INDEX(Listado!F:F,ROW()))</f>
        <v/>
      </c>
      <c r="V2257" s="17">
        <f>IF(COUNTA(INDEX(Listado!B:B,ROW()):INDEX(Listado!F:F,ROW()))&gt;0,1,0)</f>
        <v/>
      </c>
      <c r="W2257" s="17" t="str">
        <f>IF(INDEX(Listado!L:L,ROW())="","",INDEX(Listado!L:L,ROW()))</f>
        <v/>
      </c>
      <c r="X2257" s="17">
        <f>IF(N2257="","",IF(INDEX(Listado!$M:$M,N2257)="No","No","Sí"))</f>
        <v/>
      </c>
    </row>
    <row r="2258" spans="2:24" ht="14.25">
      <c r="N2258" s="17" t="str">
        <f>IF(V2258=0,"",IFERROR(LOOKUP(2,1/(INDEX(Listado!A:A,2):INDEX(Listado!A:A,ROW())&lt;&gt;""),ROW(INDEX(Listado!A:A,2):INDEX(Listado!A:A,ROW()))),""))</f>
        <v/>
      </c>
      <c r="O2258" s="17" t="str">
        <f>IFERROR(IF(N2258="","",IF(INDEX(Listado!M:M,N2258)="No",IF(INDEX(Listado!N:N,N2258)=0,"",INDEX(Listado!N:N,N2258)),IF(INDEX(Listado!I:I,N2258)=0,"",INDEX(Listado!I:I,N2258)))),"")</f>
        <v/>
      </c>
      <c r="P2258" s="17">
        <f t="shared" ca="1" si="106"/>
        <v/>
      </c>
      <c r="Q2258" s="17">
        <f>IFERROR(IF(AND(N2258&lt;&gt;"",ISNUMBER(O2258),O2258&gt;0,O2258&gt;=TODAY()-90),1,0),0)</f>
        <v/>
      </c>
      <c r="R2258" s="17" t="str">
        <f t="shared" si="108"/>
        <v/>
      </c>
      <c r="S2258" s="17" t="str">
        <f>IF(INDEX(Listado!A:A,ROW())="","",INDEX(Listado!A:A,ROW()))</f>
        <v/>
      </c>
      <c r="T2258" s="17" t="str">
        <f ca="1">IF(INDEX(Listado!G:G,ROW())="","",INDEX(Listado!G:G,ROW()))</f>
        <v/>
      </c>
      <c r="U2258" s="17" t="str">
        <f>IF(INDEX(Listado!F:F,ROW())="","",INDEX(Listado!F:F,ROW()))</f>
        <v/>
      </c>
      <c r="V2258" s="17">
        <f>IF(COUNTA(INDEX(Listado!B:B,ROW()):INDEX(Listado!F:F,ROW()))&gt;0,1,0)</f>
        <v/>
      </c>
      <c r="W2258" s="17" t="str">
        <f>IF(INDEX(Listado!L:L,ROW())="","",INDEX(Listado!L:L,ROW()))</f>
        <v/>
      </c>
      <c r="X2258" s="17">
        <f>IF(N2258="","",IF(INDEX(Listado!$M:$M,N2258)="No","No","Sí"))</f>
        <v/>
      </c>
    </row>
    <row r="2259" spans="2:24" ht="14.25">
      <c r="N2259" s="17" t="str">
        <f>IF(V2259=0,"",IFERROR(LOOKUP(2,1/(INDEX(Listado!A:A,2):INDEX(Listado!A:A,ROW())&lt;&gt;""),ROW(INDEX(Listado!A:A,2):INDEX(Listado!A:A,ROW()))),""))</f>
        <v/>
      </c>
      <c r="O2259" s="17" t="str">
        <f>IFERROR(IF(N2259="","",IF(INDEX(Listado!M:M,N2259)="No",IF(INDEX(Listado!N:N,N2259)=0,"",INDEX(Listado!N:N,N2259)),IF(INDEX(Listado!I:I,N2259)=0,"",INDEX(Listado!I:I,N2259)))),"")</f>
        <v/>
      </c>
      <c r="P2259" s="17">
        <f t="shared" ca="1" si="106"/>
        <v/>
      </c>
      <c r="Q2259" s="17">
        <f>IFERROR(IF(AND(N2259&lt;&gt;"",ISNUMBER(O2259),O2259&gt;0,O2259&gt;=TODAY()-90),1,0),0)</f>
        <v/>
      </c>
      <c r="R2259" s="17" t="str">
        <f t="shared" si="108"/>
        <v/>
      </c>
      <c r="S2259" s="17" t="str">
        <f>IF(INDEX(Listado!A:A,ROW())="","",INDEX(Listado!A:A,ROW()))</f>
        <v/>
      </c>
      <c r="T2259" s="17" t="str">
        <f ca="1">IF(INDEX(Listado!G:G,ROW())="","",INDEX(Listado!G:G,ROW()))</f>
        <v/>
      </c>
      <c r="U2259" s="17" t="str">
        <f>IF(INDEX(Listado!F:F,ROW())="","",INDEX(Listado!F:F,ROW()))</f>
        <v/>
      </c>
      <c r="V2259" s="17">
        <f>IF(COUNTA(INDEX(Listado!B:B,ROW()):INDEX(Listado!F:F,ROW()))&gt;0,1,0)</f>
        <v/>
      </c>
      <c r="W2259" s="17" t="str">
        <f>IF(INDEX(Listado!L:L,ROW())="","",INDEX(Listado!L:L,ROW()))</f>
        <v/>
      </c>
      <c r="X2259" s="17">
        <f>IF(N2259="","",IF(INDEX(Listado!$M:$M,N2259)="No","No","Sí"))</f>
        <v/>
      </c>
    </row>
    <row r="2260" spans="2:24" ht="14.25">
      <c r="N2260" s="17" t="str">
        <f>IF(V2260=0,"",IFERROR(LOOKUP(2,1/(INDEX(Listado!A:A,2):INDEX(Listado!A:A,ROW())&lt;&gt;""),ROW(INDEX(Listado!A:A,2):INDEX(Listado!A:A,ROW()))),""))</f>
        <v/>
      </c>
      <c r="O2260" s="17" t="str">
        <f>IFERROR(IF(N2260="","",IF(INDEX(Listado!M:M,N2260)="No",IF(INDEX(Listado!N:N,N2260)=0,"",INDEX(Listado!N:N,N2260)),IF(INDEX(Listado!I:I,N2260)=0,"",INDEX(Listado!I:I,N2260)))),"")</f>
        <v/>
      </c>
      <c r="P2260" s="17">
        <f t="shared" ca="1" si="106"/>
        <v/>
      </c>
      <c r="Q2260" s="17">
        <f>IFERROR(IF(AND(N2260&lt;&gt;"",ISNUMBER(O2260),O2260&gt;0,O2260&gt;=TODAY()-90),1,0),0)</f>
        <v/>
      </c>
      <c r="R2260" s="17" t="str">
        <f t="shared" si="108"/>
        <v/>
      </c>
      <c r="S2260" s="17" t="str">
        <f>IF(INDEX(Listado!A:A,ROW())="","",INDEX(Listado!A:A,ROW()))</f>
        <v/>
      </c>
      <c r="T2260" s="17" t="str">
        <f ca="1">IF(INDEX(Listado!G:G,ROW())="","",INDEX(Listado!G:G,ROW()))</f>
        <v/>
      </c>
      <c r="U2260" s="17" t="str">
        <f>IF(INDEX(Listado!F:F,ROW())="","",INDEX(Listado!F:F,ROW()))</f>
        <v/>
      </c>
      <c r="V2260" s="17">
        <f>IF(COUNTA(INDEX(Listado!B:B,ROW()):INDEX(Listado!F:F,ROW()))&gt;0,1,0)</f>
        <v/>
      </c>
      <c r="W2260" s="17" t="str">
        <f>IF(INDEX(Listado!L:L,ROW())="","",INDEX(Listado!L:L,ROW()))</f>
        <v/>
      </c>
      <c r="X2260" s="17">
        <f>IF(N2260="","",IF(INDEX(Listado!$M:$M,N2260)="No","No","Sí"))</f>
        <v/>
      </c>
    </row>
    <row r="2261" spans="2:24" ht="14.25">
      <c r="N2261" s="17" t="str">
        <f>IF(V2261=0,"",IFERROR(LOOKUP(2,1/(INDEX(Listado!A:A,2):INDEX(Listado!A:A,ROW())&lt;&gt;""),ROW(INDEX(Listado!A:A,2):INDEX(Listado!A:A,ROW()))),""))</f>
        <v/>
      </c>
      <c r="O2261" s="17" t="str">
        <f>IFERROR(IF(N2261="","",IF(INDEX(Listado!M:M,N2261)="No",IF(INDEX(Listado!N:N,N2261)=0,"",INDEX(Listado!N:N,N2261)),IF(INDEX(Listado!I:I,N2261)=0,"",INDEX(Listado!I:I,N2261)))),"")</f>
        <v/>
      </c>
      <c r="P2261" s="17">
        <f t="shared" ca="1" si="106"/>
        <v/>
      </c>
      <c r="Q2261" s="17">
        <f>IFERROR(IF(AND(N2261&lt;&gt;"",ISNUMBER(O2261),O2261&gt;0,O2261&gt;=TODAY()-90),1,0),0)</f>
        <v/>
      </c>
      <c r="R2261" s="17" t="str">
        <f t="shared" si="108"/>
        <v/>
      </c>
      <c r="S2261" s="17" t="str">
        <f>IF(INDEX(Listado!A:A,ROW())="","",INDEX(Listado!A:A,ROW()))</f>
        <v/>
      </c>
      <c r="T2261" s="17" t="str">
        <f ca="1">IF(INDEX(Listado!G:G,ROW())="","",INDEX(Listado!G:G,ROW()))</f>
        <v/>
      </c>
      <c r="U2261" s="17" t="str">
        <f>IF(INDEX(Listado!F:F,ROW())="","",INDEX(Listado!F:F,ROW()))</f>
        <v/>
      </c>
      <c r="V2261" s="17">
        <f>IF(COUNTA(INDEX(Listado!B:B,ROW()):INDEX(Listado!F:F,ROW()))&gt;0,1,0)</f>
        <v/>
      </c>
      <c r="W2261" s="17" t="str">
        <f>IF(INDEX(Listado!L:L,ROW())="","",INDEX(Listado!L:L,ROW()))</f>
        <v/>
      </c>
      <c r="X2261" s="17">
        <f>IF(N2261="","",IF(INDEX(Listado!$M:$M,N2261)="No","No","Sí"))</f>
        <v/>
      </c>
    </row>
    <row r="2262" spans="2:24" ht="14.25">
      <c r="N2262" s="17" t="str">
        <f>IF(V2262=0,"",IFERROR(LOOKUP(2,1/(INDEX(Listado!A:A,2):INDEX(Listado!A:A,ROW())&lt;&gt;""),ROW(INDEX(Listado!A:A,2):INDEX(Listado!A:A,ROW()))),""))</f>
        <v/>
      </c>
      <c r="O2262" s="17" t="str">
        <f>IFERROR(IF(N2262="","",IF(INDEX(Listado!M:M,N2262)="No",IF(INDEX(Listado!N:N,N2262)=0,"",INDEX(Listado!N:N,N2262)),IF(INDEX(Listado!I:I,N2262)=0,"",INDEX(Listado!I:I,N2262)))),"")</f>
        <v/>
      </c>
      <c r="P2262" s="17">
        <f t="shared" ca="1" si="106"/>
        <v/>
      </c>
      <c r="Q2262" s="17">
        <f>IFERROR(IF(AND(N2262&lt;&gt;"",ISNUMBER(O2262),O2262&gt;0,O2262&gt;=TODAY()-90),1,0),0)</f>
        <v/>
      </c>
      <c r="R2262" s="17" t="str">
        <f t="shared" si="108"/>
        <v/>
      </c>
      <c r="S2262" s="17" t="str">
        <f>IF(INDEX(Listado!A:A,ROW())="","",INDEX(Listado!A:A,ROW()))</f>
        <v/>
      </c>
      <c r="T2262" s="17" t="str">
        <f ca="1">IF(INDEX(Listado!G:G,ROW())="","",INDEX(Listado!G:G,ROW()))</f>
        <v/>
      </c>
      <c r="U2262" s="17" t="str">
        <f>IF(INDEX(Listado!F:F,ROW())="","",INDEX(Listado!F:F,ROW()))</f>
        <v/>
      </c>
      <c r="V2262" s="17">
        <f>IF(COUNTA(INDEX(Listado!B:B,ROW()):INDEX(Listado!F:F,ROW()))&gt;0,1,0)</f>
        <v/>
      </c>
      <c r="W2262" s="17" t="str">
        <f>IF(INDEX(Listado!L:L,ROW())="","",INDEX(Listado!L:L,ROW()))</f>
        <v/>
      </c>
      <c r="X2262" s="17">
        <f>IF(N2262="","",IF(INDEX(Listado!$M:$M,N2262)="No","No","Sí"))</f>
        <v/>
      </c>
    </row>
    <row r="2263" spans="2:24" ht="14.25">
      <c r="N2263" s="17" t="str">
        <f>IF(V2263=0,"",IFERROR(LOOKUP(2,1/(INDEX(Listado!A:A,2):INDEX(Listado!A:A,ROW())&lt;&gt;""),ROW(INDEX(Listado!A:A,2):INDEX(Listado!A:A,ROW()))),""))</f>
        <v/>
      </c>
      <c r="O2263" s="17" t="str">
        <f>IFERROR(IF(N2263="","",IF(INDEX(Listado!M:M,N2263)="No",IF(INDEX(Listado!N:N,N2263)=0,"",INDEX(Listado!N:N,N2263)),IF(INDEX(Listado!I:I,N2263)=0,"",INDEX(Listado!I:I,N2263)))),"")</f>
        <v/>
      </c>
      <c r="P2263" s="17">
        <f t="shared" ca="1" si="106"/>
        <v/>
      </c>
      <c r="Q2263" s="17">
        <f>IFERROR(IF(AND(N2263&lt;&gt;"",ISNUMBER(O2263),O2263&gt;0,O2263&gt;=TODAY()-90),1,0),0)</f>
        <v/>
      </c>
      <c r="R2263" s="17" t="str">
        <f t="shared" si="108"/>
        <v/>
      </c>
      <c r="S2263" s="17" t="str">
        <f>IF(INDEX(Listado!A:A,ROW())="","",INDEX(Listado!A:A,ROW()))</f>
        <v/>
      </c>
      <c r="T2263" s="17" t="str">
        <f ca="1">IF(INDEX(Listado!G:G,ROW())="","",INDEX(Listado!G:G,ROW()))</f>
        <v/>
      </c>
      <c r="U2263" s="17" t="str">
        <f>IF(INDEX(Listado!F:F,ROW())="","",INDEX(Listado!F:F,ROW()))</f>
        <v/>
      </c>
      <c r="V2263" s="17">
        <f>IF(COUNTA(INDEX(Listado!B:B,ROW()):INDEX(Listado!F:F,ROW()))&gt;0,1,0)</f>
        <v/>
      </c>
      <c r="W2263" s="17" t="str">
        <f>IF(INDEX(Listado!L:L,ROW())="","",INDEX(Listado!L:L,ROW()))</f>
        <v/>
      </c>
      <c r="X2263" s="17">
        <f>IF(N2263="","",IF(INDEX(Listado!$M:$M,N2263)="No","No","Sí"))</f>
        <v/>
      </c>
    </row>
    <row r="2264" spans="2:24" ht="14.25">
      <c r="N2264" s="17" t="str">
        <f>IF(V2264=0,"",IFERROR(LOOKUP(2,1/(INDEX(Listado!A:A,2):INDEX(Listado!A:A,ROW())&lt;&gt;""),ROW(INDEX(Listado!A:A,2):INDEX(Listado!A:A,ROW()))),""))</f>
        <v/>
      </c>
      <c r="O2264" s="17" t="str">
        <f>IFERROR(IF(N2264="","",IF(INDEX(Listado!M:M,N2264)="No",IF(INDEX(Listado!N:N,N2264)=0,"",INDEX(Listado!N:N,N2264)),IF(INDEX(Listado!I:I,N2264)=0,"",INDEX(Listado!I:I,N2264)))),"")</f>
        <v/>
      </c>
      <c r="P2264" s="17">
        <f t="shared" ca="1" si="106"/>
        <v/>
      </c>
      <c r="Q2264" s="17">
        <f>IFERROR(IF(AND(N2264&lt;&gt;"",ISNUMBER(O2264),O2264&gt;0,O2264&gt;=TODAY()-90),1,0),0)</f>
        <v/>
      </c>
      <c r="R2264" s="17" t="str">
        <f t="shared" si="108"/>
        <v/>
      </c>
      <c r="S2264" s="17" t="str">
        <f>IF(INDEX(Listado!A:A,ROW())="","",INDEX(Listado!A:A,ROW()))</f>
        <v/>
      </c>
      <c r="T2264" s="17" t="str">
        <f ca="1">IF(INDEX(Listado!G:G,ROW())="","",INDEX(Listado!G:G,ROW()))</f>
        <v/>
      </c>
      <c r="U2264" s="17" t="str">
        <f>IF(INDEX(Listado!F:F,ROW())="","",INDEX(Listado!F:F,ROW()))</f>
        <v/>
      </c>
      <c r="V2264" s="17">
        <f>IF(COUNTA(INDEX(Listado!B:B,ROW()):INDEX(Listado!F:F,ROW()))&gt;0,1,0)</f>
        <v/>
      </c>
      <c r="W2264" s="17" t="str">
        <f>IF(INDEX(Listado!L:L,ROW())="","",INDEX(Listado!L:L,ROW()))</f>
        <v/>
      </c>
      <c r="X2264" s="17">
        <f>IF(N2264="","",IF(INDEX(Listado!$M:$M,N2264)="No","No","Sí"))</f>
        <v/>
      </c>
    </row>
    <row r="2265" spans="2:24" ht="14.25">
      <c r="N2265" s="17" t="str">
        <f>IF(V2265=0,"",IFERROR(LOOKUP(2,1/(INDEX(Listado!A:A,2):INDEX(Listado!A:A,ROW())&lt;&gt;""),ROW(INDEX(Listado!A:A,2):INDEX(Listado!A:A,ROW()))),""))</f>
        <v/>
      </c>
      <c r="O2265" s="17" t="str">
        <f>IFERROR(IF(N2265="","",IF(INDEX(Listado!M:M,N2265)="No",IF(INDEX(Listado!N:N,N2265)=0,"",INDEX(Listado!N:N,N2265)),IF(INDEX(Listado!I:I,N2265)=0,"",INDEX(Listado!I:I,N2265)))),"")</f>
        <v/>
      </c>
      <c r="P2265" s="17">
        <f t="shared" ca="1" si="106"/>
        <v/>
      </c>
      <c r="Q2265" s="17">
        <f>IFERROR(IF(AND(N2265&lt;&gt;"",ISNUMBER(O2265),O2265&gt;0,O2265&gt;=TODAY()-90),1,0),0)</f>
        <v/>
      </c>
      <c r="R2265" s="17" t="str">
        <f t="shared" si="108"/>
        <v/>
      </c>
      <c r="S2265" s="17" t="str">
        <f>IF(INDEX(Listado!A:A,ROW())="","",INDEX(Listado!A:A,ROW()))</f>
        <v/>
      </c>
      <c r="T2265" s="17" t="str">
        <f ca="1">IF(INDEX(Listado!G:G,ROW())="","",INDEX(Listado!G:G,ROW()))</f>
        <v/>
      </c>
      <c r="U2265" s="17" t="str">
        <f>IF(INDEX(Listado!F:F,ROW())="","",INDEX(Listado!F:F,ROW()))</f>
        <v/>
      </c>
      <c r="V2265" s="17">
        <f>IF(COUNTA(INDEX(Listado!B:B,ROW()):INDEX(Listado!F:F,ROW()))&gt;0,1,0)</f>
        <v/>
      </c>
      <c r="W2265" s="17" t="str">
        <f>IF(INDEX(Listado!L:L,ROW())="","",INDEX(Listado!L:L,ROW()))</f>
        <v/>
      </c>
      <c r="X2265" s="17">
        <f>IF(N2265="","",IF(INDEX(Listado!$M:$M,N2265)="No","No","Sí"))</f>
        <v/>
      </c>
    </row>
    <row r="2266" spans="2:24" ht="14.25">
      <c r="N2266" s="17" t="str">
        <f>IF(V2266=0,"",IFERROR(LOOKUP(2,1/(INDEX(Listado!A:A,2):INDEX(Listado!A:A,ROW())&lt;&gt;""),ROW(INDEX(Listado!A:A,2):INDEX(Listado!A:A,ROW()))),""))</f>
        <v/>
      </c>
      <c r="O2266" s="17" t="str">
        <f>IFERROR(IF(N2266="","",IF(INDEX(Listado!M:M,N2266)="No",IF(INDEX(Listado!N:N,N2266)=0,"",INDEX(Listado!N:N,N2266)),IF(INDEX(Listado!I:I,N2266)=0,"",INDEX(Listado!I:I,N2266)))),"")</f>
        <v/>
      </c>
      <c r="P2266" s="17">
        <f t="shared" ca="1" si="106"/>
        <v/>
      </c>
      <c r="Q2266" s="17">
        <f>IFERROR(IF(AND(N2266&lt;&gt;"",ISNUMBER(O2266),O2266&gt;0,O2266&gt;=TODAY()-90),1,0),0)</f>
        <v/>
      </c>
      <c r="R2266" s="17" t="str">
        <f t="shared" si="108"/>
        <v/>
      </c>
      <c r="S2266" s="17" t="str">
        <f>IF(INDEX(Listado!A:A,ROW())="","",INDEX(Listado!A:A,ROW()))</f>
        <v/>
      </c>
      <c r="T2266" s="17" t="str">
        <f ca="1">IF(INDEX(Listado!G:G,ROW())="","",INDEX(Listado!G:G,ROW()))</f>
        <v/>
      </c>
      <c r="U2266" s="17" t="str">
        <f>IF(INDEX(Listado!F:F,ROW())="","",INDEX(Listado!F:F,ROW()))</f>
        <v/>
      </c>
      <c r="V2266" s="17">
        <f>IF(COUNTA(INDEX(Listado!B:B,ROW()):INDEX(Listado!F:F,ROW()))&gt;0,1,0)</f>
        <v/>
      </c>
      <c r="W2266" s="17" t="str">
        <f>IF(INDEX(Listado!L:L,ROW())="","",INDEX(Listado!L:L,ROW()))</f>
        <v/>
      </c>
      <c r="X2266" s="17">
        <f>IF(N2266="","",IF(INDEX(Listado!$M:$M,N2266)="No","No","Sí"))</f>
        <v/>
      </c>
    </row>
    <row r="2267" spans="2:24" ht="14.25">
      <c r="N2267" s="17" t="str">
        <f>IF(V2267=0,"",IFERROR(LOOKUP(2,1/(INDEX(Listado!A:A,2):INDEX(Listado!A:A,ROW())&lt;&gt;""),ROW(INDEX(Listado!A:A,2):INDEX(Listado!A:A,ROW()))),""))</f>
        <v/>
      </c>
      <c r="O2267" s="17" t="str">
        <f>IFERROR(IF(N2267="","",IF(INDEX(Listado!M:M,N2267)="No",IF(INDEX(Listado!N:N,N2267)=0,"",INDEX(Listado!N:N,N2267)),IF(INDEX(Listado!I:I,N2267)=0,"",INDEX(Listado!I:I,N2267)))),"")</f>
        <v/>
      </c>
      <c r="P2267" s="17">
        <f t="shared" ca="1" si="106"/>
        <v/>
      </c>
      <c r="Q2267" s="17">
        <f>IFERROR(IF(AND(N2267&lt;&gt;"",ISNUMBER(O2267),O2267&gt;0,O2267&gt;=TODAY()-90),1,0),0)</f>
        <v/>
      </c>
      <c r="R2267" s="17" t="str">
        <f t="shared" si="108"/>
        <v/>
      </c>
      <c r="S2267" s="17" t="str">
        <f>IF(INDEX(Listado!A:A,ROW())="","",INDEX(Listado!A:A,ROW()))</f>
        <v/>
      </c>
      <c r="T2267" s="17" t="str">
        <f ca="1">IF(INDEX(Listado!G:G,ROW())="","",INDEX(Listado!G:G,ROW()))</f>
        <v/>
      </c>
      <c r="U2267" s="17" t="str">
        <f>IF(INDEX(Listado!F:F,ROW())="","",INDEX(Listado!F:F,ROW()))</f>
        <v/>
      </c>
      <c r="V2267" s="17">
        <f>IF(COUNTA(INDEX(Listado!B:B,ROW()):INDEX(Listado!F:F,ROW()))&gt;0,1,0)</f>
        <v/>
      </c>
      <c r="W2267" s="17" t="str">
        <f>IF(INDEX(Listado!L:L,ROW())="","",INDEX(Listado!L:L,ROW()))</f>
        <v/>
      </c>
      <c r="X2267" s="17">
        <f>IF(N2267="","",IF(INDEX(Listado!$M:$M,N2267)="No","No","Sí"))</f>
        <v/>
      </c>
    </row>
    <row r="2268" spans="2:24" ht="14.25">
      <c r="N2268" s="17" t="str">
        <f>IF(V2268=0,"",IFERROR(LOOKUP(2,1/(INDEX(Listado!A:A,2):INDEX(Listado!A:A,ROW())&lt;&gt;""),ROW(INDEX(Listado!A:A,2):INDEX(Listado!A:A,ROW()))),""))</f>
        <v/>
      </c>
      <c r="O2268" s="17" t="str">
        <f>IFERROR(IF(N2268="","",IF(INDEX(Listado!M:M,N2268)="No",IF(INDEX(Listado!N:N,N2268)=0,"",INDEX(Listado!N:N,N2268)),IF(INDEX(Listado!I:I,N2268)=0,"",INDEX(Listado!I:I,N2268)))),"")</f>
        <v/>
      </c>
      <c r="P2268" s="17">
        <f t="shared" ca="1" si="106"/>
        <v/>
      </c>
      <c r="Q2268" s="17">
        <f>IFERROR(IF(AND(N2268&lt;&gt;"",ISNUMBER(O2268),O2268&gt;0,O2268&gt;=TODAY()-90),1,0),0)</f>
        <v/>
      </c>
      <c r="R2268" s="17" t="str">
        <f t="shared" si="108"/>
        <v/>
      </c>
      <c r="S2268" s="17" t="str">
        <f>IF(INDEX(Listado!A:A,ROW())="","",INDEX(Listado!A:A,ROW()))</f>
        <v/>
      </c>
      <c r="T2268" s="17" t="str">
        <f ca="1">IF(INDEX(Listado!G:G,ROW())="","",INDEX(Listado!G:G,ROW()))</f>
        <v/>
      </c>
      <c r="U2268" s="17" t="str">
        <f>IF(INDEX(Listado!F:F,ROW())="","",INDEX(Listado!F:F,ROW()))</f>
        <v/>
      </c>
      <c r="V2268" s="17">
        <f>IF(COUNTA(INDEX(Listado!B:B,ROW()):INDEX(Listado!F:F,ROW()))&gt;0,1,0)</f>
        <v/>
      </c>
      <c r="W2268" s="17" t="str">
        <f>IF(INDEX(Listado!L:L,ROW())="","",INDEX(Listado!L:L,ROW()))</f>
        <v/>
      </c>
      <c r="X2268" s="17">
        <f>IF(N2268="","",IF(INDEX(Listado!$M:$M,N2268)="No","No","Sí"))</f>
        <v/>
      </c>
    </row>
    <row r="2269" spans="2:24" ht="14.25">
      <c r="N2269" s="17" t="str">
        <f>IF(V2269=0,"",IFERROR(LOOKUP(2,1/(INDEX(Listado!A:A,2):INDEX(Listado!A:A,ROW())&lt;&gt;""),ROW(INDEX(Listado!A:A,2):INDEX(Listado!A:A,ROW()))),""))</f>
        <v/>
      </c>
      <c r="O2269" s="17" t="str">
        <f>IFERROR(IF(N2269="","",IF(INDEX(Listado!M:M,N2269)="No",IF(INDEX(Listado!N:N,N2269)=0,"",INDEX(Listado!N:N,N2269)),IF(INDEX(Listado!I:I,N2269)=0,"",INDEX(Listado!I:I,N2269)))),"")</f>
        <v/>
      </c>
      <c r="P2269" s="17">
        <f t="shared" ca="1" si="106"/>
        <v/>
      </c>
      <c r="Q2269" s="17">
        <f>IFERROR(IF(AND(N2269&lt;&gt;"",ISNUMBER(O2269),O2269&gt;0,O2269&gt;=TODAY()-90),1,0),0)</f>
        <v/>
      </c>
      <c r="R2269" s="17" t="str">
        <f t="shared" si="108"/>
        <v/>
      </c>
      <c r="S2269" s="17" t="str">
        <f>IF(INDEX(Listado!A:A,ROW())="","",INDEX(Listado!A:A,ROW()))</f>
        <v/>
      </c>
      <c r="T2269" s="17" t="str">
        <f ca="1">IF(INDEX(Listado!G:G,ROW())="","",INDEX(Listado!G:G,ROW()))</f>
        <v/>
      </c>
      <c r="U2269" s="17" t="str">
        <f>IF(INDEX(Listado!F:F,ROW())="","",INDEX(Listado!F:F,ROW()))</f>
        <v/>
      </c>
      <c r="V2269" s="17">
        <f>IF(COUNTA(INDEX(Listado!B:B,ROW()):INDEX(Listado!F:F,ROW()))&gt;0,1,0)</f>
        <v/>
      </c>
      <c r="W2269" s="17" t="str">
        <f>IF(INDEX(Listado!L:L,ROW())="","",INDEX(Listado!L:L,ROW()))</f>
        <v/>
      </c>
      <c r="X2269" s="17">
        <f>IF(N2269="","",IF(INDEX(Listado!$M:$M,N2269)="No","No","Sí"))</f>
        <v/>
      </c>
    </row>
    <row r="2270" spans="2:24" ht="14.25">
      <c r="N2270" s="17" t="str">
        <f>IF(V2270=0,"",IFERROR(LOOKUP(2,1/(INDEX(Listado!A:A,2):INDEX(Listado!A:A,ROW())&lt;&gt;""),ROW(INDEX(Listado!A:A,2):INDEX(Listado!A:A,ROW()))),""))</f>
        <v/>
      </c>
      <c r="O2270" s="17" t="str">
        <f>IFERROR(IF(N2270="","",IF(INDEX(Listado!M:M,N2270)="No",IF(INDEX(Listado!N:N,N2270)=0,"",INDEX(Listado!N:N,N2270)),IF(INDEX(Listado!I:I,N2270)=0,"",INDEX(Listado!I:I,N2270)))),"")</f>
        <v/>
      </c>
      <c r="P2270" s="17">
        <f t="shared" ca="1" si="106"/>
        <v/>
      </c>
      <c r="Q2270" s="17">
        <f>IFERROR(IF(AND(N2270&lt;&gt;"",ISNUMBER(O2270),O2270&gt;0,O2270&gt;=TODAY()-90),1,0),0)</f>
        <v/>
      </c>
      <c r="R2270" s="17" t="str">
        <f t="shared" si="108"/>
        <v/>
      </c>
      <c r="S2270" s="17" t="str">
        <f>IF(INDEX(Listado!A:A,ROW())="","",INDEX(Listado!A:A,ROW()))</f>
        <v/>
      </c>
      <c r="T2270" s="17" t="str">
        <f ca="1">IF(INDEX(Listado!G:G,ROW())="","",INDEX(Listado!G:G,ROW()))</f>
        <v/>
      </c>
      <c r="U2270" s="17" t="str">
        <f>IF(INDEX(Listado!F:F,ROW())="","",INDEX(Listado!F:F,ROW()))</f>
        <v/>
      </c>
      <c r="V2270" s="17">
        <f>IF(COUNTA(INDEX(Listado!B:B,ROW()):INDEX(Listado!F:F,ROW()))&gt;0,1,0)</f>
        <v/>
      </c>
      <c r="W2270" s="17" t="str">
        <f>IF(INDEX(Listado!L:L,ROW())="","",INDEX(Listado!L:L,ROW()))</f>
        <v/>
      </c>
      <c r="X2270" s="17">
        <f>IF(N2270="","",IF(INDEX(Listado!$M:$M,N2270)="No","No","Sí"))</f>
        <v/>
      </c>
    </row>
    <row r="2271" spans="2:24" ht="14.25">
      <c r="N2271" s="17" t="str">
        <f>IF(V2271=0,"",IFERROR(LOOKUP(2,1/(INDEX(Listado!A:A,2):INDEX(Listado!A:A,ROW())&lt;&gt;""),ROW(INDEX(Listado!A:A,2):INDEX(Listado!A:A,ROW()))),""))</f>
        <v/>
      </c>
      <c r="O2271" s="17" t="str">
        <f>IFERROR(IF(N2271="","",IF(INDEX(Listado!M:M,N2271)="No",IF(INDEX(Listado!N:N,N2271)=0,"",INDEX(Listado!N:N,N2271)),IF(INDEX(Listado!I:I,N2271)=0,"",INDEX(Listado!I:I,N2271)))),"")</f>
        <v/>
      </c>
      <c r="P2271" s="17">
        <f t="shared" ca="1" si="106"/>
        <v/>
      </c>
      <c r="Q2271" s="17">
        <f>IFERROR(IF(AND(N2271&lt;&gt;"",ISNUMBER(O2271),O2271&gt;0,O2271&gt;=TODAY()-90),1,0),0)</f>
        <v/>
      </c>
      <c r="R2271" s="17" t="str">
        <f t="shared" si="108"/>
        <v/>
      </c>
      <c r="S2271" s="17" t="str">
        <f>IF(INDEX(Listado!A:A,ROW())="","",INDEX(Listado!A:A,ROW()))</f>
        <v/>
      </c>
      <c r="T2271" s="17" t="str">
        <f ca="1">IF(INDEX(Listado!G:G,ROW())="","",INDEX(Listado!G:G,ROW()))</f>
        <v/>
      </c>
      <c r="U2271" s="17" t="str">
        <f>IF(INDEX(Listado!F:F,ROW())="","",INDEX(Listado!F:F,ROW()))</f>
        <v/>
      </c>
      <c r="V2271" s="17">
        <f>IF(COUNTA(INDEX(Listado!B:B,ROW()):INDEX(Listado!F:F,ROW()))&gt;0,1,0)</f>
        <v/>
      </c>
      <c r="W2271" s="17" t="str">
        <f>IF(INDEX(Listado!L:L,ROW())="","",INDEX(Listado!L:L,ROW()))</f>
        <v/>
      </c>
      <c r="X2271" s="17">
        <f>IF(N2271="","",IF(INDEX(Listado!$M:$M,N2271)="No","No","Sí"))</f>
        <v/>
      </c>
    </row>
    <row r="2272" spans="2:24" ht="14.25">
      <c r="N2272" s="17" t="str">
        <f>IF(V2272=0,"",IFERROR(LOOKUP(2,1/(INDEX(Listado!A:A,2):INDEX(Listado!A:A,ROW())&lt;&gt;""),ROW(INDEX(Listado!A:A,2):INDEX(Listado!A:A,ROW()))),""))</f>
        <v/>
      </c>
      <c r="O2272" s="17" t="str">
        <f>IFERROR(IF(N2272="","",IF(INDEX(Listado!M:M,N2272)="No",IF(INDEX(Listado!N:N,N2272)=0,"",INDEX(Listado!N:N,N2272)),IF(INDEX(Listado!I:I,N2272)=0,"",INDEX(Listado!I:I,N2272)))),"")</f>
        <v/>
      </c>
      <c r="P2272" s="17">
        <f t="shared" ca="1" si="106"/>
        <v/>
      </c>
      <c r="Q2272" s="17">
        <f>IFERROR(IF(AND(N2272&lt;&gt;"",ISNUMBER(O2272),O2272&gt;0,O2272&gt;=TODAY()-90),1,0),0)</f>
        <v/>
      </c>
      <c r="R2272" s="17" t="str">
        <f t="shared" si="108"/>
        <v/>
      </c>
      <c r="S2272" s="17" t="str">
        <f>IF(INDEX(Listado!A:A,ROW())="","",INDEX(Listado!A:A,ROW()))</f>
        <v/>
      </c>
      <c r="T2272" s="17" t="str">
        <f ca="1">IF(INDEX(Listado!G:G,ROW())="","",INDEX(Listado!G:G,ROW()))</f>
        <v/>
      </c>
      <c r="U2272" s="17" t="str">
        <f>IF(INDEX(Listado!F:F,ROW())="","",INDEX(Listado!F:F,ROW()))</f>
        <v/>
      </c>
      <c r="V2272" s="17">
        <f>IF(COUNTA(INDEX(Listado!B:B,ROW()):INDEX(Listado!F:F,ROW()))&gt;0,1,0)</f>
        <v/>
      </c>
      <c r="W2272" s="17" t="str">
        <f>IF(INDEX(Listado!L:L,ROW())="","",INDEX(Listado!L:L,ROW()))</f>
        <v/>
      </c>
      <c r="X2272" s="17">
        <f>IF(N2272="","",IF(INDEX(Listado!$M:$M,N2272)="No","No","Sí"))</f>
        <v/>
      </c>
    </row>
    <row r="2273" spans="2:24" ht="14.25">
      <c r="N2273" s="17" t="str">
        <f>IF(V2273=0,"",IFERROR(LOOKUP(2,1/(INDEX(Listado!A:A,2):INDEX(Listado!A:A,ROW())&lt;&gt;""),ROW(INDEX(Listado!A:A,2):INDEX(Listado!A:A,ROW()))),""))</f>
        <v/>
      </c>
      <c r="O2273" s="17" t="str">
        <f>IFERROR(IF(N2273="","",IF(INDEX(Listado!M:M,N2273)="No",IF(INDEX(Listado!N:N,N2273)=0,"",INDEX(Listado!N:N,N2273)),IF(INDEX(Listado!I:I,N2273)=0,"",INDEX(Listado!I:I,N2273)))),"")</f>
        <v/>
      </c>
      <c r="P2273" s="17">
        <f t="shared" ca="1" si="106"/>
        <v/>
      </c>
      <c r="Q2273" s="17">
        <f>IFERROR(IF(AND(N2273&lt;&gt;"",ISNUMBER(O2273),O2273&gt;0,O2273&gt;=TODAY()-90),1,0),0)</f>
        <v/>
      </c>
      <c r="R2273" s="17" t="str">
        <f t="shared" si="108"/>
        <v/>
      </c>
      <c r="S2273" s="17" t="str">
        <f>IF(INDEX(Listado!A:A,ROW())="","",INDEX(Listado!A:A,ROW()))</f>
        <v/>
      </c>
      <c r="T2273" s="17" t="str">
        <f ca="1">IF(INDEX(Listado!G:G,ROW())="","",INDEX(Listado!G:G,ROW()))</f>
        <v/>
      </c>
      <c r="U2273" s="17" t="str">
        <f>IF(INDEX(Listado!F:F,ROW())="","",INDEX(Listado!F:F,ROW()))</f>
        <v/>
      </c>
      <c r="V2273" s="17">
        <f>IF(COUNTA(INDEX(Listado!B:B,ROW()):INDEX(Listado!F:F,ROW()))&gt;0,1,0)</f>
        <v/>
      </c>
      <c r="W2273" s="17" t="str">
        <f>IF(INDEX(Listado!L:L,ROW())="","",INDEX(Listado!L:L,ROW()))</f>
        <v/>
      </c>
      <c r="X2273" s="17">
        <f>IF(N2273="","",IF(INDEX(Listado!$M:$M,N2273)="No","No","Sí"))</f>
        <v/>
      </c>
    </row>
    <row r="2274" spans="2:24" ht="14.25">
      <c r="N2274" s="17" t="str">
        <f>IF(V2274=0,"",IFERROR(LOOKUP(2,1/(INDEX(Listado!A:A,2):INDEX(Listado!A:A,ROW())&lt;&gt;""),ROW(INDEX(Listado!A:A,2):INDEX(Listado!A:A,ROW()))),""))</f>
        <v/>
      </c>
      <c r="O2274" s="17" t="str">
        <f>IFERROR(IF(N2274="","",IF(INDEX(Listado!M:M,N2274)="No",IF(INDEX(Listado!N:N,N2274)=0,"",INDEX(Listado!N:N,N2274)),IF(INDEX(Listado!I:I,N2274)=0,"",INDEX(Listado!I:I,N2274)))),"")</f>
        <v/>
      </c>
      <c r="P2274" s="17">
        <f t="shared" ca="1" si="106"/>
        <v/>
      </c>
      <c r="Q2274" s="17">
        <f>IFERROR(IF(AND(N2274&lt;&gt;"",ISNUMBER(O2274),O2274&gt;0,O2274&gt;=TODAY()-90),1,0),0)</f>
        <v/>
      </c>
      <c r="R2274" s="17" t="str">
        <f t="shared" si="108"/>
        <v/>
      </c>
      <c r="S2274" s="17" t="str">
        <f>IF(INDEX(Listado!A:A,ROW())="","",INDEX(Listado!A:A,ROW()))</f>
        <v/>
      </c>
      <c r="T2274" s="17" t="str">
        <f ca="1">IF(INDEX(Listado!G:G,ROW())="","",INDEX(Listado!G:G,ROW()))</f>
        <v/>
      </c>
      <c r="U2274" s="17" t="str">
        <f>IF(INDEX(Listado!F:F,ROW())="","",INDEX(Listado!F:F,ROW()))</f>
        <v/>
      </c>
      <c r="V2274" s="17">
        <f>IF(COUNTA(INDEX(Listado!B:B,ROW()):INDEX(Listado!F:F,ROW()))&gt;0,1,0)</f>
        <v/>
      </c>
      <c r="W2274" s="17" t="str">
        <f>IF(INDEX(Listado!L:L,ROW())="","",INDEX(Listado!L:L,ROW()))</f>
        <v/>
      </c>
      <c r="X2274" s="17">
        <f>IF(N2274="","",IF(INDEX(Listado!$M:$M,N2274)="No","No","Sí"))</f>
        <v/>
      </c>
    </row>
    <row r="2275" spans="2:24" ht="14.25">
      <c r="N2275" s="17" t="str">
        <f>IF(V2275=0,"",IFERROR(LOOKUP(2,1/(INDEX(Listado!A:A,2):INDEX(Listado!A:A,ROW())&lt;&gt;""),ROW(INDEX(Listado!A:A,2):INDEX(Listado!A:A,ROW()))),""))</f>
        <v/>
      </c>
      <c r="O2275" s="17" t="str">
        <f>IFERROR(IF(N2275="","",IF(INDEX(Listado!M:M,N2275)="No",IF(INDEX(Listado!N:N,N2275)=0,"",INDEX(Listado!N:N,N2275)),IF(INDEX(Listado!I:I,N2275)=0,"",INDEX(Listado!I:I,N2275)))),"")</f>
        <v/>
      </c>
      <c r="P2275" s="17">
        <f t="shared" ca="1" si="106"/>
        <v/>
      </c>
      <c r="Q2275" s="17">
        <f>IFERROR(IF(AND(N2275&lt;&gt;"",ISNUMBER(O2275),O2275&gt;0,O2275&gt;=TODAY()-90),1,0),0)</f>
        <v/>
      </c>
      <c r="R2275" s="17" t="str">
        <f t="shared" si="108"/>
        <v/>
      </c>
      <c r="S2275" s="17" t="str">
        <f>IF(INDEX(Listado!A:A,ROW())="","",INDEX(Listado!A:A,ROW()))</f>
        <v/>
      </c>
      <c r="T2275" s="17" t="str">
        <f ca="1">IF(INDEX(Listado!G:G,ROW())="","",INDEX(Listado!G:G,ROW()))</f>
        <v/>
      </c>
      <c r="U2275" s="17" t="str">
        <f>IF(INDEX(Listado!F:F,ROW())="","",INDEX(Listado!F:F,ROW()))</f>
        <v/>
      </c>
      <c r="V2275" s="17">
        <f>IF(COUNTA(INDEX(Listado!B:B,ROW()):INDEX(Listado!F:F,ROW()))&gt;0,1,0)</f>
        <v/>
      </c>
      <c r="W2275" s="17" t="str">
        <f>IF(INDEX(Listado!L:L,ROW())="","",INDEX(Listado!L:L,ROW()))</f>
        <v/>
      </c>
      <c r="X2275" s="17">
        <f>IF(N2275="","",IF(INDEX(Listado!$M:$M,N2275)="No","No","Sí"))</f>
        <v/>
      </c>
    </row>
    <row r="2276" spans="2:24" ht="14.25">
      <c r="N2276" s="17" t="str">
        <f>IF(V2276=0,"",IFERROR(LOOKUP(2,1/(INDEX(Listado!A:A,2):INDEX(Listado!A:A,ROW())&lt;&gt;""),ROW(INDEX(Listado!A:A,2):INDEX(Listado!A:A,ROW()))),""))</f>
        <v/>
      </c>
      <c r="O2276" s="17" t="str">
        <f>IFERROR(IF(N2276="","",IF(INDEX(Listado!M:M,N2276)="No",IF(INDEX(Listado!N:N,N2276)=0,"",INDEX(Listado!N:N,N2276)),IF(INDEX(Listado!I:I,N2276)=0,"",INDEX(Listado!I:I,N2276)))),"")</f>
        <v/>
      </c>
      <c r="P2276" s="17">
        <f t="shared" ca="1" si="106"/>
        <v/>
      </c>
      <c r="Q2276" s="17">
        <f>IFERROR(IF(AND(N2276&lt;&gt;"",ISNUMBER(O2276),O2276&gt;0,O2276&gt;=TODAY()-90),1,0),0)</f>
        <v/>
      </c>
      <c r="R2276" s="17" t="str">
        <f t="shared" si="108"/>
        <v/>
      </c>
      <c r="S2276" s="17" t="str">
        <f>IF(INDEX(Listado!A:A,ROW())="","",INDEX(Listado!A:A,ROW()))</f>
        <v/>
      </c>
      <c r="T2276" s="17" t="str">
        <f ca="1">IF(INDEX(Listado!G:G,ROW())="","",INDEX(Listado!G:G,ROW()))</f>
        <v/>
      </c>
      <c r="U2276" s="17" t="str">
        <f>IF(INDEX(Listado!F:F,ROW())="","",INDEX(Listado!F:F,ROW()))</f>
        <v/>
      </c>
      <c r="V2276" s="17">
        <f>IF(COUNTA(INDEX(Listado!B:B,ROW()):INDEX(Listado!F:F,ROW()))&gt;0,1,0)</f>
        <v/>
      </c>
      <c r="W2276" s="17" t="str">
        <f>IF(INDEX(Listado!L:L,ROW())="","",INDEX(Listado!L:L,ROW()))</f>
        <v/>
      </c>
      <c r="X2276" s="17">
        <f>IF(N2276="","",IF(INDEX(Listado!$M:$M,N2276)="No","No","Sí"))</f>
        <v/>
      </c>
    </row>
    <row r="2277" spans="2:24" ht="14.25">
      <c r="N2277" s="17" t="str">
        <f>IF(V2277=0,"",IFERROR(LOOKUP(2,1/(INDEX(Listado!A:A,2):INDEX(Listado!A:A,ROW())&lt;&gt;""),ROW(INDEX(Listado!A:A,2):INDEX(Listado!A:A,ROW()))),""))</f>
        <v/>
      </c>
      <c r="O2277" s="17" t="str">
        <f>IFERROR(IF(N2277="","",IF(INDEX(Listado!M:M,N2277)="No",IF(INDEX(Listado!N:N,N2277)=0,"",INDEX(Listado!N:N,N2277)),IF(INDEX(Listado!I:I,N2277)=0,"",INDEX(Listado!I:I,N2277)))),"")</f>
        <v/>
      </c>
      <c r="P2277" s="17">
        <f t="shared" ca="1" si="106"/>
        <v/>
      </c>
      <c r="Q2277" s="17">
        <f>IFERROR(IF(AND(N2277&lt;&gt;"",ISNUMBER(O2277),O2277&gt;0,O2277&gt;=TODAY()-90),1,0),0)</f>
        <v/>
      </c>
      <c r="R2277" s="17" t="str">
        <f t="shared" si="108"/>
        <v/>
      </c>
      <c r="S2277" s="17" t="str">
        <f>IF(INDEX(Listado!A:A,ROW())="","",INDEX(Listado!A:A,ROW()))</f>
        <v/>
      </c>
      <c r="T2277" s="17" t="str">
        <f ca="1">IF(INDEX(Listado!G:G,ROW())="","",INDEX(Listado!G:G,ROW()))</f>
        <v/>
      </c>
      <c r="U2277" s="17" t="str">
        <f>IF(INDEX(Listado!F:F,ROW())="","",INDEX(Listado!F:F,ROW()))</f>
        <v/>
      </c>
      <c r="V2277" s="17">
        <f>IF(COUNTA(INDEX(Listado!B:B,ROW()):INDEX(Listado!F:F,ROW()))&gt;0,1,0)</f>
        <v/>
      </c>
      <c r="W2277" s="17" t="str">
        <f>IF(INDEX(Listado!L:L,ROW())="","",INDEX(Listado!L:L,ROW()))</f>
        <v/>
      </c>
      <c r="X2277" s="17">
        <f>IF(N2277="","",IF(INDEX(Listado!$M:$M,N2277)="No","No","Sí"))</f>
        <v/>
      </c>
    </row>
    <row r="2278" spans="2:24" ht="14.25">
      <c r="N2278" s="17" t="str">
        <f>IF(V2278=0,"",IFERROR(LOOKUP(2,1/(INDEX(Listado!A:A,2):INDEX(Listado!A:A,ROW())&lt;&gt;""),ROW(INDEX(Listado!A:A,2):INDEX(Listado!A:A,ROW()))),""))</f>
        <v/>
      </c>
      <c r="O2278" s="17" t="str">
        <f>IFERROR(IF(N2278="","",IF(INDEX(Listado!M:M,N2278)="No",IF(INDEX(Listado!N:N,N2278)=0,"",INDEX(Listado!N:N,N2278)),IF(INDEX(Listado!I:I,N2278)=0,"",INDEX(Listado!I:I,N2278)))),"")</f>
        <v/>
      </c>
      <c r="P2278" s="17">
        <f t="shared" ca="1" si="106"/>
        <v/>
      </c>
      <c r="Q2278" s="17">
        <f>IFERROR(IF(AND(N2278&lt;&gt;"",ISNUMBER(O2278),O2278&gt;0,O2278&gt;=TODAY()-90),1,0),0)</f>
        <v/>
      </c>
      <c r="R2278" s="17" t="str">
        <f t="shared" si="108"/>
        <v/>
      </c>
      <c r="S2278" s="17" t="str">
        <f>IF(INDEX(Listado!A:A,ROW())="","",INDEX(Listado!A:A,ROW()))</f>
        <v/>
      </c>
      <c r="T2278" s="17" t="str">
        <f ca="1">IF(INDEX(Listado!G:G,ROW())="","",INDEX(Listado!G:G,ROW()))</f>
        <v/>
      </c>
      <c r="U2278" s="17" t="str">
        <f>IF(INDEX(Listado!F:F,ROW())="","",INDEX(Listado!F:F,ROW()))</f>
        <v/>
      </c>
      <c r="V2278" s="17">
        <f>IF(COUNTA(INDEX(Listado!B:B,ROW()):INDEX(Listado!F:F,ROW()))&gt;0,1,0)</f>
        <v/>
      </c>
      <c r="W2278" s="17" t="str">
        <f>IF(INDEX(Listado!L:L,ROW())="","",INDEX(Listado!L:L,ROW()))</f>
        <v/>
      </c>
      <c r="X2278" s="17">
        <f>IF(N2278="","",IF(INDEX(Listado!$M:$M,N2278)="No","No","Sí"))</f>
        <v/>
      </c>
    </row>
    <row r="2279" spans="2:24" ht="14.25">
      <c r="N2279" s="17" t="str">
        <f>IF(V2279=0,"",IFERROR(LOOKUP(2,1/(INDEX(Listado!A:A,2):INDEX(Listado!A:A,ROW())&lt;&gt;""),ROW(INDEX(Listado!A:A,2):INDEX(Listado!A:A,ROW()))),""))</f>
        <v/>
      </c>
      <c r="O2279" s="17" t="str">
        <f>IFERROR(IF(N2279="","",IF(INDEX(Listado!M:M,N2279)="No",IF(INDEX(Listado!N:N,N2279)=0,"",INDEX(Listado!N:N,N2279)),IF(INDEX(Listado!I:I,N2279)=0,"",INDEX(Listado!I:I,N2279)))),"")</f>
        <v/>
      </c>
      <c r="P2279" s="17">
        <f t="shared" ca="1" si="106"/>
        <v/>
      </c>
      <c r="Q2279" s="17">
        <f>IFERROR(IF(AND(N2279&lt;&gt;"",ISNUMBER(O2279),O2279&gt;0,O2279&gt;=TODAY()-90),1,0),0)</f>
        <v/>
      </c>
      <c r="R2279" s="17" t="str">
        <f t="shared" si="108"/>
        <v/>
      </c>
      <c r="S2279" s="17" t="str">
        <f>IF(INDEX(Listado!A:A,ROW())="","",INDEX(Listado!A:A,ROW()))</f>
        <v/>
      </c>
      <c r="T2279" s="17" t="str">
        <f ca="1">IF(INDEX(Listado!G:G,ROW())="","",INDEX(Listado!G:G,ROW()))</f>
        <v/>
      </c>
      <c r="U2279" s="17" t="str">
        <f>IF(INDEX(Listado!F:F,ROW())="","",INDEX(Listado!F:F,ROW()))</f>
        <v/>
      </c>
      <c r="V2279" s="17">
        <f>IF(COUNTA(INDEX(Listado!B:B,ROW()):INDEX(Listado!F:F,ROW()))&gt;0,1,0)</f>
        <v/>
      </c>
      <c r="W2279" s="17" t="str">
        <f>IF(INDEX(Listado!L:L,ROW())="","",INDEX(Listado!L:L,ROW()))</f>
        <v/>
      </c>
      <c r="X2279" s="17">
        <f>IF(N2279="","",IF(INDEX(Listado!$M:$M,N2279)="No","No","Sí"))</f>
        <v/>
      </c>
    </row>
    <row r="2280" spans="2:24" ht="14.25">
      <c r="N2280" s="17" t="str">
        <f>IF(V2280=0,"",IFERROR(LOOKUP(2,1/(INDEX(Listado!A:A,2):INDEX(Listado!A:A,ROW())&lt;&gt;""),ROW(INDEX(Listado!A:A,2):INDEX(Listado!A:A,ROW()))),""))</f>
        <v/>
      </c>
      <c r="O2280" s="17" t="str">
        <f>IFERROR(IF(N2280="","",IF(INDEX(Listado!M:M,N2280)="No",IF(INDEX(Listado!N:N,N2280)=0,"",INDEX(Listado!N:N,N2280)),IF(INDEX(Listado!I:I,N2280)=0,"",INDEX(Listado!I:I,N2280)))),"")</f>
        <v/>
      </c>
      <c r="P2280" s="17">
        <f t="shared" ca="1" si="106"/>
        <v/>
      </c>
      <c r="Q2280" s="17">
        <f>IFERROR(IF(AND(N2280&lt;&gt;"",ISNUMBER(O2280),O2280&gt;0,O2280&gt;=TODAY()-90),1,0),0)</f>
        <v/>
      </c>
      <c r="R2280" s="17" t="str">
        <f t="shared" si="108"/>
        <v/>
      </c>
      <c r="S2280" s="17" t="str">
        <f>IF(INDEX(Listado!A:A,ROW())="","",INDEX(Listado!A:A,ROW()))</f>
        <v/>
      </c>
      <c r="T2280" s="17" t="str">
        <f ca="1">IF(INDEX(Listado!G:G,ROW())="","",INDEX(Listado!G:G,ROW()))</f>
        <v/>
      </c>
      <c r="U2280" s="17" t="str">
        <f>IF(INDEX(Listado!F:F,ROW())="","",INDEX(Listado!F:F,ROW()))</f>
        <v/>
      </c>
      <c r="V2280" s="17">
        <f>IF(COUNTA(INDEX(Listado!B:B,ROW()):INDEX(Listado!F:F,ROW()))&gt;0,1,0)</f>
        <v/>
      </c>
      <c r="W2280" s="17" t="str">
        <f>IF(INDEX(Listado!L:L,ROW())="","",INDEX(Listado!L:L,ROW()))</f>
        <v/>
      </c>
      <c r="X2280" s="17">
        <f>IF(N2280="","",IF(INDEX(Listado!$M:$M,N2280)="No","No","Sí"))</f>
        <v/>
      </c>
    </row>
    <row r="2281" spans="2:24" ht="14.25">
      <c r="N2281" s="17" t="str">
        <f>IF(V2281=0,"",IFERROR(LOOKUP(2,1/(INDEX(Listado!A:A,2):INDEX(Listado!A:A,ROW())&lt;&gt;""),ROW(INDEX(Listado!A:A,2):INDEX(Listado!A:A,ROW()))),""))</f>
        <v/>
      </c>
      <c r="O2281" s="17" t="str">
        <f>IFERROR(IF(N2281="","",IF(INDEX(Listado!M:M,N2281)="No",IF(INDEX(Listado!N:N,N2281)=0,"",INDEX(Listado!N:N,N2281)),IF(INDEX(Listado!I:I,N2281)=0,"",INDEX(Listado!I:I,N2281)))),"")</f>
        <v/>
      </c>
      <c r="P2281" s="17">
        <f t="shared" ca="1" si="106"/>
        <v/>
      </c>
      <c r="Q2281" s="17">
        <f>IFERROR(IF(AND(N2281&lt;&gt;"",ISNUMBER(O2281),O2281&gt;0,O2281&gt;=TODAY()-90),1,0),0)</f>
        <v/>
      </c>
      <c r="R2281" s="17" t="str">
        <f t="shared" si="108"/>
        <v/>
      </c>
      <c r="S2281" s="17" t="str">
        <f>IF(INDEX(Listado!A:A,ROW())="","",INDEX(Listado!A:A,ROW()))</f>
        <v/>
      </c>
      <c r="T2281" s="17" t="str">
        <f ca="1">IF(INDEX(Listado!G:G,ROW())="","",INDEX(Listado!G:G,ROW()))</f>
        <v/>
      </c>
      <c r="U2281" s="17" t="str">
        <f>IF(INDEX(Listado!F:F,ROW())="","",INDEX(Listado!F:F,ROW()))</f>
        <v/>
      </c>
      <c r="V2281" s="17">
        <f>IF(COUNTA(INDEX(Listado!B:B,ROW()):INDEX(Listado!F:F,ROW()))&gt;0,1,0)</f>
        <v/>
      </c>
      <c r="W2281" s="17" t="str">
        <f>IF(INDEX(Listado!L:L,ROW())="","",INDEX(Listado!L:L,ROW()))</f>
        <v/>
      </c>
      <c r="X2281" s="17">
        <f>IF(N2281="","",IF(INDEX(Listado!$M:$M,N2281)="No","No","Sí"))</f>
        <v/>
      </c>
    </row>
    <row r="2282" spans="2:24" ht="14.25">
      <c r="N2282" s="17" t="str">
        <f>IF(V2282=0,"",IFERROR(LOOKUP(2,1/(INDEX(Listado!A:A,2):INDEX(Listado!A:A,ROW())&lt;&gt;""),ROW(INDEX(Listado!A:A,2):INDEX(Listado!A:A,ROW()))),""))</f>
        <v/>
      </c>
      <c r="O2282" s="17" t="str">
        <f>IFERROR(IF(N2282="","",IF(INDEX(Listado!M:M,N2282)="No",IF(INDEX(Listado!N:N,N2282)=0,"",INDEX(Listado!N:N,N2282)),IF(INDEX(Listado!I:I,N2282)=0,"",INDEX(Listado!I:I,N2282)))),"")</f>
        <v/>
      </c>
      <c r="P2282" s="17">
        <f t="shared" ca="1" si="106"/>
        <v/>
      </c>
      <c r="Q2282" s="17">
        <f>IFERROR(IF(AND(N2282&lt;&gt;"",ISNUMBER(O2282),O2282&gt;0,O2282&gt;=TODAY()-90),1,0),0)</f>
        <v/>
      </c>
      <c r="R2282" s="17" t="str">
        <f t="shared" si="108"/>
        <v/>
      </c>
      <c r="S2282" s="17" t="str">
        <f>IF(INDEX(Listado!A:A,ROW())="","",INDEX(Listado!A:A,ROW()))</f>
        <v/>
      </c>
      <c r="T2282" s="17" t="str">
        <f ca="1">IF(INDEX(Listado!G:G,ROW())="","",INDEX(Listado!G:G,ROW()))</f>
        <v/>
      </c>
      <c r="U2282" s="17" t="str">
        <f>IF(INDEX(Listado!F:F,ROW())="","",INDEX(Listado!F:F,ROW()))</f>
        <v/>
      </c>
      <c r="V2282" s="17">
        <f>IF(COUNTA(INDEX(Listado!B:B,ROW()):INDEX(Listado!F:F,ROW()))&gt;0,1,0)</f>
        <v/>
      </c>
      <c r="W2282" s="17" t="str">
        <f>IF(INDEX(Listado!L:L,ROW())="","",INDEX(Listado!L:L,ROW()))</f>
        <v/>
      </c>
      <c r="X2282" s="17">
        <f>IF(N2282="","",IF(INDEX(Listado!$M:$M,N2282)="No","No","Sí"))</f>
        <v/>
      </c>
    </row>
    <row r="2283" spans="2:24" ht="14.25">
      <c r="N2283" s="17" t="str">
        <f>IF(V2283=0,"",IFERROR(LOOKUP(2,1/(INDEX(Listado!A:A,2):INDEX(Listado!A:A,ROW())&lt;&gt;""),ROW(INDEX(Listado!A:A,2):INDEX(Listado!A:A,ROW()))),""))</f>
        <v/>
      </c>
      <c r="O2283" s="17" t="str">
        <f>IFERROR(IF(N2283="","",IF(INDEX(Listado!M:M,N2283)="No",IF(INDEX(Listado!N:N,N2283)=0,"",INDEX(Listado!N:N,N2283)),IF(INDEX(Listado!I:I,N2283)=0,"",INDEX(Listado!I:I,N2283)))),"")</f>
        <v/>
      </c>
      <c r="P2283" s="17">
        <f t="shared" ca="1" si="106"/>
        <v/>
      </c>
      <c r="Q2283" s="17">
        <f>IFERROR(IF(AND(N2283&lt;&gt;"",ISNUMBER(O2283),O2283&gt;0,O2283&gt;=TODAY()-90),1,0),0)</f>
        <v/>
      </c>
      <c r="R2283" s="17" t="str">
        <f t="shared" si="108"/>
        <v/>
      </c>
      <c r="S2283" s="17" t="str">
        <f>IF(INDEX(Listado!A:A,ROW())="","",INDEX(Listado!A:A,ROW()))</f>
        <v/>
      </c>
      <c r="T2283" s="17" t="str">
        <f ca="1">IF(INDEX(Listado!G:G,ROW())="","",INDEX(Listado!G:G,ROW()))</f>
        <v/>
      </c>
      <c r="U2283" s="17" t="str">
        <f>IF(INDEX(Listado!F:F,ROW())="","",INDEX(Listado!F:F,ROW()))</f>
        <v/>
      </c>
      <c r="V2283" s="17">
        <f>IF(COUNTA(INDEX(Listado!B:B,ROW()):INDEX(Listado!F:F,ROW()))&gt;0,1,0)</f>
        <v/>
      </c>
      <c r="W2283" s="17" t="str">
        <f>IF(INDEX(Listado!L:L,ROW())="","",INDEX(Listado!L:L,ROW()))</f>
        <v/>
      </c>
      <c r="X2283" s="17">
        <f>IF(N2283="","",IF(INDEX(Listado!$M:$M,N2283)="No","No","Sí"))</f>
        <v/>
      </c>
    </row>
    <row r="2284" spans="2:24" ht="14.25">
      <c r="N2284" s="17" t="str">
        <f>IF(V2284=0,"",IFERROR(LOOKUP(2,1/(INDEX(Listado!A:A,2):INDEX(Listado!A:A,ROW())&lt;&gt;""),ROW(INDEX(Listado!A:A,2):INDEX(Listado!A:A,ROW()))),""))</f>
        <v/>
      </c>
      <c r="O2284" s="17" t="str">
        <f>IFERROR(IF(N2284="","",IF(INDEX(Listado!M:M,N2284)="No",IF(INDEX(Listado!N:N,N2284)=0,"",INDEX(Listado!N:N,N2284)),IF(INDEX(Listado!I:I,N2284)=0,"",INDEX(Listado!I:I,N2284)))),"")</f>
        <v/>
      </c>
      <c r="P2284" s="17">
        <f t="shared" ca="1" si="106"/>
        <v/>
      </c>
      <c r="Q2284" s="17">
        <f>IFERROR(IF(AND(N2284&lt;&gt;"",ISNUMBER(O2284),O2284&gt;0,O2284&gt;=TODAY()-90),1,0),0)</f>
        <v/>
      </c>
      <c r="R2284" s="17" t="str">
        <f t="shared" si="108"/>
        <v/>
      </c>
      <c r="S2284" s="17" t="str">
        <f>IF(INDEX(Listado!A:A,ROW())="","",INDEX(Listado!A:A,ROW()))</f>
        <v/>
      </c>
      <c r="T2284" s="17" t="str">
        <f ca="1">IF(INDEX(Listado!G:G,ROW())="","",INDEX(Listado!G:G,ROW()))</f>
        <v/>
      </c>
      <c r="U2284" s="17" t="str">
        <f>IF(INDEX(Listado!F:F,ROW())="","",INDEX(Listado!F:F,ROW()))</f>
        <v/>
      </c>
      <c r="V2284" s="17">
        <f>IF(COUNTA(INDEX(Listado!B:B,ROW()):INDEX(Listado!F:F,ROW()))&gt;0,1,0)</f>
        <v/>
      </c>
      <c r="W2284" s="17" t="str">
        <f>IF(INDEX(Listado!L:L,ROW())="","",INDEX(Listado!L:L,ROW()))</f>
        <v/>
      </c>
      <c r="X2284" s="17">
        <f>IF(N2284="","",IF(INDEX(Listado!$M:$M,N2284)="No","No","Sí"))</f>
        <v/>
      </c>
    </row>
    <row r="2285" spans="2:24" ht="14.25">
      <c r="N2285" s="17" t="str">
        <f>IF(V2285=0,"",IFERROR(LOOKUP(2,1/(INDEX(Listado!A:A,2):INDEX(Listado!A:A,ROW())&lt;&gt;""),ROW(INDEX(Listado!A:A,2):INDEX(Listado!A:A,ROW()))),""))</f>
        <v/>
      </c>
      <c r="O2285" s="17" t="str">
        <f>IFERROR(IF(N2285="","",IF(INDEX(Listado!M:M,N2285)="No",IF(INDEX(Listado!N:N,N2285)=0,"",INDEX(Listado!N:N,N2285)),IF(INDEX(Listado!I:I,N2285)=0,"",INDEX(Listado!I:I,N2285)))),"")</f>
        <v/>
      </c>
      <c r="P2285" s="17">
        <f t="shared" ca="1" si="106"/>
        <v/>
      </c>
      <c r="Q2285" s="17">
        <f>IFERROR(IF(AND(N2285&lt;&gt;"",ISNUMBER(O2285),O2285&gt;0,O2285&gt;=TODAY()-90),1,0),0)</f>
        <v/>
      </c>
      <c r="R2285" s="17" t="str">
        <f t="shared" si="108"/>
        <v/>
      </c>
      <c r="S2285" s="17" t="str">
        <f>IF(INDEX(Listado!A:A,ROW())="","",INDEX(Listado!A:A,ROW()))</f>
        <v/>
      </c>
      <c r="T2285" s="17" t="str">
        <f ca="1">IF(INDEX(Listado!G:G,ROW())="","",INDEX(Listado!G:G,ROW()))</f>
        <v/>
      </c>
      <c r="U2285" s="17" t="str">
        <f>IF(INDEX(Listado!F:F,ROW())="","",INDEX(Listado!F:F,ROW()))</f>
        <v/>
      </c>
      <c r="V2285" s="17">
        <f>IF(COUNTA(INDEX(Listado!B:B,ROW()):INDEX(Listado!F:F,ROW()))&gt;0,1,0)</f>
        <v/>
      </c>
      <c r="W2285" s="17" t="str">
        <f>IF(INDEX(Listado!L:L,ROW())="","",INDEX(Listado!L:L,ROW()))</f>
        <v/>
      </c>
      <c r="X2285" s="17">
        <f>IF(N2285="","",IF(INDEX(Listado!$M:$M,N2285)="No","No","Sí"))</f>
        <v/>
      </c>
    </row>
    <row r="2286" spans="2:24" ht="14.25">
      <c r="N2286" s="17" t="str">
        <f>IF(V2286=0,"",IFERROR(LOOKUP(2,1/(INDEX(Listado!A:A,2):INDEX(Listado!A:A,ROW())&lt;&gt;""),ROW(INDEX(Listado!A:A,2):INDEX(Listado!A:A,ROW()))),""))</f>
        <v/>
      </c>
      <c r="O2286" s="17" t="str">
        <f>IFERROR(IF(N2286="","",IF(INDEX(Listado!M:M,N2286)="No",IF(INDEX(Listado!N:N,N2286)=0,"",INDEX(Listado!N:N,N2286)),IF(INDEX(Listado!I:I,N2286)=0,"",INDEX(Listado!I:I,N2286)))),"")</f>
        <v/>
      </c>
      <c r="P2286" s="17">
        <f t="shared" ca="1" si="106"/>
        <v/>
      </c>
      <c r="Q2286" s="17">
        <f>IFERROR(IF(AND(N2286&lt;&gt;"",ISNUMBER(O2286),O2286&gt;0,O2286&gt;=TODAY()-90),1,0),0)</f>
        <v/>
      </c>
      <c r="R2286" s="17" t="str">
        <f t="shared" si="108"/>
        <v/>
      </c>
      <c r="S2286" s="17" t="str">
        <f>IF(INDEX(Listado!A:A,ROW())="","",INDEX(Listado!A:A,ROW()))</f>
        <v/>
      </c>
      <c r="T2286" s="17" t="str">
        <f ca="1">IF(INDEX(Listado!G:G,ROW())="","",INDEX(Listado!G:G,ROW()))</f>
        <v/>
      </c>
      <c r="U2286" s="17" t="str">
        <f>IF(INDEX(Listado!F:F,ROW())="","",INDEX(Listado!F:F,ROW()))</f>
        <v/>
      </c>
      <c r="V2286" s="17">
        <f>IF(COUNTA(INDEX(Listado!B:B,ROW()):INDEX(Listado!F:F,ROW()))&gt;0,1,0)</f>
        <v/>
      </c>
      <c r="W2286" s="17" t="str">
        <f>IF(INDEX(Listado!L:L,ROW())="","",INDEX(Listado!L:L,ROW()))</f>
        <v/>
      </c>
      <c r="X2286" s="17">
        <f>IF(N2286="","",IF(INDEX(Listado!$M:$M,N2286)="No","No","Sí"))</f>
        <v/>
      </c>
    </row>
    <row r="2287" spans="2:24" ht="14.25">
      <c r="N2287" s="17" t="str">
        <f>IF(V2287=0,"",IFERROR(LOOKUP(2,1/(INDEX(Listado!A:A,2):INDEX(Listado!A:A,ROW())&lt;&gt;""),ROW(INDEX(Listado!A:A,2):INDEX(Listado!A:A,ROW()))),""))</f>
        <v/>
      </c>
      <c r="O2287" s="17" t="str">
        <f>IFERROR(IF(N2287="","",IF(INDEX(Listado!M:M,N2287)="No",IF(INDEX(Listado!N:N,N2287)=0,"",INDEX(Listado!N:N,N2287)),IF(INDEX(Listado!I:I,N2287)=0,"",INDEX(Listado!I:I,N2287)))),"")</f>
        <v/>
      </c>
      <c r="P2287" s="17">
        <f t="shared" ca="1" si="106"/>
        <v/>
      </c>
      <c r="Q2287" s="17">
        <f>IFERROR(IF(AND(N2287&lt;&gt;"",ISNUMBER(O2287),O2287&gt;0,O2287&gt;=TODAY()-90),1,0),0)</f>
        <v/>
      </c>
      <c r="R2287" s="17" t="str">
        <f t="shared" si="108"/>
        <v/>
      </c>
      <c r="S2287" s="17" t="str">
        <f>IF(INDEX(Listado!A:A,ROW())="","",INDEX(Listado!A:A,ROW()))</f>
        <v/>
      </c>
      <c r="T2287" s="17" t="str">
        <f ca="1">IF(INDEX(Listado!G:G,ROW())="","",INDEX(Listado!G:G,ROW()))</f>
        <v/>
      </c>
      <c r="U2287" s="17" t="str">
        <f>IF(INDEX(Listado!F:F,ROW())="","",INDEX(Listado!F:F,ROW()))</f>
        <v/>
      </c>
      <c r="V2287" s="17">
        <f>IF(COUNTA(INDEX(Listado!B:B,ROW()):INDEX(Listado!F:F,ROW()))&gt;0,1,0)</f>
        <v/>
      </c>
      <c r="W2287" s="17" t="str">
        <f>IF(INDEX(Listado!L:L,ROW())="","",INDEX(Listado!L:L,ROW()))</f>
        <v/>
      </c>
      <c r="X2287" s="17">
        <f>IF(N2287="","",IF(INDEX(Listado!$M:$M,N2287)="No","No","Sí"))</f>
        <v/>
      </c>
    </row>
    <row r="2288" spans="2:24" ht="14.25">
      <c r="N2288" s="17" t="str">
        <f>IF(V2288=0,"",IFERROR(LOOKUP(2,1/(INDEX(Listado!A:A,2):INDEX(Listado!A:A,ROW())&lt;&gt;""),ROW(INDEX(Listado!A:A,2):INDEX(Listado!A:A,ROW()))),""))</f>
        <v/>
      </c>
      <c r="O2288" s="17" t="str">
        <f>IFERROR(IF(N2288="","",IF(INDEX(Listado!M:M,N2288)="No",IF(INDEX(Listado!N:N,N2288)=0,"",INDEX(Listado!N:N,N2288)),IF(INDEX(Listado!I:I,N2288)=0,"",INDEX(Listado!I:I,N2288)))),"")</f>
        <v/>
      </c>
      <c r="P2288" s="17">
        <f t="shared" ca="1" si="106"/>
        <v/>
      </c>
      <c r="Q2288" s="17">
        <f>IFERROR(IF(AND(N2288&lt;&gt;"",ISNUMBER(O2288),O2288&gt;0,O2288&gt;=TODAY()-90),1,0),0)</f>
        <v/>
      </c>
      <c r="R2288" s="17" t="str">
        <f t="shared" si="108"/>
        <v/>
      </c>
      <c r="S2288" s="17" t="str">
        <f>IF(INDEX(Listado!A:A,ROW())="","",INDEX(Listado!A:A,ROW()))</f>
        <v/>
      </c>
      <c r="T2288" s="17" t="str">
        <f ca="1">IF(INDEX(Listado!G:G,ROW())="","",INDEX(Listado!G:G,ROW()))</f>
        <v/>
      </c>
      <c r="U2288" s="17" t="str">
        <f>IF(INDEX(Listado!F:F,ROW())="","",INDEX(Listado!F:F,ROW()))</f>
        <v/>
      </c>
      <c r="V2288" s="17">
        <f>IF(COUNTA(INDEX(Listado!B:B,ROW()):INDEX(Listado!F:F,ROW()))&gt;0,1,0)</f>
        <v/>
      </c>
      <c r="W2288" s="17" t="str">
        <f>IF(INDEX(Listado!L:L,ROW())="","",INDEX(Listado!L:L,ROW()))</f>
        <v/>
      </c>
      <c r="X2288" s="17">
        <f>IF(N2288="","",IF(INDEX(Listado!$M:$M,N2288)="No","No","Sí"))</f>
        <v/>
      </c>
    </row>
    <row r="2289" spans="2:24" ht="14.25">
      <c r="N2289" s="17" t="str">
        <f>IF(V2289=0,"",IFERROR(LOOKUP(2,1/(INDEX(Listado!A:A,2):INDEX(Listado!A:A,ROW())&lt;&gt;""),ROW(INDEX(Listado!A:A,2):INDEX(Listado!A:A,ROW()))),""))</f>
        <v/>
      </c>
      <c r="O2289" s="17" t="str">
        <f>IFERROR(IF(N2289="","",IF(INDEX(Listado!M:M,N2289)="No",IF(INDEX(Listado!N:N,N2289)=0,"",INDEX(Listado!N:N,N2289)),IF(INDEX(Listado!I:I,N2289)=0,"",INDEX(Listado!I:I,N2289)))),"")</f>
        <v/>
      </c>
      <c r="P2289" s="17">
        <f t="shared" ca="1" si="106"/>
        <v/>
      </c>
      <c r="Q2289" s="17">
        <f>IFERROR(IF(AND(N2289&lt;&gt;"",ISNUMBER(O2289),O2289&gt;0,O2289&gt;=TODAY()-90),1,0),0)</f>
        <v/>
      </c>
      <c r="R2289" s="17" t="str">
        <f t="shared" si="108"/>
        <v/>
      </c>
      <c r="S2289" s="17" t="str">
        <f>IF(INDEX(Listado!A:A,ROW())="","",INDEX(Listado!A:A,ROW()))</f>
        <v/>
      </c>
      <c r="T2289" s="17" t="str">
        <f ca="1">IF(INDEX(Listado!G:G,ROW())="","",INDEX(Listado!G:G,ROW()))</f>
        <v/>
      </c>
      <c r="U2289" s="17" t="str">
        <f>IF(INDEX(Listado!F:F,ROW())="","",INDEX(Listado!F:F,ROW()))</f>
        <v/>
      </c>
      <c r="V2289" s="17">
        <f>IF(COUNTA(INDEX(Listado!B:B,ROW()):INDEX(Listado!F:F,ROW()))&gt;0,1,0)</f>
        <v/>
      </c>
      <c r="W2289" s="17" t="str">
        <f>IF(INDEX(Listado!L:L,ROW())="","",INDEX(Listado!L:L,ROW()))</f>
        <v/>
      </c>
      <c r="X2289" s="17">
        <f>IF(N2289="","",IF(INDEX(Listado!$M:$M,N2289)="No","No","Sí"))</f>
        <v/>
      </c>
    </row>
    <row r="2290" spans="2:24" ht="14.25">
      <c r="N2290" s="17" t="str">
        <f>IF(V2290=0,"",IFERROR(LOOKUP(2,1/(INDEX(Listado!A:A,2):INDEX(Listado!A:A,ROW())&lt;&gt;""),ROW(INDEX(Listado!A:A,2):INDEX(Listado!A:A,ROW()))),""))</f>
        <v/>
      </c>
      <c r="O2290" s="17" t="str">
        <f>IFERROR(IF(N2290="","",IF(INDEX(Listado!M:M,N2290)="No",IF(INDEX(Listado!N:N,N2290)=0,"",INDEX(Listado!N:N,N2290)),IF(INDEX(Listado!I:I,N2290)=0,"",INDEX(Listado!I:I,N2290)))),"")</f>
        <v/>
      </c>
      <c r="P2290" s="17">
        <f t="shared" ca="1" si="106"/>
        <v/>
      </c>
      <c r="Q2290" s="17">
        <f>IFERROR(IF(AND(N2290&lt;&gt;"",ISNUMBER(O2290),O2290&gt;0,O2290&gt;=TODAY()-90),1,0),0)</f>
        <v/>
      </c>
      <c r="R2290" s="17" t="str">
        <f t="shared" si="108"/>
        <v/>
      </c>
      <c r="S2290" s="17" t="str">
        <f>IF(INDEX(Listado!A:A,ROW())="","",INDEX(Listado!A:A,ROW()))</f>
        <v/>
      </c>
      <c r="T2290" s="17" t="str">
        <f ca="1">IF(INDEX(Listado!G:G,ROW())="","",INDEX(Listado!G:G,ROW()))</f>
        <v/>
      </c>
      <c r="U2290" s="17" t="str">
        <f>IF(INDEX(Listado!F:F,ROW())="","",INDEX(Listado!F:F,ROW()))</f>
        <v/>
      </c>
      <c r="V2290" s="17">
        <f>IF(COUNTA(INDEX(Listado!B:B,ROW()):INDEX(Listado!F:F,ROW()))&gt;0,1,0)</f>
        <v/>
      </c>
      <c r="W2290" s="17" t="str">
        <f>IF(INDEX(Listado!L:L,ROW())="","",INDEX(Listado!L:L,ROW()))</f>
        <v/>
      </c>
      <c r="X2290" s="17">
        <f>IF(N2290="","",IF(INDEX(Listado!$M:$M,N2290)="No","No","Sí"))</f>
        <v/>
      </c>
    </row>
    <row r="2291" spans="2:24" ht="14.25">
      <c r="N2291" s="17" t="str">
        <f>IF(V2291=0,"",IFERROR(LOOKUP(2,1/(INDEX(Listado!A:A,2):INDEX(Listado!A:A,ROW())&lt;&gt;""),ROW(INDEX(Listado!A:A,2):INDEX(Listado!A:A,ROW()))),""))</f>
        <v/>
      </c>
      <c r="O2291" s="17" t="str">
        <f>IFERROR(IF(N2291="","",IF(INDEX(Listado!M:M,N2291)="No",IF(INDEX(Listado!N:N,N2291)=0,"",INDEX(Listado!N:N,N2291)),IF(INDEX(Listado!I:I,N2291)=0,"",INDEX(Listado!I:I,N2291)))),"")</f>
        <v/>
      </c>
      <c r="P2291" s="17">
        <f t="shared" ca="1" si="106"/>
        <v/>
      </c>
      <c r="Q2291" s="17">
        <f>IFERROR(IF(AND(N2291&lt;&gt;"",ISNUMBER(O2291),O2291&gt;0,O2291&gt;=TODAY()-90),1,0),0)</f>
        <v/>
      </c>
      <c r="R2291" s="17" t="str">
        <f t="shared" si="108"/>
        <v/>
      </c>
      <c r="S2291" s="17" t="str">
        <f>IF(INDEX(Listado!A:A,ROW())="","",INDEX(Listado!A:A,ROW()))</f>
        <v/>
      </c>
      <c r="T2291" s="17" t="str">
        <f ca="1">IF(INDEX(Listado!G:G,ROW())="","",INDEX(Listado!G:G,ROW()))</f>
        <v/>
      </c>
      <c r="U2291" s="17" t="str">
        <f>IF(INDEX(Listado!F:F,ROW())="","",INDEX(Listado!F:F,ROW()))</f>
        <v/>
      </c>
      <c r="V2291" s="17">
        <f>IF(COUNTA(INDEX(Listado!B:B,ROW()):INDEX(Listado!F:F,ROW()))&gt;0,1,0)</f>
        <v/>
      </c>
      <c r="W2291" s="17" t="str">
        <f>IF(INDEX(Listado!L:L,ROW())="","",INDEX(Listado!L:L,ROW()))</f>
        <v/>
      </c>
      <c r="X2291" s="17">
        <f>IF(N2291="","",IF(INDEX(Listado!$M:$M,N2291)="No","No","Sí"))</f>
        <v/>
      </c>
    </row>
    <row r="2292" spans="2:24" ht="14.25">
      <c r="N2292" s="17" t="str">
        <f>IF(V2292=0,"",IFERROR(LOOKUP(2,1/(INDEX(Listado!A:A,2):INDEX(Listado!A:A,ROW())&lt;&gt;""),ROW(INDEX(Listado!A:A,2):INDEX(Listado!A:A,ROW()))),""))</f>
        <v/>
      </c>
      <c r="O2292" s="17" t="str">
        <f>IFERROR(IF(N2292="","",IF(INDEX(Listado!M:M,N2292)="No",IF(INDEX(Listado!N:N,N2292)=0,"",INDEX(Listado!N:N,N2292)),IF(INDEX(Listado!I:I,N2292)=0,"",INDEX(Listado!I:I,N2292)))),"")</f>
        <v/>
      </c>
      <c r="P2292" s="17">
        <f t="shared" ca="1" si="106"/>
        <v/>
      </c>
      <c r="Q2292" s="17">
        <f>IFERROR(IF(AND(N2292&lt;&gt;"",ISNUMBER(O2292),O2292&gt;0,O2292&gt;=TODAY()-90),1,0),0)</f>
        <v/>
      </c>
      <c r="R2292" s="17" t="str">
        <f t="shared" si="108"/>
        <v/>
      </c>
      <c r="S2292" s="17" t="str">
        <f>IF(INDEX(Listado!A:A,ROW())="","",INDEX(Listado!A:A,ROW()))</f>
        <v/>
      </c>
      <c r="T2292" s="17" t="str">
        <f ca="1">IF(INDEX(Listado!G:G,ROW())="","",INDEX(Listado!G:G,ROW()))</f>
        <v/>
      </c>
      <c r="U2292" s="17" t="str">
        <f>IF(INDEX(Listado!F:F,ROW())="","",INDEX(Listado!F:F,ROW()))</f>
        <v/>
      </c>
      <c r="V2292" s="17">
        <f>IF(COUNTA(INDEX(Listado!B:B,ROW()):INDEX(Listado!F:F,ROW()))&gt;0,1,0)</f>
        <v/>
      </c>
      <c r="W2292" s="17" t="str">
        <f>IF(INDEX(Listado!L:L,ROW())="","",INDEX(Listado!L:L,ROW()))</f>
        <v/>
      </c>
      <c r="X2292" s="17">
        <f>IF(N2292="","",IF(INDEX(Listado!$M:$M,N2292)="No","No","Sí"))</f>
        <v/>
      </c>
    </row>
    <row r="2293" spans="2:24" ht="14.25">
      <c r="N2293" s="17" t="str">
        <f>IF(V2293=0,"",IFERROR(LOOKUP(2,1/(INDEX(Listado!A:A,2):INDEX(Listado!A:A,ROW())&lt;&gt;""),ROW(INDEX(Listado!A:A,2):INDEX(Listado!A:A,ROW()))),""))</f>
        <v/>
      </c>
      <c r="O2293" s="17" t="str">
        <f>IFERROR(IF(N2293="","",IF(INDEX(Listado!M:M,N2293)="No",IF(INDEX(Listado!N:N,N2293)=0,"",INDEX(Listado!N:N,N2293)),IF(INDEX(Listado!I:I,N2293)=0,"",INDEX(Listado!I:I,N2293)))),"")</f>
        <v/>
      </c>
      <c r="P2293" s="17">
        <f t="shared" ca="1" si="106"/>
        <v/>
      </c>
      <c r="Q2293" s="17">
        <f>IFERROR(IF(AND(N2293&lt;&gt;"",ISNUMBER(O2293),O2293&gt;0,O2293&gt;=TODAY()-90),1,0),0)</f>
        <v/>
      </c>
      <c r="R2293" s="17" t="str">
        <f t="shared" si="108"/>
        <v/>
      </c>
      <c r="S2293" s="17" t="str">
        <f>IF(INDEX(Listado!A:A,ROW())="","",INDEX(Listado!A:A,ROW()))</f>
        <v/>
      </c>
      <c r="T2293" s="17" t="str">
        <f ca="1">IF(INDEX(Listado!G:G,ROW())="","",INDEX(Listado!G:G,ROW()))</f>
        <v/>
      </c>
      <c r="U2293" s="17" t="str">
        <f>IF(INDEX(Listado!F:F,ROW())="","",INDEX(Listado!F:F,ROW()))</f>
        <v/>
      </c>
      <c r="V2293" s="17">
        <f>IF(COUNTA(INDEX(Listado!B:B,ROW()):INDEX(Listado!F:F,ROW()))&gt;0,1,0)</f>
        <v/>
      </c>
      <c r="W2293" s="17" t="str">
        <f>IF(INDEX(Listado!L:L,ROW())="","",INDEX(Listado!L:L,ROW()))</f>
        <v/>
      </c>
      <c r="X2293" s="17">
        <f>IF(N2293="","",IF(INDEX(Listado!$M:$M,N2293)="No","No","Sí"))</f>
        <v/>
      </c>
    </row>
    <row r="2294" spans="2:24" ht="14.25">
      <c r="N2294" s="17" t="str">
        <f>IF(V2294=0,"",IFERROR(LOOKUP(2,1/(INDEX(Listado!A:A,2):INDEX(Listado!A:A,ROW())&lt;&gt;""),ROW(INDEX(Listado!A:A,2):INDEX(Listado!A:A,ROW()))),""))</f>
        <v/>
      </c>
      <c r="O2294" s="17" t="str">
        <f>IFERROR(IF(N2294="","",IF(INDEX(Listado!M:M,N2294)="No",IF(INDEX(Listado!N:N,N2294)=0,"",INDEX(Listado!N:N,N2294)),IF(INDEX(Listado!I:I,N2294)=0,"",INDEX(Listado!I:I,N2294)))),"")</f>
        <v/>
      </c>
      <c r="P2294" s="17">
        <f t="shared" ca="1" si="106"/>
        <v/>
      </c>
      <c r="Q2294" s="17">
        <f>IFERROR(IF(AND(N2294&lt;&gt;"",ISNUMBER(O2294),O2294&gt;0,O2294&gt;=TODAY()-90),1,0),0)</f>
        <v/>
      </c>
      <c r="R2294" s="17" t="str">
        <f t="shared" si="108"/>
        <v/>
      </c>
      <c r="S2294" s="17" t="str">
        <f>IF(INDEX(Listado!A:A,ROW())="","",INDEX(Listado!A:A,ROW()))</f>
        <v/>
      </c>
      <c r="T2294" s="17" t="str">
        <f ca="1">IF(INDEX(Listado!G:G,ROW())="","",INDEX(Listado!G:G,ROW()))</f>
        <v/>
      </c>
      <c r="U2294" s="17" t="str">
        <f>IF(INDEX(Listado!F:F,ROW())="","",INDEX(Listado!F:F,ROW()))</f>
        <v/>
      </c>
      <c r="V2294" s="17">
        <f>IF(COUNTA(INDEX(Listado!B:B,ROW()):INDEX(Listado!F:F,ROW()))&gt;0,1,0)</f>
        <v/>
      </c>
      <c r="W2294" s="17" t="str">
        <f>IF(INDEX(Listado!L:L,ROW())="","",INDEX(Listado!L:L,ROW()))</f>
        <v/>
      </c>
      <c r="X2294" s="17">
        <f>IF(N2294="","",IF(INDEX(Listado!$M:$M,N2294)="No","No","Sí"))</f>
        <v/>
      </c>
    </row>
    <row r="2295" spans="2:24" ht="14.25">
      <c r="N2295" s="17" t="str">
        <f>IF(V2295=0,"",IFERROR(LOOKUP(2,1/(INDEX(Listado!A:A,2):INDEX(Listado!A:A,ROW())&lt;&gt;""),ROW(INDEX(Listado!A:A,2):INDEX(Listado!A:A,ROW()))),""))</f>
        <v/>
      </c>
      <c r="O2295" s="17" t="str">
        <f>IFERROR(IF(N2295="","",IF(INDEX(Listado!M:M,N2295)="No",IF(INDEX(Listado!N:N,N2295)=0,"",INDEX(Listado!N:N,N2295)),IF(INDEX(Listado!I:I,N2295)=0,"",INDEX(Listado!I:I,N2295)))),"")</f>
        <v/>
      </c>
      <c r="P2295" s="17">
        <f t="shared" ca="1" si="106"/>
        <v/>
      </c>
      <c r="Q2295" s="17">
        <f>IFERROR(IF(AND(N2295&lt;&gt;"",ISNUMBER(O2295),O2295&gt;0,O2295&gt;=TODAY()-90),1,0),0)</f>
        <v/>
      </c>
      <c r="R2295" s="17" t="str">
        <f t="shared" si="108"/>
        <v/>
      </c>
      <c r="S2295" s="17" t="str">
        <f>IF(INDEX(Listado!A:A,ROW())="","",INDEX(Listado!A:A,ROW()))</f>
        <v/>
      </c>
      <c r="T2295" s="17" t="str">
        <f ca="1">IF(INDEX(Listado!G:G,ROW())="","",INDEX(Listado!G:G,ROW()))</f>
        <v/>
      </c>
      <c r="U2295" s="17" t="str">
        <f>IF(INDEX(Listado!F:F,ROW())="","",INDEX(Listado!F:F,ROW()))</f>
        <v/>
      </c>
      <c r="V2295" s="17">
        <f>IF(COUNTA(INDEX(Listado!B:B,ROW()):INDEX(Listado!F:F,ROW()))&gt;0,1,0)</f>
        <v/>
      </c>
      <c r="W2295" s="17" t="str">
        <f>IF(INDEX(Listado!L:L,ROW())="","",INDEX(Listado!L:L,ROW()))</f>
        <v/>
      </c>
      <c r="X2295" s="17">
        <f>IF(N2295="","",IF(INDEX(Listado!$M:$M,N2295)="No","No","Sí"))</f>
        <v/>
      </c>
    </row>
    <row r="2296" spans="2:24" ht="14.25">
      <c r="N2296" s="17" t="str">
        <f>IF(V2296=0,"",IFERROR(LOOKUP(2,1/(INDEX(Listado!A:A,2):INDEX(Listado!A:A,ROW())&lt;&gt;""),ROW(INDEX(Listado!A:A,2):INDEX(Listado!A:A,ROW()))),""))</f>
        <v/>
      </c>
      <c r="O2296" s="17" t="str">
        <f>IFERROR(IF(N2296="","",IF(INDEX(Listado!M:M,N2296)="No",IF(INDEX(Listado!N:N,N2296)=0,"",INDEX(Listado!N:N,N2296)),IF(INDEX(Listado!I:I,N2296)=0,"",INDEX(Listado!I:I,N2296)))),"")</f>
        <v/>
      </c>
      <c r="P2296" s="17">
        <f t="shared" ca="1" si="106"/>
        <v/>
      </c>
      <c r="Q2296" s="17">
        <f>IFERROR(IF(AND(N2296&lt;&gt;"",ISNUMBER(O2296),O2296&gt;0,O2296&gt;=TODAY()-90),1,0),0)</f>
        <v/>
      </c>
      <c r="R2296" s="17" t="str">
        <f t="shared" si="108"/>
        <v/>
      </c>
      <c r="S2296" s="17" t="str">
        <f>IF(INDEX(Listado!A:A,ROW())="","",INDEX(Listado!A:A,ROW()))</f>
        <v/>
      </c>
      <c r="T2296" s="17" t="str">
        <f ca="1">IF(INDEX(Listado!G:G,ROW())="","",INDEX(Listado!G:G,ROW()))</f>
        <v/>
      </c>
      <c r="U2296" s="17" t="str">
        <f>IF(INDEX(Listado!F:F,ROW())="","",INDEX(Listado!F:F,ROW()))</f>
        <v/>
      </c>
      <c r="V2296" s="17">
        <f>IF(COUNTA(INDEX(Listado!B:B,ROW()):INDEX(Listado!F:F,ROW()))&gt;0,1,0)</f>
        <v/>
      </c>
      <c r="W2296" s="17" t="str">
        <f>IF(INDEX(Listado!L:L,ROW())="","",INDEX(Listado!L:L,ROW()))</f>
        <v/>
      </c>
      <c r="X2296" s="17">
        <f>IF(N2296="","",IF(INDEX(Listado!$M:$M,N2296)="No","No","Sí"))</f>
        <v/>
      </c>
    </row>
    <row r="2297" spans="2:24" ht="14.25">
      <c r="N2297" s="17" t="str">
        <f>IF(V2297=0,"",IFERROR(LOOKUP(2,1/(INDEX(Listado!A:A,2):INDEX(Listado!A:A,ROW())&lt;&gt;""),ROW(INDEX(Listado!A:A,2):INDEX(Listado!A:A,ROW()))),""))</f>
        <v/>
      </c>
      <c r="O2297" s="17" t="str">
        <f>IFERROR(IF(N2297="","",IF(INDEX(Listado!M:M,N2297)="No",IF(INDEX(Listado!N:N,N2297)=0,"",INDEX(Listado!N:N,N2297)),IF(INDEX(Listado!I:I,N2297)=0,"",INDEX(Listado!I:I,N2297)))),"")</f>
        <v/>
      </c>
      <c r="P2297" s="17">
        <f t="shared" ca="1" si="106"/>
        <v/>
      </c>
      <c r="Q2297" s="17">
        <f>IFERROR(IF(AND(N2297&lt;&gt;"",ISNUMBER(O2297),O2297&gt;0,O2297&gt;=TODAY()-90),1,0),0)</f>
        <v/>
      </c>
      <c r="R2297" s="17" t="str">
        <f t="shared" si="108"/>
        <v/>
      </c>
      <c r="S2297" s="17" t="str">
        <f>IF(INDEX(Listado!A:A,ROW())="","",INDEX(Listado!A:A,ROW()))</f>
        <v/>
      </c>
      <c r="T2297" s="17" t="str">
        <f ca="1">IF(INDEX(Listado!G:G,ROW())="","",INDEX(Listado!G:G,ROW()))</f>
        <v/>
      </c>
      <c r="U2297" s="17" t="str">
        <f>IF(INDEX(Listado!F:F,ROW())="","",INDEX(Listado!F:F,ROW()))</f>
        <v/>
      </c>
      <c r="V2297" s="17">
        <f>IF(COUNTA(INDEX(Listado!B:B,ROW()):INDEX(Listado!F:F,ROW()))&gt;0,1,0)</f>
        <v/>
      </c>
      <c r="W2297" s="17" t="str">
        <f>IF(INDEX(Listado!L:L,ROW())="","",INDEX(Listado!L:L,ROW()))</f>
        <v/>
      </c>
      <c r="X2297" s="17">
        <f>IF(N2297="","",IF(INDEX(Listado!$M:$M,N2297)="No","No","Sí"))</f>
        <v/>
      </c>
    </row>
    <row r="2298" spans="2:24" ht="14.25">
      <c r="N2298" s="17" t="str">
        <f>IF(V2298=0,"",IFERROR(LOOKUP(2,1/(INDEX(Listado!A:A,2):INDEX(Listado!A:A,ROW())&lt;&gt;""),ROW(INDEX(Listado!A:A,2):INDEX(Listado!A:A,ROW()))),""))</f>
        <v/>
      </c>
      <c r="O2298" s="17" t="str">
        <f>IFERROR(IF(N2298="","",IF(INDEX(Listado!M:M,N2298)="No",IF(INDEX(Listado!N:N,N2298)=0,"",INDEX(Listado!N:N,N2298)),IF(INDEX(Listado!I:I,N2298)=0,"",INDEX(Listado!I:I,N2298)))),"")</f>
        <v/>
      </c>
      <c r="P2298" s="17">
        <f t="shared" ca="1" si="106"/>
        <v/>
      </c>
      <c r="Q2298" s="17">
        <f>IFERROR(IF(AND(N2298&lt;&gt;"",ISNUMBER(O2298),O2298&gt;0,O2298&gt;=TODAY()-90),1,0),0)</f>
        <v/>
      </c>
      <c r="R2298" s="17" t="str">
        <f t="shared" si="108"/>
        <v/>
      </c>
      <c r="S2298" s="17" t="str">
        <f>IF(INDEX(Listado!A:A,ROW())="","",INDEX(Listado!A:A,ROW()))</f>
        <v/>
      </c>
      <c r="T2298" s="17" t="str">
        <f ca="1">IF(INDEX(Listado!G:G,ROW())="","",INDEX(Listado!G:G,ROW()))</f>
        <v/>
      </c>
      <c r="U2298" s="17" t="str">
        <f>IF(INDEX(Listado!F:F,ROW())="","",INDEX(Listado!F:F,ROW()))</f>
        <v/>
      </c>
      <c r="V2298" s="17">
        <f>IF(COUNTA(INDEX(Listado!B:B,ROW()):INDEX(Listado!F:F,ROW()))&gt;0,1,0)</f>
        <v/>
      </c>
      <c r="W2298" s="17" t="str">
        <f>IF(INDEX(Listado!L:L,ROW())="","",INDEX(Listado!L:L,ROW()))</f>
        <v/>
      </c>
      <c r="X2298" s="17">
        <f>IF(N2298="","",IF(INDEX(Listado!$M:$M,N2298)="No","No","Sí"))</f>
        <v/>
      </c>
    </row>
    <row r="2299" spans="2:24" ht="14.25">
      <c r="N2299" s="17" t="str">
        <f>IF(V2299=0,"",IFERROR(LOOKUP(2,1/(INDEX(Listado!A:A,2):INDEX(Listado!A:A,ROW())&lt;&gt;""),ROW(INDEX(Listado!A:A,2):INDEX(Listado!A:A,ROW()))),""))</f>
        <v/>
      </c>
      <c r="O2299" s="17" t="str">
        <f>IFERROR(IF(N2299="","",IF(INDEX(Listado!M:M,N2299)="No",IF(INDEX(Listado!N:N,N2299)=0,"",INDEX(Listado!N:N,N2299)),IF(INDEX(Listado!I:I,N2299)=0,"",INDEX(Listado!I:I,N2299)))),"")</f>
        <v/>
      </c>
      <c r="P2299" s="17">
        <f t="shared" ca="1" si="106"/>
        <v/>
      </c>
      <c r="Q2299" s="17">
        <f>IFERROR(IF(AND(N2299&lt;&gt;"",ISNUMBER(O2299),O2299&gt;0,O2299&gt;=TODAY()-90),1,0),0)</f>
        <v/>
      </c>
      <c r="R2299" s="17" t="str">
        <f t="shared" si="108"/>
        <v/>
      </c>
      <c r="S2299" s="17" t="str">
        <f>IF(INDEX(Listado!A:A,ROW())="","",INDEX(Listado!A:A,ROW()))</f>
        <v/>
      </c>
      <c r="T2299" s="17" t="str">
        <f ca="1">IF(INDEX(Listado!G:G,ROW())="","",INDEX(Listado!G:G,ROW()))</f>
        <v/>
      </c>
      <c r="U2299" s="17" t="str">
        <f>IF(INDEX(Listado!F:F,ROW())="","",INDEX(Listado!F:F,ROW()))</f>
        <v/>
      </c>
      <c r="V2299" s="17">
        <f>IF(COUNTA(INDEX(Listado!B:B,ROW()):INDEX(Listado!F:F,ROW()))&gt;0,1,0)</f>
        <v/>
      </c>
      <c r="W2299" s="17" t="str">
        <f>IF(INDEX(Listado!L:L,ROW())="","",INDEX(Listado!L:L,ROW()))</f>
        <v/>
      </c>
      <c r="X2299" s="17">
        <f>IF(N2299="","",IF(INDEX(Listado!$M:$M,N2299)="No","No","Sí"))</f>
        <v/>
      </c>
    </row>
    <row r="2300" spans="2:24" ht="14.25">
      <c r="N2300" s="17" t="str">
        <f>IF(V2300=0,"",IFERROR(LOOKUP(2,1/(INDEX(Listado!A:A,2):INDEX(Listado!A:A,ROW())&lt;&gt;""),ROW(INDEX(Listado!A:A,2):INDEX(Listado!A:A,ROW()))),""))</f>
        <v/>
      </c>
      <c r="O2300" s="17" t="str">
        <f>IFERROR(IF(N2300="","",IF(INDEX(Listado!M:M,N2300)="No",IF(INDEX(Listado!N:N,N2300)=0,"",INDEX(Listado!N:N,N2300)),IF(INDEX(Listado!I:I,N2300)=0,"",INDEX(Listado!I:I,N2300)))),"")</f>
        <v/>
      </c>
      <c r="P2300" s="17">
        <f t="shared" ca="1" si="106"/>
        <v/>
      </c>
      <c r="Q2300" s="17">
        <f>IFERROR(IF(AND(N2300&lt;&gt;"",ISNUMBER(O2300),O2300&gt;0,O2300&gt;=TODAY()-90),1,0),0)</f>
        <v/>
      </c>
      <c r="R2300" s="17" t="str">
        <f t="shared" si="108"/>
        <v/>
      </c>
      <c r="S2300" s="17" t="str">
        <f>IF(INDEX(Listado!A:A,ROW())="","",INDEX(Listado!A:A,ROW()))</f>
        <v/>
      </c>
      <c r="T2300" s="17" t="str">
        <f ca="1">IF(INDEX(Listado!G:G,ROW())="","",INDEX(Listado!G:G,ROW()))</f>
        <v/>
      </c>
      <c r="U2300" s="17" t="str">
        <f>IF(INDEX(Listado!F:F,ROW())="","",INDEX(Listado!F:F,ROW()))</f>
        <v/>
      </c>
      <c r="V2300" s="17">
        <f>IF(COUNTA(INDEX(Listado!B:B,ROW()):INDEX(Listado!F:F,ROW()))&gt;0,1,0)</f>
        <v/>
      </c>
      <c r="W2300" s="17" t="str">
        <f>IF(INDEX(Listado!L:L,ROW())="","",INDEX(Listado!L:L,ROW()))</f>
        <v/>
      </c>
      <c r="X2300" s="17">
        <f>IF(N2300="","",IF(INDEX(Listado!$M:$M,N2300)="No","No","Sí"))</f>
        <v/>
      </c>
    </row>
    <row r="2301" spans="2:24" ht="14.25">
      <c r="N2301" s="17" t="str">
        <f>IF(V2301=0,"",IFERROR(LOOKUP(2,1/(INDEX(Listado!A:A,2):INDEX(Listado!A:A,ROW())&lt;&gt;""),ROW(INDEX(Listado!A:A,2):INDEX(Listado!A:A,ROW()))),""))</f>
        <v/>
      </c>
      <c r="O2301" s="17" t="str">
        <f>IFERROR(IF(N2301="","",IF(INDEX(Listado!M:M,N2301)="No",IF(INDEX(Listado!N:N,N2301)=0,"",INDEX(Listado!N:N,N2301)),IF(INDEX(Listado!I:I,N2301)=0,"",INDEX(Listado!I:I,N2301)))),"")</f>
        <v/>
      </c>
      <c r="P2301" s="17">
        <f t="shared" ca="1" si="106"/>
        <v/>
      </c>
      <c r="Q2301" s="17">
        <f>IFERROR(IF(AND(N2301&lt;&gt;"",ISNUMBER(O2301),O2301&gt;0,O2301&gt;=TODAY()-90),1,0),0)</f>
        <v/>
      </c>
      <c r="R2301" s="17" t="str">
        <f t="shared" si="108"/>
        <v/>
      </c>
      <c r="S2301" s="17" t="str">
        <f>IF(INDEX(Listado!A:A,ROW())="","",INDEX(Listado!A:A,ROW()))</f>
        <v/>
      </c>
      <c r="T2301" s="17" t="str">
        <f ca="1">IF(INDEX(Listado!G:G,ROW())="","",INDEX(Listado!G:G,ROW()))</f>
        <v/>
      </c>
      <c r="U2301" s="17" t="str">
        <f>IF(INDEX(Listado!F:F,ROW())="","",INDEX(Listado!F:F,ROW()))</f>
        <v/>
      </c>
      <c r="V2301" s="17">
        <f>IF(COUNTA(INDEX(Listado!B:B,ROW()):INDEX(Listado!F:F,ROW()))&gt;0,1,0)</f>
        <v/>
      </c>
      <c r="W2301" s="17" t="str">
        <f>IF(INDEX(Listado!L:L,ROW())="","",INDEX(Listado!L:L,ROW()))</f>
        <v/>
      </c>
      <c r="X2301" s="17">
        <f>IF(N2301="","",IF(INDEX(Listado!$M:$M,N2301)="No","No","Sí"))</f>
        <v/>
      </c>
    </row>
    <row r="2302" spans="2:24" ht="14.25">
      <c r="N2302" s="17" t="str">
        <f>IF(V2302=0,"",IFERROR(LOOKUP(2,1/(INDEX(Listado!A:A,2):INDEX(Listado!A:A,ROW())&lt;&gt;""),ROW(INDEX(Listado!A:A,2):INDEX(Listado!A:A,ROW()))),""))</f>
        <v/>
      </c>
      <c r="O2302" s="17" t="str">
        <f>IFERROR(IF(N2302="","",IF(INDEX(Listado!M:M,N2302)="No",IF(INDEX(Listado!N:N,N2302)=0,"",INDEX(Listado!N:N,N2302)),IF(INDEX(Listado!I:I,N2302)=0,"",INDEX(Listado!I:I,N2302)))),"")</f>
        <v/>
      </c>
      <c r="P2302" s="17">
        <f t="shared" ca="1" si="106"/>
        <v/>
      </c>
      <c r="Q2302" s="17">
        <f>IFERROR(IF(AND(N2302&lt;&gt;"",ISNUMBER(O2302),O2302&gt;0,O2302&gt;=TODAY()-90),1,0),0)</f>
        <v/>
      </c>
      <c r="R2302" s="17" t="str">
        <f t="shared" si="108"/>
        <v/>
      </c>
      <c r="S2302" s="17" t="str">
        <f>IF(INDEX(Listado!A:A,ROW())="","",INDEX(Listado!A:A,ROW()))</f>
        <v/>
      </c>
      <c r="T2302" s="17" t="str">
        <f ca="1">IF(INDEX(Listado!G:G,ROW())="","",INDEX(Listado!G:G,ROW()))</f>
        <v/>
      </c>
      <c r="U2302" s="17" t="str">
        <f>IF(INDEX(Listado!F:F,ROW())="","",INDEX(Listado!F:F,ROW()))</f>
        <v/>
      </c>
      <c r="V2302" s="17">
        <f>IF(COUNTA(INDEX(Listado!B:B,ROW()):INDEX(Listado!F:F,ROW()))&gt;0,1,0)</f>
        <v/>
      </c>
      <c r="W2302" s="17" t="str">
        <f>IF(INDEX(Listado!L:L,ROW())="","",INDEX(Listado!L:L,ROW()))</f>
        <v/>
      </c>
      <c r="X2302" s="17">
        <f>IF(N2302="","",IF(INDEX(Listado!$M:$M,N2302)="No","No","Sí"))</f>
        <v/>
      </c>
    </row>
    <row r="2303" spans="2:24" ht="14.25">
      <c r="N2303" s="17" t="str">
        <f>IF(V2303=0,"",IFERROR(LOOKUP(2,1/(INDEX(Listado!A:A,2):INDEX(Listado!A:A,ROW())&lt;&gt;""),ROW(INDEX(Listado!A:A,2):INDEX(Listado!A:A,ROW()))),""))</f>
        <v/>
      </c>
      <c r="O2303" s="17" t="str">
        <f>IFERROR(IF(N2303="","",IF(INDEX(Listado!M:M,N2303)="No",IF(INDEX(Listado!N:N,N2303)=0,"",INDEX(Listado!N:N,N2303)),IF(INDEX(Listado!I:I,N2303)=0,"",INDEX(Listado!I:I,N2303)))),"")</f>
        <v/>
      </c>
      <c r="P2303" s="17">
        <f t="shared" ca="1" si="106"/>
        <v/>
      </c>
      <c r="Q2303" s="17">
        <f>IFERROR(IF(AND(N2303&lt;&gt;"",ISNUMBER(O2303),O2303&gt;0,O2303&gt;=TODAY()-90),1,0),0)</f>
        <v/>
      </c>
      <c r="R2303" s="17" t="str">
        <f t="shared" si="108"/>
        <v/>
      </c>
      <c r="S2303" s="17" t="str">
        <f>IF(INDEX(Listado!A:A,ROW())="","",INDEX(Listado!A:A,ROW()))</f>
        <v/>
      </c>
      <c r="T2303" s="17" t="str">
        <f ca="1">IF(INDEX(Listado!G:G,ROW())="","",INDEX(Listado!G:G,ROW()))</f>
        <v/>
      </c>
      <c r="U2303" s="17" t="str">
        <f>IF(INDEX(Listado!F:F,ROW())="","",INDEX(Listado!F:F,ROW()))</f>
        <v/>
      </c>
      <c r="V2303" s="17">
        <f>IF(COUNTA(INDEX(Listado!B:B,ROW()):INDEX(Listado!F:F,ROW()))&gt;0,1,0)</f>
        <v/>
      </c>
      <c r="W2303" s="17" t="str">
        <f>IF(INDEX(Listado!L:L,ROW())="","",INDEX(Listado!L:L,ROW()))</f>
        <v/>
      </c>
      <c r="X2303" s="17">
        <f>IF(N2303="","",IF(INDEX(Listado!$M:$M,N2303)="No","No","Sí"))</f>
        <v/>
      </c>
    </row>
    <row r="2304" spans="2:24" ht="14.25">
      <c r="N2304" s="17" t="str">
        <f>IF(V2304=0,"",IFERROR(LOOKUP(2,1/(INDEX(Listado!A:A,2):INDEX(Listado!A:A,ROW())&lt;&gt;""),ROW(INDEX(Listado!A:A,2):INDEX(Listado!A:A,ROW()))),""))</f>
        <v/>
      </c>
      <c r="O2304" s="17" t="str">
        <f>IFERROR(IF(N2304="","",IF(INDEX(Listado!M:M,N2304)="No",IF(INDEX(Listado!N:N,N2304)=0,"",INDEX(Listado!N:N,N2304)),IF(INDEX(Listado!I:I,N2304)=0,"",INDEX(Listado!I:I,N2304)))),"")</f>
        <v/>
      </c>
      <c r="P2304" s="17">
        <f t="shared" ca="1" si="106"/>
        <v/>
      </c>
      <c r="Q2304" s="17">
        <f>IFERROR(IF(AND(N2304&lt;&gt;"",ISNUMBER(O2304),O2304&gt;0,O2304&gt;=TODAY()-90),1,0),0)</f>
        <v/>
      </c>
      <c r="R2304" s="17" t="str">
        <f t="shared" si="108"/>
        <v/>
      </c>
      <c r="S2304" s="17" t="str">
        <f>IF(INDEX(Listado!A:A,ROW())="","",INDEX(Listado!A:A,ROW()))</f>
        <v/>
      </c>
      <c r="T2304" s="17" t="str">
        <f ca="1">IF(INDEX(Listado!G:G,ROW())="","",INDEX(Listado!G:G,ROW()))</f>
        <v/>
      </c>
      <c r="U2304" s="17" t="str">
        <f>IF(INDEX(Listado!F:F,ROW())="","",INDEX(Listado!F:F,ROW()))</f>
        <v/>
      </c>
      <c r="V2304" s="17">
        <f>IF(COUNTA(INDEX(Listado!B:B,ROW()):INDEX(Listado!F:F,ROW()))&gt;0,1,0)</f>
        <v/>
      </c>
      <c r="W2304" s="17" t="str">
        <f>IF(INDEX(Listado!L:L,ROW())="","",INDEX(Listado!L:L,ROW()))</f>
        <v/>
      </c>
      <c r="X2304" s="17">
        <f>IF(N2304="","",IF(INDEX(Listado!$M:$M,N2304)="No","No","Sí"))</f>
        <v/>
      </c>
    </row>
    <row r="2305" spans="2:24" ht="14.25">
      <c r="N2305" s="17" t="str">
        <f>IF(V2305=0,"",IFERROR(LOOKUP(2,1/(INDEX(Listado!A:A,2):INDEX(Listado!A:A,ROW())&lt;&gt;""),ROW(INDEX(Listado!A:A,2):INDEX(Listado!A:A,ROW()))),""))</f>
        <v/>
      </c>
      <c r="O2305" s="17" t="str">
        <f>IFERROR(IF(N2305="","",IF(INDEX(Listado!M:M,N2305)="No",IF(INDEX(Listado!N:N,N2305)=0,"",INDEX(Listado!N:N,N2305)),IF(INDEX(Listado!I:I,N2305)=0,"",INDEX(Listado!I:I,N2305)))),"")</f>
        <v/>
      </c>
      <c r="P2305" s="17">
        <f t="shared" ca="1" si="106"/>
        <v/>
      </c>
      <c r="Q2305" s="17">
        <f>IFERROR(IF(AND(N2305&lt;&gt;"",ISNUMBER(O2305),O2305&gt;0,O2305&gt;=TODAY()-90),1,0),0)</f>
        <v/>
      </c>
      <c r="R2305" s="17" t="str">
        <f t="shared" si="108"/>
        <v/>
      </c>
      <c r="S2305" s="17" t="str">
        <f>IF(INDEX(Listado!A:A,ROW())="","",INDEX(Listado!A:A,ROW()))</f>
        <v/>
      </c>
      <c r="T2305" s="17" t="str">
        <f ca="1">IF(INDEX(Listado!G:G,ROW())="","",INDEX(Listado!G:G,ROW()))</f>
        <v/>
      </c>
      <c r="U2305" s="17" t="str">
        <f>IF(INDEX(Listado!F:F,ROW())="","",INDEX(Listado!F:F,ROW()))</f>
        <v/>
      </c>
      <c r="V2305" s="17">
        <f>IF(COUNTA(INDEX(Listado!B:B,ROW()):INDEX(Listado!F:F,ROW()))&gt;0,1,0)</f>
        <v/>
      </c>
      <c r="W2305" s="17" t="str">
        <f>IF(INDEX(Listado!L:L,ROW())="","",INDEX(Listado!L:L,ROW()))</f>
        <v/>
      </c>
      <c r="X2305" s="17">
        <f>IF(N2305="","",IF(INDEX(Listado!$M:$M,N2305)="No","No","Sí"))</f>
        <v/>
      </c>
    </row>
    <row r="2306" spans="2:24" ht="14.25">
      <c r="N2306" s="17" t="str">
        <f>IF(V2306=0,"",IFERROR(LOOKUP(2,1/(INDEX(Listado!A:A,2):INDEX(Listado!A:A,ROW())&lt;&gt;""),ROW(INDEX(Listado!A:A,2):INDEX(Listado!A:A,ROW()))),""))</f>
        <v/>
      </c>
      <c r="O2306" s="17" t="str">
        <f>IFERROR(IF(N2306="","",IF(INDEX(Listado!M:M,N2306)="No",IF(INDEX(Listado!N:N,N2306)=0,"",INDEX(Listado!N:N,N2306)),IF(INDEX(Listado!I:I,N2306)=0,"",INDEX(Listado!I:I,N2306)))),"")</f>
        <v/>
      </c>
      <c r="P2306" s="17">
        <f t="shared" ref="P2306:P2369" ca="1" si="109">IF(W2306="",0,IFERROR(IF(AND(ISNUMBER(W2306),W2306=INT(W2306),ISNUMBER(O2306),O2306&gt;0,W2306&gt;=TODAY(),W2306&lt;=O2306+90),0,1),1))</f>
        <v/>
      </c>
      <c r="Q2306" s="17">
        <f>IFERROR(IF(AND(N2306&lt;&gt;"",ISNUMBER(O2306),O2306&gt;0,O2306&gt;=TODAY()-90),1,0),0)</f>
        <v/>
      </c>
      <c r="R2306" s="17" t="str">
        <f t="shared" ref="R2306:R2369" si="111">IF(S2306="","",COUNTIFS($N$2:$N$2999,ROW(),$Q$2:$Q$2999,1))</f>
        <v/>
      </c>
      <c r="S2306" s="17" t="str">
        <f>IF(INDEX(Listado!A:A,ROW())="","",INDEX(Listado!A:A,ROW()))</f>
        <v/>
      </c>
      <c r="T2306" s="17" t="str">
        <f ca="1">IF(INDEX(Listado!G:G,ROW())="","",INDEX(Listado!G:G,ROW()))</f>
        <v/>
      </c>
      <c r="U2306" s="17" t="str">
        <f>IF(INDEX(Listado!F:F,ROW())="","",INDEX(Listado!F:F,ROW()))</f>
        <v/>
      </c>
      <c r="V2306" s="17">
        <f>IF(COUNTA(INDEX(Listado!B:B,ROW()):INDEX(Listado!F:F,ROW()))&gt;0,1,0)</f>
        <v/>
      </c>
      <c r="W2306" s="17" t="str">
        <f>IF(INDEX(Listado!L:L,ROW())="","",INDEX(Listado!L:L,ROW()))</f>
        <v/>
      </c>
      <c r="X2306" s="17">
        <f>IF(N2306="","",IF(INDEX(Listado!$M:$M,N2306)="No","No","Sí"))</f>
        <v/>
      </c>
    </row>
    <row r="2307" spans="2:24" ht="14.25">
      <c r="N2307" s="17" t="str">
        <f>IF(V2307=0,"",IFERROR(LOOKUP(2,1/(INDEX(Listado!A:A,2):INDEX(Listado!A:A,ROW())&lt;&gt;""),ROW(INDEX(Listado!A:A,2):INDEX(Listado!A:A,ROW()))),""))</f>
        <v/>
      </c>
      <c r="O2307" s="17" t="str">
        <f>IFERROR(IF(N2307="","",IF(INDEX(Listado!M:M,N2307)="No",IF(INDEX(Listado!N:N,N2307)=0,"",INDEX(Listado!N:N,N2307)),IF(INDEX(Listado!I:I,N2307)=0,"",INDEX(Listado!I:I,N2307)))),"")</f>
        <v/>
      </c>
      <c r="P2307" s="17">
        <f t="shared" ca="1" si="109"/>
        <v/>
      </c>
      <c r="Q2307" s="17">
        <f>IFERROR(IF(AND(N2307&lt;&gt;"",ISNUMBER(O2307),O2307&gt;0,O2307&gt;=TODAY()-90),1,0),0)</f>
        <v/>
      </c>
      <c r="R2307" s="17" t="str">
        <f t="shared" si="111"/>
        <v/>
      </c>
      <c r="S2307" s="17" t="str">
        <f>IF(INDEX(Listado!A:A,ROW())="","",INDEX(Listado!A:A,ROW()))</f>
        <v/>
      </c>
      <c r="T2307" s="17" t="str">
        <f ca="1">IF(INDEX(Listado!G:G,ROW())="","",INDEX(Listado!G:G,ROW()))</f>
        <v/>
      </c>
      <c r="U2307" s="17" t="str">
        <f>IF(INDEX(Listado!F:F,ROW())="","",INDEX(Listado!F:F,ROW()))</f>
        <v/>
      </c>
      <c r="V2307" s="17">
        <f>IF(COUNTA(INDEX(Listado!B:B,ROW()):INDEX(Listado!F:F,ROW()))&gt;0,1,0)</f>
        <v/>
      </c>
      <c r="W2307" s="17" t="str">
        <f>IF(INDEX(Listado!L:L,ROW())="","",INDEX(Listado!L:L,ROW()))</f>
        <v/>
      </c>
      <c r="X2307" s="17">
        <f>IF(N2307="","",IF(INDEX(Listado!$M:$M,N2307)="No","No","Sí"))</f>
        <v/>
      </c>
    </row>
    <row r="2308" spans="2:24" ht="14.25">
      <c r="N2308" s="17" t="str">
        <f>IF(V2308=0,"",IFERROR(LOOKUP(2,1/(INDEX(Listado!A:A,2):INDEX(Listado!A:A,ROW())&lt;&gt;""),ROW(INDEX(Listado!A:A,2):INDEX(Listado!A:A,ROW()))),""))</f>
        <v/>
      </c>
      <c r="O2308" s="17" t="str">
        <f>IFERROR(IF(N2308="","",IF(INDEX(Listado!M:M,N2308)="No",IF(INDEX(Listado!N:N,N2308)=0,"",INDEX(Listado!N:N,N2308)),IF(INDEX(Listado!I:I,N2308)=0,"",INDEX(Listado!I:I,N2308)))),"")</f>
        <v/>
      </c>
      <c r="P2308" s="17">
        <f t="shared" ca="1" si="109"/>
        <v/>
      </c>
      <c r="Q2308" s="17">
        <f>IFERROR(IF(AND(N2308&lt;&gt;"",ISNUMBER(O2308),O2308&gt;0,O2308&gt;=TODAY()-90),1,0),0)</f>
        <v/>
      </c>
      <c r="R2308" s="17" t="str">
        <f t="shared" si="111"/>
        <v/>
      </c>
      <c r="S2308" s="17" t="str">
        <f>IF(INDEX(Listado!A:A,ROW())="","",INDEX(Listado!A:A,ROW()))</f>
        <v/>
      </c>
      <c r="T2308" s="17" t="str">
        <f ca="1">IF(INDEX(Listado!G:G,ROW())="","",INDEX(Listado!G:G,ROW()))</f>
        <v/>
      </c>
      <c r="U2308" s="17" t="str">
        <f>IF(INDEX(Listado!F:F,ROW())="","",INDEX(Listado!F:F,ROW()))</f>
        <v/>
      </c>
      <c r="V2308" s="17">
        <f>IF(COUNTA(INDEX(Listado!B:B,ROW()):INDEX(Listado!F:F,ROW()))&gt;0,1,0)</f>
        <v/>
      </c>
      <c r="W2308" s="17" t="str">
        <f>IF(INDEX(Listado!L:L,ROW())="","",INDEX(Listado!L:L,ROW()))</f>
        <v/>
      </c>
      <c r="X2308" s="17">
        <f>IF(N2308="","",IF(INDEX(Listado!$M:$M,N2308)="No","No","Sí"))</f>
        <v/>
      </c>
    </row>
    <row r="2309" spans="2:24" ht="14.25">
      <c r="N2309" s="17" t="str">
        <f>IF(V2309=0,"",IFERROR(LOOKUP(2,1/(INDEX(Listado!A:A,2):INDEX(Listado!A:A,ROW())&lt;&gt;""),ROW(INDEX(Listado!A:A,2):INDEX(Listado!A:A,ROW()))),""))</f>
        <v/>
      </c>
      <c r="O2309" s="17" t="str">
        <f>IFERROR(IF(N2309="","",IF(INDEX(Listado!M:M,N2309)="No",IF(INDEX(Listado!N:N,N2309)=0,"",INDEX(Listado!N:N,N2309)),IF(INDEX(Listado!I:I,N2309)=0,"",INDEX(Listado!I:I,N2309)))),"")</f>
        <v/>
      </c>
      <c r="P2309" s="17">
        <f t="shared" ca="1" si="109"/>
        <v/>
      </c>
      <c r="Q2309" s="17">
        <f>IFERROR(IF(AND(N2309&lt;&gt;"",ISNUMBER(O2309),O2309&gt;0,O2309&gt;=TODAY()-90),1,0),0)</f>
        <v/>
      </c>
      <c r="R2309" s="17" t="str">
        <f t="shared" si="111"/>
        <v/>
      </c>
      <c r="S2309" s="17" t="str">
        <f>IF(INDEX(Listado!A:A,ROW())="","",INDEX(Listado!A:A,ROW()))</f>
        <v/>
      </c>
      <c r="T2309" s="17" t="str">
        <f ca="1">IF(INDEX(Listado!G:G,ROW())="","",INDEX(Listado!G:G,ROW()))</f>
        <v/>
      </c>
      <c r="U2309" s="17" t="str">
        <f>IF(INDEX(Listado!F:F,ROW())="","",INDEX(Listado!F:F,ROW()))</f>
        <v/>
      </c>
      <c r="V2309" s="17">
        <f>IF(COUNTA(INDEX(Listado!B:B,ROW()):INDEX(Listado!F:F,ROW()))&gt;0,1,0)</f>
        <v/>
      </c>
      <c r="W2309" s="17" t="str">
        <f>IF(INDEX(Listado!L:L,ROW())="","",INDEX(Listado!L:L,ROW()))</f>
        <v/>
      </c>
      <c r="X2309" s="17">
        <f>IF(N2309="","",IF(INDEX(Listado!$M:$M,N2309)="No","No","Sí"))</f>
        <v/>
      </c>
    </row>
    <row r="2310" spans="2:24" ht="14.25">
      <c r="N2310" s="17" t="str">
        <f>IF(V2310=0,"",IFERROR(LOOKUP(2,1/(INDEX(Listado!A:A,2):INDEX(Listado!A:A,ROW())&lt;&gt;""),ROW(INDEX(Listado!A:A,2):INDEX(Listado!A:A,ROW()))),""))</f>
        <v/>
      </c>
      <c r="O2310" s="17" t="str">
        <f>IFERROR(IF(N2310="","",IF(INDEX(Listado!M:M,N2310)="No",IF(INDEX(Listado!N:N,N2310)=0,"",INDEX(Listado!N:N,N2310)),IF(INDEX(Listado!I:I,N2310)=0,"",INDEX(Listado!I:I,N2310)))),"")</f>
        <v/>
      </c>
      <c r="P2310" s="17">
        <f t="shared" ca="1" si="109"/>
        <v/>
      </c>
      <c r="Q2310" s="17">
        <f>IFERROR(IF(AND(N2310&lt;&gt;"",ISNUMBER(O2310),O2310&gt;0,O2310&gt;=TODAY()-90),1,0),0)</f>
        <v/>
      </c>
      <c r="R2310" s="17" t="str">
        <f t="shared" si="111"/>
        <v/>
      </c>
      <c r="S2310" s="17" t="str">
        <f>IF(INDEX(Listado!A:A,ROW())="","",INDEX(Listado!A:A,ROW()))</f>
        <v/>
      </c>
      <c r="T2310" s="17" t="str">
        <f ca="1">IF(INDEX(Listado!G:G,ROW())="","",INDEX(Listado!G:G,ROW()))</f>
        <v/>
      </c>
      <c r="U2310" s="17" t="str">
        <f>IF(INDEX(Listado!F:F,ROW())="","",INDEX(Listado!F:F,ROW()))</f>
        <v/>
      </c>
      <c r="V2310" s="17">
        <f>IF(COUNTA(INDEX(Listado!B:B,ROW()):INDEX(Listado!F:F,ROW()))&gt;0,1,0)</f>
        <v/>
      </c>
      <c r="W2310" s="17" t="str">
        <f>IF(INDEX(Listado!L:L,ROW())="","",INDEX(Listado!L:L,ROW()))</f>
        <v/>
      </c>
      <c r="X2310" s="17">
        <f>IF(N2310="","",IF(INDEX(Listado!$M:$M,N2310)="No","No","Sí"))</f>
        <v/>
      </c>
    </row>
    <row r="2311" spans="2:24" ht="14.25">
      <c r="N2311" s="17" t="str">
        <f>IF(V2311=0,"",IFERROR(LOOKUP(2,1/(INDEX(Listado!A:A,2):INDEX(Listado!A:A,ROW())&lt;&gt;""),ROW(INDEX(Listado!A:A,2):INDEX(Listado!A:A,ROW()))),""))</f>
        <v/>
      </c>
      <c r="O2311" s="17" t="str">
        <f>IFERROR(IF(N2311="","",IF(INDEX(Listado!M:M,N2311)="No",IF(INDEX(Listado!N:N,N2311)=0,"",INDEX(Listado!N:N,N2311)),IF(INDEX(Listado!I:I,N2311)=0,"",INDEX(Listado!I:I,N2311)))),"")</f>
        <v/>
      </c>
      <c r="P2311" s="17">
        <f t="shared" ca="1" si="109"/>
        <v/>
      </c>
      <c r="Q2311" s="17">
        <f>IFERROR(IF(AND(N2311&lt;&gt;"",ISNUMBER(O2311),O2311&gt;0,O2311&gt;=TODAY()-90),1,0),0)</f>
        <v/>
      </c>
      <c r="R2311" s="17" t="str">
        <f t="shared" si="111"/>
        <v/>
      </c>
      <c r="S2311" s="17" t="str">
        <f>IF(INDEX(Listado!A:A,ROW())="","",INDEX(Listado!A:A,ROW()))</f>
        <v/>
      </c>
      <c r="T2311" s="17" t="str">
        <f ca="1">IF(INDEX(Listado!G:G,ROW())="","",INDEX(Listado!G:G,ROW()))</f>
        <v/>
      </c>
      <c r="U2311" s="17" t="str">
        <f>IF(INDEX(Listado!F:F,ROW())="","",INDEX(Listado!F:F,ROW()))</f>
        <v/>
      </c>
      <c r="V2311" s="17">
        <f>IF(COUNTA(INDEX(Listado!B:B,ROW()):INDEX(Listado!F:F,ROW()))&gt;0,1,0)</f>
        <v/>
      </c>
      <c r="W2311" s="17" t="str">
        <f>IF(INDEX(Listado!L:L,ROW())="","",INDEX(Listado!L:L,ROW()))</f>
        <v/>
      </c>
      <c r="X2311" s="17">
        <f>IF(N2311="","",IF(INDEX(Listado!$M:$M,N2311)="No","No","Sí"))</f>
        <v/>
      </c>
    </row>
    <row r="2312" spans="2:24" ht="14.25">
      <c r="N2312" s="17" t="str">
        <f>IF(V2312=0,"",IFERROR(LOOKUP(2,1/(INDEX(Listado!A:A,2):INDEX(Listado!A:A,ROW())&lt;&gt;""),ROW(INDEX(Listado!A:A,2):INDEX(Listado!A:A,ROW()))),""))</f>
        <v/>
      </c>
      <c r="O2312" s="17" t="str">
        <f>IFERROR(IF(N2312="","",IF(INDEX(Listado!M:M,N2312)="No",IF(INDEX(Listado!N:N,N2312)=0,"",INDEX(Listado!N:N,N2312)),IF(INDEX(Listado!I:I,N2312)=0,"",INDEX(Listado!I:I,N2312)))),"")</f>
        <v/>
      </c>
      <c r="P2312" s="17">
        <f t="shared" ca="1" si="109"/>
        <v/>
      </c>
      <c r="Q2312" s="17">
        <f>IFERROR(IF(AND(N2312&lt;&gt;"",ISNUMBER(O2312),O2312&gt;0,O2312&gt;=TODAY()-90),1,0),0)</f>
        <v/>
      </c>
      <c r="R2312" s="17" t="str">
        <f t="shared" si="111"/>
        <v/>
      </c>
      <c r="S2312" s="17" t="str">
        <f>IF(INDEX(Listado!A:A,ROW())="","",INDEX(Listado!A:A,ROW()))</f>
        <v/>
      </c>
      <c r="T2312" s="17" t="str">
        <f ca="1">IF(INDEX(Listado!G:G,ROW())="","",INDEX(Listado!G:G,ROW()))</f>
        <v/>
      </c>
      <c r="U2312" s="17" t="str">
        <f>IF(INDEX(Listado!F:F,ROW())="","",INDEX(Listado!F:F,ROW()))</f>
        <v/>
      </c>
      <c r="V2312" s="17">
        <f>IF(COUNTA(INDEX(Listado!B:B,ROW()):INDEX(Listado!F:F,ROW()))&gt;0,1,0)</f>
        <v/>
      </c>
      <c r="W2312" s="17" t="str">
        <f>IF(INDEX(Listado!L:L,ROW())="","",INDEX(Listado!L:L,ROW()))</f>
        <v/>
      </c>
      <c r="X2312" s="17">
        <f>IF(N2312="","",IF(INDEX(Listado!$M:$M,N2312)="No","No","Sí"))</f>
        <v/>
      </c>
    </row>
    <row r="2313" spans="2:24" ht="14.25">
      <c r="N2313" s="17" t="str">
        <f>IF(V2313=0,"",IFERROR(LOOKUP(2,1/(INDEX(Listado!A:A,2):INDEX(Listado!A:A,ROW())&lt;&gt;""),ROW(INDEX(Listado!A:A,2):INDEX(Listado!A:A,ROW()))),""))</f>
        <v/>
      </c>
      <c r="O2313" s="17" t="str">
        <f>IFERROR(IF(N2313="","",IF(INDEX(Listado!M:M,N2313)="No",IF(INDEX(Listado!N:N,N2313)=0,"",INDEX(Listado!N:N,N2313)),IF(INDEX(Listado!I:I,N2313)=0,"",INDEX(Listado!I:I,N2313)))),"")</f>
        <v/>
      </c>
      <c r="P2313" s="17">
        <f t="shared" ca="1" si="109"/>
        <v/>
      </c>
      <c r="Q2313" s="17">
        <f>IFERROR(IF(AND(N2313&lt;&gt;"",ISNUMBER(O2313),O2313&gt;0,O2313&gt;=TODAY()-90),1,0),0)</f>
        <v/>
      </c>
      <c r="R2313" s="17" t="str">
        <f t="shared" si="111"/>
        <v/>
      </c>
      <c r="S2313" s="17" t="str">
        <f>IF(INDEX(Listado!A:A,ROW())="","",INDEX(Listado!A:A,ROW()))</f>
        <v/>
      </c>
      <c r="T2313" s="17" t="str">
        <f ca="1">IF(INDEX(Listado!G:G,ROW())="","",INDEX(Listado!G:G,ROW()))</f>
        <v/>
      </c>
      <c r="U2313" s="17" t="str">
        <f>IF(INDEX(Listado!F:F,ROW())="","",INDEX(Listado!F:F,ROW()))</f>
        <v/>
      </c>
      <c r="V2313" s="17">
        <f>IF(COUNTA(INDEX(Listado!B:B,ROW()):INDEX(Listado!F:F,ROW()))&gt;0,1,0)</f>
        <v/>
      </c>
      <c r="W2313" s="17" t="str">
        <f>IF(INDEX(Listado!L:L,ROW())="","",INDEX(Listado!L:L,ROW()))</f>
        <v/>
      </c>
      <c r="X2313" s="17">
        <f>IF(N2313="","",IF(INDEX(Listado!$M:$M,N2313)="No","No","Sí"))</f>
        <v/>
      </c>
    </row>
    <row r="2314" spans="2:24" ht="14.25">
      <c r="N2314" s="17" t="str">
        <f>IF(V2314=0,"",IFERROR(LOOKUP(2,1/(INDEX(Listado!A:A,2):INDEX(Listado!A:A,ROW())&lt;&gt;""),ROW(INDEX(Listado!A:A,2):INDEX(Listado!A:A,ROW()))),""))</f>
        <v/>
      </c>
      <c r="O2314" s="17" t="str">
        <f>IFERROR(IF(N2314="","",IF(INDEX(Listado!M:M,N2314)="No",IF(INDEX(Listado!N:N,N2314)=0,"",INDEX(Listado!N:N,N2314)),IF(INDEX(Listado!I:I,N2314)=0,"",INDEX(Listado!I:I,N2314)))),"")</f>
        <v/>
      </c>
      <c r="P2314" s="17">
        <f t="shared" ca="1" si="109"/>
        <v/>
      </c>
      <c r="Q2314" s="17">
        <f>IFERROR(IF(AND(N2314&lt;&gt;"",ISNUMBER(O2314),O2314&gt;0,O2314&gt;=TODAY()-90),1,0),0)</f>
        <v/>
      </c>
      <c r="R2314" s="17" t="str">
        <f t="shared" si="111"/>
        <v/>
      </c>
      <c r="S2314" s="17" t="str">
        <f>IF(INDEX(Listado!A:A,ROW())="","",INDEX(Listado!A:A,ROW()))</f>
        <v/>
      </c>
      <c r="T2314" s="17" t="str">
        <f ca="1">IF(INDEX(Listado!G:G,ROW())="","",INDEX(Listado!G:G,ROW()))</f>
        <v/>
      </c>
      <c r="U2314" s="17" t="str">
        <f>IF(INDEX(Listado!F:F,ROW())="","",INDEX(Listado!F:F,ROW()))</f>
        <v/>
      </c>
      <c r="V2314" s="17">
        <f>IF(COUNTA(INDEX(Listado!B:B,ROW()):INDEX(Listado!F:F,ROW()))&gt;0,1,0)</f>
        <v/>
      </c>
      <c r="W2314" s="17" t="str">
        <f>IF(INDEX(Listado!L:L,ROW())="","",INDEX(Listado!L:L,ROW()))</f>
        <v/>
      </c>
      <c r="X2314" s="17">
        <f>IF(N2314="","",IF(INDEX(Listado!$M:$M,N2314)="No","No","Sí"))</f>
        <v/>
      </c>
    </row>
    <row r="2315" spans="2:24" ht="14.25">
      <c r="N2315" s="17" t="str">
        <f>IF(V2315=0,"",IFERROR(LOOKUP(2,1/(INDEX(Listado!A:A,2):INDEX(Listado!A:A,ROW())&lt;&gt;""),ROW(INDEX(Listado!A:A,2):INDEX(Listado!A:A,ROW()))),""))</f>
        <v/>
      </c>
      <c r="O2315" s="17" t="str">
        <f>IFERROR(IF(N2315="","",IF(INDEX(Listado!M:M,N2315)="No",IF(INDEX(Listado!N:N,N2315)=0,"",INDEX(Listado!N:N,N2315)),IF(INDEX(Listado!I:I,N2315)=0,"",INDEX(Listado!I:I,N2315)))),"")</f>
        <v/>
      </c>
      <c r="P2315" s="17">
        <f t="shared" ca="1" si="109"/>
        <v/>
      </c>
      <c r="Q2315" s="17">
        <f>IFERROR(IF(AND(N2315&lt;&gt;"",ISNUMBER(O2315),O2315&gt;0,O2315&gt;=TODAY()-90),1,0),0)</f>
        <v/>
      </c>
      <c r="R2315" s="17" t="str">
        <f t="shared" si="111"/>
        <v/>
      </c>
      <c r="S2315" s="17" t="str">
        <f>IF(INDEX(Listado!A:A,ROW())="","",INDEX(Listado!A:A,ROW()))</f>
        <v/>
      </c>
      <c r="T2315" s="17" t="str">
        <f ca="1">IF(INDEX(Listado!G:G,ROW())="","",INDEX(Listado!G:G,ROW()))</f>
        <v/>
      </c>
      <c r="U2315" s="17" t="str">
        <f>IF(INDEX(Listado!F:F,ROW())="","",INDEX(Listado!F:F,ROW()))</f>
        <v/>
      </c>
      <c r="V2315" s="17">
        <f>IF(COUNTA(INDEX(Listado!B:B,ROW()):INDEX(Listado!F:F,ROW()))&gt;0,1,0)</f>
        <v/>
      </c>
      <c r="W2315" s="17" t="str">
        <f>IF(INDEX(Listado!L:L,ROW())="","",INDEX(Listado!L:L,ROW()))</f>
        <v/>
      </c>
      <c r="X2315" s="17">
        <f>IF(N2315="","",IF(INDEX(Listado!$M:$M,N2315)="No","No","Sí"))</f>
        <v/>
      </c>
    </row>
    <row r="2316" spans="2:24" ht="14.25">
      <c r="N2316" s="17" t="str">
        <f>IF(V2316=0,"",IFERROR(LOOKUP(2,1/(INDEX(Listado!A:A,2):INDEX(Listado!A:A,ROW())&lt;&gt;""),ROW(INDEX(Listado!A:A,2):INDEX(Listado!A:A,ROW()))),""))</f>
        <v/>
      </c>
      <c r="O2316" s="17" t="str">
        <f>IFERROR(IF(N2316="","",IF(INDEX(Listado!M:M,N2316)="No",IF(INDEX(Listado!N:N,N2316)=0,"",INDEX(Listado!N:N,N2316)),IF(INDEX(Listado!I:I,N2316)=0,"",INDEX(Listado!I:I,N2316)))),"")</f>
        <v/>
      </c>
      <c r="P2316" s="17">
        <f t="shared" ca="1" si="109"/>
        <v/>
      </c>
      <c r="Q2316" s="17">
        <f>IFERROR(IF(AND(N2316&lt;&gt;"",ISNUMBER(O2316),O2316&gt;0,O2316&gt;=TODAY()-90),1,0),0)</f>
        <v/>
      </c>
      <c r="R2316" s="17" t="str">
        <f t="shared" si="111"/>
        <v/>
      </c>
      <c r="S2316" s="17" t="str">
        <f>IF(INDEX(Listado!A:A,ROW())="","",INDEX(Listado!A:A,ROW()))</f>
        <v/>
      </c>
      <c r="T2316" s="17" t="str">
        <f ca="1">IF(INDEX(Listado!G:G,ROW())="","",INDEX(Listado!G:G,ROW()))</f>
        <v/>
      </c>
      <c r="U2316" s="17" t="str">
        <f>IF(INDEX(Listado!F:F,ROW())="","",INDEX(Listado!F:F,ROW()))</f>
        <v/>
      </c>
      <c r="V2316" s="17">
        <f>IF(COUNTA(INDEX(Listado!B:B,ROW()):INDEX(Listado!F:F,ROW()))&gt;0,1,0)</f>
        <v/>
      </c>
      <c r="W2316" s="17" t="str">
        <f>IF(INDEX(Listado!L:L,ROW())="","",INDEX(Listado!L:L,ROW()))</f>
        <v/>
      </c>
      <c r="X2316" s="17">
        <f>IF(N2316="","",IF(INDEX(Listado!$M:$M,N2316)="No","No","Sí"))</f>
        <v/>
      </c>
    </row>
    <row r="2317" spans="2:24" ht="14.25">
      <c r="N2317" s="17" t="str">
        <f>IF(V2317=0,"",IFERROR(LOOKUP(2,1/(INDEX(Listado!A:A,2):INDEX(Listado!A:A,ROW())&lt;&gt;""),ROW(INDEX(Listado!A:A,2):INDEX(Listado!A:A,ROW()))),""))</f>
        <v/>
      </c>
      <c r="O2317" s="17" t="str">
        <f>IFERROR(IF(N2317="","",IF(INDEX(Listado!M:M,N2317)="No",IF(INDEX(Listado!N:N,N2317)=0,"",INDEX(Listado!N:N,N2317)),IF(INDEX(Listado!I:I,N2317)=0,"",INDEX(Listado!I:I,N2317)))),"")</f>
        <v/>
      </c>
      <c r="P2317" s="17">
        <f t="shared" ca="1" si="109"/>
        <v/>
      </c>
      <c r="Q2317" s="17">
        <f>IFERROR(IF(AND(N2317&lt;&gt;"",ISNUMBER(O2317),O2317&gt;0,O2317&gt;=TODAY()-90),1,0),0)</f>
        <v/>
      </c>
      <c r="R2317" s="17" t="str">
        <f t="shared" si="111"/>
        <v/>
      </c>
      <c r="S2317" s="17" t="str">
        <f>IF(INDEX(Listado!A:A,ROW())="","",INDEX(Listado!A:A,ROW()))</f>
        <v/>
      </c>
      <c r="T2317" s="17" t="str">
        <f ca="1">IF(INDEX(Listado!G:G,ROW())="","",INDEX(Listado!G:G,ROW()))</f>
        <v/>
      </c>
      <c r="U2317" s="17" t="str">
        <f>IF(INDEX(Listado!F:F,ROW())="","",INDEX(Listado!F:F,ROW()))</f>
        <v/>
      </c>
      <c r="V2317" s="17">
        <f>IF(COUNTA(INDEX(Listado!B:B,ROW()):INDEX(Listado!F:F,ROW()))&gt;0,1,0)</f>
        <v/>
      </c>
      <c r="W2317" s="17" t="str">
        <f>IF(INDEX(Listado!L:L,ROW())="","",INDEX(Listado!L:L,ROW()))</f>
        <v/>
      </c>
      <c r="X2317" s="17">
        <f>IF(N2317="","",IF(INDEX(Listado!$M:$M,N2317)="No","No","Sí"))</f>
        <v/>
      </c>
    </row>
    <row r="2318" spans="2:24" ht="14.25">
      <c r="N2318" s="17" t="str">
        <f>IF(V2318=0,"",IFERROR(LOOKUP(2,1/(INDEX(Listado!A:A,2):INDEX(Listado!A:A,ROW())&lt;&gt;""),ROW(INDEX(Listado!A:A,2):INDEX(Listado!A:A,ROW()))),""))</f>
        <v/>
      </c>
      <c r="O2318" s="17" t="str">
        <f>IFERROR(IF(N2318="","",IF(INDEX(Listado!M:M,N2318)="No",IF(INDEX(Listado!N:N,N2318)=0,"",INDEX(Listado!N:N,N2318)),IF(INDEX(Listado!I:I,N2318)=0,"",INDEX(Listado!I:I,N2318)))),"")</f>
        <v/>
      </c>
      <c r="P2318" s="17">
        <f t="shared" ca="1" si="109"/>
        <v/>
      </c>
      <c r="Q2318" s="17">
        <f>IFERROR(IF(AND(N2318&lt;&gt;"",ISNUMBER(O2318),O2318&gt;0,O2318&gt;=TODAY()-90),1,0),0)</f>
        <v/>
      </c>
      <c r="R2318" s="17" t="str">
        <f t="shared" si="111"/>
        <v/>
      </c>
      <c r="S2318" s="17" t="str">
        <f>IF(INDEX(Listado!A:A,ROW())="","",INDEX(Listado!A:A,ROW()))</f>
        <v/>
      </c>
      <c r="T2318" s="17" t="str">
        <f ca="1">IF(INDEX(Listado!G:G,ROW())="","",INDEX(Listado!G:G,ROW()))</f>
        <v/>
      </c>
      <c r="U2318" s="17" t="str">
        <f>IF(INDEX(Listado!F:F,ROW())="","",INDEX(Listado!F:F,ROW()))</f>
        <v/>
      </c>
      <c r="V2318" s="17">
        <f>IF(COUNTA(INDEX(Listado!B:B,ROW()):INDEX(Listado!F:F,ROW()))&gt;0,1,0)</f>
        <v/>
      </c>
      <c r="W2318" s="17" t="str">
        <f>IF(INDEX(Listado!L:L,ROW())="","",INDEX(Listado!L:L,ROW()))</f>
        <v/>
      </c>
      <c r="X2318" s="17">
        <f>IF(N2318="","",IF(INDEX(Listado!$M:$M,N2318)="No","No","Sí"))</f>
        <v/>
      </c>
    </row>
    <row r="2319" spans="2:24" ht="14.25">
      <c r="N2319" s="17" t="str">
        <f>IF(V2319=0,"",IFERROR(LOOKUP(2,1/(INDEX(Listado!A:A,2):INDEX(Listado!A:A,ROW())&lt;&gt;""),ROW(INDEX(Listado!A:A,2):INDEX(Listado!A:A,ROW()))),""))</f>
        <v/>
      </c>
      <c r="O2319" s="17" t="str">
        <f>IFERROR(IF(N2319="","",IF(INDEX(Listado!M:M,N2319)="No",IF(INDEX(Listado!N:N,N2319)=0,"",INDEX(Listado!N:N,N2319)),IF(INDEX(Listado!I:I,N2319)=0,"",INDEX(Listado!I:I,N2319)))),"")</f>
        <v/>
      </c>
      <c r="P2319" s="17">
        <f t="shared" ca="1" si="109"/>
        <v/>
      </c>
      <c r="Q2319" s="17">
        <f>IFERROR(IF(AND(N2319&lt;&gt;"",ISNUMBER(O2319),O2319&gt;0,O2319&gt;=TODAY()-90),1,0),0)</f>
        <v/>
      </c>
      <c r="R2319" s="17" t="str">
        <f t="shared" si="111"/>
        <v/>
      </c>
      <c r="S2319" s="17" t="str">
        <f>IF(INDEX(Listado!A:A,ROW())="","",INDEX(Listado!A:A,ROW()))</f>
        <v/>
      </c>
      <c r="T2319" s="17" t="str">
        <f ca="1">IF(INDEX(Listado!G:G,ROW())="","",INDEX(Listado!G:G,ROW()))</f>
        <v/>
      </c>
      <c r="U2319" s="17" t="str">
        <f>IF(INDEX(Listado!F:F,ROW())="","",INDEX(Listado!F:F,ROW()))</f>
        <v/>
      </c>
      <c r="V2319" s="17">
        <f>IF(COUNTA(INDEX(Listado!B:B,ROW()):INDEX(Listado!F:F,ROW()))&gt;0,1,0)</f>
        <v/>
      </c>
      <c r="W2319" s="17" t="str">
        <f>IF(INDEX(Listado!L:L,ROW())="","",INDEX(Listado!L:L,ROW()))</f>
        <v/>
      </c>
      <c r="X2319" s="17">
        <f>IF(N2319="","",IF(INDEX(Listado!$M:$M,N2319)="No","No","Sí"))</f>
        <v/>
      </c>
    </row>
    <row r="2320" spans="2:24" ht="14.25">
      <c r="N2320" s="17" t="str">
        <f>IF(V2320=0,"",IFERROR(LOOKUP(2,1/(INDEX(Listado!A:A,2):INDEX(Listado!A:A,ROW())&lt;&gt;""),ROW(INDEX(Listado!A:A,2):INDEX(Listado!A:A,ROW()))),""))</f>
        <v/>
      </c>
      <c r="O2320" s="17" t="str">
        <f>IFERROR(IF(N2320="","",IF(INDEX(Listado!M:M,N2320)="No",IF(INDEX(Listado!N:N,N2320)=0,"",INDEX(Listado!N:N,N2320)),IF(INDEX(Listado!I:I,N2320)=0,"",INDEX(Listado!I:I,N2320)))),"")</f>
        <v/>
      </c>
      <c r="P2320" s="17">
        <f t="shared" ca="1" si="109"/>
        <v/>
      </c>
      <c r="Q2320" s="17">
        <f>IFERROR(IF(AND(N2320&lt;&gt;"",ISNUMBER(O2320),O2320&gt;0,O2320&gt;=TODAY()-90),1,0),0)</f>
        <v/>
      </c>
      <c r="R2320" s="17" t="str">
        <f t="shared" si="111"/>
        <v/>
      </c>
      <c r="S2320" s="17" t="str">
        <f>IF(INDEX(Listado!A:A,ROW())="","",INDEX(Listado!A:A,ROW()))</f>
        <v/>
      </c>
      <c r="T2320" s="17" t="str">
        <f ca="1">IF(INDEX(Listado!G:G,ROW())="","",INDEX(Listado!G:G,ROW()))</f>
        <v/>
      </c>
      <c r="U2320" s="17" t="str">
        <f>IF(INDEX(Listado!F:F,ROW())="","",INDEX(Listado!F:F,ROW()))</f>
        <v/>
      </c>
      <c r="V2320" s="17">
        <f>IF(COUNTA(INDEX(Listado!B:B,ROW()):INDEX(Listado!F:F,ROW()))&gt;0,1,0)</f>
        <v/>
      </c>
      <c r="W2320" s="17" t="str">
        <f>IF(INDEX(Listado!L:L,ROW())="","",INDEX(Listado!L:L,ROW()))</f>
        <v/>
      </c>
      <c r="X2320" s="17">
        <f>IF(N2320="","",IF(INDEX(Listado!$M:$M,N2320)="No","No","Sí"))</f>
        <v/>
      </c>
    </row>
    <row r="2321" spans="2:24" ht="14.25">
      <c r="N2321" s="17" t="str">
        <f>IF(V2321=0,"",IFERROR(LOOKUP(2,1/(INDEX(Listado!A:A,2):INDEX(Listado!A:A,ROW())&lt;&gt;""),ROW(INDEX(Listado!A:A,2):INDEX(Listado!A:A,ROW()))),""))</f>
        <v/>
      </c>
      <c r="O2321" s="17" t="str">
        <f>IFERROR(IF(N2321="","",IF(INDEX(Listado!M:M,N2321)="No",IF(INDEX(Listado!N:N,N2321)=0,"",INDEX(Listado!N:N,N2321)),IF(INDEX(Listado!I:I,N2321)=0,"",INDEX(Listado!I:I,N2321)))),"")</f>
        <v/>
      </c>
      <c r="P2321" s="17">
        <f t="shared" ca="1" si="109"/>
        <v/>
      </c>
      <c r="Q2321" s="17">
        <f>IFERROR(IF(AND(N2321&lt;&gt;"",ISNUMBER(O2321),O2321&gt;0,O2321&gt;=TODAY()-90),1,0),0)</f>
        <v/>
      </c>
      <c r="R2321" s="17" t="str">
        <f t="shared" si="111"/>
        <v/>
      </c>
      <c r="S2321" s="17" t="str">
        <f>IF(INDEX(Listado!A:A,ROW())="","",INDEX(Listado!A:A,ROW()))</f>
        <v/>
      </c>
      <c r="T2321" s="17" t="str">
        <f ca="1">IF(INDEX(Listado!G:G,ROW())="","",INDEX(Listado!G:G,ROW()))</f>
        <v/>
      </c>
      <c r="U2321" s="17" t="str">
        <f>IF(INDEX(Listado!F:F,ROW())="","",INDEX(Listado!F:F,ROW()))</f>
        <v/>
      </c>
      <c r="V2321" s="17">
        <f>IF(COUNTA(INDEX(Listado!B:B,ROW()):INDEX(Listado!F:F,ROW()))&gt;0,1,0)</f>
        <v/>
      </c>
      <c r="W2321" s="17" t="str">
        <f>IF(INDEX(Listado!L:L,ROW())="","",INDEX(Listado!L:L,ROW()))</f>
        <v/>
      </c>
      <c r="X2321" s="17">
        <f>IF(N2321="","",IF(INDEX(Listado!$M:$M,N2321)="No","No","Sí"))</f>
        <v/>
      </c>
    </row>
    <row r="2322" spans="2:24" ht="14.25">
      <c r="N2322" s="17" t="str">
        <f>IF(V2322=0,"",IFERROR(LOOKUP(2,1/(INDEX(Listado!A:A,2):INDEX(Listado!A:A,ROW())&lt;&gt;""),ROW(INDEX(Listado!A:A,2):INDEX(Listado!A:A,ROW()))),""))</f>
        <v/>
      </c>
      <c r="O2322" s="17" t="str">
        <f>IFERROR(IF(N2322="","",IF(INDEX(Listado!M:M,N2322)="No",IF(INDEX(Listado!N:N,N2322)=0,"",INDEX(Listado!N:N,N2322)),IF(INDEX(Listado!I:I,N2322)=0,"",INDEX(Listado!I:I,N2322)))),"")</f>
        <v/>
      </c>
      <c r="P2322" s="17">
        <f t="shared" ca="1" si="109"/>
        <v/>
      </c>
      <c r="Q2322" s="17">
        <f>IFERROR(IF(AND(N2322&lt;&gt;"",ISNUMBER(O2322),O2322&gt;0,O2322&gt;=TODAY()-90),1,0),0)</f>
        <v/>
      </c>
      <c r="R2322" s="17" t="str">
        <f t="shared" si="111"/>
        <v/>
      </c>
      <c r="S2322" s="17" t="str">
        <f>IF(INDEX(Listado!A:A,ROW())="","",INDEX(Listado!A:A,ROW()))</f>
        <v/>
      </c>
      <c r="T2322" s="17" t="str">
        <f ca="1">IF(INDEX(Listado!G:G,ROW())="","",INDEX(Listado!G:G,ROW()))</f>
        <v/>
      </c>
      <c r="U2322" s="17" t="str">
        <f>IF(INDEX(Listado!F:F,ROW())="","",INDEX(Listado!F:F,ROW()))</f>
        <v/>
      </c>
      <c r="V2322" s="17">
        <f>IF(COUNTA(INDEX(Listado!B:B,ROW()):INDEX(Listado!F:F,ROW()))&gt;0,1,0)</f>
        <v/>
      </c>
      <c r="W2322" s="17" t="str">
        <f>IF(INDEX(Listado!L:L,ROW())="","",INDEX(Listado!L:L,ROW()))</f>
        <v/>
      </c>
      <c r="X2322" s="17">
        <f>IF(N2322="","",IF(INDEX(Listado!$M:$M,N2322)="No","No","Sí"))</f>
        <v/>
      </c>
    </row>
    <row r="2323" spans="2:24" ht="14.25">
      <c r="N2323" s="17" t="str">
        <f>IF(V2323=0,"",IFERROR(LOOKUP(2,1/(INDEX(Listado!A:A,2):INDEX(Listado!A:A,ROW())&lt;&gt;""),ROW(INDEX(Listado!A:A,2):INDEX(Listado!A:A,ROW()))),""))</f>
        <v/>
      </c>
      <c r="O2323" s="17" t="str">
        <f>IFERROR(IF(N2323="","",IF(INDEX(Listado!M:M,N2323)="No",IF(INDEX(Listado!N:N,N2323)=0,"",INDEX(Listado!N:N,N2323)),IF(INDEX(Listado!I:I,N2323)=0,"",INDEX(Listado!I:I,N2323)))),"")</f>
        <v/>
      </c>
      <c r="P2323" s="17">
        <f t="shared" ca="1" si="109"/>
        <v/>
      </c>
      <c r="Q2323" s="17">
        <f>IFERROR(IF(AND(N2323&lt;&gt;"",ISNUMBER(O2323),O2323&gt;0,O2323&gt;=TODAY()-90),1,0),0)</f>
        <v/>
      </c>
      <c r="R2323" s="17" t="str">
        <f t="shared" si="111"/>
        <v/>
      </c>
      <c r="S2323" s="17" t="str">
        <f>IF(INDEX(Listado!A:A,ROW())="","",INDEX(Listado!A:A,ROW()))</f>
        <v/>
      </c>
      <c r="T2323" s="17" t="str">
        <f ca="1">IF(INDEX(Listado!G:G,ROW())="","",INDEX(Listado!G:G,ROW()))</f>
        <v/>
      </c>
      <c r="U2323" s="17" t="str">
        <f>IF(INDEX(Listado!F:F,ROW())="","",INDEX(Listado!F:F,ROW()))</f>
        <v/>
      </c>
      <c r="V2323" s="17">
        <f>IF(COUNTA(INDEX(Listado!B:B,ROW()):INDEX(Listado!F:F,ROW()))&gt;0,1,0)</f>
        <v/>
      </c>
      <c r="W2323" s="17" t="str">
        <f>IF(INDEX(Listado!L:L,ROW())="","",INDEX(Listado!L:L,ROW()))</f>
        <v/>
      </c>
      <c r="X2323" s="17">
        <f>IF(N2323="","",IF(INDEX(Listado!$M:$M,N2323)="No","No","Sí"))</f>
        <v/>
      </c>
    </row>
    <row r="2324" spans="2:24" ht="14.25">
      <c r="N2324" s="17" t="str">
        <f>IF(V2324=0,"",IFERROR(LOOKUP(2,1/(INDEX(Listado!A:A,2):INDEX(Listado!A:A,ROW())&lt;&gt;""),ROW(INDEX(Listado!A:A,2):INDEX(Listado!A:A,ROW()))),""))</f>
        <v/>
      </c>
      <c r="O2324" s="17" t="str">
        <f>IFERROR(IF(N2324="","",IF(INDEX(Listado!M:M,N2324)="No",IF(INDEX(Listado!N:N,N2324)=0,"",INDEX(Listado!N:N,N2324)),IF(INDEX(Listado!I:I,N2324)=0,"",INDEX(Listado!I:I,N2324)))),"")</f>
        <v/>
      </c>
      <c r="P2324" s="17">
        <f t="shared" ca="1" si="109"/>
        <v/>
      </c>
      <c r="Q2324" s="17">
        <f>IFERROR(IF(AND(N2324&lt;&gt;"",ISNUMBER(O2324),O2324&gt;0,O2324&gt;=TODAY()-90),1,0),0)</f>
        <v/>
      </c>
      <c r="R2324" s="17" t="str">
        <f t="shared" si="111"/>
        <v/>
      </c>
      <c r="S2324" s="17" t="str">
        <f>IF(INDEX(Listado!A:A,ROW())="","",INDEX(Listado!A:A,ROW()))</f>
        <v/>
      </c>
      <c r="T2324" s="17" t="str">
        <f ca="1">IF(INDEX(Listado!G:G,ROW())="","",INDEX(Listado!G:G,ROW()))</f>
        <v/>
      </c>
      <c r="U2324" s="17" t="str">
        <f>IF(INDEX(Listado!F:F,ROW())="","",INDEX(Listado!F:F,ROW()))</f>
        <v/>
      </c>
      <c r="V2324" s="17">
        <f>IF(COUNTA(INDEX(Listado!B:B,ROW()):INDEX(Listado!F:F,ROW()))&gt;0,1,0)</f>
        <v/>
      </c>
      <c r="W2324" s="17" t="str">
        <f>IF(INDEX(Listado!L:L,ROW())="","",INDEX(Listado!L:L,ROW()))</f>
        <v/>
      </c>
      <c r="X2324" s="17">
        <f>IF(N2324="","",IF(INDEX(Listado!$M:$M,N2324)="No","No","Sí"))</f>
        <v/>
      </c>
    </row>
    <row r="2325" spans="2:24" ht="14.25">
      <c r="N2325" s="17" t="str">
        <f>IF(V2325=0,"",IFERROR(LOOKUP(2,1/(INDEX(Listado!A:A,2):INDEX(Listado!A:A,ROW())&lt;&gt;""),ROW(INDEX(Listado!A:A,2):INDEX(Listado!A:A,ROW()))),""))</f>
        <v/>
      </c>
      <c r="O2325" s="17" t="str">
        <f>IFERROR(IF(N2325="","",IF(INDEX(Listado!M:M,N2325)="No",IF(INDEX(Listado!N:N,N2325)=0,"",INDEX(Listado!N:N,N2325)),IF(INDEX(Listado!I:I,N2325)=0,"",INDEX(Listado!I:I,N2325)))),"")</f>
        <v/>
      </c>
      <c r="P2325" s="17">
        <f t="shared" ca="1" si="109"/>
        <v/>
      </c>
      <c r="Q2325" s="17">
        <f>IFERROR(IF(AND(N2325&lt;&gt;"",ISNUMBER(O2325),O2325&gt;0,O2325&gt;=TODAY()-90),1,0),0)</f>
        <v/>
      </c>
      <c r="R2325" s="17" t="str">
        <f t="shared" si="111"/>
        <v/>
      </c>
      <c r="S2325" s="17" t="str">
        <f>IF(INDEX(Listado!A:A,ROW())="","",INDEX(Listado!A:A,ROW()))</f>
        <v/>
      </c>
      <c r="T2325" s="17" t="str">
        <f ca="1">IF(INDEX(Listado!G:G,ROW())="","",INDEX(Listado!G:G,ROW()))</f>
        <v/>
      </c>
      <c r="U2325" s="17" t="str">
        <f>IF(INDEX(Listado!F:F,ROW())="","",INDEX(Listado!F:F,ROW()))</f>
        <v/>
      </c>
      <c r="V2325" s="17">
        <f>IF(COUNTA(INDEX(Listado!B:B,ROW()):INDEX(Listado!F:F,ROW()))&gt;0,1,0)</f>
        <v/>
      </c>
      <c r="W2325" s="17" t="str">
        <f>IF(INDEX(Listado!L:L,ROW())="","",INDEX(Listado!L:L,ROW()))</f>
        <v/>
      </c>
      <c r="X2325" s="17">
        <f>IF(N2325="","",IF(INDEX(Listado!$M:$M,N2325)="No","No","Sí"))</f>
        <v/>
      </c>
    </row>
    <row r="2326" spans="2:24" ht="14.25">
      <c r="N2326" s="17" t="str">
        <f>IF(V2326=0,"",IFERROR(LOOKUP(2,1/(INDEX(Listado!A:A,2):INDEX(Listado!A:A,ROW())&lt;&gt;""),ROW(INDEX(Listado!A:A,2):INDEX(Listado!A:A,ROW()))),""))</f>
        <v/>
      </c>
      <c r="O2326" s="17" t="str">
        <f>IFERROR(IF(N2326="","",IF(INDEX(Listado!M:M,N2326)="No",IF(INDEX(Listado!N:N,N2326)=0,"",INDEX(Listado!N:N,N2326)),IF(INDEX(Listado!I:I,N2326)=0,"",INDEX(Listado!I:I,N2326)))),"")</f>
        <v/>
      </c>
      <c r="P2326" s="17">
        <f t="shared" ca="1" si="109"/>
        <v/>
      </c>
      <c r="Q2326" s="17">
        <f>IFERROR(IF(AND(N2326&lt;&gt;"",ISNUMBER(O2326),O2326&gt;0,O2326&gt;=TODAY()-90),1,0),0)</f>
        <v/>
      </c>
      <c r="R2326" s="17" t="str">
        <f t="shared" si="111"/>
        <v/>
      </c>
      <c r="S2326" s="17" t="str">
        <f>IF(INDEX(Listado!A:A,ROW())="","",INDEX(Listado!A:A,ROW()))</f>
        <v/>
      </c>
      <c r="T2326" s="17" t="str">
        <f ca="1">IF(INDEX(Listado!G:G,ROW())="","",INDEX(Listado!G:G,ROW()))</f>
        <v/>
      </c>
      <c r="U2326" s="17" t="str">
        <f>IF(INDEX(Listado!F:F,ROW())="","",INDEX(Listado!F:F,ROW()))</f>
        <v/>
      </c>
      <c r="V2326" s="17">
        <f>IF(COUNTA(INDEX(Listado!B:B,ROW()):INDEX(Listado!F:F,ROW()))&gt;0,1,0)</f>
        <v/>
      </c>
      <c r="W2326" s="17" t="str">
        <f>IF(INDEX(Listado!L:L,ROW())="","",INDEX(Listado!L:L,ROW()))</f>
        <v/>
      </c>
      <c r="X2326" s="17">
        <f>IF(N2326="","",IF(INDEX(Listado!$M:$M,N2326)="No","No","Sí"))</f>
        <v/>
      </c>
    </row>
    <row r="2327" spans="2:24" ht="14.25">
      <c r="N2327" s="17" t="str">
        <f>IF(V2327=0,"",IFERROR(LOOKUP(2,1/(INDEX(Listado!A:A,2):INDEX(Listado!A:A,ROW())&lt;&gt;""),ROW(INDEX(Listado!A:A,2):INDEX(Listado!A:A,ROW()))),""))</f>
        <v/>
      </c>
      <c r="O2327" s="17" t="str">
        <f>IFERROR(IF(N2327="","",IF(INDEX(Listado!M:M,N2327)="No",IF(INDEX(Listado!N:N,N2327)=0,"",INDEX(Listado!N:N,N2327)),IF(INDEX(Listado!I:I,N2327)=0,"",INDEX(Listado!I:I,N2327)))),"")</f>
        <v/>
      </c>
      <c r="P2327" s="17">
        <f t="shared" ca="1" si="109"/>
        <v/>
      </c>
      <c r="Q2327" s="17">
        <f>IFERROR(IF(AND(N2327&lt;&gt;"",ISNUMBER(O2327),O2327&gt;0,O2327&gt;=TODAY()-90),1,0),0)</f>
        <v/>
      </c>
      <c r="R2327" s="17" t="str">
        <f t="shared" si="111"/>
        <v/>
      </c>
      <c r="S2327" s="17" t="str">
        <f>IF(INDEX(Listado!A:A,ROW())="","",INDEX(Listado!A:A,ROW()))</f>
        <v/>
      </c>
      <c r="T2327" s="17" t="str">
        <f ca="1">IF(INDEX(Listado!G:G,ROW())="","",INDEX(Listado!G:G,ROW()))</f>
        <v/>
      </c>
      <c r="U2327" s="17" t="str">
        <f>IF(INDEX(Listado!F:F,ROW())="","",INDEX(Listado!F:F,ROW()))</f>
        <v/>
      </c>
      <c r="V2327" s="17">
        <f>IF(COUNTA(INDEX(Listado!B:B,ROW()):INDEX(Listado!F:F,ROW()))&gt;0,1,0)</f>
        <v/>
      </c>
      <c r="W2327" s="17" t="str">
        <f>IF(INDEX(Listado!L:L,ROW())="","",INDEX(Listado!L:L,ROW()))</f>
        <v/>
      </c>
      <c r="X2327" s="17">
        <f>IF(N2327="","",IF(INDEX(Listado!$M:$M,N2327)="No","No","Sí"))</f>
        <v/>
      </c>
    </row>
    <row r="2328" spans="2:24" ht="14.25">
      <c r="N2328" s="17" t="str">
        <f>IF(V2328=0,"",IFERROR(LOOKUP(2,1/(INDEX(Listado!A:A,2):INDEX(Listado!A:A,ROW())&lt;&gt;""),ROW(INDEX(Listado!A:A,2):INDEX(Listado!A:A,ROW()))),""))</f>
        <v/>
      </c>
      <c r="O2328" s="17" t="str">
        <f>IFERROR(IF(N2328="","",IF(INDEX(Listado!M:M,N2328)="No",IF(INDEX(Listado!N:N,N2328)=0,"",INDEX(Listado!N:N,N2328)),IF(INDEX(Listado!I:I,N2328)=0,"",INDEX(Listado!I:I,N2328)))),"")</f>
        <v/>
      </c>
      <c r="P2328" s="17">
        <f t="shared" ca="1" si="109"/>
        <v/>
      </c>
      <c r="Q2328" s="17">
        <f>IFERROR(IF(AND(N2328&lt;&gt;"",ISNUMBER(O2328),O2328&gt;0,O2328&gt;=TODAY()-90),1,0),0)</f>
        <v/>
      </c>
      <c r="R2328" s="17" t="str">
        <f t="shared" si="111"/>
        <v/>
      </c>
      <c r="S2328" s="17" t="str">
        <f>IF(INDEX(Listado!A:A,ROW())="","",INDEX(Listado!A:A,ROW()))</f>
        <v/>
      </c>
      <c r="T2328" s="17" t="str">
        <f ca="1">IF(INDEX(Listado!G:G,ROW())="","",INDEX(Listado!G:G,ROW()))</f>
        <v/>
      </c>
      <c r="U2328" s="17" t="str">
        <f>IF(INDEX(Listado!F:F,ROW())="","",INDEX(Listado!F:F,ROW()))</f>
        <v/>
      </c>
      <c r="V2328" s="17">
        <f>IF(COUNTA(INDEX(Listado!B:B,ROW()):INDEX(Listado!F:F,ROW()))&gt;0,1,0)</f>
        <v/>
      </c>
      <c r="W2328" s="17" t="str">
        <f>IF(INDEX(Listado!L:L,ROW())="","",INDEX(Listado!L:L,ROW()))</f>
        <v/>
      </c>
      <c r="X2328" s="17">
        <f>IF(N2328="","",IF(INDEX(Listado!$M:$M,N2328)="No","No","Sí"))</f>
        <v/>
      </c>
    </row>
    <row r="2329" spans="2:24" ht="14.25">
      <c r="N2329" s="17" t="str">
        <f>IF(V2329=0,"",IFERROR(LOOKUP(2,1/(INDEX(Listado!A:A,2):INDEX(Listado!A:A,ROW())&lt;&gt;""),ROW(INDEX(Listado!A:A,2):INDEX(Listado!A:A,ROW()))),""))</f>
        <v/>
      </c>
      <c r="O2329" s="17" t="str">
        <f>IFERROR(IF(N2329="","",IF(INDEX(Listado!M:M,N2329)="No",IF(INDEX(Listado!N:N,N2329)=0,"",INDEX(Listado!N:N,N2329)),IF(INDEX(Listado!I:I,N2329)=0,"",INDEX(Listado!I:I,N2329)))),"")</f>
        <v/>
      </c>
      <c r="P2329" s="17">
        <f t="shared" ca="1" si="109"/>
        <v/>
      </c>
      <c r="Q2329" s="17">
        <f>IFERROR(IF(AND(N2329&lt;&gt;"",ISNUMBER(O2329),O2329&gt;0,O2329&gt;=TODAY()-90),1,0),0)</f>
        <v/>
      </c>
      <c r="R2329" s="17" t="str">
        <f t="shared" si="111"/>
        <v/>
      </c>
      <c r="S2329" s="17" t="str">
        <f>IF(INDEX(Listado!A:A,ROW())="","",INDEX(Listado!A:A,ROW()))</f>
        <v/>
      </c>
      <c r="T2329" s="17" t="str">
        <f ca="1">IF(INDEX(Listado!G:G,ROW())="","",INDEX(Listado!G:G,ROW()))</f>
        <v/>
      </c>
      <c r="U2329" s="17" t="str">
        <f>IF(INDEX(Listado!F:F,ROW())="","",INDEX(Listado!F:F,ROW()))</f>
        <v/>
      </c>
      <c r="V2329" s="17">
        <f>IF(COUNTA(INDEX(Listado!B:B,ROW()):INDEX(Listado!F:F,ROW()))&gt;0,1,0)</f>
        <v/>
      </c>
      <c r="W2329" s="17" t="str">
        <f>IF(INDEX(Listado!L:L,ROW())="","",INDEX(Listado!L:L,ROW()))</f>
        <v/>
      </c>
      <c r="X2329" s="17">
        <f>IF(N2329="","",IF(INDEX(Listado!$M:$M,N2329)="No","No","Sí"))</f>
        <v/>
      </c>
    </row>
    <row r="2330" spans="2:24" ht="14.25">
      <c r="N2330" s="17" t="str">
        <f>IF(V2330=0,"",IFERROR(LOOKUP(2,1/(INDEX(Listado!A:A,2):INDEX(Listado!A:A,ROW())&lt;&gt;""),ROW(INDEX(Listado!A:A,2):INDEX(Listado!A:A,ROW()))),""))</f>
        <v/>
      </c>
      <c r="O2330" s="17" t="str">
        <f>IFERROR(IF(N2330="","",IF(INDEX(Listado!M:M,N2330)="No",IF(INDEX(Listado!N:N,N2330)=0,"",INDEX(Listado!N:N,N2330)),IF(INDEX(Listado!I:I,N2330)=0,"",INDEX(Listado!I:I,N2330)))),"")</f>
        <v/>
      </c>
      <c r="P2330" s="17">
        <f t="shared" ca="1" si="109"/>
        <v/>
      </c>
      <c r="Q2330" s="17">
        <f>IFERROR(IF(AND(N2330&lt;&gt;"",ISNUMBER(O2330),O2330&gt;0,O2330&gt;=TODAY()-90),1,0),0)</f>
        <v/>
      </c>
      <c r="R2330" s="17" t="str">
        <f t="shared" si="111"/>
        <v/>
      </c>
      <c r="S2330" s="17" t="str">
        <f>IF(INDEX(Listado!A:A,ROW())="","",INDEX(Listado!A:A,ROW()))</f>
        <v/>
      </c>
      <c r="T2330" s="17" t="str">
        <f ca="1">IF(INDEX(Listado!G:G,ROW())="","",INDEX(Listado!G:G,ROW()))</f>
        <v/>
      </c>
      <c r="U2330" s="17" t="str">
        <f>IF(INDEX(Listado!F:F,ROW())="","",INDEX(Listado!F:F,ROW()))</f>
        <v/>
      </c>
      <c r="V2330" s="17">
        <f>IF(COUNTA(INDEX(Listado!B:B,ROW()):INDEX(Listado!F:F,ROW()))&gt;0,1,0)</f>
        <v/>
      </c>
      <c r="W2330" s="17" t="str">
        <f>IF(INDEX(Listado!L:L,ROW())="","",INDEX(Listado!L:L,ROW()))</f>
        <v/>
      </c>
      <c r="X2330" s="17">
        <f>IF(N2330="","",IF(INDEX(Listado!$M:$M,N2330)="No","No","Sí"))</f>
        <v/>
      </c>
    </row>
    <row r="2331" spans="2:24" ht="14.25">
      <c r="N2331" s="17" t="str">
        <f>IF(V2331=0,"",IFERROR(LOOKUP(2,1/(INDEX(Listado!A:A,2):INDEX(Listado!A:A,ROW())&lt;&gt;""),ROW(INDEX(Listado!A:A,2):INDEX(Listado!A:A,ROW()))),""))</f>
        <v/>
      </c>
      <c r="O2331" s="17" t="str">
        <f>IFERROR(IF(N2331="","",IF(INDEX(Listado!M:M,N2331)="No",IF(INDEX(Listado!N:N,N2331)=0,"",INDEX(Listado!N:N,N2331)),IF(INDEX(Listado!I:I,N2331)=0,"",INDEX(Listado!I:I,N2331)))),"")</f>
        <v/>
      </c>
      <c r="P2331" s="17">
        <f t="shared" ca="1" si="109"/>
        <v/>
      </c>
      <c r="Q2331" s="17">
        <f>IFERROR(IF(AND(N2331&lt;&gt;"",ISNUMBER(O2331),O2331&gt;0,O2331&gt;=TODAY()-90),1,0),0)</f>
        <v/>
      </c>
      <c r="R2331" s="17" t="str">
        <f t="shared" si="111"/>
        <v/>
      </c>
      <c r="S2331" s="17" t="str">
        <f>IF(INDEX(Listado!A:A,ROW())="","",INDEX(Listado!A:A,ROW()))</f>
        <v/>
      </c>
      <c r="T2331" s="17" t="str">
        <f ca="1">IF(INDEX(Listado!G:G,ROW())="","",INDEX(Listado!G:G,ROW()))</f>
        <v/>
      </c>
      <c r="U2331" s="17" t="str">
        <f>IF(INDEX(Listado!F:F,ROW())="","",INDEX(Listado!F:F,ROW()))</f>
        <v/>
      </c>
      <c r="V2331" s="17">
        <f>IF(COUNTA(INDEX(Listado!B:B,ROW()):INDEX(Listado!F:F,ROW()))&gt;0,1,0)</f>
        <v/>
      </c>
      <c r="W2331" s="17" t="str">
        <f>IF(INDEX(Listado!L:L,ROW())="","",INDEX(Listado!L:L,ROW()))</f>
        <v/>
      </c>
      <c r="X2331" s="17">
        <f>IF(N2331="","",IF(INDEX(Listado!$M:$M,N2331)="No","No","Sí"))</f>
        <v/>
      </c>
    </row>
    <row r="2332" spans="2:24" ht="14.25">
      <c r="N2332" s="17" t="str">
        <f>IF(V2332=0,"",IFERROR(LOOKUP(2,1/(INDEX(Listado!A:A,2):INDEX(Listado!A:A,ROW())&lt;&gt;""),ROW(INDEX(Listado!A:A,2):INDEX(Listado!A:A,ROW()))),""))</f>
        <v/>
      </c>
      <c r="O2332" s="17" t="str">
        <f>IFERROR(IF(N2332="","",IF(INDEX(Listado!M:M,N2332)="No",IF(INDEX(Listado!N:N,N2332)=0,"",INDEX(Listado!N:N,N2332)),IF(INDEX(Listado!I:I,N2332)=0,"",INDEX(Listado!I:I,N2332)))),"")</f>
        <v/>
      </c>
      <c r="P2332" s="17">
        <f t="shared" ca="1" si="109"/>
        <v/>
      </c>
      <c r="Q2332" s="17">
        <f>IFERROR(IF(AND(N2332&lt;&gt;"",ISNUMBER(O2332),O2332&gt;0,O2332&gt;=TODAY()-90),1,0),0)</f>
        <v/>
      </c>
      <c r="R2332" s="17" t="str">
        <f t="shared" si="111"/>
        <v/>
      </c>
      <c r="S2332" s="17" t="str">
        <f>IF(INDEX(Listado!A:A,ROW())="","",INDEX(Listado!A:A,ROW()))</f>
        <v/>
      </c>
      <c r="T2332" s="17" t="str">
        <f ca="1">IF(INDEX(Listado!G:G,ROW())="","",INDEX(Listado!G:G,ROW()))</f>
        <v/>
      </c>
      <c r="U2332" s="17" t="str">
        <f>IF(INDEX(Listado!F:F,ROW())="","",INDEX(Listado!F:F,ROW()))</f>
        <v/>
      </c>
      <c r="V2332" s="17">
        <f>IF(COUNTA(INDEX(Listado!B:B,ROW()):INDEX(Listado!F:F,ROW()))&gt;0,1,0)</f>
        <v/>
      </c>
      <c r="W2332" s="17" t="str">
        <f>IF(INDEX(Listado!L:L,ROW())="","",INDEX(Listado!L:L,ROW()))</f>
        <v/>
      </c>
      <c r="X2332" s="17">
        <f>IF(N2332="","",IF(INDEX(Listado!$M:$M,N2332)="No","No","Sí"))</f>
        <v/>
      </c>
    </row>
    <row r="2333" spans="2:24" ht="14.25">
      <c r="N2333" s="17" t="str">
        <f>IF(V2333=0,"",IFERROR(LOOKUP(2,1/(INDEX(Listado!A:A,2):INDEX(Listado!A:A,ROW())&lt;&gt;""),ROW(INDEX(Listado!A:A,2):INDEX(Listado!A:A,ROW()))),""))</f>
        <v/>
      </c>
      <c r="O2333" s="17" t="str">
        <f>IFERROR(IF(N2333="","",IF(INDEX(Listado!M:M,N2333)="No",IF(INDEX(Listado!N:N,N2333)=0,"",INDEX(Listado!N:N,N2333)),IF(INDEX(Listado!I:I,N2333)=0,"",INDEX(Listado!I:I,N2333)))),"")</f>
        <v/>
      </c>
      <c r="P2333" s="17">
        <f t="shared" ca="1" si="109"/>
        <v/>
      </c>
      <c r="Q2333" s="17">
        <f>IFERROR(IF(AND(N2333&lt;&gt;"",ISNUMBER(O2333),O2333&gt;0,O2333&gt;=TODAY()-90),1,0),0)</f>
        <v/>
      </c>
      <c r="R2333" s="17" t="str">
        <f t="shared" si="111"/>
        <v/>
      </c>
      <c r="S2333" s="17" t="str">
        <f>IF(INDEX(Listado!A:A,ROW())="","",INDEX(Listado!A:A,ROW()))</f>
        <v/>
      </c>
      <c r="T2333" s="17" t="str">
        <f ca="1">IF(INDEX(Listado!G:G,ROW())="","",INDEX(Listado!G:G,ROW()))</f>
        <v/>
      </c>
      <c r="U2333" s="17" t="str">
        <f>IF(INDEX(Listado!F:F,ROW())="","",INDEX(Listado!F:F,ROW()))</f>
        <v/>
      </c>
      <c r="V2333" s="17">
        <f>IF(COUNTA(INDEX(Listado!B:B,ROW()):INDEX(Listado!F:F,ROW()))&gt;0,1,0)</f>
        <v/>
      </c>
      <c r="W2333" s="17" t="str">
        <f>IF(INDEX(Listado!L:L,ROW())="","",INDEX(Listado!L:L,ROW()))</f>
        <v/>
      </c>
      <c r="X2333" s="17">
        <f>IF(N2333="","",IF(INDEX(Listado!$M:$M,N2333)="No","No","Sí"))</f>
        <v/>
      </c>
    </row>
    <row r="2334" spans="2:24" ht="14.25">
      <c r="N2334" s="17" t="str">
        <f>IF(V2334=0,"",IFERROR(LOOKUP(2,1/(INDEX(Listado!A:A,2):INDEX(Listado!A:A,ROW())&lt;&gt;""),ROW(INDEX(Listado!A:A,2):INDEX(Listado!A:A,ROW()))),""))</f>
        <v/>
      </c>
      <c r="O2334" s="17" t="str">
        <f>IFERROR(IF(N2334="","",IF(INDEX(Listado!M:M,N2334)="No",IF(INDEX(Listado!N:N,N2334)=0,"",INDEX(Listado!N:N,N2334)),IF(INDEX(Listado!I:I,N2334)=0,"",INDEX(Listado!I:I,N2334)))),"")</f>
        <v/>
      </c>
      <c r="P2334" s="17">
        <f t="shared" ca="1" si="109"/>
        <v/>
      </c>
      <c r="Q2334" s="17">
        <f>IFERROR(IF(AND(N2334&lt;&gt;"",ISNUMBER(O2334),O2334&gt;0,O2334&gt;=TODAY()-90),1,0),0)</f>
        <v/>
      </c>
      <c r="R2334" s="17" t="str">
        <f t="shared" si="111"/>
        <v/>
      </c>
      <c r="S2334" s="17" t="str">
        <f>IF(INDEX(Listado!A:A,ROW())="","",INDEX(Listado!A:A,ROW()))</f>
        <v/>
      </c>
      <c r="T2334" s="17" t="str">
        <f ca="1">IF(INDEX(Listado!G:G,ROW())="","",INDEX(Listado!G:G,ROW()))</f>
        <v/>
      </c>
      <c r="U2334" s="17" t="str">
        <f>IF(INDEX(Listado!F:F,ROW())="","",INDEX(Listado!F:F,ROW()))</f>
        <v/>
      </c>
      <c r="V2334" s="17">
        <f>IF(COUNTA(INDEX(Listado!B:B,ROW()):INDEX(Listado!F:F,ROW()))&gt;0,1,0)</f>
        <v/>
      </c>
      <c r="W2334" s="17" t="str">
        <f>IF(INDEX(Listado!L:L,ROW())="","",INDEX(Listado!L:L,ROW()))</f>
        <v/>
      </c>
      <c r="X2334" s="17">
        <f>IF(N2334="","",IF(INDEX(Listado!$M:$M,N2334)="No","No","Sí"))</f>
        <v/>
      </c>
    </row>
    <row r="2335" spans="2:24" ht="14.25">
      <c r="N2335" s="17" t="str">
        <f>IF(V2335=0,"",IFERROR(LOOKUP(2,1/(INDEX(Listado!A:A,2):INDEX(Listado!A:A,ROW())&lt;&gt;""),ROW(INDEX(Listado!A:A,2):INDEX(Listado!A:A,ROW()))),""))</f>
        <v/>
      </c>
      <c r="O2335" s="17" t="str">
        <f>IFERROR(IF(N2335="","",IF(INDEX(Listado!M:M,N2335)="No",IF(INDEX(Listado!N:N,N2335)=0,"",INDEX(Listado!N:N,N2335)),IF(INDEX(Listado!I:I,N2335)=0,"",INDEX(Listado!I:I,N2335)))),"")</f>
        <v/>
      </c>
      <c r="P2335" s="17">
        <f t="shared" ca="1" si="109"/>
        <v/>
      </c>
      <c r="Q2335" s="17">
        <f>IFERROR(IF(AND(N2335&lt;&gt;"",ISNUMBER(O2335),O2335&gt;0,O2335&gt;=TODAY()-90),1,0),0)</f>
        <v/>
      </c>
      <c r="R2335" s="17" t="str">
        <f t="shared" si="111"/>
        <v/>
      </c>
      <c r="S2335" s="17" t="str">
        <f>IF(INDEX(Listado!A:A,ROW())="","",INDEX(Listado!A:A,ROW()))</f>
        <v/>
      </c>
      <c r="T2335" s="17" t="str">
        <f ca="1">IF(INDEX(Listado!G:G,ROW())="","",INDEX(Listado!G:G,ROW()))</f>
        <v/>
      </c>
      <c r="U2335" s="17" t="str">
        <f>IF(INDEX(Listado!F:F,ROW())="","",INDEX(Listado!F:F,ROW()))</f>
        <v/>
      </c>
      <c r="V2335" s="17">
        <f>IF(COUNTA(INDEX(Listado!B:B,ROW()):INDEX(Listado!F:F,ROW()))&gt;0,1,0)</f>
        <v/>
      </c>
      <c r="W2335" s="17" t="str">
        <f>IF(INDEX(Listado!L:L,ROW())="","",INDEX(Listado!L:L,ROW()))</f>
        <v/>
      </c>
      <c r="X2335" s="17">
        <f>IF(N2335="","",IF(INDEX(Listado!$M:$M,N2335)="No","No","Sí"))</f>
        <v/>
      </c>
    </row>
    <row r="2336" spans="2:24" ht="14.25">
      <c r="N2336" s="17" t="str">
        <f>IF(V2336=0,"",IFERROR(LOOKUP(2,1/(INDEX(Listado!A:A,2):INDEX(Listado!A:A,ROW())&lt;&gt;""),ROW(INDEX(Listado!A:A,2):INDEX(Listado!A:A,ROW()))),""))</f>
        <v/>
      </c>
      <c r="O2336" s="17" t="str">
        <f>IFERROR(IF(N2336="","",IF(INDEX(Listado!M:M,N2336)="No",IF(INDEX(Listado!N:N,N2336)=0,"",INDEX(Listado!N:N,N2336)),IF(INDEX(Listado!I:I,N2336)=0,"",INDEX(Listado!I:I,N2336)))),"")</f>
        <v/>
      </c>
      <c r="P2336" s="17">
        <f t="shared" ca="1" si="109"/>
        <v/>
      </c>
      <c r="Q2336" s="17">
        <f>IFERROR(IF(AND(N2336&lt;&gt;"",ISNUMBER(O2336),O2336&gt;0,O2336&gt;=TODAY()-90),1,0),0)</f>
        <v/>
      </c>
      <c r="R2336" s="17" t="str">
        <f t="shared" si="111"/>
        <v/>
      </c>
      <c r="S2336" s="17" t="str">
        <f>IF(INDEX(Listado!A:A,ROW())="","",INDEX(Listado!A:A,ROW()))</f>
        <v/>
      </c>
      <c r="T2336" s="17" t="str">
        <f ca="1">IF(INDEX(Listado!G:G,ROW())="","",INDEX(Listado!G:G,ROW()))</f>
        <v/>
      </c>
      <c r="U2336" s="17" t="str">
        <f>IF(INDEX(Listado!F:F,ROW())="","",INDEX(Listado!F:F,ROW()))</f>
        <v/>
      </c>
      <c r="V2336" s="17">
        <f>IF(COUNTA(INDEX(Listado!B:B,ROW()):INDEX(Listado!F:F,ROW()))&gt;0,1,0)</f>
        <v/>
      </c>
      <c r="W2336" s="17" t="str">
        <f>IF(INDEX(Listado!L:L,ROW())="","",INDEX(Listado!L:L,ROW()))</f>
        <v/>
      </c>
      <c r="X2336" s="17">
        <f>IF(N2336="","",IF(INDEX(Listado!$M:$M,N2336)="No","No","Sí"))</f>
        <v/>
      </c>
    </row>
    <row r="2337" spans="2:24" ht="14.25">
      <c r="N2337" s="17" t="str">
        <f>IF(V2337=0,"",IFERROR(LOOKUP(2,1/(INDEX(Listado!A:A,2):INDEX(Listado!A:A,ROW())&lt;&gt;""),ROW(INDEX(Listado!A:A,2):INDEX(Listado!A:A,ROW()))),""))</f>
        <v/>
      </c>
      <c r="O2337" s="17" t="str">
        <f>IFERROR(IF(N2337="","",IF(INDEX(Listado!M:M,N2337)="No",IF(INDEX(Listado!N:N,N2337)=0,"",INDEX(Listado!N:N,N2337)),IF(INDEX(Listado!I:I,N2337)=0,"",INDEX(Listado!I:I,N2337)))),"")</f>
        <v/>
      </c>
      <c r="P2337" s="17">
        <f t="shared" ca="1" si="109"/>
        <v/>
      </c>
      <c r="Q2337" s="17">
        <f>IFERROR(IF(AND(N2337&lt;&gt;"",ISNUMBER(O2337),O2337&gt;0,O2337&gt;=TODAY()-90),1,0),0)</f>
        <v/>
      </c>
      <c r="R2337" s="17" t="str">
        <f t="shared" si="111"/>
        <v/>
      </c>
      <c r="S2337" s="17" t="str">
        <f>IF(INDEX(Listado!A:A,ROW())="","",INDEX(Listado!A:A,ROW()))</f>
        <v/>
      </c>
      <c r="T2337" s="17" t="str">
        <f ca="1">IF(INDEX(Listado!G:G,ROW())="","",INDEX(Listado!G:G,ROW()))</f>
        <v/>
      </c>
      <c r="U2337" s="17" t="str">
        <f>IF(INDEX(Listado!F:F,ROW())="","",INDEX(Listado!F:F,ROW()))</f>
        <v/>
      </c>
      <c r="V2337" s="17">
        <f>IF(COUNTA(INDEX(Listado!B:B,ROW()):INDEX(Listado!F:F,ROW()))&gt;0,1,0)</f>
        <v/>
      </c>
      <c r="W2337" s="17" t="str">
        <f>IF(INDEX(Listado!L:L,ROW())="","",INDEX(Listado!L:L,ROW()))</f>
        <v/>
      </c>
      <c r="X2337" s="17">
        <f>IF(N2337="","",IF(INDEX(Listado!$M:$M,N2337)="No","No","Sí"))</f>
        <v/>
      </c>
    </row>
    <row r="2338" spans="2:24" ht="14.25">
      <c r="N2338" s="17" t="str">
        <f>IF(V2338=0,"",IFERROR(LOOKUP(2,1/(INDEX(Listado!A:A,2):INDEX(Listado!A:A,ROW())&lt;&gt;""),ROW(INDEX(Listado!A:A,2):INDEX(Listado!A:A,ROW()))),""))</f>
        <v/>
      </c>
      <c r="O2338" s="17" t="str">
        <f>IFERROR(IF(N2338="","",IF(INDEX(Listado!M:M,N2338)="No",IF(INDEX(Listado!N:N,N2338)=0,"",INDEX(Listado!N:N,N2338)),IF(INDEX(Listado!I:I,N2338)=0,"",INDEX(Listado!I:I,N2338)))),"")</f>
        <v/>
      </c>
      <c r="P2338" s="17">
        <f t="shared" ca="1" si="109"/>
        <v/>
      </c>
      <c r="Q2338" s="17">
        <f>IFERROR(IF(AND(N2338&lt;&gt;"",ISNUMBER(O2338),O2338&gt;0,O2338&gt;=TODAY()-90),1,0),0)</f>
        <v/>
      </c>
      <c r="R2338" s="17" t="str">
        <f t="shared" si="111"/>
        <v/>
      </c>
      <c r="S2338" s="17" t="str">
        <f>IF(INDEX(Listado!A:A,ROW())="","",INDEX(Listado!A:A,ROW()))</f>
        <v/>
      </c>
      <c r="T2338" s="17" t="str">
        <f ca="1">IF(INDEX(Listado!G:G,ROW())="","",INDEX(Listado!G:G,ROW()))</f>
        <v/>
      </c>
      <c r="U2338" s="17" t="str">
        <f>IF(INDEX(Listado!F:F,ROW())="","",INDEX(Listado!F:F,ROW()))</f>
        <v/>
      </c>
      <c r="V2338" s="17">
        <f>IF(COUNTA(INDEX(Listado!B:B,ROW()):INDEX(Listado!F:F,ROW()))&gt;0,1,0)</f>
        <v/>
      </c>
      <c r="W2338" s="17" t="str">
        <f>IF(INDEX(Listado!L:L,ROW())="","",INDEX(Listado!L:L,ROW()))</f>
        <v/>
      </c>
      <c r="X2338" s="17">
        <f>IF(N2338="","",IF(INDEX(Listado!$M:$M,N2338)="No","No","Sí"))</f>
        <v/>
      </c>
    </row>
    <row r="2339" spans="2:24" ht="14.25">
      <c r="N2339" s="17" t="str">
        <f>IF(V2339=0,"",IFERROR(LOOKUP(2,1/(INDEX(Listado!A:A,2):INDEX(Listado!A:A,ROW())&lt;&gt;""),ROW(INDEX(Listado!A:A,2):INDEX(Listado!A:A,ROW()))),""))</f>
        <v/>
      </c>
      <c r="O2339" s="17" t="str">
        <f>IFERROR(IF(N2339="","",IF(INDEX(Listado!M:M,N2339)="No",IF(INDEX(Listado!N:N,N2339)=0,"",INDEX(Listado!N:N,N2339)),IF(INDEX(Listado!I:I,N2339)=0,"",INDEX(Listado!I:I,N2339)))),"")</f>
        <v/>
      </c>
      <c r="P2339" s="17">
        <f t="shared" ca="1" si="109"/>
        <v/>
      </c>
      <c r="Q2339" s="17">
        <f>IFERROR(IF(AND(N2339&lt;&gt;"",ISNUMBER(O2339),O2339&gt;0,O2339&gt;=TODAY()-90),1,0),0)</f>
        <v/>
      </c>
      <c r="R2339" s="17" t="str">
        <f t="shared" si="111"/>
        <v/>
      </c>
      <c r="S2339" s="17" t="str">
        <f>IF(INDEX(Listado!A:A,ROW())="","",INDEX(Listado!A:A,ROW()))</f>
        <v/>
      </c>
      <c r="T2339" s="17" t="str">
        <f ca="1">IF(INDEX(Listado!G:G,ROW())="","",INDEX(Listado!G:G,ROW()))</f>
        <v/>
      </c>
      <c r="U2339" s="17" t="str">
        <f>IF(INDEX(Listado!F:F,ROW())="","",INDEX(Listado!F:F,ROW()))</f>
        <v/>
      </c>
      <c r="V2339" s="17">
        <f>IF(COUNTA(INDEX(Listado!B:B,ROW()):INDEX(Listado!F:F,ROW()))&gt;0,1,0)</f>
        <v/>
      </c>
      <c r="W2339" s="17" t="str">
        <f>IF(INDEX(Listado!L:L,ROW())="","",INDEX(Listado!L:L,ROW()))</f>
        <v/>
      </c>
      <c r="X2339" s="17">
        <f>IF(N2339="","",IF(INDEX(Listado!$M:$M,N2339)="No","No","Sí"))</f>
        <v/>
      </c>
    </row>
    <row r="2340" spans="2:24" ht="14.25">
      <c r="N2340" s="17" t="str">
        <f>IF(V2340=0,"",IFERROR(LOOKUP(2,1/(INDEX(Listado!A:A,2):INDEX(Listado!A:A,ROW())&lt;&gt;""),ROW(INDEX(Listado!A:A,2):INDEX(Listado!A:A,ROW()))),""))</f>
        <v/>
      </c>
      <c r="O2340" s="17" t="str">
        <f>IFERROR(IF(N2340="","",IF(INDEX(Listado!M:M,N2340)="No",IF(INDEX(Listado!N:N,N2340)=0,"",INDEX(Listado!N:N,N2340)),IF(INDEX(Listado!I:I,N2340)=0,"",INDEX(Listado!I:I,N2340)))),"")</f>
        <v/>
      </c>
      <c r="P2340" s="17">
        <f t="shared" ca="1" si="109"/>
        <v/>
      </c>
      <c r="Q2340" s="17">
        <f>IFERROR(IF(AND(N2340&lt;&gt;"",ISNUMBER(O2340),O2340&gt;0,O2340&gt;=TODAY()-90),1,0),0)</f>
        <v/>
      </c>
      <c r="R2340" s="17" t="str">
        <f t="shared" si="111"/>
        <v/>
      </c>
      <c r="S2340" s="17" t="str">
        <f>IF(INDEX(Listado!A:A,ROW())="","",INDEX(Listado!A:A,ROW()))</f>
        <v/>
      </c>
      <c r="T2340" s="17" t="str">
        <f ca="1">IF(INDEX(Listado!G:G,ROW())="","",INDEX(Listado!G:G,ROW()))</f>
        <v/>
      </c>
      <c r="U2340" s="17" t="str">
        <f>IF(INDEX(Listado!F:F,ROW())="","",INDEX(Listado!F:F,ROW()))</f>
        <v/>
      </c>
      <c r="V2340" s="17">
        <f>IF(COUNTA(INDEX(Listado!B:B,ROW()):INDEX(Listado!F:F,ROW()))&gt;0,1,0)</f>
        <v/>
      </c>
      <c r="W2340" s="17" t="str">
        <f>IF(INDEX(Listado!L:L,ROW())="","",INDEX(Listado!L:L,ROW()))</f>
        <v/>
      </c>
      <c r="X2340" s="17">
        <f>IF(N2340="","",IF(INDEX(Listado!$M:$M,N2340)="No","No","Sí"))</f>
        <v/>
      </c>
    </row>
    <row r="2341" spans="2:24" ht="14.25">
      <c r="N2341" s="17" t="str">
        <f>IF(V2341=0,"",IFERROR(LOOKUP(2,1/(INDEX(Listado!A:A,2):INDEX(Listado!A:A,ROW())&lt;&gt;""),ROW(INDEX(Listado!A:A,2):INDEX(Listado!A:A,ROW()))),""))</f>
        <v/>
      </c>
      <c r="O2341" s="17" t="str">
        <f>IFERROR(IF(N2341="","",IF(INDEX(Listado!M:M,N2341)="No",IF(INDEX(Listado!N:N,N2341)=0,"",INDEX(Listado!N:N,N2341)),IF(INDEX(Listado!I:I,N2341)=0,"",INDEX(Listado!I:I,N2341)))),"")</f>
        <v/>
      </c>
      <c r="P2341" s="17">
        <f t="shared" ca="1" si="109"/>
        <v/>
      </c>
      <c r="Q2341" s="17">
        <f>IFERROR(IF(AND(N2341&lt;&gt;"",ISNUMBER(O2341),O2341&gt;0,O2341&gt;=TODAY()-90),1,0),0)</f>
        <v/>
      </c>
      <c r="R2341" s="17" t="str">
        <f t="shared" si="111"/>
        <v/>
      </c>
      <c r="S2341" s="17" t="str">
        <f>IF(INDEX(Listado!A:A,ROW())="","",INDEX(Listado!A:A,ROW()))</f>
        <v/>
      </c>
      <c r="T2341" s="17" t="str">
        <f ca="1">IF(INDEX(Listado!G:G,ROW())="","",INDEX(Listado!G:G,ROW()))</f>
        <v/>
      </c>
      <c r="U2341" s="17" t="str">
        <f>IF(INDEX(Listado!F:F,ROW())="","",INDEX(Listado!F:F,ROW()))</f>
        <v/>
      </c>
      <c r="V2341" s="17">
        <f>IF(COUNTA(INDEX(Listado!B:B,ROW()):INDEX(Listado!F:F,ROW()))&gt;0,1,0)</f>
        <v/>
      </c>
      <c r="W2341" s="17" t="str">
        <f>IF(INDEX(Listado!L:L,ROW())="","",INDEX(Listado!L:L,ROW()))</f>
        <v/>
      </c>
      <c r="X2341" s="17">
        <f>IF(N2341="","",IF(INDEX(Listado!$M:$M,N2341)="No","No","Sí"))</f>
        <v/>
      </c>
    </row>
    <row r="2342" spans="2:24" ht="14.25">
      <c r="N2342" s="17" t="str">
        <f>IF(V2342=0,"",IFERROR(LOOKUP(2,1/(INDEX(Listado!A:A,2):INDEX(Listado!A:A,ROW())&lt;&gt;""),ROW(INDEX(Listado!A:A,2):INDEX(Listado!A:A,ROW()))),""))</f>
        <v/>
      </c>
      <c r="O2342" s="17" t="str">
        <f>IFERROR(IF(N2342="","",IF(INDEX(Listado!M:M,N2342)="No",IF(INDEX(Listado!N:N,N2342)=0,"",INDEX(Listado!N:N,N2342)),IF(INDEX(Listado!I:I,N2342)=0,"",INDEX(Listado!I:I,N2342)))),"")</f>
        <v/>
      </c>
      <c r="P2342" s="17">
        <f t="shared" ca="1" si="109"/>
        <v/>
      </c>
      <c r="Q2342" s="17">
        <f>IFERROR(IF(AND(N2342&lt;&gt;"",ISNUMBER(O2342),O2342&gt;0,O2342&gt;=TODAY()-90),1,0),0)</f>
        <v/>
      </c>
      <c r="R2342" s="17" t="str">
        <f t="shared" si="111"/>
        <v/>
      </c>
      <c r="S2342" s="17" t="str">
        <f>IF(INDEX(Listado!A:A,ROW())="","",INDEX(Listado!A:A,ROW()))</f>
        <v/>
      </c>
      <c r="T2342" s="17" t="str">
        <f ca="1">IF(INDEX(Listado!G:G,ROW())="","",INDEX(Listado!G:G,ROW()))</f>
        <v/>
      </c>
      <c r="U2342" s="17" t="str">
        <f>IF(INDEX(Listado!F:F,ROW())="","",INDEX(Listado!F:F,ROW()))</f>
        <v/>
      </c>
      <c r="V2342" s="17">
        <f>IF(COUNTA(INDEX(Listado!B:B,ROW()):INDEX(Listado!F:F,ROW()))&gt;0,1,0)</f>
        <v/>
      </c>
      <c r="W2342" s="17" t="str">
        <f>IF(INDEX(Listado!L:L,ROW())="","",INDEX(Listado!L:L,ROW()))</f>
        <v/>
      </c>
      <c r="X2342" s="17">
        <f>IF(N2342="","",IF(INDEX(Listado!$M:$M,N2342)="No","No","Sí"))</f>
        <v/>
      </c>
    </row>
    <row r="2343" spans="2:24" ht="14.25">
      <c r="N2343" s="17" t="str">
        <f>IF(V2343=0,"",IFERROR(LOOKUP(2,1/(INDEX(Listado!A:A,2):INDEX(Listado!A:A,ROW())&lt;&gt;""),ROW(INDEX(Listado!A:A,2):INDEX(Listado!A:A,ROW()))),""))</f>
        <v/>
      </c>
      <c r="O2343" s="17" t="str">
        <f>IFERROR(IF(N2343="","",IF(INDEX(Listado!M:M,N2343)="No",IF(INDEX(Listado!N:N,N2343)=0,"",INDEX(Listado!N:N,N2343)),IF(INDEX(Listado!I:I,N2343)=0,"",INDEX(Listado!I:I,N2343)))),"")</f>
        <v/>
      </c>
      <c r="P2343" s="17">
        <f t="shared" ca="1" si="109"/>
        <v/>
      </c>
      <c r="Q2343" s="17">
        <f>IFERROR(IF(AND(N2343&lt;&gt;"",ISNUMBER(O2343),O2343&gt;0,O2343&gt;=TODAY()-90),1,0),0)</f>
        <v/>
      </c>
      <c r="R2343" s="17" t="str">
        <f t="shared" si="111"/>
        <v/>
      </c>
      <c r="S2343" s="17" t="str">
        <f>IF(INDEX(Listado!A:A,ROW())="","",INDEX(Listado!A:A,ROW()))</f>
        <v/>
      </c>
      <c r="T2343" s="17" t="str">
        <f ca="1">IF(INDEX(Listado!G:G,ROW())="","",INDEX(Listado!G:G,ROW()))</f>
        <v/>
      </c>
      <c r="U2343" s="17" t="str">
        <f>IF(INDEX(Listado!F:F,ROW())="","",INDEX(Listado!F:F,ROW()))</f>
        <v/>
      </c>
      <c r="V2343" s="17">
        <f>IF(COUNTA(INDEX(Listado!B:B,ROW()):INDEX(Listado!F:F,ROW()))&gt;0,1,0)</f>
        <v/>
      </c>
      <c r="W2343" s="17" t="str">
        <f>IF(INDEX(Listado!L:L,ROW())="","",INDEX(Listado!L:L,ROW()))</f>
        <v/>
      </c>
      <c r="X2343" s="17">
        <f>IF(N2343="","",IF(INDEX(Listado!$M:$M,N2343)="No","No","Sí"))</f>
        <v/>
      </c>
    </row>
    <row r="2344" spans="2:24" ht="14.25">
      <c r="N2344" s="17" t="str">
        <f>IF(V2344=0,"",IFERROR(LOOKUP(2,1/(INDEX(Listado!A:A,2):INDEX(Listado!A:A,ROW())&lt;&gt;""),ROW(INDEX(Listado!A:A,2):INDEX(Listado!A:A,ROW()))),""))</f>
        <v/>
      </c>
      <c r="O2344" s="17" t="str">
        <f>IFERROR(IF(N2344="","",IF(INDEX(Listado!M:M,N2344)="No",IF(INDEX(Listado!N:N,N2344)=0,"",INDEX(Listado!N:N,N2344)),IF(INDEX(Listado!I:I,N2344)=0,"",INDEX(Listado!I:I,N2344)))),"")</f>
        <v/>
      </c>
      <c r="P2344" s="17">
        <f t="shared" ca="1" si="109"/>
        <v/>
      </c>
      <c r="Q2344" s="17">
        <f>IFERROR(IF(AND(N2344&lt;&gt;"",ISNUMBER(O2344),O2344&gt;0,O2344&gt;=TODAY()-90),1,0),0)</f>
        <v/>
      </c>
      <c r="R2344" s="17" t="str">
        <f t="shared" si="111"/>
        <v/>
      </c>
      <c r="S2344" s="17" t="str">
        <f>IF(INDEX(Listado!A:A,ROW())="","",INDEX(Listado!A:A,ROW()))</f>
        <v/>
      </c>
      <c r="T2344" s="17" t="str">
        <f ca="1">IF(INDEX(Listado!G:G,ROW())="","",INDEX(Listado!G:G,ROW()))</f>
        <v/>
      </c>
      <c r="U2344" s="17" t="str">
        <f>IF(INDEX(Listado!F:F,ROW())="","",INDEX(Listado!F:F,ROW()))</f>
        <v/>
      </c>
      <c r="V2344" s="17">
        <f>IF(COUNTA(INDEX(Listado!B:B,ROW()):INDEX(Listado!F:F,ROW()))&gt;0,1,0)</f>
        <v/>
      </c>
      <c r="W2344" s="17" t="str">
        <f>IF(INDEX(Listado!L:L,ROW())="","",INDEX(Listado!L:L,ROW()))</f>
        <v/>
      </c>
      <c r="X2344" s="17">
        <f>IF(N2344="","",IF(INDEX(Listado!$M:$M,N2344)="No","No","Sí"))</f>
        <v/>
      </c>
    </row>
    <row r="2345" spans="2:24" ht="14.25">
      <c r="N2345" s="17" t="str">
        <f>IF(V2345=0,"",IFERROR(LOOKUP(2,1/(INDEX(Listado!A:A,2):INDEX(Listado!A:A,ROW())&lt;&gt;""),ROW(INDEX(Listado!A:A,2):INDEX(Listado!A:A,ROW()))),""))</f>
        <v/>
      </c>
      <c r="O2345" s="17" t="str">
        <f>IFERROR(IF(N2345="","",IF(INDEX(Listado!M:M,N2345)="No",IF(INDEX(Listado!N:N,N2345)=0,"",INDEX(Listado!N:N,N2345)),IF(INDEX(Listado!I:I,N2345)=0,"",INDEX(Listado!I:I,N2345)))),"")</f>
        <v/>
      </c>
      <c r="P2345" s="17">
        <f t="shared" ca="1" si="109"/>
        <v/>
      </c>
      <c r="Q2345" s="17">
        <f>IFERROR(IF(AND(N2345&lt;&gt;"",ISNUMBER(O2345),O2345&gt;0,O2345&gt;=TODAY()-90),1,0),0)</f>
        <v/>
      </c>
      <c r="R2345" s="17" t="str">
        <f t="shared" si="111"/>
        <v/>
      </c>
      <c r="S2345" s="17" t="str">
        <f>IF(INDEX(Listado!A:A,ROW())="","",INDEX(Listado!A:A,ROW()))</f>
        <v/>
      </c>
      <c r="T2345" s="17" t="str">
        <f ca="1">IF(INDEX(Listado!G:G,ROW())="","",INDEX(Listado!G:G,ROW()))</f>
        <v/>
      </c>
      <c r="U2345" s="17" t="str">
        <f>IF(INDEX(Listado!F:F,ROW())="","",INDEX(Listado!F:F,ROW()))</f>
        <v/>
      </c>
      <c r="V2345" s="17">
        <f>IF(COUNTA(INDEX(Listado!B:B,ROW()):INDEX(Listado!F:F,ROW()))&gt;0,1,0)</f>
        <v/>
      </c>
      <c r="W2345" s="17" t="str">
        <f>IF(INDEX(Listado!L:L,ROW())="","",INDEX(Listado!L:L,ROW()))</f>
        <v/>
      </c>
      <c r="X2345" s="17">
        <f>IF(N2345="","",IF(INDEX(Listado!$M:$M,N2345)="No","No","Sí"))</f>
        <v/>
      </c>
    </row>
    <row r="2346" spans="2:24" ht="14.25">
      <c r="N2346" s="17" t="str">
        <f>IF(V2346=0,"",IFERROR(LOOKUP(2,1/(INDEX(Listado!A:A,2):INDEX(Listado!A:A,ROW())&lt;&gt;""),ROW(INDEX(Listado!A:A,2):INDEX(Listado!A:A,ROW()))),""))</f>
        <v/>
      </c>
      <c r="O2346" s="17" t="str">
        <f>IFERROR(IF(N2346="","",IF(INDEX(Listado!M:M,N2346)="No",IF(INDEX(Listado!N:N,N2346)=0,"",INDEX(Listado!N:N,N2346)),IF(INDEX(Listado!I:I,N2346)=0,"",INDEX(Listado!I:I,N2346)))),"")</f>
        <v/>
      </c>
      <c r="P2346" s="17">
        <f t="shared" ca="1" si="109"/>
        <v/>
      </c>
      <c r="Q2346" s="17">
        <f>IFERROR(IF(AND(N2346&lt;&gt;"",ISNUMBER(O2346),O2346&gt;0,O2346&gt;=TODAY()-90),1,0),0)</f>
        <v/>
      </c>
      <c r="R2346" s="17" t="str">
        <f t="shared" si="111"/>
        <v/>
      </c>
      <c r="S2346" s="17" t="str">
        <f>IF(INDEX(Listado!A:A,ROW())="","",INDEX(Listado!A:A,ROW()))</f>
        <v/>
      </c>
      <c r="T2346" s="17" t="str">
        <f ca="1">IF(INDEX(Listado!G:G,ROW())="","",INDEX(Listado!G:G,ROW()))</f>
        <v/>
      </c>
      <c r="U2346" s="17" t="str">
        <f>IF(INDEX(Listado!F:F,ROW())="","",INDEX(Listado!F:F,ROW()))</f>
        <v/>
      </c>
      <c r="V2346" s="17">
        <f>IF(COUNTA(INDEX(Listado!B:B,ROW()):INDEX(Listado!F:F,ROW()))&gt;0,1,0)</f>
        <v/>
      </c>
      <c r="W2346" s="17" t="str">
        <f>IF(INDEX(Listado!L:L,ROW())="","",INDEX(Listado!L:L,ROW()))</f>
        <v/>
      </c>
      <c r="X2346" s="17">
        <f>IF(N2346="","",IF(INDEX(Listado!$M:$M,N2346)="No","No","Sí"))</f>
        <v/>
      </c>
    </row>
    <row r="2347" spans="2:24" ht="14.25">
      <c r="N2347" s="17" t="str">
        <f>IF(V2347=0,"",IFERROR(LOOKUP(2,1/(INDEX(Listado!A:A,2):INDEX(Listado!A:A,ROW())&lt;&gt;""),ROW(INDEX(Listado!A:A,2):INDEX(Listado!A:A,ROW()))),""))</f>
        <v/>
      </c>
      <c r="O2347" s="17" t="str">
        <f>IFERROR(IF(N2347="","",IF(INDEX(Listado!M:M,N2347)="No",IF(INDEX(Listado!N:N,N2347)=0,"",INDEX(Listado!N:N,N2347)),IF(INDEX(Listado!I:I,N2347)=0,"",INDEX(Listado!I:I,N2347)))),"")</f>
        <v/>
      </c>
      <c r="P2347" s="17">
        <f t="shared" ca="1" si="109"/>
        <v/>
      </c>
      <c r="Q2347" s="17">
        <f>IFERROR(IF(AND(N2347&lt;&gt;"",ISNUMBER(O2347),O2347&gt;0,O2347&gt;=TODAY()-90),1,0),0)</f>
        <v/>
      </c>
      <c r="R2347" s="17" t="str">
        <f t="shared" si="111"/>
        <v/>
      </c>
      <c r="S2347" s="17" t="str">
        <f>IF(INDEX(Listado!A:A,ROW())="","",INDEX(Listado!A:A,ROW()))</f>
        <v/>
      </c>
      <c r="T2347" s="17" t="str">
        <f ca="1">IF(INDEX(Listado!G:G,ROW())="","",INDEX(Listado!G:G,ROW()))</f>
        <v/>
      </c>
      <c r="U2347" s="17" t="str">
        <f>IF(INDEX(Listado!F:F,ROW())="","",INDEX(Listado!F:F,ROW()))</f>
        <v/>
      </c>
      <c r="V2347" s="17">
        <f>IF(COUNTA(INDEX(Listado!B:B,ROW()):INDEX(Listado!F:F,ROW()))&gt;0,1,0)</f>
        <v/>
      </c>
      <c r="W2347" s="17" t="str">
        <f>IF(INDEX(Listado!L:L,ROW())="","",INDEX(Listado!L:L,ROW()))</f>
        <v/>
      </c>
      <c r="X2347" s="17">
        <f>IF(N2347="","",IF(INDEX(Listado!$M:$M,N2347)="No","No","Sí"))</f>
        <v/>
      </c>
    </row>
    <row r="2348" spans="2:24" ht="14.25">
      <c r="N2348" s="17" t="str">
        <f>IF(V2348=0,"",IFERROR(LOOKUP(2,1/(INDEX(Listado!A:A,2):INDEX(Listado!A:A,ROW())&lt;&gt;""),ROW(INDEX(Listado!A:A,2):INDEX(Listado!A:A,ROW()))),""))</f>
        <v/>
      </c>
      <c r="O2348" s="17" t="str">
        <f>IFERROR(IF(N2348="","",IF(INDEX(Listado!M:M,N2348)="No",IF(INDEX(Listado!N:N,N2348)=0,"",INDEX(Listado!N:N,N2348)),IF(INDEX(Listado!I:I,N2348)=0,"",INDEX(Listado!I:I,N2348)))),"")</f>
        <v/>
      </c>
      <c r="P2348" s="17">
        <f t="shared" ca="1" si="109"/>
        <v/>
      </c>
      <c r="Q2348" s="17">
        <f>IFERROR(IF(AND(N2348&lt;&gt;"",ISNUMBER(O2348),O2348&gt;0,O2348&gt;=TODAY()-90),1,0),0)</f>
        <v/>
      </c>
      <c r="R2348" s="17" t="str">
        <f t="shared" si="111"/>
        <v/>
      </c>
      <c r="S2348" s="17" t="str">
        <f>IF(INDEX(Listado!A:A,ROW())="","",INDEX(Listado!A:A,ROW()))</f>
        <v/>
      </c>
      <c r="T2348" s="17" t="str">
        <f ca="1">IF(INDEX(Listado!G:G,ROW())="","",INDEX(Listado!G:G,ROW()))</f>
        <v/>
      </c>
      <c r="U2348" s="17" t="str">
        <f>IF(INDEX(Listado!F:F,ROW())="","",INDEX(Listado!F:F,ROW()))</f>
        <v/>
      </c>
      <c r="V2348" s="17">
        <f>IF(COUNTA(INDEX(Listado!B:B,ROW()):INDEX(Listado!F:F,ROW()))&gt;0,1,0)</f>
        <v/>
      </c>
      <c r="W2348" s="17" t="str">
        <f>IF(INDEX(Listado!L:L,ROW())="","",INDEX(Listado!L:L,ROW()))</f>
        <v/>
      </c>
      <c r="X2348" s="17">
        <f>IF(N2348="","",IF(INDEX(Listado!$M:$M,N2348)="No","No","Sí"))</f>
        <v/>
      </c>
    </row>
    <row r="2349" spans="2:24" ht="14.25">
      <c r="N2349" s="17" t="str">
        <f>IF(V2349=0,"",IFERROR(LOOKUP(2,1/(INDEX(Listado!A:A,2):INDEX(Listado!A:A,ROW())&lt;&gt;""),ROW(INDEX(Listado!A:A,2):INDEX(Listado!A:A,ROW()))),""))</f>
        <v/>
      </c>
      <c r="O2349" s="17" t="str">
        <f>IFERROR(IF(N2349="","",IF(INDEX(Listado!M:M,N2349)="No",IF(INDEX(Listado!N:N,N2349)=0,"",INDEX(Listado!N:N,N2349)),IF(INDEX(Listado!I:I,N2349)=0,"",INDEX(Listado!I:I,N2349)))),"")</f>
        <v/>
      </c>
      <c r="P2349" s="17">
        <f t="shared" ca="1" si="109"/>
        <v/>
      </c>
      <c r="Q2349" s="17">
        <f>IFERROR(IF(AND(N2349&lt;&gt;"",ISNUMBER(O2349),O2349&gt;0,O2349&gt;=TODAY()-90),1,0),0)</f>
        <v/>
      </c>
      <c r="R2349" s="17" t="str">
        <f t="shared" si="111"/>
        <v/>
      </c>
      <c r="S2349" s="17" t="str">
        <f>IF(INDEX(Listado!A:A,ROW())="","",INDEX(Listado!A:A,ROW()))</f>
        <v/>
      </c>
      <c r="T2349" s="17" t="str">
        <f ca="1">IF(INDEX(Listado!G:G,ROW())="","",INDEX(Listado!G:G,ROW()))</f>
        <v/>
      </c>
      <c r="U2349" s="17" t="str">
        <f>IF(INDEX(Listado!F:F,ROW())="","",INDEX(Listado!F:F,ROW()))</f>
        <v/>
      </c>
      <c r="V2349" s="17">
        <f>IF(COUNTA(INDEX(Listado!B:B,ROW()):INDEX(Listado!F:F,ROW()))&gt;0,1,0)</f>
        <v/>
      </c>
      <c r="W2349" s="17" t="str">
        <f>IF(INDEX(Listado!L:L,ROW())="","",INDEX(Listado!L:L,ROW()))</f>
        <v/>
      </c>
      <c r="X2349" s="17">
        <f>IF(N2349="","",IF(INDEX(Listado!$M:$M,N2349)="No","No","Sí"))</f>
        <v/>
      </c>
    </row>
    <row r="2350" spans="2:24" ht="14.25">
      <c r="N2350" s="17" t="str">
        <f>IF(V2350=0,"",IFERROR(LOOKUP(2,1/(INDEX(Listado!A:A,2):INDEX(Listado!A:A,ROW())&lt;&gt;""),ROW(INDEX(Listado!A:A,2):INDEX(Listado!A:A,ROW()))),""))</f>
        <v/>
      </c>
      <c r="O2350" s="17" t="str">
        <f>IFERROR(IF(N2350="","",IF(INDEX(Listado!M:M,N2350)="No",IF(INDEX(Listado!N:N,N2350)=0,"",INDEX(Listado!N:N,N2350)),IF(INDEX(Listado!I:I,N2350)=0,"",INDEX(Listado!I:I,N2350)))),"")</f>
        <v/>
      </c>
      <c r="P2350" s="17">
        <f t="shared" ca="1" si="109"/>
        <v/>
      </c>
      <c r="Q2350" s="17">
        <f>IFERROR(IF(AND(N2350&lt;&gt;"",ISNUMBER(O2350),O2350&gt;0,O2350&gt;=TODAY()-90),1,0),0)</f>
        <v/>
      </c>
      <c r="R2350" s="17" t="str">
        <f t="shared" si="111"/>
        <v/>
      </c>
      <c r="S2350" s="17" t="str">
        <f>IF(INDEX(Listado!A:A,ROW())="","",INDEX(Listado!A:A,ROW()))</f>
        <v/>
      </c>
      <c r="T2350" s="17" t="str">
        <f ca="1">IF(INDEX(Listado!G:G,ROW())="","",INDEX(Listado!G:G,ROW()))</f>
        <v/>
      </c>
      <c r="U2350" s="17" t="str">
        <f>IF(INDEX(Listado!F:F,ROW())="","",INDEX(Listado!F:F,ROW()))</f>
        <v/>
      </c>
      <c r="V2350" s="17">
        <f>IF(COUNTA(INDEX(Listado!B:B,ROW()):INDEX(Listado!F:F,ROW()))&gt;0,1,0)</f>
        <v/>
      </c>
      <c r="W2350" s="17" t="str">
        <f>IF(INDEX(Listado!L:L,ROW())="","",INDEX(Listado!L:L,ROW()))</f>
        <v/>
      </c>
      <c r="X2350" s="17">
        <f>IF(N2350="","",IF(INDEX(Listado!$M:$M,N2350)="No","No","Sí"))</f>
        <v/>
      </c>
    </row>
    <row r="2351" spans="2:24" ht="14.25">
      <c r="N2351" s="17" t="str">
        <f>IF(V2351=0,"",IFERROR(LOOKUP(2,1/(INDEX(Listado!A:A,2):INDEX(Listado!A:A,ROW())&lt;&gt;""),ROW(INDEX(Listado!A:A,2):INDEX(Listado!A:A,ROW()))),""))</f>
        <v/>
      </c>
      <c r="O2351" s="17" t="str">
        <f>IFERROR(IF(N2351="","",IF(INDEX(Listado!M:M,N2351)="No",IF(INDEX(Listado!N:N,N2351)=0,"",INDEX(Listado!N:N,N2351)),IF(INDEX(Listado!I:I,N2351)=0,"",INDEX(Listado!I:I,N2351)))),"")</f>
        <v/>
      </c>
      <c r="P2351" s="17">
        <f t="shared" ca="1" si="109"/>
        <v/>
      </c>
      <c r="Q2351" s="17">
        <f>IFERROR(IF(AND(N2351&lt;&gt;"",ISNUMBER(O2351),O2351&gt;0,O2351&gt;=TODAY()-90),1,0),0)</f>
        <v/>
      </c>
      <c r="R2351" s="17" t="str">
        <f t="shared" si="111"/>
        <v/>
      </c>
      <c r="S2351" s="17" t="str">
        <f>IF(INDEX(Listado!A:A,ROW())="","",INDEX(Listado!A:A,ROW()))</f>
        <v/>
      </c>
      <c r="T2351" s="17" t="str">
        <f ca="1">IF(INDEX(Listado!G:G,ROW())="","",INDEX(Listado!G:G,ROW()))</f>
        <v/>
      </c>
      <c r="U2351" s="17" t="str">
        <f>IF(INDEX(Listado!F:F,ROW())="","",INDEX(Listado!F:F,ROW()))</f>
        <v/>
      </c>
      <c r="V2351" s="17">
        <f>IF(COUNTA(INDEX(Listado!B:B,ROW()):INDEX(Listado!F:F,ROW()))&gt;0,1,0)</f>
        <v/>
      </c>
      <c r="W2351" s="17" t="str">
        <f>IF(INDEX(Listado!L:L,ROW())="","",INDEX(Listado!L:L,ROW()))</f>
        <v/>
      </c>
      <c r="X2351" s="17">
        <f>IF(N2351="","",IF(INDEX(Listado!$M:$M,N2351)="No","No","Sí"))</f>
        <v/>
      </c>
    </row>
    <row r="2352" spans="2:24" ht="14.25">
      <c r="N2352" s="17" t="str">
        <f>IF(V2352=0,"",IFERROR(LOOKUP(2,1/(INDEX(Listado!A:A,2):INDEX(Listado!A:A,ROW())&lt;&gt;""),ROW(INDEX(Listado!A:A,2):INDEX(Listado!A:A,ROW()))),""))</f>
        <v/>
      </c>
      <c r="O2352" s="17" t="str">
        <f>IFERROR(IF(N2352="","",IF(INDEX(Listado!M:M,N2352)="No",IF(INDEX(Listado!N:N,N2352)=0,"",INDEX(Listado!N:N,N2352)),IF(INDEX(Listado!I:I,N2352)=0,"",INDEX(Listado!I:I,N2352)))),"")</f>
        <v/>
      </c>
      <c r="P2352" s="17">
        <f t="shared" ca="1" si="109"/>
        <v/>
      </c>
      <c r="Q2352" s="17">
        <f>IFERROR(IF(AND(N2352&lt;&gt;"",ISNUMBER(O2352),O2352&gt;0,O2352&gt;=TODAY()-90),1,0),0)</f>
        <v/>
      </c>
      <c r="R2352" s="17" t="str">
        <f t="shared" si="111"/>
        <v/>
      </c>
      <c r="S2352" s="17" t="str">
        <f>IF(INDEX(Listado!A:A,ROW())="","",INDEX(Listado!A:A,ROW()))</f>
        <v/>
      </c>
      <c r="T2352" s="17" t="str">
        <f ca="1">IF(INDEX(Listado!G:G,ROW())="","",INDEX(Listado!G:G,ROW()))</f>
        <v/>
      </c>
      <c r="U2352" s="17" t="str">
        <f>IF(INDEX(Listado!F:F,ROW())="","",INDEX(Listado!F:F,ROW()))</f>
        <v/>
      </c>
      <c r="V2352" s="17">
        <f>IF(COUNTA(INDEX(Listado!B:B,ROW()):INDEX(Listado!F:F,ROW()))&gt;0,1,0)</f>
        <v/>
      </c>
      <c r="W2352" s="17" t="str">
        <f>IF(INDEX(Listado!L:L,ROW())="","",INDEX(Listado!L:L,ROW()))</f>
        <v/>
      </c>
      <c r="X2352" s="17">
        <f>IF(N2352="","",IF(INDEX(Listado!$M:$M,N2352)="No","No","Sí"))</f>
        <v/>
      </c>
    </row>
    <row r="2353" spans="2:24" ht="14.25">
      <c r="N2353" s="17" t="str">
        <f>IF(V2353=0,"",IFERROR(LOOKUP(2,1/(INDEX(Listado!A:A,2):INDEX(Listado!A:A,ROW())&lt;&gt;""),ROW(INDEX(Listado!A:A,2):INDEX(Listado!A:A,ROW()))),""))</f>
        <v/>
      </c>
      <c r="O2353" s="17" t="str">
        <f>IFERROR(IF(N2353="","",IF(INDEX(Listado!M:M,N2353)="No",IF(INDEX(Listado!N:N,N2353)=0,"",INDEX(Listado!N:N,N2353)),IF(INDEX(Listado!I:I,N2353)=0,"",INDEX(Listado!I:I,N2353)))),"")</f>
        <v/>
      </c>
      <c r="P2353" s="17">
        <f t="shared" ca="1" si="109"/>
        <v/>
      </c>
      <c r="Q2353" s="17">
        <f>IFERROR(IF(AND(N2353&lt;&gt;"",ISNUMBER(O2353),O2353&gt;0,O2353&gt;=TODAY()-90),1,0),0)</f>
        <v/>
      </c>
      <c r="R2353" s="17" t="str">
        <f t="shared" si="111"/>
        <v/>
      </c>
      <c r="S2353" s="17" t="str">
        <f>IF(INDEX(Listado!A:A,ROW())="","",INDEX(Listado!A:A,ROW()))</f>
        <v/>
      </c>
      <c r="T2353" s="17" t="str">
        <f ca="1">IF(INDEX(Listado!G:G,ROW())="","",INDEX(Listado!G:G,ROW()))</f>
        <v/>
      </c>
      <c r="U2353" s="17" t="str">
        <f>IF(INDEX(Listado!F:F,ROW())="","",INDEX(Listado!F:F,ROW()))</f>
        <v/>
      </c>
      <c r="V2353" s="17">
        <f>IF(COUNTA(INDEX(Listado!B:B,ROW()):INDEX(Listado!F:F,ROW()))&gt;0,1,0)</f>
        <v/>
      </c>
      <c r="W2353" s="17" t="str">
        <f>IF(INDEX(Listado!L:L,ROW())="","",INDEX(Listado!L:L,ROW()))</f>
        <v/>
      </c>
      <c r="X2353" s="17">
        <f>IF(N2353="","",IF(INDEX(Listado!$M:$M,N2353)="No","No","Sí"))</f>
        <v/>
      </c>
    </row>
    <row r="2354" spans="2:24" ht="14.25">
      <c r="N2354" s="17" t="str">
        <f>IF(V2354=0,"",IFERROR(LOOKUP(2,1/(INDEX(Listado!A:A,2):INDEX(Listado!A:A,ROW())&lt;&gt;""),ROW(INDEX(Listado!A:A,2):INDEX(Listado!A:A,ROW()))),""))</f>
        <v/>
      </c>
      <c r="O2354" s="17" t="str">
        <f>IFERROR(IF(N2354="","",IF(INDEX(Listado!M:M,N2354)="No",IF(INDEX(Listado!N:N,N2354)=0,"",INDEX(Listado!N:N,N2354)),IF(INDEX(Listado!I:I,N2354)=0,"",INDEX(Listado!I:I,N2354)))),"")</f>
        <v/>
      </c>
      <c r="P2354" s="17">
        <f t="shared" ca="1" si="109"/>
        <v/>
      </c>
      <c r="Q2354" s="17">
        <f>IFERROR(IF(AND(N2354&lt;&gt;"",ISNUMBER(O2354),O2354&gt;0,O2354&gt;=TODAY()-90),1,0),0)</f>
        <v/>
      </c>
      <c r="R2354" s="17" t="str">
        <f t="shared" si="111"/>
        <v/>
      </c>
      <c r="S2354" s="17" t="str">
        <f>IF(INDEX(Listado!A:A,ROW())="","",INDEX(Listado!A:A,ROW()))</f>
        <v/>
      </c>
      <c r="T2354" s="17" t="str">
        <f ca="1">IF(INDEX(Listado!G:G,ROW())="","",INDEX(Listado!G:G,ROW()))</f>
        <v/>
      </c>
      <c r="U2354" s="17" t="str">
        <f>IF(INDEX(Listado!F:F,ROW())="","",INDEX(Listado!F:F,ROW()))</f>
        <v/>
      </c>
      <c r="V2354" s="17">
        <f>IF(COUNTA(INDEX(Listado!B:B,ROW()):INDEX(Listado!F:F,ROW()))&gt;0,1,0)</f>
        <v/>
      </c>
      <c r="W2354" s="17" t="str">
        <f>IF(INDEX(Listado!L:L,ROW())="","",INDEX(Listado!L:L,ROW()))</f>
        <v/>
      </c>
      <c r="X2354" s="17">
        <f>IF(N2354="","",IF(INDEX(Listado!$M:$M,N2354)="No","No","Sí"))</f>
        <v/>
      </c>
    </row>
    <row r="2355" spans="2:24" ht="14.25">
      <c r="N2355" s="17" t="str">
        <f>IF(V2355=0,"",IFERROR(LOOKUP(2,1/(INDEX(Listado!A:A,2):INDEX(Listado!A:A,ROW())&lt;&gt;""),ROW(INDEX(Listado!A:A,2):INDEX(Listado!A:A,ROW()))),""))</f>
        <v/>
      </c>
      <c r="O2355" s="17" t="str">
        <f>IFERROR(IF(N2355="","",IF(INDEX(Listado!M:M,N2355)="No",IF(INDEX(Listado!N:N,N2355)=0,"",INDEX(Listado!N:N,N2355)),IF(INDEX(Listado!I:I,N2355)=0,"",INDEX(Listado!I:I,N2355)))),"")</f>
        <v/>
      </c>
      <c r="P2355" s="17">
        <f t="shared" ca="1" si="109"/>
        <v/>
      </c>
      <c r="Q2355" s="17">
        <f>IFERROR(IF(AND(N2355&lt;&gt;"",ISNUMBER(O2355),O2355&gt;0,O2355&gt;=TODAY()-90),1,0),0)</f>
        <v/>
      </c>
      <c r="R2355" s="17" t="str">
        <f t="shared" si="111"/>
        <v/>
      </c>
      <c r="S2355" s="17" t="str">
        <f>IF(INDEX(Listado!A:A,ROW())="","",INDEX(Listado!A:A,ROW()))</f>
        <v/>
      </c>
      <c r="T2355" s="17" t="str">
        <f ca="1">IF(INDEX(Listado!G:G,ROW())="","",INDEX(Listado!G:G,ROW()))</f>
        <v/>
      </c>
      <c r="U2355" s="17" t="str">
        <f>IF(INDEX(Listado!F:F,ROW())="","",INDEX(Listado!F:F,ROW()))</f>
        <v/>
      </c>
      <c r="V2355" s="17">
        <f>IF(COUNTA(INDEX(Listado!B:B,ROW()):INDEX(Listado!F:F,ROW()))&gt;0,1,0)</f>
        <v/>
      </c>
      <c r="W2355" s="17" t="str">
        <f>IF(INDEX(Listado!L:L,ROW())="","",INDEX(Listado!L:L,ROW()))</f>
        <v/>
      </c>
      <c r="X2355" s="17">
        <f>IF(N2355="","",IF(INDEX(Listado!$M:$M,N2355)="No","No","Sí"))</f>
        <v/>
      </c>
    </row>
    <row r="2356" spans="2:24" ht="14.25">
      <c r="N2356" s="17" t="str">
        <f>IF(V2356=0,"",IFERROR(LOOKUP(2,1/(INDEX(Listado!A:A,2):INDEX(Listado!A:A,ROW())&lt;&gt;""),ROW(INDEX(Listado!A:A,2):INDEX(Listado!A:A,ROW()))),""))</f>
        <v/>
      </c>
      <c r="O2356" s="17" t="str">
        <f>IFERROR(IF(N2356="","",IF(INDEX(Listado!M:M,N2356)="No",IF(INDEX(Listado!N:N,N2356)=0,"",INDEX(Listado!N:N,N2356)),IF(INDEX(Listado!I:I,N2356)=0,"",INDEX(Listado!I:I,N2356)))),"")</f>
        <v/>
      </c>
      <c r="P2356" s="17">
        <f t="shared" ca="1" si="109"/>
        <v/>
      </c>
      <c r="Q2356" s="17">
        <f>IFERROR(IF(AND(N2356&lt;&gt;"",ISNUMBER(O2356),O2356&gt;0,O2356&gt;=TODAY()-90),1,0),0)</f>
        <v/>
      </c>
      <c r="R2356" s="17" t="str">
        <f t="shared" si="111"/>
        <v/>
      </c>
      <c r="S2356" s="17" t="str">
        <f>IF(INDEX(Listado!A:A,ROW())="","",INDEX(Listado!A:A,ROW()))</f>
        <v/>
      </c>
      <c r="T2356" s="17" t="str">
        <f ca="1">IF(INDEX(Listado!G:G,ROW())="","",INDEX(Listado!G:G,ROW()))</f>
        <v/>
      </c>
      <c r="U2356" s="17" t="str">
        <f>IF(INDEX(Listado!F:F,ROW())="","",INDEX(Listado!F:F,ROW()))</f>
        <v/>
      </c>
      <c r="V2356" s="17">
        <f>IF(COUNTA(INDEX(Listado!B:B,ROW()):INDEX(Listado!F:F,ROW()))&gt;0,1,0)</f>
        <v/>
      </c>
      <c r="W2356" s="17" t="str">
        <f>IF(INDEX(Listado!L:L,ROW())="","",INDEX(Listado!L:L,ROW()))</f>
        <v/>
      </c>
      <c r="X2356" s="17">
        <f>IF(N2356="","",IF(INDEX(Listado!$M:$M,N2356)="No","No","Sí"))</f>
        <v/>
      </c>
    </row>
    <row r="2357" spans="2:24" ht="14.25">
      <c r="N2357" s="17" t="str">
        <f>IF(V2357=0,"",IFERROR(LOOKUP(2,1/(INDEX(Listado!A:A,2):INDEX(Listado!A:A,ROW())&lt;&gt;""),ROW(INDEX(Listado!A:A,2):INDEX(Listado!A:A,ROW()))),""))</f>
        <v/>
      </c>
      <c r="O2357" s="17" t="str">
        <f>IFERROR(IF(N2357="","",IF(INDEX(Listado!M:M,N2357)="No",IF(INDEX(Listado!N:N,N2357)=0,"",INDEX(Listado!N:N,N2357)),IF(INDEX(Listado!I:I,N2357)=0,"",INDEX(Listado!I:I,N2357)))),"")</f>
        <v/>
      </c>
      <c r="P2357" s="17">
        <f t="shared" ca="1" si="109"/>
        <v/>
      </c>
      <c r="Q2357" s="17">
        <f>IFERROR(IF(AND(N2357&lt;&gt;"",ISNUMBER(O2357),O2357&gt;0,O2357&gt;=TODAY()-90),1,0),0)</f>
        <v/>
      </c>
      <c r="R2357" s="17" t="str">
        <f t="shared" si="111"/>
        <v/>
      </c>
      <c r="S2357" s="17" t="str">
        <f>IF(INDEX(Listado!A:A,ROW())="","",INDEX(Listado!A:A,ROW()))</f>
        <v/>
      </c>
      <c r="T2357" s="17" t="str">
        <f ca="1">IF(INDEX(Listado!G:G,ROW())="","",INDEX(Listado!G:G,ROW()))</f>
        <v/>
      </c>
      <c r="U2357" s="17" t="str">
        <f>IF(INDEX(Listado!F:F,ROW())="","",INDEX(Listado!F:F,ROW()))</f>
        <v/>
      </c>
      <c r="V2357" s="17">
        <f>IF(COUNTA(INDEX(Listado!B:B,ROW()):INDEX(Listado!F:F,ROW()))&gt;0,1,0)</f>
        <v/>
      </c>
      <c r="W2357" s="17" t="str">
        <f>IF(INDEX(Listado!L:L,ROW())="","",INDEX(Listado!L:L,ROW()))</f>
        <v/>
      </c>
      <c r="X2357" s="17">
        <f>IF(N2357="","",IF(INDEX(Listado!$M:$M,N2357)="No","No","Sí"))</f>
        <v/>
      </c>
    </row>
    <row r="2358" spans="2:24" ht="14.25">
      <c r="N2358" s="17" t="str">
        <f>IF(V2358=0,"",IFERROR(LOOKUP(2,1/(INDEX(Listado!A:A,2):INDEX(Listado!A:A,ROW())&lt;&gt;""),ROW(INDEX(Listado!A:A,2):INDEX(Listado!A:A,ROW()))),""))</f>
        <v/>
      </c>
      <c r="O2358" s="17" t="str">
        <f>IFERROR(IF(N2358="","",IF(INDEX(Listado!M:M,N2358)="No",IF(INDEX(Listado!N:N,N2358)=0,"",INDEX(Listado!N:N,N2358)),IF(INDEX(Listado!I:I,N2358)=0,"",INDEX(Listado!I:I,N2358)))),"")</f>
        <v/>
      </c>
      <c r="P2358" s="17">
        <f t="shared" ca="1" si="109"/>
        <v/>
      </c>
      <c r="Q2358" s="17">
        <f>IFERROR(IF(AND(N2358&lt;&gt;"",ISNUMBER(O2358),O2358&gt;0,O2358&gt;=TODAY()-90),1,0),0)</f>
        <v/>
      </c>
      <c r="R2358" s="17" t="str">
        <f t="shared" si="111"/>
        <v/>
      </c>
      <c r="S2358" s="17" t="str">
        <f>IF(INDEX(Listado!A:A,ROW())="","",INDEX(Listado!A:A,ROW()))</f>
        <v/>
      </c>
      <c r="T2358" s="17" t="str">
        <f ca="1">IF(INDEX(Listado!G:G,ROW())="","",INDEX(Listado!G:G,ROW()))</f>
        <v/>
      </c>
      <c r="U2358" s="17" t="str">
        <f>IF(INDEX(Listado!F:F,ROW())="","",INDEX(Listado!F:F,ROW()))</f>
        <v/>
      </c>
      <c r="V2358" s="17">
        <f>IF(COUNTA(INDEX(Listado!B:B,ROW()):INDEX(Listado!F:F,ROW()))&gt;0,1,0)</f>
        <v/>
      </c>
      <c r="W2358" s="17" t="str">
        <f>IF(INDEX(Listado!L:L,ROW())="","",INDEX(Listado!L:L,ROW()))</f>
        <v/>
      </c>
      <c r="X2358" s="17">
        <f>IF(N2358="","",IF(INDEX(Listado!$M:$M,N2358)="No","No","Sí"))</f>
        <v/>
      </c>
    </row>
    <row r="2359" spans="2:24" ht="14.25">
      <c r="N2359" s="17" t="str">
        <f>IF(V2359=0,"",IFERROR(LOOKUP(2,1/(INDEX(Listado!A:A,2):INDEX(Listado!A:A,ROW())&lt;&gt;""),ROW(INDEX(Listado!A:A,2):INDEX(Listado!A:A,ROW()))),""))</f>
        <v/>
      </c>
      <c r="O2359" s="17" t="str">
        <f>IFERROR(IF(N2359="","",IF(INDEX(Listado!M:M,N2359)="No",IF(INDEX(Listado!N:N,N2359)=0,"",INDEX(Listado!N:N,N2359)),IF(INDEX(Listado!I:I,N2359)=0,"",INDEX(Listado!I:I,N2359)))),"")</f>
        <v/>
      </c>
      <c r="P2359" s="17">
        <f t="shared" ca="1" si="109"/>
        <v/>
      </c>
      <c r="Q2359" s="17">
        <f>IFERROR(IF(AND(N2359&lt;&gt;"",ISNUMBER(O2359),O2359&gt;0,O2359&gt;=TODAY()-90),1,0),0)</f>
        <v/>
      </c>
      <c r="R2359" s="17" t="str">
        <f t="shared" si="111"/>
        <v/>
      </c>
      <c r="S2359" s="17" t="str">
        <f>IF(INDEX(Listado!A:A,ROW())="","",INDEX(Listado!A:A,ROW()))</f>
        <v/>
      </c>
      <c r="T2359" s="17" t="str">
        <f ca="1">IF(INDEX(Listado!G:G,ROW())="","",INDEX(Listado!G:G,ROW()))</f>
        <v/>
      </c>
      <c r="U2359" s="17" t="str">
        <f>IF(INDEX(Listado!F:F,ROW())="","",INDEX(Listado!F:F,ROW()))</f>
        <v/>
      </c>
      <c r="V2359" s="17">
        <f>IF(COUNTA(INDEX(Listado!B:B,ROW()):INDEX(Listado!F:F,ROW()))&gt;0,1,0)</f>
        <v/>
      </c>
      <c r="W2359" s="17" t="str">
        <f>IF(INDEX(Listado!L:L,ROW())="","",INDEX(Listado!L:L,ROW()))</f>
        <v/>
      </c>
      <c r="X2359" s="17">
        <f>IF(N2359="","",IF(INDEX(Listado!$M:$M,N2359)="No","No","Sí"))</f>
        <v/>
      </c>
    </row>
    <row r="2360" spans="2:24" ht="14.25">
      <c r="N2360" s="17" t="str">
        <f>IF(V2360=0,"",IFERROR(LOOKUP(2,1/(INDEX(Listado!A:A,2):INDEX(Listado!A:A,ROW())&lt;&gt;""),ROW(INDEX(Listado!A:A,2):INDEX(Listado!A:A,ROW()))),""))</f>
        <v/>
      </c>
      <c r="O2360" s="17" t="str">
        <f>IFERROR(IF(N2360="","",IF(INDEX(Listado!M:M,N2360)="No",IF(INDEX(Listado!N:N,N2360)=0,"",INDEX(Listado!N:N,N2360)),IF(INDEX(Listado!I:I,N2360)=0,"",INDEX(Listado!I:I,N2360)))),"")</f>
        <v/>
      </c>
      <c r="P2360" s="17">
        <f t="shared" ca="1" si="109"/>
        <v/>
      </c>
      <c r="Q2360" s="17">
        <f>IFERROR(IF(AND(N2360&lt;&gt;"",ISNUMBER(O2360),O2360&gt;0,O2360&gt;=TODAY()-90),1,0),0)</f>
        <v/>
      </c>
      <c r="R2360" s="17" t="str">
        <f t="shared" si="111"/>
        <v/>
      </c>
      <c r="S2360" s="17" t="str">
        <f>IF(INDEX(Listado!A:A,ROW())="","",INDEX(Listado!A:A,ROW()))</f>
        <v/>
      </c>
      <c r="T2360" s="17" t="str">
        <f ca="1">IF(INDEX(Listado!G:G,ROW())="","",INDEX(Listado!G:G,ROW()))</f>
        <v/>
      </c>
      <c r="U2360" s="17" t="str">
        <f>IF(INDEX(Listado!F:F,ROW())="","",INDEX(Listado!F:F,ROW()))</f>
        <v/>
      </c>
      <c r="V2360" s="17">
        <f>IF(COUNTA(INDEX(Listado!B:B,ROW()):INDEX(Listado!F:F,ROW()))&gt;0,1,0)</f>
        <v/>
      </c>
      <c r="W2360" s="17" t="str">
        <f>IF(INDEX(Listado!L:L,ROW())="","",INDEX(Listado!L:L,ROW()))</f>
        <v/>
      </c>
      <c r="X2360" s="17">
        <f>IF(N2360="","",IF(INDEX(Listado!$M:$M,N2360)="No","No","Sí"))</f>
        <v/>
      </c>
    </row>
    <row r="2361" spans="2:24" ht="14.25">
      <c r="N2361" s="17" t="str">
        <f>IF(V2361=0,"",IFERROR(LOOKUP(2,1/(INDEX(Listado!A:A,2):INDEX(Listado!A:A,ROW())&lt;&gt;""),ROW(INDEX(Listado!A:A,2):INDEX(Listado!A:A,ROW()))),""))</f>
        <v/>
      </c>
      <c r="O2361" s="17" t="str">
        <f>IFERROR(IF(N2361="","",IF(INDEX(Listado!M:M,N2361)="No",IF(INDEX(Listado!N:N,N2361)=0,"",INDEX(Listado!N:N,N2361)),IF(INDEX(Listado!I:I,N2361)=0,"",INDEX(Listado!I:I,N2361)))),"")</f>
        <v/>
      </c>
      <c r="P2361" s="17">
        <f t="shared" ca="1" si="109"/>
        <v/>
      </c>
      <c r="Q2361" s="17">
        <f>IFERROR(IF(AND(N2361&lt;&gt;"",ISNUMBER(O2361),O2361&gt;0,O2361&gt;=TODAY()-90),1,0),0)</f>
        <v/>
      </c>
      <c r="R2361" s="17" t="str">
        <f t="shared" si="111"/>
        <v/>
      </c>
      <c r="S2361" s="17" t="str">
        <f>IF(INDEX(Listado!A:A,ROW())="","",INDEX(Listado!A:A,ROW()))</f>
        <v/>
      </c>
      <c r="T2361" s="17" t="str">
        <f ca="1">IF(INDEX(Listado!G:G,ROW())="","",INDEX(Listado!G:G,ROW()))</f>
        <v/>
      </c>
      <c r="U2361" s="17" t="str">
        <f>IF(INDEX(Listado!F:F,ROW())="","",INDEX(Listado!F:F,ROW()))</f>
        <v/>
      </c>
      <c r="V2361" s="17">
        <f>IF(COUNTA(INDEX(Listado!B:B,ROW()):INDEX(Listado!F:F,ROW()))&gt;0,1,0)</f>
        <v/>
      </c>
      <c r="W2361" s="17" t="str">
        <f>IF(INDEX(Listado!L:L,ROW())="","",INDEX(Listado!L:L,ROW()))</f>
        <v/>
      </c>
      <c r="X2361" s="17">
        <f>IF(N2361="","",IF(INDEX(Listado!$M:$M,N2361)="No","No","Sí"))</f>
        <v/>
      </c>
    </row>
    <row r="2362" spans="2:24" ht="14.25">
      <c r="N2362" s="17" t="str">
        <f>IF(V2362=0,"",IFERROR(LOOKUP(2,1/(INDEX(Listado!A:A,2):INDEX(Listado!A:A,ROW())&lt;&gt;""),ROW(INDEX(Listado!A:A,2):INDEX(Listado!A:A,ROW()))),""))</f>
        <v/>
      </c>
      <c r="O2362" s="17" t="str">
        <f>IFERROR(IF(N2362="","",IF(INDEX(Listado!M:M,N2362)="No",IF(INDEX(Listado!N:N,N2362)=0,"",INDEX(Listado!N:N,N2362)),IF(INDEX(Listado!I:I,N2362)=0,"",INDEX(Listado!I:I,N2362)))),"")</f>
        <v/>
      </c>
      <c r="P2362" s="17">
        <f t="shared" ca="1" si="109"/>
        <v/>
      </c>
      <c r="Q2362" s="17">
        <f>IFERROR(IF(AND(N2362&lt;&gt;"",ISNUMBER(O2362),O2362&gt;0,O2362&gt;=TODAY()-90),1,0),0)</f>
        <v/>
      </c>
      <c r="R2362" s="17" t="str">
        <f t="shared" si="111"/>
        <v/>
      </c>
      <c r="S2362" s="17" t="str">
        <f>IF(INDEX(Listado!A:A,ROW())="","",INDEX(Listado!A:A,ROW()))</f>
        <v/>
      </c>
      <c r="T2362" s="17" t="str">
        <f ca="1">IF(INDEX(Listado!G:G,ROW())="","",INDEX(Listado!G:G,ROW()))</f>
        <v/>
      </c>
      <c r="U2362" s="17" t="str">
        <f>IF(INDEX(Listado!F:F,ROW())="","",INDEX(Listado!F:F,ROW()))</f>
        <v/>
      </c>
      <c r="V2362" s="17">
        <f>IF(COUNTA(INDEX(Listado!B:B,ROW()):INDEX(Listado!F:F,ROW()))&gt;0,1,0)</f>
        <v/>
      </c>
      <c r="W2362" s="17" t="str">
        <f>IF(INDEX(Listado!L:L,ROW())="","",INDEX(Listado!L:L,ROW()))</f>
        <v/>
      </c>
      <c r="X2362" s="17">
        <f>IF(N2362="","",IF(INDEX(Listado!$M:$M,N2362)="No","No","Sí"))</f>
        <v/>
      </c>
    </row>
    <row r="2363" spans="2:24" ht="14.25">
      <c r="N2363" s="17" t="str">
        <f>IF(V2363=0,"",IFERROR(LOOKUP(2,1/(INDEX(Listado!A:A,2):INDEX(Listado!A:A,ROW())&lt;&gt;""),ROW(INDEX(Listado!A:A,2):INDEX(Listado!A:A,ROW()))),""))</f>
        <v/>
      </c>
      <c r="O2363" s="17" t="str">
        <f>IFERROR(IF(N2363="","",IF(INDEX(Listado!M:M,N2363)="No",IF(INDEX(Listado!N:N,N2363)=0,"",INDEX(Listado!N:N,N2363)),IF(INDEX(Listado!I:I,N2363)=0,"",INDEX(Listado!I:I,N2363)))),"")</f>
        <v/>
      </c>
      <c r="P2363" s="17">
        <f t="shared" ca="1" si="109"/>
        <v/>
      </c>
      <c r="Q2363" s="17">
        <f>IFERROR(IF(AND(N2363&lt;&gt;"",ISNUMBER(O2363),O2363&gt;0,O2363&gt;=TODAY()-90),1,0),0)</f>
        <v/>
      </c>
      <c r="R2363" s="17" t="str">
        <f t="shared" si="111"/>
        <v/>
      </c>
      <c r="S2363" s="17" t="str">
        <f>IF(INDEX(Listado!A:A,ROW())="","",INDEX(Listado!A:A,ROW()))</f>
        <v/>
      </c>
      <c r="T2363" s="17" t="str">
        <f ca="1">IF(INDEX(Listado!G:G,ROW())="","",INDEX(Listado!G:G,ROW()))</f>
        <v/>
      </c>
      <c r="U2363" s="17" t="str">
        <f>IF(INDEX(Listado!F:F,ROW())="","",INDEX(Listado!F:F,ROW()))</f>
        <v/>
      </c>
      <c r="V2363" s="17">
        <f>IF(COUNTA(INDEX(Listado!B:B,ROW()):INDEX(Listado!F:F,ROW()))&gt;0,1,0)</f>
        <v/>
      </c>
      <c r="W2363" s="17" t="str">
        <f>IF(INDEX(Listado!L:L,ROW())="","",INDEX(Listado!L:L,ROW()))</f>
        <v/>
      </c>
      <c r="X2363" s="17">
        <f>IF(N2363="","",IF(INDEX(Listado!$M:$M,N2363)="No","No","Sí"))</f>
        <v/>
      </c>
    </row>
    <row r="2364" spans="2:24" ht="14.25">
      <c r="N2364" s="17" t="str">
        <f>IF(V2364=0,"",IFERROR(LOOKUP(2,1/(INDEX(Listado!A:A,2):INDEX(Listado!A:A,ROW())&lt;&gt;""),ROW(INDEX(Listado!A:A,2):INDEX(Listado!A:A,ROW()))),""))</f>
        <v/>
      </c>
      <c r="O2364" s="17" t="str">
        <f>IFERROR(IF(N2364="","",IF(INDEX(Listado!M:M,N2364)="No",IF(INDEX(Listado!N:N,N2364)=0,"",INDEX(Listado!N:N,N2364)),IF(INDEX(Listado!I:I,N2364)=0,"",INDEX(Listado!I:I,N2364)))),"")</f>
        <v/>
      </c>
      <c r="P2364" s="17">
        <f t="shared" ca="1" si="109"/>
        <v/>
      </c>
      <c r="Q2364" s="17">
        <f>IFERROR(IF(AND(N2364&lt;&gt;"",ISNUMBER(O2364),O2364&gt;0,O2364&gt;=TODAY()-90),1,0),0)</f>
        <v/>
      </c>
      <c r="R2364" s="17" t="str">
        <f t="shared" si="111"/>
        <v/>
      </c>
      <c r="S2364" s="17" t="str">
        <f>IF(INDEX(Listado!A:A,ROW())="","",INDEX(Listado!A:A,ROW()))</f>
        <v/>
      </c>
      <c r="T2364" s="17" t="str">
        <f ca="1">IF(INDEX(Listado!G:G,ROW())="","",INDEX(Listado!G:G,ROW()))</f>
        <v/>
      </c>
      <c r="U2364" s="17" t="str">
        <f>IF(INDEX(Listado!F:F,ROW())="","",INDEX(Listado!F:F,ROW()))</f>
        <v/>
      </c>
      <c r="V2364" s="17">
        <f>IF(COUNTA(INDEX(Listado!B:B,ROW()):INDEX(Listado!F:F,ROW()))&gt;0,1,0)</f>
        <v/>
      </c>
      <c r="W2364" s="17" t="str">
        <f>IF(INDEX(Listado!L:L,ROW())="","",INDEX(Listado!L:L,ROW()))</f>
        <v/>
      </c>
      <c r="X2364" s="17">
        <f>IF(N2364="","",IF(INDEX(Listado!$M:$M,N2364)="No","No","Sí"))</f>
        <v/>
      </c>
    </row>
    <row r="2365" spans="2:24" ht="14.25">
      <c r="N2365" s="17" t="str">
        <f>IF(V2365=0,"",IFERROR(LOOKUP(2,1/(INDEX(Listado!A:A,2):INDEX(Listado!A:A,ROW())&lt;&gt;""),ROW(INDEX(Listado!A:A,2):INDEX(Listado!A:A,ROW()))),""))</f>
        <v/>
      </c>
      <c r="O2365" s="17" t="str">
        <f>IFERROR(IF(N2365="","",IF(INDEX(Listado!M:M,N2365)="No",IF(INDEX(Listado!N:N,N2365)=0,"",INDEX(Listado!N:N,N2365)),IF(INDEX(Listado!I:I,N2365)=0,"",INDEX(Listado!I:I,N2365)))),"")</f>
        <v/>
      </c>
      <c r="P2365" s="17">
        <f t="shared" ca="1" si="109"/>
        <v/>
      </c>
      <c r="Q2365" s="17">
        <f>IFERROR(IF(AND(N2365&lt;&gt;"",ISNUMBER(O2365),O2365&gt;0,O2365&gt;=TODAY()-90),1,0),0)</f>
        <v/>
      </c>
      <c r="R2365" s="17" t="str">
        <f t="shared" si="111"/>
        <v/>
      </c>
      <c r="S2365" s="17" t="str">
        <f>IF(INDEX(Listado!A:A,ROW())="","",INDEX(Listado!A:A,ROW()))</f>
        <v/>
      </c>
      <c r="T2365" s="17" t="str">
        <f ca="1">IF(INDEX(Listado!G:G,ROW())="","",INDEX(Listado!G:G,ROW()))</f>
        <v/>
      </c>
      <c r="U2365" s="17" t="str">
        <f>IF(INDEX(Listado!F:F,ROW())="","",INDEX(Listado!F:F,ROW()))</f>
        <v/>
      </c>
      <c r="V2365" s="17">
        <f>IF(COUNTA(INDEX(Listado!B:B,ROW()):INDEX(Listado!F:F,ROW()))&gt;0,1,0)</f>
        <v/>
      </c>
      <c r="W2365" s="17" t="str">
        <f>IF(INDEX(Listado!L:L,ROW())="","",INDEX(Listado!L:L,ROW()))</f>
        <v/>
      </c>
      <c r="X2365" s="17">
        <f>IF(N2365="","",IF(INDEX(Listado!$M:$M,N2365)="No","No","Sí"))</f>
        <v/>
      </c>
    </row>
    <row r="2366" spans="2:24" ht="14.25">
      <c r="N2366" s="17" t="str">
        <f>IF(V2366=0,"",IFERROR(LOOKUP(2,1/(INDEX(Listado!A:A,2):INDEX(Listado!A:A,ROW())&lt;&gt;""),ROW(INDEX(Listado!A:A,2):INDEX(Listado!A:A,ROW()))),""))</f>
        <v/>
      </c>
      <c r="O2366" s="17" t="str">
        <f>IFERROR(IF(N2366="","",IF(INDEX(Listado!M:M,N2366)="No",IF(INDEX(Listado!N:N,N2366)=0,"",INDEX(Listado!N:N,N2366)),IF(INDEX(Listado!I:I,N2366)=0,"",INDEX(Listado!I:I,N2366)))),"")</f>
        <v/>
      </c>
      <c r="P2366" s="17">
        <f t="shared" ca="1" si="109"/>
        <v/>
      </c>
      <c r="Q2366" s="17">
        <f>IFERROR(IF(AND(N2366&lt;&gt;"",ISNUMBER(O2366),O2366&gt;0,O2366&gt;=TODAY()-90),1,0),0)</f>
        <v/>
      </c>
      <c r="R2366" s="17" t="str">
        <f t="shared" si="111"/>
        <v/>
      </c>
      <c r="S2366" s="17" t="str">
        <f>IF(INDEX(Listado!A:A,ROW())="","",INDEX(Listado!A:A,ROW()))</f>
        <v/>
      </c>
      <c r="T2366" s="17" t="str">
        <f ca="1">IF(INDEX(Listado!G:G,ROW())="","",INDEX(Listado!G:G,ROW()))</f>
        <v/>
      </c>
      <c r="U2366" s="17" t="str">
        <f>IF(INDEX(Listado!F:F,ROW())="","",INDEX(Listado!F:F,ROW()))</f>
        <v/>
      </c>
      <c r="V2366" s="17">
        <f>IF(COUNTA(INDEX(Listado!B:B,ROW()):INDEX(Listado!F:F,ROW()))&gt;0,1,0)</f>
        <v/>
      </c>
      <c r="W2366" s="17" t="str">
        <f>IF(INDEX(Listado!L:L,ROW())="","",INDEX(Listado!L:L,ROW()))</f>
        <v/>
      </c>
      <c r="X2366" s="17">
        <f>IF(N2366="","",IF(INDEX(Listado!$M:$M,N2366)="No","No","Sí"))</f>
        <v/>
      </c>
    </row>
    <row r="2367" spans="2:24" ht="14.25">
      <c r="N2367" s="17" t="str">
        <f>IF(V2367=0,"",IFERROR(LOOKUP(2,1/(INDEX(Listado!A:A,2):INDEX(Listado!A:A,ROW())&lt;&gt;""),ROW(INDEX(Listado!A:A,2):INDEX(Listado!A:A,ROW()))),""))</f>
        <v/>
      </c>
      <c r="O2367" s="17" t="str">
        <f>IFERROR(IF(N2367="","",IF(INDEX(Listado!M:M,N2367)="No",IF(INDEX(Listado!N:N,N2367)=0,"",INDEX(Listado!N:N,N2367)),IF(INDEX(Listado!I:I,N2367)=0,"",INDEX(Listado!I:I,N2367)))),"")</f>
        <v/>
      </c>
      <c r="P2367" s="17">
        <f t="shared" ca="1" si="109"/>
        <v/>
      </c>
      <c r="Q2367" s="17">
        <f>IFERROR(IF(AND(N2367&lt;&gt;"",ISNUMBER(O2367),O2367&gt;0,O2367&gt;=TODAY()-90),1,0),0)</f>
        <v/>
      </c>
      <c r="R2367" s="17" t="str">
        <f t="shared" si="111"/>
        <v/>
      </c>
      <c r="S2367" s="17" t="str">
        <f>IF(INDEX(Listado!A:A,ROW())="","",INDEX(Listado!A:A,ROW()))</f>
        <v/>
      </c>
      <c r="T2367" s="17" t="str">
        <f ca="1">IF(INDEX(Listado!G:G,ROW())="","",INDEX(Listado!G:G,ROW()))</f>
        <v/>
      </c>
      <c r="U2367" s="17" t="str">
        <f>IF(INDEX(Listado!F:F,ROW())="","",INDEX(Listado!F:F,ROW()))</f>
        <v/>
      </c>
      <c r="V2367" s="17">
        <f>IF(COUNTA(INDEX(Listado!B:B,ROW()):INDEX(Listado!F:F,ROW()))&gt;0,1,0)</f>
        <v/>
      </c>
      <c r="W2367" s="17" t="str">
        <f>IF(INDEX(Listado!L:L,ROW())="","",INDEX(Listado!L:L,ROW()))</f>
        <v/>
      </c>
      <c r="X2367" s="17">
        <f>IF(N2367="","",IF(INDEX(Listado!$M:$M,N2367)="No","No","Sí"))</f>
        <v/>
      </c>
    </row>
    <row r="2368" spans="2:24" ht="14.25">
      <c r="N2368" s="17" t="str">
        <f>IF(V2368=0,"",IFERROR(LOOKUP(2,1/(INDEX(Listado!A:A,2):INDEX(Listado!A:A,ROW())&lt;&gt;""),ROW(INDEX(Listado!A:A,2):INDEX(Listado!A:A,ROW()))),""))</f>
        <v/>
      </c>
      <c r="O2368" s="17" t="str">
        <f>IFERROR(IF(N2368="","",IF(INDEX(Listado!M:M,N2368)="No",IF(INDEX(Listado!N:N,N2368)=0,"",INDEX(Listado!N:N,N2368)),IF(INDEX(Listado!I:I,N2368)=0,"",INDEX(Listado!I:I,N2368)))),"")</f>
        <v/>
      </c>
      <c r="P2368" s="17">
        <f t="shared" ca="1" si="109"/>
        <v/>
      </c>
      <c r="Q2368" s="17">
        <f>IFERROR(IF(AND(N2368&lt;&gt;"",ISNUMBER(O2368),O2368&gt;0,O2368&gt;=TODAY()-90),1,0),0)</f>
        <v/>
      </c>
      <c r="R2368" s="17" t="str">
        <f t="shared" si="111"/>
        <v/>
      </c>
      <c r="S2368" s="17" t="str">
        <f>IF(INDEX(Listado!A:A,ROW())="","",INDEX(Listado!A:A,ROW()))</f>
        <v/>
      </c>
      <c r="T2368" s="17" t="str">
        <f ca="1">IF(INDEX(Listado!G:G,ROW())="","",INDEX(Listado!G:G,ROW()))</f>
        <v/>
      </c>
      <c r="U2368" s="17" t="str">
        <f>IF(INDEX(Listado!F:F,ROW())="","",INDEX(Listado!F:F,ROW()))</f>
        <v/>
      </c>
      <c r="V2368" s="17">
        <f>IF(COUNTA(INDEX(Listado!B:B,ROW()):INDEX(Listado!F:F,ROW()))&gt;0,1,0)</f>
        <v/>
      </c>
      <c r="W2368" s="17" t="str">
        <f>IF(INDEX(Listado!L:L,ROW())="","",INDEX(Listado!L:L,ROW()))</f>
        <v/>
      </c>
      <c r="X2368" s="17">
        <f>IF(N2368="","",IF(INDEX(Listado!$M:$M,N2368)="No","No","Sí"))</f>
        <v/>
      </c>
    </row>
    <row r="2369" spans="2:24" ht="14.25">
      <c r="N2369" s="17" t="str">
        <f>IF(V2369=0,"",IFERROR(LOOKUP(2,1/(INDEX(Listado!A:A,2):INDEX(Listado!A:A,ROW())&lt;&gt;""),ROW(INDEX(Listado!A:A,2):INDEX(Listado!A:A,ROW()))),""))</f>
        <v/>
      </c>
      <c r="O2369" s="17" t="str">
        <f>IFERROR(IF(N2369="","",IF(INDEX(Listado!M:M,N2369)="No",IF(INDEX(Listado!N:N,N2369)=0,"",INDEX(Listado!N:N,N2369)),IF(INDEX(Listado!I:I,N2369)=0,"",INDEX(Listado!I:I,N2369)))),"")</f>
        <v/>
      </c>
      <c r="P2369" s="17">
        <f t="shared" ca="1" si="109"/>
        <v/>
      </c>
      <c r="Q2369" s="17">
        <f>IFERROR(IF(AND(N2369&lt;&gt;"",ISNUMBER(O2369),O2369&gt;0,O2369&gt;=TODAY()-90),1,0),0)</f>
        <v/>
      </c>
      <c r="R2369" s="17" t="str">
        <f t="shared" si="111"/>
        <v/>
      </c>
      <c r="S2369" s="17" t="str">
        <f>IF(INDEX(Listado!A:A,ROW())="","",INDEX(Listado!A:A,ROW()))</f>
        <v/>
      </c>
      <c r="T2369" s="17" t="str">
        <f ca="1">IF(INDEX(Listado!G:G,ROW())="","",INDEX(Listado!G:G,ROW()))</f>
        <v/>
      </c>
      <c r="U2369" s="17" t="str">
        <f>IF(INDEX(Listado!F:F,ROW())="","",INDEX(Listado!F:F,ROW()))</f>
        <v/>
      </c>
      <c r="V2369" s="17">
        <f>IF(COUNTA(INDEX(Listado!B:B,ROW()):INDEX(Listado!F:F,ROW()))&gt;0,1,0)</f>
        <v/>
      </c>
      <c r="W2369" s="17" t="str">
        <f>IF(INDEX(Listado!L:L,ROW())="","",INDEX(Listado!L:L,ROW()))</f>
        <v/>
      </c>
      <c r="X2369" s="17">
        <f>IF(N2369="","",IF(INDEX(Listado!$M:$M,N2369)="No","No","Sí"))</f>
        <v/>
      </c>
    </row>
    <row r="2370" spans="2:24" ht="14.25">
      <c r="N2370" s="17" t="str">
        <f>IF(V2370=0,"",IFERROR(LOOKUP(2,1/(INDEX(Listado!A:A,2):INDEX(Listado!A:A,ROW())&lt;&gt;""),ROW(INDEX(Listado!A:A,2):INDEX(Listado!A:A,ROW()))),""))</f>
        <v/>
      </c>
      <c r="O2370" s="17" t="str">
        <f>IFERROR(IF(N2370="","",IF(INDEX(Listado!M:M,N2370)="No",IF(INDEX(Listado!N:N,N2370)=0,"",INDEX(Listado!N:N,N2370)),IF(INDEX(Listado!I:I,N2370)=0,"",INDEX(Listado!I:I,N2370)))),"")</f>
        <v/>
      </c>
      <c r="P2370" s="17">
        <f t="shared" ref="P2370:P2433" ca="1" si="112">IF(W2370="",0,IFERROR(IF(AND(ISNUMBER(W2370),W2370=INT(W2370),ISNUMBER(O2370),O2370&gt;0,W2370&gt;=TODAY(),W2370&lt;=O2370+90),0,1),1))</f>
        <v/>
      </c>
      <c r="Q2370" s="17">
        <f>IFERROR(IF(AND(N2370&lt;&gt;"",ISNUMBER(O2370),O2370&gt;0,O2370&gt;=TODAY()-90),1,0),0)</f>
        <v/>
      </c>
      <c r="R2370" s="17" t="str">
        <f t="shared" ref="R2370:R2433" si="114">IF(S2370="","",COUNTIFS($N$2:$N$2999,ROW(),$Q$2:$Q$2999,1))</f>
        <v/>
      </c>
      <c r="S2370" s="17" t="str">
        <f>IF(INDEX(Listado!A:A,ROW())="","",INDEX(Listado!A:A,ROW()))</f>
        <v/>
      </c>
      <c r="T2370" s="17" t="str">
        <f ca="1">IF(INDEX(Listado!G:G,ROW())="","",INDEX(Listado!G:G,ROW()))</f>
        <v/>
      </c>
      <c r="U2370" s="17" t="str">
        <f>IF(INDEX(Listado!F:F,ROW())="","",INDEX(Listado!F:F,ROW()))</f>
        <v/>
      </c>
      <c r="V2370" s="17">
        <f>IF(COUNTA(INDEX(Listado!B:B,ROW()):INDEX(Listado!F:F,ROW()))&gt;0,1,0)</f>
        <v/>
      </c>
      <c r="W2370" s="17" t="str">
        <f>IF(INDEX(Listado!L:L,ROW())="","",INDEX(Listado!L:L,ROW()))</f>
        <v/>
      </c>
      <c r="X2370" s="17">
        <f>IF(N2370="","",IF(INDEX(Listado!$M:$M,N2370)="No","No","Sí"))</f>
        <v/>
      </c>
    </row>
    <row r="2371" spans="2:24" ht="14.25">
      <c r="N2371" s="17" t="str">
        <f>IF(V2371=0,"",IFERROR(LOOKUP(2,1/(INDEX(Listado!A:A,2):INDEX(Listado!A:A,ROW())&lt;&gt;""),ROW(INDEX(Listado!A:A,2):INDEX(Listado!A:A,ROW()))),""))</f>
        <v/>
      </c>
      <c r="O2371" s="17" t="str">
        <f>IFERROR(IF(N2371="","",IF(INDEX(Listado!M:M,N2371)="No",IF(INDEX(Listado!N:N,N2371)=0,"",INDEX(Listado!N:N,N2371)),IF(INDEX(Listado!I:I,N2371)=0,"",INDEX(Listado!I:I,N2371)))),"")</f>
        <v/>
      </c>
      <c r="P2371" s="17">
        <f t="shared" ca="1" si="112"/>
        <v/>
      </c>
      <c r="Q2371" s="17">
        <f>IFERROR(IF(AND(N2371&lt;&gt;"",ISNUMBER(O2371),O2371&gt;0,O2371&gt;=TODAY()-90),1,0),0)</f>
        <v/>
      </c>
      <c r="R2371" s="17" t="str">
        <f t="shared" si="114"/>
        <v/>
      </c>
      <c r="S2371" s="17" t="str">
        <f>IF(INDEX(Listado!A:A,ROW())="","",INDEX(Listado!A:A,ROW()))</f>
        <v/>
      </c>
      <c r="T2371" s="17" t="str">
        <f ca="1">IF(INDEX(Listado!G:G,ROW())="","",INDEX(Listado!G:G,ROW()))</f>
        <v/>
      </c>
      <c r="U2371" s="17" t="str">
        <f>IF(INDEX(Listado!F:F,ROW())="","",INDEX(Listado!F:F,ROW()))</f>
        <v/>
      </c>
      <c r="V2371" s="17">
        <f>IF(COUNTA(INDEX(Listado!B:B,ROW()):INDEX(Listado!F:F,ROW()))&gt;0,1,0)</f>
        <v/>
      </c>
      <c r="W2371" s="17" t="str">
        <f>IF(INDEX(Listado!L:L,ROW())="","",INDEX(Listado!L:L,ROW()))</f>
        <v/>
      </c>
      <c r="X2371" s="17">
        <f>IF(N2371="","",IF(INDEX(Listado!$M:$M,N2371)="No","No","Sí"))</f>
        <v/>
      </c>
    </row>
    <row r="2372" spans="2:24" ht="14.25">
      <c r="N2372" s="17" t="str">
        <f>IF(V2372=0,"",IFERROR(LOOKUP(2,1/(INDEX(Listado!A:A,2):INDEX(Listado!A:A,ROW())&lt;&gt;""),ROW(INDEX(Listado!A:A,2):INDEX(Listado!A:A,ROW()))),""))</f>
        <v/>
      </c>
      <c r="O2372" s="17" t="str">
        <f>IFERROR(IF(N2372="","",IF(INDEX(Listado!M:M,N2372)="No",IF(INDEX(Listado!N:N,N2372)=0,"",INDEX(Listado!N:N,N2372)),IF(INDEX(Listado!I:I,N2372)=0,"",INDEX(Listado!I:I,N2372)))),"")</f>
        <v/>
      </c>
      <c r="P2372" s="17">
        <f t="shared" ca="1" si="112"/>
        <v/>
      </c>
      <c r="Q2372" s="17">
        <f>IFERROR(IF(AND(N2372&lt;&gt;"",ISNUMBER(O2372),O2372&gt;0,O2372&gt;=TODAY()-90),1,0),0)</f>
        <v/>
      </c>
      <c r="R2372" s="17" t="str">
        <f t="shared" si="114"/>
        <v/>
      </c>
      <c r="S2372" s="17" t="str">
        <f>IF(INDEX(Listado!A:A,ROW())="","",INDEX(Listado!A:A,ROW()))</f>
        <v/>
      </c>
      <c r="T2372" s="17" t="str">
        <f ca="1">IF(INDEX(Listado!G:G,ROW())="","",INDEX(Listado!G:G,ROW()))</f>
        <v/>
      </c>
      <c r="U2372" s="17" t="str">
        <f>IF(INDEX(Listado!F:F,ROW())="","",INDEX(Listado!F:F,ROW()))</f>
        <v/>
      </c>
      <c r="V2372" s="17">
        <f>IF(COUNTA(INDEX(Listado!B:B,ROW()):INDEX(Listado!F:F,ROW()))&gt;0,1,0)</f>
        <v/>
      </c>
      <c r="W2372" s="17" t="str">
        <f>IF(INDEX(Listado!L:L,ROW())="","",INDEX(Listado!L:L,ROW()))</f>
        <v/>
      </c>
      <c r="X2372" s="17">
        <f>IF(N2372="","",IF(INDEX(Listado!$M:$M,N2372)="No","No","Sí"))</f>
        <v/>
      </c>
    </row>
    <row r="2373" spans="2:24" ht="14.25">
      <c r="N2373" s="17" t="str">
        <f>IF(V2373=0,"",IFERROR(LOOKUP(2,1/(INDEX(Listado!A:A,2):INDEX(Listado!A:A,ROW())&lt;&gt;""),ROW(INDEX(Listado!A:A,2):INDEX(Listado!A:A,ROW()))),""))</f>
        <v/>
      </c>
      <c r="O2373" s="17" t="str">
        <f>IFERROR(IF(N2373="","",IF(INDEX(Listado!M:M,N2373)="No",IF(INDEX(Listado!N:N,N2373)=0,"",INDEX(Listado!N:N,N2373)),IF(INDEX(Listado!I:I,N2373)=0,"",INDEX(Listado!I:I,N2373)))),"")</f>
        <v/>
      </c>
      <c r="P2373" s="17">
        <f t="shared" ca="1" si="112"/>
        <v/>
      </c>
      <c r="Q2373" s="17">
        <f>IFERROR(IF(AND(N2373&lt;&gt;"",ISNUMBER(O2373),O2373&gt;0,O2373&gt;=TODAY()-90),1,0),0)</f>
        <v/>
      </c>
      <c r="R2373" s="17" t="str">
        <f t="shared" si="114"/>
        <v/>
      </c>
      <c r="S2373" s="17" t="str">
        <f>IF(INDEX(Listado!A:A,ROW())="","",INDEX(Listado!A:A,ROW()))</f>
        <v/>
      </c>
      <c r="T2373" s="17" t="str">
        <f ca="1">IF(INDEX(Listado!G:G,ROW())="","",INDEX(Listado!G:G,ROW()))</f>
        <v/>
      </c>
      <c r="U2373" s="17" t="str">
        <f>IF(INDEX(Listado!F:F,ROW())="","",INDEX(Listado!F:F,ROW()))</f>
        <v/>
      </c>
      <c r="V2373" s="17">
        <f>IF(COUNTA(INDEX(Listado!B:B,ROW()):INDEX(Listado!F:F,ROW()))&gt;0,1,0)</f>
        <v/>
      </c>
      <c r="W2373" s="17" t="str">
        <f>IF(INDEX(Listado!L:L,ROW())="","",INDEX(Listado!L:L,ROW()))</f>
        <v/>
      </c>
      <c r="X2373" s="17">
        <f>IF(N2373="","",IF(INDEX(Listado!$M:$M,N2373)="No","No","Sí"))</f>
        <v/>
      </c>
    </row>
    <row r="2374" spans="2:24" ht="14.25">
      <c r="N2374" s="17" t="str">
        <f>IF(V2374=0,"",IFERROR(LOOKUP(2,1/(INDEX(Listado!A:A,2):INDEX(Listado!A:A,ROW())&lt;&gt;""),ROW(INDEX(Listado!A:A,2):INDEX(Listado!A:A,ROW()))),""))</f>
        <v/>
      </c>
      <c r="O2374" s="17" t="str">
        <f>IFERROR(IF(N2374="","",IF(INDEX(Listado!M:M,N2374)="No",IF(INDEX(Listado!N:N,N2374)=0,"",INDEX(Listado!N:N,N2374)),IF(INDEX(Listado!I:I,N2374)=0,"",INDEX(Listado!I:I,N2374)))),"")</f>
        <v/>
      </c>
      <c r="P2374" s="17">
        <f t="shared" ca="1" si="112"/>
        <v/>
      </c>
      <c r="Q2374" s="17">
        <f>IFERROR(IF(AND(N2374&lt;&gt;"",ISNUMBER(O2374),O2374&gt;0,O2374&gt;=TODAY()-90),1,0),0)</f>
        <v/>
      </c>
      <c r="R2374" s="17" t="str">
        <f t="shared" si="114"/>
        <v/>
      </c>
      <c r="S2374" s="17" t="str">
        <f>IF(INDEX(Listado!A:A,ROW())="","",INDEX(Listado!A:A,ROW()))</f>
        <v/>
      </c>
      <c r="T2374" s="17" t="str">
        <f ca="1">IF(INDEX(Listado!G:G,ROW())="","",INDEX(Listado!G:G,ROW()))</f>
        <v/>
      </c>
      <c r="U2374" s="17" t="str">
        <f>IF(INDEX(Listado!F:F,ROW())="","",INDEX(Listado!F:F,ROW()))</f>
        <v/>
      </c>
      <c r="V2374" s="17">
        <f>IF(COUNTA(INDEX(Listado!B:B,ROW()):INDEX(Listado!F:F,ROW()))&gt;0,1,0)</f>
        <v/>
      </c>
      <c r="W2374" s="17" t="str">
        <f>IF(INDEX(Listado!L:L,ROW())="","",INDEX(Listado!L:L,ROW()))</f>
        <v/>
      </c>
      <c r="X2374" s="17">
        <f>IF(N2374="","",IF(INDEX(Listado!$M:$M,N2374)="No","No","Sí"))</f>
        <v/>
      </c>
    </row>
    <row r="2375" spans="2:24" ht="14.25">
      <c r="N2375" s="17" t="str">
        <f>IF(V2375=0,"",IFERROR(LOOKUP(2,1/(INDEX(Listado!A:A,2):INDEX(Listado!A:A,ROW())&lt;&gt;""),ROW(INDEX(Listado!A:A,2):INDEX(Listado!A:A,ROW()))),""))</f>
        <v/>
      </c>
      <c r="O2375" s="17" t="str">
        <f>IFERROR(IF(N2375="","",IF(INDEX(Listado!M:M,N2375)="No",IF(INDEX(Listado!N:N,N2375)=0,"",INDEX(Listado!N:N,N2375)),IF(INDEX(Listado!I:I,N2375)=0,"",INDEX(Listado!I:I,N2375)))),"")</f>
        <v/>
      </c>
      <c r="P2375" s="17">
        <f t="shared" ca="1" si="112"/>
        <v/>
      </c>
      <c r="Q2375" s="17">
        <f>IFERROR(IF(AND(N2375&lt;&gt;"",ISNUMBER(O2375),O2375&gt;0,O2375&gt;=TODAY()-90),1,0),0)</f>
        <v/>
      </c>
      <c r="R2375" s="17" t="str">
        <f t="shared" si="114"/>
        <v/>
      </c>
      <c r="S2375" s="17" t="str">
        <f>IF(INDEX(Listado!A:A,ROW())="","",INDEX(Listado!A:A,ROW()))</f>
        <v/>
      </c>
      <c r="T2375" s="17" t="str">
        <f ca="1">IF(INDEX(Listado!G:G,ROW())="","",INDEX(Listado!G:G,ROW()))</f>
        <v/>
      </c>
      <c r="U2375" s="17" t="str">
        <f>IF(INDEX(Listado!F:F,ROW())="","",INDEX(Listado!F:F,ROW()))</f>
        <v/>
      </c>
      <c r="V2375" s="17">
        <f>IF(COUNTA(INDEX(Listado!B:B,ROW()):INDEX(Listado!F:F,ROW()))&gt;0,1,0)</f>
        <v/>
      </c>
      <c r="W2375" s="17" t="str">
        <f>IF(INDEX(Listado!L:L,ROW())="","",INDEX(Listado!L:L,ROW()))</f>
        <v/>
      </c>
      <c r="X2375" s="17">
        <f>IF(N2375="","",IF(INDEX(Listado!$M:$M,N2375)="No","No","Sí"))</f>
        <v/>
      </c>
    </row>
    <row r="2376" spans="2:24" ht="14.25">
      <c r="N2376" s="17" t="str">
        <f>IF(V2376=0,"",IFERROR(LOOKUP(2,1/(INDEX(Listado!A:A,2):INDEX(Listado!A:A,ROW())&lt;&gt;""),ROW(INDEX(Listado!A:A,2):INDEX(Listado!A:A,ROW()))),""))</f>
        <v/>
      </c>
      <c r="O2376" s="17" t="str">
        <f>IFERROR(IF(N2376="","",IF(INDEX(Listado!M:M,N2376)="No",IF(INDEX(Listado!N:N,N2376)=0,"",INDEX(Listado!N:N,N2376)),IF(INDEX(Listado!I:I,N2376)=0,"",INDEX(Listado!I:I,N2376)))),"")</f>
        <v/>
      </c>
      <c r="P2376" s="17">
        <f t="shared" ca="1" si="112"/>
        <v/>
      </c>
      <c r="Q2376" s="17">
        <f>IFERROR(IF(AND(N2376&lt;&gt;"",ISNUMBER(O2376),O2376&gt;0,O2376&gt;=TODAY()-90),1,0),0)</f>
        <v/>
      </c>
      <c r="R2376" s="17" t="str">
        <f t="shared" si="114"/>
        <v/>
      </c>
      <c r="S2376" s="17" t="str">
        <f>IF(INDEX(Listado!A:A,ROW())="","",INDEX(Listado!A:A,ROW()))</f>
        <v/>
      </c>
      <c r="T2376" s="17" t="str">
        <f ca="1">IF(INDEX(Listado!G:G,ROW())="","",INDEX(Listado!G:G,ROW()))</f>
        <v/>
      </c>
      <c r="U2376" s="17" t="str">
        <f>IF(INDEX(Listado!F:F,ROW())="","",INDEX(Listado!F:F,ROW()))</f>
        <v/>
      </c>
      <c r="V2376" s="17">
        <f>IF(COUNTA(INDEX(Listado!B:B,ROW()):INDEX(Listado!F:F,ROW()))&gt;0,1,0)</f>
        <v/>
      </c>
      <c r="W2376" s="17" t="str">
        <f>IF(INDEX(Listado!L:L,ROW())="","",INDEX(Listado!L:L,ROW()))</f>
        <v/>
      </c>
      <c r="X2376" s="17">
        <f>IF(N2376="","",IF(INDEX(Listado!$M:$M,N2376)="No","No","Sí"))</f>
        <v/>
      </c>
    </row>
    <row r="2377" spans="2:24" ht="14.25">
      <c r="N2377" s="17" t="str">
        <f>IF(V2377=0,"",IFERROR(LOOKUP(2,1/(INDEX(Listado!A:A,2):INDEX(Listado!A:A,ROW())&lt;&gt;""),ROW(INDEX(Listado!A:A,2):INDEX(Listado!A:A,ROW()))),""))</f>
        <v/>
      </c>
      <c r="O2377" s="17" t="str">
        <f>IFERROR(IF(N2377="","",IF(INDEX(Listado!M:M,N2377)="No",IF(INDEX(Listado!N:N,N2377)=0,"",INDEX(Listado!N:N,N2377)),IF(INDEX(Listado!I:I,N2377)=0,"",INDEX(Listado!I:I,N2377)))),"")</f>
        <v/>
      </c>
      <c r="P2377" s="17">
        <f t="shared" ca="1" si="112"/>
        <v/>
      </c>
      <c r="Q2377" s="17">
        <f>IFERROR(IF(AND(N2377&lt;&gt;"",ISNUMBER(O2377),O2377&gt;0,O2377&gt;=TODAY()-90),1,0),0)</f>
        <v/>
      </c>
      <c r="R2377" s="17" t="str">
        <f t="shared" si="114"/>
        <v/>
      </c>
      <c r="S2377" s="17" t="str">
        <f>IF(INDEX(Listado!A:A,ROW())="","",INDEX(Listado!A:A,ROW()))</f>
        <v/>
      </c>
      <c r="T2377" s="17" t="str">
        <f ca="1">IF(INDEX(Listado!G:G,ROW())="","",INDEX(Listado!G:G,ROW()))</f>
        <v/>
      </c>
      <c r="U2377" s="17" t="str">
        <f>IF(INDEX(Listado!F:F,ROW())="","",INDEX(Listado!F:F,ROW()))</f>
        <v/>
      </c>
      <c r="V2377" s="17">
        <f>IF(COUNTA(INDEX(Listado!B:B,ROW()):INDEX(Listado!F:F,ROW()))&gt;0,1,0)</f>
        <v/>
      </c>
      <c r="W2377" s="17" t="str">
        <f>IF(INDEX(Listado!L:L,ROW())="","",INDEX(Listado!L:L,ROW()))</f>
        <v/>
      </c>
      <c r="X2377" s="17">
        <f>IF(N2377="","",IF(INDEX(Listado!$M:$M,N2377)="No","No","Sí"))</f>
        <v/>
      </c>
    </row>
    <row r="2378" spans="2:24" ht="14.25">
      <c r="N2378" s="17" t="str">
        <f>IF(V2378=0,"",IFERROR(LOOKUP(2,1/(INDEX(Listado!A:A,2):INDEX(Listado!A:A,ROW())&lt;&gt;""),ROW(INDEX(Listado!A:A,2):INDEX(Listado!A:A,ROW()))),""))</f>
        <v/>
      </c>
      <c r="O2378" s="17" t="str">
        <f>IFERROR(IF(N2378="","",IF(INDEX(Listado!M:M,N2378)="No",IF(INDEX(Listado!N:N,N2378)=0,"",INDEX(Listado!N:N,N2378)),IF(INDEX(Listado!I:I,N2378)=0,"",INDEX(Listado!I:I,N2378)))),"")</f>
        <v/>
      </c>
      <c r="P2378" s="17">
        <f t="shared" ca="1" si="112"/>
        <v/>
      </c>
      <c r="Q2378" s="17">
        <f>IFERROR(IF(AND(N2378&lt;&gt;"",ISNUMBER(O2378),O2378&gt;0,O2378&gt;=TODAY()-90),1,0),0)</f>
        <v/>
      </c>
      <c r="R2378" s="17" t="str">
        <f t="shared" si="114"/>
        <v/>
      </c>
      <c r="S2378" s="17" t="str">
        <f>IF(INDEX(Listado!A:A,ROW())="","",INDEX(Listado!A:A,ROW()))</f>
        <v/>
      </c>
      <c r="T2378" s="17" t="str">
        <f ca="1">IF(INDEX(Listado!G:G,ROW())="","",INDEX(Listado!G:G,ROW()))</f>
        <v/>
      </c>
      <c r="U2378" s="17" t="str">
        <f>IF(INDEX(Listado!F:F,ROW())="","",INDEX(Listado!F:F,ROW()))</f>
        <v/>
      </c>
      <c r="V2378" s="17">
        <f>IF(COUNTA(INDEX(Listado!B:B,ROW()):INDEX(Listado!F:F,ROW()))&gt;0,1,0)</f>
        <v/>
      </c>
      <c r="W2378" s="17" t="str">
        <f>IF(INDEX(Listado!L:L,ROW())="","",INDEX(Listado!L:L,ROW()))</f>
        <v/>
      </c>
      <c r="X2378" s="17">
        <f>IF(N2378="","",IF(INDEX(Listado!$M:$M,N2378)="No","No","Sí"))</f>
        <v/>
      </c>
    </row>
    <row r="2379" spans="2:24" ht="14.25">
      <c r="N2379" s="17" t="str">
        <f>IF(V2379=0,"",IFERROR(LOOKUP(2,1/(INDEX(Listado!A:A,2):INDEX(Listado!A:A,ROW())&lt;&gt;""),ROW(INDEX(Listado!A:A,2):INDEX(Listado!A:A,ROW()))),""))</f>
        <v/>
      </c>
      <c r="O2379" s="17" t="str">
        <f>IFERROR(IF(N2379="","",IF(INDEX(Listado!M:M,N2379)="No",IF(INDEX(Listado!N:N,N2379)=0,"",INDEX(Listado!N:N,N2379)),IF(INDEX(Listado!I:I,N2379)=0,"",INDEX(Listado!I:I,N2379)))),"")</f>
        <v/>
      </c>
      <c r="P2379" s="17">
        <f t="shared" ca="1" si="112"/>
        <v/>
      </c>
      <c r="Q2379" s="17">
        <f>IFERROR(IF(AND(N2379&lt;&gt;"",ISNUMBER(O2379),O2379&gt;0,O2379&gt;=TODAY()-90),1,0),0)</f>
        <v/>
      </c>
      <c r="R2379" s="17" t="str">
        <f t="shared" si="114"/>
        <v/>
      </c>
      <c r="S2379" s="17" t="str">
        <f>IF(INDEX(Listado!A:A,ROW())="","",INDEX(Listado!A:A,ROW()))</f>
        <v/>
      </c>
      <c r="T2379" s="17" t="str">
        <f ca="1">IF(INDEX(Listado!G:G,ROW())="","",INDEX(Listado!G:G,ROW()))</f>
        <v/>
      </c>
      <c r="U2379" s="17" t="str">
        <f>IF(INDEX(Listado!F:F,ROW())="","",INDEX(Listado!F:F,ROW()))</f>
        <v/>
      </c>
      <c r="V2379" s="17">
        <f>IF(COUNTA(INDEX(Listado!B:B,ROW()):INDEX(Listado!F:F,ROW()))&gt;0,1,0)</f>
        <v/>
      </c>
      <c r="W2379" s="17" t="str">
        <f>IF(INDEX(Listado!L:L,ROW())="","",INDEX(Listado!L:L,ROW()))</f>
        <v/>
      </c>
      <c r="X2379" s="17">
        <f>IF(N2379="","",IF(INDEX(Listado!$M:$M,N2379)="No","No","Sí"))</f>
        <v/>
      </c>
    </row>
    <row r="2380" spans="2:24" ht="14.25">
      <c r="N2380" s="17" t="str">
        <f>IF(V2380=0,"",IFERROR(LOOKUP(2,1/(INDEX(Listado!A:A,2):INDEX(Listado!A:A,ROW())&lt;&gt;""),ROW(INDEX(Listado!A:A,2):INDEX(Listado!A:A,ROW()))),""))</f>
        <v/>
      </c>
      <c r="O2380" s="17" t="str">
        <f>IFERROR(IF(N2380="","",IF(INDEX(Listado!M:M,N2380)="No",IF(INDEX(Listado!N:N,N2380)=0,"",INDEX(Listado!N:N,N2380)),IF(INDEX(Listado!I:I,N2380)=0,"",INDEX(Listado!I:I,N2380)))),"")</f>
        <v/>
      </c>
      <c r="P2380" s="17">
        <f t="shared" ca="1" si="112"/>
        <v/>
      </c>
      <c r="Q2380" s="17">
        <f>IFERROR(IF(AND(N2380&lt;&gt;"",ISNUMBER(O2380),O2380&gt;0,O2380&gt;=TODAY()-90),1,0),0)</f>
        <v/>
      </c>
      <c r="R2380" s="17" t="str">
        <f t="shared" si="114"/>
        <v/>
      </c>
      <c r="S2380" s="17" t="str">
        <f>IF(INDEX(Listado!A:A,ROW())="","",INDEX(Listado!A:A,ROW()))</f>
        <v/>
      </c>
      <c r="T2380" s="17" t="str">
        <f ca="1">IF(INDEX(Listado!G:G,ROW())="","",INDEX(Listado!G:G,ROW()))</f>
        <v/>
      </c>
      <c r="U2380" s="17" t="str">
        <f>IF(INDEX(Listado!F:F,ROW())="","",INDEX(Listado!F:F,ROW()))</f>
        <v/>
      </c>
      <c r="V2380" s="17">
        <f>IF(COUNTA(INDEX(Listado!B:B,ROW()):INDEX(Listado!F:F,ROW()))&gt;0,1,0)</f>
        <v/>
      </c>
      <c r="W2380" s="17" t="str">
        <f>IF(INDEX(Listado!L:L,ROW())="","",INDEX(Listado!L:L,ROW()))</f>
        <v/>
      </c>
      <c r="X2380" s="17">
        <f>IF(N2380="","",IF(INDEX(Listado!$M:$M,N2380)="No","No","Sí"))</f>
        <v/>
      </c>
    </row>
    <row r="2381" spans="2:24" ht="14.25">
      <c r="N2381" s="17" t="str">
        <f>IF(V2381=0,"",IFERROR(LOOKUP(2,1/(INDEX(Listado!A:A,2):INDEX(Listado!A:A,ROW())&lt;&gt;""),ROW(INDEX(Listado!A:A,2):INDEX(Listado!A:A,ROW()))),""))</f>
        <v/>
      </c>
      <c r="O2381" s="17" t="str">
        <f>IFERROR(IF(N2381="","",IF(INDEX(Listado!M:M,N2381)="No",IF(INDEX(Listado!N:N,N2381)=0,"",INDEX(Listado!N:N,N2381)),IF(INDEX(Listado!I:I,N2381)=0,"",INDEX(Listado!I:I,N2381)))),"")</f>
        <v/>
      </c>
      <c r="P2381" s="17">
        <f t="shared" ca="1" si="112"/>
        <v/>
      </c>
      <c r="Q2381" s="17">
        <f>IFERROR(IF(AND(N2381&lt;&gt;"",ISNUMBER(O2381),O2381&gt;0,O2381&gt;=TODAY()-90),1,0),0)</f>
        <v/>
      </c>
      <c r="R2381" s="17" t="str">
        <f t="shared" si="114"/>
        <v/>
      </c>
      <c r="S2381" s="17" t="str">
        <f>IF(INDEX(Listado!A:A,ROW())="","",INDEX(Listado!A:A,ROW()))</f>
        <v/>
      </c>
      <c r="T2381" s="17" t="str">
        <f ca="1">IF(INDEX(Listado!G:G,ROW())="","",INDEX(Listado!G:G,ROW()))</f>
        <v/>
      </c>
      <c r="U2381" s="17" t="str">
        <f>IF(INDEX(Listado!F:F,ROW())="","",INDEX(Listado!F:F,ROW()))</f>
        <v/>
      </c>
      <c r="V2381" s="17">
        <f>IF(COUNTA(INDEX(Listado!B:B,ROW()):INDEX(Listado!F:F,ROW()))&gt;0,1,0)</f>
        <v/>
      </c>
      <c r="W2381" s="17" t="str">
        <f>IF(INDEX(Listado!L:L,ROW())="","",INDEX(Listado!L:L,ROW()))</f>
        <v/>
      </c>
      <c r="X2381" s="17">
        <f>IF(N2381="","",IF(INDEX(Listado!$M:$M,N2381)="No","No","Sí"))</f>
        <v/>
      </c>
    </row>
    <row r="2382" spans="2:24" ht="14.25">
      <c r="N2382" s="17" t="str">
        <f>IF(V2382=0,"",IFERROR(LOOKUP(2,1/(INDEX(Listado!A:A,2):INDEX(Listado!A:A,ROW())&lt;&gt;""),ROW(INDEX(Listado!A:A,2):INDEX(Listado!A:A,ROW()))),""))</f>
        <v/>
      </c>
      <c r="O2382" s="17" t="str">
        <f>IFERROR(IF(N2382="","",IF(INDEX(Listado!M:M,N2382)="No",IF(INDEX(Listado!N:N,N2382)=0,"",INDEX(Listado!N:N,N2382)),IF(INDEX(Listado!I:I,N2382)=0,"",INDEX(Listado!I:I,N2382)))),"")</f>
        <v/>
      </c>
      <c r="P2382" s="17">
        <f t="shared" ca="1" si="112"/>
        <v/>
      </c>
      <c r="Q2382" s="17">
        <f>IFERROR(IF(AND(N2382&lt;&gt;"",ISNUMBER(O2382),O2382&gt;0,O2382&gt;=TODAY()-90),1,0),0)</f>
        <v/>
      </c>
      <c r="R2382" s="17" t="str">
        <f t="shared" si="114"/>
        <v/>
      </c>
      <c r="S2382" s="17" t="str">
        <f>IF(INDEX(Listado!A:A,ROW())="","",INDEX(Listado!A:A,ROW()))</f>
        <v/>
      </c>
      <c r="T2382" s="17" t="str">
        <f ca="1">IF(INDEX(Listado!G:G,ROW())="","",INDEX(Listado!G:G,ROW()))</f>
        <v/>
      </c>
      <c r="U2382" s="17" t="str">
        <f>IF(INDEX(Listado!F:F,ROW())="","",INDEX(Listado!F:F,ROW()))</f>
        <v/>
      </c>
      <c r="V2382" s="17">
        <f>IF(COUNTA(INDEX(Listado!B:B,ROW()):INDEX(Listado!F:F,ROW()))&gt;0,1,0)</f>
        <v/>
      </c>
      <c r="W2382" s="17" t="str">
        <f>IF(INDEX(Listado!L:L,ROW())="","",INDEX(Listado!L:L,ROW()))</f>
        <v/>
      </c>
      <c r="X2382" s="17">
        <f>IF(N2382="","",IF(INDEX(Listado!$M:$M,N2382)="No","No","Sí"))</f>
        <v/>
      </c>
    </row>
    <row r="2383" spans="2:24" ht="14.25">
      <c r="N2383" s="17" t="str">
        <f>IF(V2383=0,"",IFERROR(LOOKUP(2,1/(INDEX(Listado!A:A,2):INDEX(Listado!A:A,ROW())&lt;&gt;""),ROW(INDEX(Listado!A:A,2):INDEX(Listado!A:A,ROW()))),""))</f>
        <v/>
      </c>
      <c r="O2383" s="17" t="str">
        <f>IFERROR(IF(N2383="","",IF(INDEX(Listado!M:M,N2383)="No",IF(INDEX(Listado!N:N,N2383)=0,"",INDEX(Listado!N:N,N2383)),IF(INDEX(Listado!I:I,N2383)=0,"",INDEX(Listado!I:I,N2383)))),"")</f>
        <v/>
      </c>
      <c r="P2383" s="17">
        <f t="shared" ca="1" si="112"/>
        <v/>
      </c>
      <c r="Q2383" s="17">
        <f>IFERROR(IF(AND(N2383&lt;&gt;"",ISNUMBER(O2383),O2383&gt;0,O2383&gt;=TODAY()-90),1,0),0)</f>
        <v/>
      </c>
      <c r="R2383" s="17" t="str">
        <f t="shared" si="114"/>
        <v/>
      </c>
      <c r="S2383" s="17" t="str">
        <f>IF(INDEX(Listado!A:A,ROW())="","",INDEX(Listado!A:A,ROW()))</f>
        <v/>
      </c>
      <c r="T2383" s="17" t="str">
        <f ca="1">IF(INDEX(Listado!G:G,ROW())="","",INDEX(Listado!G:G,ROW()))</f>
        <v/>
      </c>
      <c r="U2383" s="17" t="str">
        <f>IF(INDEX(Listado!F:F,ROW())="","",INDEX(Listado!F:F,ROW()))</f>
        <v/>
      </c>
      <c r="V2383" s="17">
        <f>IF(COUNTA(INDEX(Listado!B:B,ROW()):INDEX(Listado!F:F,ROW()))&gt;0,1,0)</f>
        <v/>
      </c>
      <c r="W2383" s="17" t="str">
        <f>IF(INDEX(Listado!L:L,ROW())="","",INDEX(Listado!L:L,ROW()))</f>
        <v/>
      </c>
      <c r="X2383" s="17">
        <f>IF(N2383="","",IF(INDEX(Listado!$M:$M,N2383)="No","No","Sí"))</f>
        <v/>
      </c>
    </row>
    <row r="2384" spans="2:24" ht="14.25">
      <c r="N2384" s="17" t="str">
        <f>IF(V2384=0,"",IFERROR(LOOKUP(2,1/(INDEX(Listado!A:A,2):INDEX(Listado!A:A,ROW())&lt;&gt;""),ROW(INDEX(Listado!A:A,2):INDEX(Listado!A:A,ROW()))),""))</f>
        <v/>
      </c>
      <c r="O2384" s="17" t="str">
        <f>IFERROR(IF(N2384="","",IF(INDEX(Listado!M:M,N2384)="No",IF(INDEX(Listado!N:N,N2384)=0,"",INDEX(Listado!N:N,N2384)),IF(INDEX(Listado!I:I,N2384)=0,"",INDEX(Listado!I:I,N2384)))),"")</f>
        <v/>
      </c>
      <c r="P2384" s="17">
        <f t="shared" ca="1" si="112"/>
        <v/>
      </c>
      <c r="Q2384" s="17">
        <f>IFERROR(IF(AND(N2384&lt;&gt;"",ISNUMBER(O2384),O2384&gt;0,O2384&gt;=TODAY()-90),1,0),0)</f>
        <v/>
      </c>
      <c r="R2384" s="17" t="str">
        <f t="shared" si="114"/>
        <v/>
      </c>
      <c r="S2384" s="17" t="str">
        <f>IF(INDEX(Listado!A:A,ROW())="","",INDEX(Listado!A:A,ROW()))</f>
        <v/>
      </c>
      <c r="T2384" s="17" t="str">
        <f ca="1">IF(INDEX(Listado!G:G,ROW())="","",INDEX(Listado!G:G,ROW()))</f>
        <v/>
      </c>
      <c r="U2384" s="17" t="str">
        <f>IF(INDEX(Listado!F:F,ROW())="","",INDEX(Listado!F:F,ROW()))</f>
        <v/>
      </c>
      <c r="V2384" s="17">
        <f>IF(COUNTA(INDEX(Listado!B:B,ROW()):INDEX(Listado!F:F,ROW()))&gt;0,1,0)</f>
        <v/>
      </c>
      <c r="W2384" s="17" t="str">
        <f>IF(INDEX(Listado!L:L,ROW())="","",INDEX(Listado!L:L,ROW()))</f>
        <v/>
      </c>
      <c r="X2384" s="17">
        <f>IF(N2384="","",IF(INDEX(Listado!$M:$M,N2384)="No","No","Sí"))</f>
        <v/>
      </c>
    </row>
    <row r="2385" spans="2:24" ht="14.25">
      <c r="N2385" s="17" t="str">
        <f>IF(V2385=0,"",IFERROR(LOOKUP(2,1/(INDEX(Listado!A:A,2):INDEX(Listado!A:A,ROW())&lt;&gt;""),ROW(INDEX(Listado!A:A,2):INDEX(Listado!A:A,ROW()))),""))</f>
        <v/>
      </c>
      <c r="O2385" s="17" t="str">
        <f>IFERROR(IF(N2385="","",IF(INDEX(Listado!M:M,N2385)="No",IF(INDEX(Listado!N:N,N2385)=0,"",INDEX(Listado!N:N,N2385)),IF(INDEX(Listado!I:I,N2385)=0,"",INDEX(Listado!I:I,N2385)))),"")</f>
        <v/>
      </c>
      <c r="P2385" s="17">
        <f t="shared" ca="1" si="112"/>
        <v/>
      </c>
      <c r="Q2385" s="17">
        <f>IFERROR(IF(AND(N2385&lt;&gt;"",ISNUMBER(O2385),O2385&gt;0,O2385&gt;=TODAY()-90),1,0),0)</f>
        <v/>
      </c>
      <c r="R2385" s="17" t="str">
        <f t="shared" si="114"/>
        <v/>
      </c>
      <c r="S2385" s="17" t="str">
        <f>IF(INDEX(Listado!A:A,ROW())="","",INDEX(Listado!A:A,ROW()))</f>
        <v/>
      </c>
      <c r="T2385" s="17" t="str">
        <f ca="1">IF(INDEX(Listado!G:G,ROW())="","",INDEX(Listado!G:G,ROW()))</f>
        <v/>
      </c>
      <c r="U2385" s="17" t="str">
        <f>IF(INDEX(Listado!F:F,ROW())="","",INDEX(Listado!F:F,ROW()))</f>
        <v/>
      </c>
      <c r="V2385" s="17">
        <f>IF(COUNTA(INDEX(Listado!B:B,ROW()):INDEX(Listado!F:F,ROW()))&gt;0,1,0)</f>
        <v/>
      </c>
      <c r="W2385" s="17" t="str">
        <f>IF(INDEX(Listado!L:L,ROW())="","",INDEX(Listado!L:L,ROW()))</f>
        <v/>
      </c>
      <c r="X2385" s="17">
        <f>IF(N2385="","",IF(INDEX(Listado!$M:$M,N2385)="No","No","Sí"))</f>
        <v/>
      </c>
    </row>
    <row r="2386" spans="2:24" ht="14.25">
      <c r="N2386" s="17" t="str">
        <f>IF(V2386=0,"",IFERROR(LOOKUP(2,1/(INDEX(Listado!A:A,2):INDEX(Listado!A:A,ROW())&lt;&gt;""),ROW(INDEX(Listado!A:A,2):INDEX(Listado!A:A,ROW()))),""))</f>
        <v/>
      </c>
      <c r="O2386" s="17" t="str">
        <f>IFERROR(IF(N2386="","",IF(INDEX(Listado!M:M,N2386)="No",IF(INDEX(Listado!N:N,N2386)=0,"",INDEX(Listado!N:N,N2386)),IF(INDEX(Listado!I:I,N2386)=0,"",INDEX(Listado!I:I,N2386)))),"")</f>
        <v/>
      </c>
      <c r="P2386" s="17">
        <f t="shared" ca="1" si="112"/>
        <v/>
      </c>
      <c r="Q2386" s="17">
        <f>IFERROR(IF(AND(N2386&lt;&gt;"",ISNUMBER(O2386),O2386&gt;0,O2386&gt;=TODAY()-90),1,0),0)</f>
        <v/>
      </c>
      <c r="R2386" s="17" t="str">
        <f t="shared" si="114"/>
        <v/>
      </c>
      <c r="S2386" s="17" t="str">
        <f>IF(INDEX(Listado!A:A,ROW())="","",INDEX(Listado!A:A,ROW()))</f>
        <v/>
      </c>
      <c r="T2386" s="17" t="str">
        <f ca="1">IF(INDEX(Listado!G:G,ROW())="","",INDEX(Listado!G:G,ROW()))</f>
        <v/>
      </c>
      <c r="U2386" s="17" t="str">
        <f>IF(INDEX(Listado!F:F,ROW())="","",INDEX(Listado!F:F,ROW()))</f>
        <v/>
      </c>
      <c r="V2386" s="17">
        <f>IF(COUNTA(INDEX(Listado!B:B,ROW()):INDEX(Listado!F:F,ROW()))&gt;0,1,0)</f>
        <v/>
      </c>
      <c r="W2386" s="17" t="str">
        <f>IF(INDEX(Listado!L:L,ROW())="","",INDEX(Listado!L:L,ROW()))</f>
        <v/>
      </c>
      <c r="X2386" s="17">
        <f>IF(N2386="","",IF(INDEX(Listado!$M:$M,N2386)="No","No","Sí"))</f>
        <v/>
      </c>
    </row>
    <row r="2387" spans="2:24" ht="14.25">
      <c r="N2387" s="17" t="str">
        <f>IF(V2387=0,"",IFERROR(LOOKUP(2,1/(INDEX(Listado!A:A,2):INDEX(Listado!A:A,ROW())&lt;&gt;""),ROW(INDEX(Listado!A:A,2):INDEX(Listado!A:A,ROW()))),""))</f>
        <v/>
      </c>
      <c r="O2387" s="17" t="str">
        <f>IFERROR(IF(N2387="","",IF(INDEX(Listado!M:M,N2387)="No",IF(INDEX(Listado!N:N,N2387)=0,"",INDEX(Listado!N:N,N2387)),IF(INDEX(Listado!I:I,N2387)=0,"",INDEX(Listado!I:I,N2387)))),"")</f>
        <v/>
      </c>
      <c r="P2387" s="17">
        <f t="shared" ca="1" si="112"/>
        <v/>
      </c>
      <c r="Q2387" s="17">
        <f>IFERROR(IF(AND(N2387&lt;&gt;"",ISNUMBER(O2387),O2387&gt;0,O2387&gt;=TODAY()-90),1,0),0)</f>
        <v/>
      </c>
      <c r="R2387" s="17" t="str">
        <f t="shared" si="114"/>
        <v/>
      </c>
      <c r="S2387" s="17" t="str">
        <f>IF(INDEX(Listado!A:A,ROW())="","",INDEX(Listado!A:A,ROW()))</f>
        <v/>
      </c>
      <c r="T2387" s="17" t="str">
        <f ca="1">IF(INDEX(Listado!G:G,ROW())="","",INDEX(Listado!G:G,ROW()))</f>
        <v/>
      </c>
      <c r="U2387" s="17" t="str">
        <f>IF(INDEX(Listado!F:F,ROW())="","",INDEX(Listado!F:F,ROW()))</f>
        <v/>
      </c>
      <c r="V2387" s="17">
        <f>IF(COUNTA(INDEX(Listado!B:B,ROW()):INDEX(Listado!F:F,ROW()))&gt;0,1,0)</f>
        <v/>
      </c>
      <c r="W2387" s="17" t="str">
        <f>IF(INDEX(Listado!L:L,ROW())="","",INDEX(Listado!L:L,ROW()))</f>
        <v/>
      </c>
      <c r="X2387" s="17">
        <f>IF(N2387="","",IF(INDEX(Listado!$M:$M,N2387)="No","No","Sí"))</f>
        <v/>
      </c>
    </row>
    <row r="2388" spans="2:24" ht="14.25">
      <c r="N2388" s="17" t="str">
        <f>IF(V2388=0,"",IFERROR(LOOKUP(2,1/(INDEX(Listado!A:A,2):INDEX(Listado!A:A,ROW())&lt;&gt;""),ROW(INDEX(Listado!A:A,2):INDEX(Listado!A:A,ROW()))),""))</f>
        <v/>
      </c>
      <c r="O2388" s="17" t="str">
        <f>IFERROR(IF(N2388="","",IF(INDEX(Listado!M:M,N2388)="No",IF(INDEX(Listado!N:N,N2388)=0,"",INDEX(Listado!N:N,N2388)),IF(INDEX(Listado!I:I,N2388)=0,"",INDEX(Listado!I:I,N2388)))),"")</f>
        <v/>
      </c>
      <c r="P2388" s="17">
        <f t="shared" ca="1" si="112"/>
        <v/>
      </c>
      <c r="Q2388" s="17">
        <f>IFERROR(IF(AND(N2388&lt;&gt;"",ISNUMBER(O2388),O2388&gt;0,O2388&gt;=TODAY()-90),1,0),0)</f>
        <v/>
      </c>
      <c r="R2388" s="17" t="str">
        <f t="shared" si="114"/>
        <v/>
      </c>
      <c r="S2388" s="17" t="str">
        <f>IF(INDEX(Listado!A:A,ROW())="","",INDEX(Listado!A:A,ROW()))</f>
        <v/>
      </c>
      <c r="T2388" s="17" t="str">
        <f ca="1">IF(INDEX(Listado!G:G,ROW())="","",INDEX(Listado!G:G,ROW()))</f>
        <v/>
      </c>
      <c r="U2388" s="17" t="str">
        <f>IF(INDEX(Listado!F:F,ROW())="","",INDEX(Listado!F:F,ROW()))</f>
        <v/>
      </c>
      <c r="V2388" s="17">
        <f>IF(COUNTA(INDEX(Listado!B:B,ROW()):INDEX(Listado!F:F,ROW()))&gt;0,1,0)</f>
        <v/>
      </c>
      <c r="W2388" s="17" t="str">
        <f>IF(INDEX(Listado!L:L,ROW())="","",INDEX(Listado!L:L,ROW()))</f>
        <v/>
      </c>
      <c r="X2388" s="17">
        <f>IF(N2388="","",IF(INDEX(Listado!$M:$M,N2388)="No","No","Sí"))</f>
        <v/>
      </c>
    </row>
    <row r="2389" spans="2:24" ht="14.25">
      <c r="N2389" s="17" t="str">
        <f>IF(V2389=0,"",IFERROR(LOOKUP(2,1/(INDEX(Listado!A:A,2):INDEX(Listado!A:A,ROW())&lt;&gt;""),ROW(INDEX(Listado!A:A,2):INDEX(Listado!A:A,ROW()))),""))</f>
        <v/>
      </c>
      <c r="O2389" s="17" t="str">
        <f>IFERROR(IF(N2389="","",IF(INDEX(Listado!M:M,N2389)="No",IF(INDEX(Listado!N:N,N2389)=0,"",INDEX(Listado!N:N,N2389)),IF(INDEX(Listado!I:I,N2389)=0,"",INDEX(Listado!I:I,N2389)))),"")</f>
        <v/>
      </c>
      <c r="P2389" s="17">
        <f t="shared" ca="1" si="112"/>
        <v/>
      </c>
      <c r="Q2389" s="17">
        <f>IFERROR(IF(AND(N2389&lt;&gt;"",ISNUMBER(O2389),O2389&gt;0,O2389&gt;=TODAY()-90),1,0),0)</f>
        <v/>
      </c>
      <c r="R2389" s="17" t="str">
        <f t="shared" si="114"/>
        <v/>
      </c>
      <c r="S2389" s="17" t="str">
        <f>IF(INDEX(Listado!A:A,ROW())="","",INDEX(Listado!A:A,ROW()))</f>
        <v/>
      </c>
      <c r="T2389" s="17" t="str">
        <f ca="1">IF(INDEX(Listado!G:G,ROW())="","",INDEX(Listado!G:G,ROW()))</f>
        <v/>
      </c>
      <c r="U2389" s="17" t="str">
        <f>IF(INDEX(Listado!F:F,ROW())="","",INDEX(Listado!F:F,ROW()))</f>
        <v/>
      </c>
      <c r="V2389" s="17">
        <f>IF(COUNTA(INDEX(Listado!B:B,ROW()):INDEX(Listado!F:F,ROW()))&gt;0,1,0)</f>
        <v/>
      </c>
      <c r="W2389" s="17" t="str">
        <f>IF(INDEX(Listado!L:L,ROW())="","",INDEX(Listado!L:L,ROW()))</f>
        <v/>
      </c>
      <c r="X2389" s="17">
        <f>IF(N2389="","",IF(INDEX(Listado!$M:$M,N2389)="No","No","Sí"))</f>
        <v/>
      </c>
    </row>
    <row r="2390" spans="2:24" ht="14.25">
      <c r="N2390" s="17" t="str">
        <f>IF(V2390=0,"",IFERROR(LOOKUP(2,1/(INDEX(Listado!A:A,2):INDEX(Listado!A:A,ROW())&lt;&gt;""),ROW(INDEX(Listado!A:A,2):INDEX(Listado!A:A,ROW()))),""))</f>
        <v/>
      </c>
      <c r="O2390" s="17" t="str">
        <f>IFERROR(IF(N2390="","",IF(INDEX(Listado!M:M,N2390)="No",IF(INDEX(Listado!N:N,N2390)=0,"",INDEX(Listado!N:N,N2390)),IF(INDEX(Listado!I:I,N2390)=0,"",INDEX(Listado!I:I,N2390)))),"")</f>
        <v/>
      </c>
      <c r="P2390" s="17">
        <f t="shared" ca="1" si="112"/>
        <v/>
      </c>
      <c r="Q2390" s="17">
        <f>IFERROR(IF(AND(N2390&lt;&gt;"",ISNUMBER(O2390),O2390&gt;0,O2390&gt;=TODAY()-90),1,0),0)</f>
        <v/>
      </c>
      <c r="R2390" s="17" t="str">
        <f t="shared" si="114"/>
        <v/>
      </c>
      <c r="S2390" s="17" t="str">
        <f>IF(INDEX(Listado!A:A,ROW())="","",INDEX(Listado!A:A,ROW()))</f>
        <v/>
      </c>
      <c r="T2390" s="17" t="str">
        <f ca="1">IF(INDEX(Listado!G:G,ROW())="","",INDEX(Listado!G:G,ROW()))</f>
        <v/>
      </c>
      <c r="U2390" s="17" t="str">
        <f>IF(INDEX(Listado!F:F,ROW())="","",INDEX(Listado!F:F,ROW()))</f>
        <v/>
      </c>
      <c r="V2390" s="17">
        <f>IF(COUNTA(INDEX(Listado!B:B,ROW()):INDEX(Listado!F:F,ROW()))&gt;0,1,0)</f>
        <v/>
      </c>
      <c r="W2390" s="17" t="str">
        <f>IF(INDEX(Listado!L:L,ROW())="","",INDEX(Listado!L:L,ROW()))</f>
        <v/>
      </c>
      <c r="X2390" s="17">
        <f>IF(N2390="","",IF(INDEX(Listado!$M:$M,N2390)="No","No","Sí"))</f>
        <v/>
      </c>
    </row>
    <row r="2391" spans="2:24" ht="14.25">
      <c r="N2391" s="17" t="str">
        <f>IF(V2391=0,"",IFERROR(LOOKUP(2,1/(INDEX(Listado!A:A,2):INDEX(Listado!A:A,ROW())&lt;&gt;""),ROW(INDEX(Listado!A:A,2):INDEX(Listado!A:A,ROW()))),""))</f>
        <v/>
      </c>
      <c r="O2391" s="17" t="str">
        <f>IFERROR(IF(N2391="","",IF(INDEX(Listado!M:M,N2391)="No",IF(INDEX(Listado!N:N,N2391)=0,"",INDEX(Listado!N:N,N2391)),IF(INDEX(Listado!I:I,N2391)=0,"",INDEX(Listado!I:I,N2391)))),"")</f>
        <v/>
      </c>
      <c r="P2391" s="17">
        <f t="shared" ca="1" si="112"/>
        <v/>
      </c>
      <c r="Q2391" s="17">
        <f>IFERROR(IF(AND(N2391&lt;&gt;"",ISNUMBER(O2391),O2391&gt;0,O2391&gt;=TODAY()-90),1,0),0)</f>
        <v/>
      </c>
      <c r="R2391" s="17" t="str">
        <f t="shared" si="114"/>
        <v/>
      </c>
      <c r="S2391" s="17" t="str">
        <f>IF(INDEX(Listado!A:A,ROW())="","",INDEX(Listado!A:A,ROW()))</f>
        <v/>
      </c>
      <c r="T2391" s="17" t="str">
        <f ca="1">IF(INDEX(Listado!G:G,ROW())="","",INDEX(Listado!G:G,ROW()))</f>
        <v/>
      </c>
      <c r="U2391" s="17" t="str">
        <f>IF(INDEX(Listado!F:F,ROW())="","",INDEX(Listado!F:F,ROW()))</f>
        <v/>
      </c>
      <c r="V2391" s="17">
        <f>IF(COUNTA(INDEX(Listado!B:B,ROW()):INDEX(Listado!F:F,ROW()))&gt;0,1,0)</f>
        <v/>
      </c>
      <c r="W2391" s="17" t="str">
        <f>IF(INDEX(Listado!L:L,ROW())="","",INDEX(Listado!L:L,ROW()))</f>
        <v/>
      </c>
      <c r="X2391" s="17">
        <f>IF(N2391="","",IF(INDEX(Listado!$M:$M,N2391)="No","No","Sí"))</f>
        <v/>
      </c>
    </row>
    <row r="2392" spans="2:24" ht="14.25">
      <c r="N2392" s="17" t="str">
        <f>IF(V2392=0,"",IFERROR(LOOKUP(2,1/(INDEX(Listado!A:A,2):INDEX(Listado!A:A,ROW())&lt;&gt;""),ROW(INDEX(Listado!A:A,2):INDEX(Listado!A:A,ROW()))),""))</f>
        <v/>
      </c>
      <c r="O2392" s="17" t="str">
        <f>IFERROR(IF(N2392="","",IF(INDEX(Listado!M:M,N2392)="No",IF(INDEX(Listado!N:N,N2392)=0,"",INDEX(Listado!N:N,N2392)),IF(INDEX(Listado!I:I,N2392)=0,"",INDEX(Listado!I:I,N2392)))),"")</f>
        <v/>
      </c>
      <c r="P2392" s="17">
        <f t="shared" ca="1" si="112"/>
        <v/>
      </c>
      <c r="Q2392" s="17">
        <f>IFERROR(IF(AND(N2392&lt;&gt;"",ISNUMBER(O2392),O2392&gt;0,O2392&gt;=TODAY()-90),1,0),0)</f>
        <v/>
      </c>
      <c r="R2392" s="17" t="str">
        <f t="shared" si="114"/>
        <v/>
      </c>
      <c r="S2392" s="17" t="str">
        <f>IF(INDEX(Listado!A:A,ROW())="","",INDEX(Listado!A:A,ROW()))</f>
        <v/>
      </c>
      <c r="T2392" s="17" t="str">
        <f ca="1">IF(INDEX(Listado!G:G,ROW())="","",INDEX(Listado!G:G,ROW()))</f>
        <v/>
      </c>
      <c r="U2392" s="17" t="str">
        <f>IF(INDEX(Listado!F:F,ROW())="","",INDEX(Listado!F:F,ROW()))</f>
        <v/>
      </c>
      <c r="V2392" s="17">
        <f>IF(COUNTA(INDEX(Listado!B:B,ROW()):INDEX(Listado!F:F,ROW()))&gt;0,1,0)</f>
        <v/>
      </c>
      <c r="W2392" s="17" t="str">
        <f>IF(INDEX(Listado!L:L,ROW())="","",INDEX(Listado!L:L,ROW()))</f>
        <v/>
      </c>
      <c r="X2392" s="17">
        <f>IF(N2392="","",IF(INDEX(Listado!$M:$M,N2392)="No","No","Sí"))</f>
        <v/>
      </c>
    </row>
    <row r="2393" spans="2:24" ht="14.25">
      <c r="N2393" s="17" t="str">
        <f>IF(V2393=0,"",IFERROR(LOOKUP(2,1/(INDEX(Listado!A:A,2):INDEX(Listado!A:A,ROW())&lt;&gt;""),ROW(INDEX(Listado!A:A,2):INDEX(Listado!A:A,ROW()))),""))</f>
        <v/>
      </c>
      <c r="O2393" s="17" t="str">
        <f>IFERROR(IF(N2393="","",IF(INDEX(Listado!M:M,N2393)="No",IF(INDEX(Listado!N:N,N2393)=0,"",INDEX(Listado!N:N,N2393)),IF(INDEX(Listado!I:I,N2393)=0,"",INDEX(Listado!I:I,N2393)))),"")</f>
        <v/>
      </c>
      <c r="P2393" s="17">
        <f t="shared" ca="1" si="112"/>
        <v/>
      </c>
      <c r="Q2393" s="17">
        <f>IFERROR(IF(AND(N2393&lt;&gt;"",ISNUMBER(O2393),O2393&gt;0,O2393&gt;=TODAY()-90),1,0),0)</f>
        <v/>
      </c>
      <c r="R2393" s="17" t="str">
        <f t="shared" si="114"/>
        <v/>
      </c>
      <c r="S2393" s="17" t="str">
        <f>IF(INDEX(Listado!A:A,ROW())="","",INDEX(Listado!A:A,ROW()))</f>
        <v/>
      </c>
      <c r="T2393" s="17" t="str">
        <f ca="1">IF(INDEX(Listado!G:G,ROW())="","",INDEX(Listado!G:G,ROW()))</f>
        <v/>
      </c>
      <c r="U2393" s="17" t="str">
        <f>IF(INDEX(Listado!F:F,ROW())="","",INDEX(Listado!F:F,ROW()))</f>
        <v/>
      </c>
      <c r="V2393" s="17">
        <f>IF(COUNTA(INDEX(Listado!B:B,ROW()):INDEX(Listado!F:F,ROW()))&gt;0,1,0)</f>
        <v/>
      </c>
      <c r="W2393" s="17" t="str">
        <f>IF(INDEX(Listado!L:L,ROW())="","",INDEX(Listado!L:L,ROW()))</f>
        <v/>
      </c>
      <c r="X2393" s="17">
        <f>IF(N2393="","",IF(INDEX(Listado!$M:$M,N2393)="No","No","Sí"))</f>
        <v/>
      </c>
    </row>
    <row r="2394" spans="2:24" ht="14.25">
      <c r="N2394" s="17" t="str">
        <f>IF(V2394=0,"",IFERROR(LOOKUP(2,1/(INDEX(Listado!A:A,2):INDEX(Listado!A:A,ROW())&lt;&gt;""),ROW(INDEX(Listado!A:A,2):INDEX(Listado!A:A,ROW()))),""))</f>
        <v/>
      </c>
      <c r="O2394" s="17" t="str">
        <f>IFERROR(IF(N2394="","",IF(INDEX(Listado!M:M,N2394)="No",IF(INDEX(Listado!N:N,N2394)=0,"",INDEX(Listado!N:N,N2394)),IF(INDEX(Listado!I:I,N2394)=0,"",INDEX(Listado!I:I,N2394)))),"")</f>
        <v/>
      </c>
      <c r="P2394" s="17">
        <f t="shared" ca="1" si="112"/>
        <v/>
      </c>
      <c r="Q2394" s="17">
        <f>IFERROR(IF(AND(N2394&lt;&gt;"",ISNUMBER(O2394),O2394&gt;0,O2394&gt;=TODAY()-90),1,0),0)</f>
        <v/>
      </c>
      <c r="R2394" s="17" t="str">
        <f t="shared" si="114"/>
        <v/>
      </c>
      <c r="S2394" s="17" t="str">
        <f>IF(INDEX(Listado!A:A,ROW())="","",INDEX(Listado!A:A,ROW()))</f>
        <v/>
      </c>
      <c r="T2394" s="17" t="str">
        <f ca="1">IF(INDEX(Listado!G:G,ROW())="","",INDEX(Listado!G:G,ROW()))</f>
        <v/>
      </c>
      <c r="U2394" s="17" t="str">
        <f>IF(INDEX(Listado!F:F,ROW())="","",INDEX(Listado!F:F,ROW()))</f>
        <v/>
      </c>
      <c r="V2394" s="17">
        <f>IF(COUNTA(INDEX(Listado!B:B,ROW()):INDEX(Listado!F:F,ROW()))&gt;0,1,0)</f>
        <v/>
      </c>
      <c r="W2394" s="17" t="str">
        <f>IF(INDEX(Listado!L:L,ROW())="","",INDEX(Listado!L:L,ROW()))</f>
        <v/>
      </c>
      <c r="X2394" s="17">
        <f>IF(N2394="","",IF(INDEX(Listado!$M:$M,N2394)="No","No","Sí"))</f>
        <v/>
      </c>
    </row>
    <row r="2395" spans="2:24" ht="14.25">
      <c r="N2395" s="17" t="str">
        <f>IF(V2395=0,"",IFERROR(LOOKUP(2,1/(INDEX(Listado!A:A,2):INDEX(Listado!A:A,ROW())&lt;&gt;""),ROW(INDEX(Listado!A:A,2):INDEX(Listado!A:A,ROW()))),""))</f>
        <v/>
      </c>
      <c r="O2395" s="17" t="str">
        <f>IFERROR(IF(N2395="","",IF(INDEX(Listado!M:M,N2395)="No",IF(INDEX(Listado!N:N,N2395)=0,"",INDEX(Listado!N:N,N2395)),IF(INDEX(Listado!I:I,N2395)=0,"",INDEX(Listado!I:I,N2395)))),"")</f>
        <v/>
      </c>
      <c r="P2395" s="17">
        <f t="shared" ca="1" si="112"/>
        <v/>
      </c>
      <c r="Q2395" s="17">
        <f>IFERROR(IF(AND(N2395&lt;&gt;"",ISNUMBER(O2395),O2395&gt;0,O2395&gt;=TODAY()-90),1,0),0)</f>
        <v/>
      </c>
      <c r="R2395" s="17" t="str">
        <f t="shared" si="114"/>
        <v/>
      </c>
      <c r="S2395" s="17" t="str">
        <f>IF(INDEX(Listado!A:A,ROW())="","",INDEX(Listado!A:A,ROW()))</f>
        <v/>
      </c>
      <c r="T2395" s="17" t="str">
        <f ca="1">IF(INDEX(Listado!G:G,ROW())="","",INDEX(Listado!G:G,ROW()))</f>
        <v/>
      </c>
      <c r="U2395" s="17" t="str">
        <f>IF(INDEX(Listado!F:F,ROW())="","",INDEX(Listado!F:F,ROW()))</f>
        <v/>
      </c>
      <c r="V2395" s="17">
        <f>IF(COUNTA(INDEX(Listado!B:B,ROW()):INDEX(Listado!F:F,ROW()))&gt;0,1,0)</f>
        <v/>
      </c>
      <c r="W2395" s="17" t="str">
        <f>IF(INDEX(Listado!L:L,ROW())="","",INDEX(Listado!L:L,ROW()))</f>
        <v/>
      </c>
      <c r="X2395" s="17">
        <f>IF(N2395="","",IF(INDEX(Listado!$M:$M,N2395)="No","No","Sí"))</f>
        <v/>
      </c>
    </row>
    <row r="2396" spans="2:24" ht="14.25">
      <c r="N2396" s="17" t="str">
        <f>IF(V2396=0,"",IFERROR(LOOKUP(2,1/(INDEX(Listado!A:A,2):INDEX(Listado!A:A,ROW())&lt;&gt;""),ROW(INDEX(Listado!A:A,2):INDEX(Listado!A:A,ROW()))),""))</f>
        <v/>
      </c>
      <c r="O2396" s="17" t="str">
        <f>IFERROR(IF(N2396="","",IF(INDEX(Listado!M:M,N2396)="No",IF(INDEX(Listado!N:N,N2396)=0,"",INDEX(Listado!N:N,N2396)),IF(INDEX(Listado!I:I,N2396)=0,"",INDEX(Listado!I:I,N2396)))),"")</f>
        <v/>
      </c>
      <c r="P2396" s="17">
        <f t="shared" ca="1" si="112"/>
        <v/>
      </c>
      <c r="Q2396" s="17">
        <f>IFERROR(IF(AND(N2396&lt;&gt;"",ISNUMBER(O2396),O2396&gt;0,O2396&gt;=TODAY()-90),1,0),0)</f>
        <v/>
      </c>
      <c r="R2396" s="17" t="str">
        <f t="shared" si="114"/>
        <v/>
      </c>
      <c r="S2396" s="17" t="str">
        <f>IF(INDEX(Listado!A:A,ROW())="","",INDEX(Listado!A:A,ROW()))</f>
        <v/>
      </c>
      <c r="T2396" s="17" t="str">
        <f ca="1">IF(INDEX(Listado!G:G,ROW())="","",INDEX(Listado!G:G,ROW()))</f>
        <v/>
      </c>
      <c r="U2396" s="17" t="str">
        <f>IF(INDEX(Listado!F:F,ROW())="","",INDEX(Listado!F:F,ROW()))</f>
        <v/>
      </c>
      <c r="V2396" s="17">
        <f>IF(COUNTA(INDEX(Listado!B:B,ROW()):INDEX(Listado!F:F,ROW()))&gt;0,1,0)</f>
        <v/>
      </c>
      <c r="W2396" s="17" t="str">
        <f>IF(INDEX(Listado!L:L,ROW())="","",INDEX(Listado!L:L,ROW()))</f>
        <v/>
      </c>
      <c r="X2396" s="17">
        <f>IF(N2396="","",IF(INDEX(Listado!$M:$M,N2396)="No","No","Sí"))</f>
        <v/>
      </c>
    </row>
    <row r="2397" spans="2:24" ht="14.25">
      <c r="N2397" s="17" t="str">
        <f>IF(V2397=0,"",IFERROR(LOOKUP(2,1/(INDEX(Listado!A:A,2):INDEX(Listado!A:A,ROW())&lt;&gt;""),ROW(INDEX(Listado!A:A,2):INDEX(Listado!A:A,ROW()))),""))</f>
        <v/>
      </c>
      <c r="O2397" s="17" t="str">
        <f>IFERROR(IF(N2397="","",IF(INDEX(Listado!M:M,N2397)="No",IF(INDEX(Listado!N:N,N2397)=0,"",INDEX(Listado!N:N,N2397)),IF(INDEX(Listado!I:I,N2397)=0,"",INDEX(Listado!I:I,N2397)))),"")</f>
        <v/>
      </c>
      <c r="P2397" s="17">
        <f t="shared" ca="1" si="112"/>
        <v/>
      </c>
      <c r="Q2397" s="17">
        <f>IFERROR(IF(AND(N2397&lt;&gt;"",ISNUMBER(O2397),O2397&gt;0,O2397&gt;=TODAY()-90),1,0),0)</f>
        <v/>
      </c>
      <c r="R2397" s="17" t="str">
        <f t="shared" si="114"/>
        <v/>
      </c>
      <c r="S2397" s="17" t="str">
        <f>IF(INDEX(Listado!A:A,ROW())="","",INDEX(Listado!A:A,ROW()))</f>
        <v/>
      </c>
      <c r="T2397" s="17" t="str">
        <f ca="1">IF(INDEX(Listado!G:G,ROW())="","",INDEX(Listado!G:G,ROW()))</f>
        <v/>
      </c>
      <c r="U2397" s="17" t="str">
        <f>IF(INDEX(Listado!F:F,ROW())="","",INDEX(Listado!F:F,ROW()))</f>
        <v/>
      </c>
      <c r="V2397" s="17">
        <f>IF(COUNTA(INDEX(Listado!B:B,ROW()):INDEX(Listado!F:F,ROW()))&gt;0,1,0)</f>
        <v/>
      </c>
      <c r="W2397" s="17" t="str">
        <f>IF(INDEX(Listado!L:L,ROW())="","",INDEX(Listado!L:L,ROW()))</f>
        <v/>
      </c>
      <c r="X2397" s="17">
        <f>IF(N2397="","",IF(INDEX(Listado!$M:$M,N2397)="No","No","Sí"))</f>
        <v/>
      </c>
    </row>
    <row r="2398" spans="2:24" ht="14.25">
      <c r="N2398" s="17" t="str">
        <f>IF(V2398=0,"",IFERROR(LOOKUP(2,1/(INDEX(Listado!A:A,2):INDEX(Listado!A:A,ROW())&lt;&gt;""),ROW(INDEX(Listado!A:A,2):INDEX(Listado!A:A,ROW()))),""))</f>
        <v/>
      </c>
      <c r="O2398" s="17" t="str">
        <f>IFERROR(IF(N2398="","",IF(INDEX(Listado!M:M,N2398)="No",IF(INDEX(Listado!N:N,N2398)=0,"",INDEX(Listado!N:N,N2398)),IF(INDEX(Listado!I:I,N2398)=0,"",INDEX(Listado!I:I,N2398)))),"")</f>
        <v/>
      </c>
      <c r="P2398" s="17">
        <f t="shared" ca="1" si="112"/>
        <v/>
      </c>
      <c r="Q2398" s="17">
        <f>IFERROR(IF(AND(N2398&lt;&gt;"",ISNUMBER(O2398),O2398&gt;0,O2398&gt;=TODAY()-90),1,0),0)</f>
        <v/>
      </c>
      <c r="R2398" s="17" t="str">
        <f t="shared" si="114"/>
        <v/>
      </c>
      <c r="S2398" s="17" t="str">
        <f>IF(INDEX(Listado!A:A,ROW())="","",INDEX(Listado!A:A,ROW()))</f>
        <v/>
      </c>
      <c r="T2398" s="17" t="str">
        <f ca="1">IF(INDEX(Listado!G:G,ROW())="","",INDEX(Listado!G:G,ROW()))</f>
        <v/>
      </c>
      <c r="U2398" s="17" t="str">
        <f>IF(INDEX(Listado!F:F,ROW())="","",INDEX(Listado!F:F,ROW()))</f>
        <v/>
      </c>
      <c r="V2398" s="17">
        <f>IF(COUNTA(INDEX(Listado!B:B,ROW()):INDEX(Listado!F:F,ROW()))&gt;0,1,0)</f>
        <v/>
      </c>
      <c r="W2398" s="17" t="str">
        <f>IF(INDEX(Listado!L:L,ROW())="","",INDEX(Listado!L:L,ROW()))</f>
        <v/>
      </c>
      <c r="X2398" s="17">
        <f>IF(N2398="","",IF(INDEX(Listado!$M:$M,N2398)="No","No","Sí"))</f>
        <v/>
      </c>
    </row>
    <row r="2399" spans="2:24" ht="14.25">
      <c r="N2399" s="17" t="str">
        <f>IF(V2399=0,"",IFERROR(LOOKUP(2,1/(INDEX(Listado!A:A,2):INDEX(Listado!A:A,ROW())&lt;&gt;""),ROW(INDEX(Listado!A:A,2):INDEX(Listado!A:A,ROW()))),""))</f>
        <v/>
      </c>
      <c r="O2399" s="17" t="str">
        <f>IFERROR(IF(N2399="","",IF(INDEX(Listado!M:M,N2399)="No",IF(INDEX(Listado!N:N,N2399)=0,"",INDEX(Listado!N:N,N2399)),IF(INDEX(Listado!I:I,N2399)=0,"",INDEX(Listado!I:I,N2399)))),"")</f>
        <v/>
      </c>
      <c r="P2399" s="17">
        <f t="shared" ca="1" si="112"/>
        <v/>
      </c>
      <c r="Q2399" s="17">
        <f>IFERROR(IF(AND(N2399&lt;&gt;"",ISNUMBER(O2399),O2399&gt;0,O2399&gt;=TODAY()-90),1,0),0)</f>
        <v/>
      </c>
      <c r="R2399" s="17" t="str">
        <f t="shared" si="114"/>
        <v/>
      </c>
      <c r="S2399" s="17" t="str">
        <f>IF(INDEX(Listado!A:A,ROW())="","",INDEX(Listado!A:A,ROW()))</f>
        <v/>
      </c>
      <c r="T2399" s="17" t="str">
        <f ca="1">IF(INDEX(Listado!G:G,ROW())="","",INDEX(Listado!G:G,ROW()))</f>
        <v/>
      </c>
      <c r="U2399" s="17" t="str">
        <f>IF(INDEX(Listado!F:F,ROW())="","",INDEX(Listado!F:F,ROW()))</f>
        <v/>
      </c>
      <c r="V2399" s="17">
        <f>IF(COUNTA(INDEX(Listado!B:B,ROW()):INDEX(Listado!F:F,ROW()))&gt;0,1,0)</f>
        <v/>
      </c>
      <c r="W2399" s="17" t="str">
        <f>IF(INDEX(Listado!L:L,ROW())="","",INDEX(Listado!L:L,ROW()))</f>
        <v/>
      </c>
      <c r="X2399" s="17">
        <f>IF(N2399="","",IF(INDEX(Listado!$M:$M,N2399)="No","No","Sí"))</f>
        <v/>
      </c>
    </row>
    <row r="2400" spans="2:24" ht="14.25">
      <c r="N2400" s="17" t="str">
        <f>IF(V2400=0,"",IFERROR(LOOKUP(2,1/(INDEX(Listado!A:A,2):INDEX(Listado!A:A,ROW())&lt;&gt;""),ROW(INDEX(Listado!A:A,2):INDEX(Listado!A:A,ROW()))),""))</f>
        <v/>
      </c>
      <c r="O2400" s="17" t="str">
        <f>IFERROR(IF(N2400="","",IF(INDEX(Listado!M:M,N2400)="No",IF(INDEX(Listado!N:N,N2400)=0,"",INDEX(Listado!N:N,N2400)),IF(INDEX(Listado!I:I,N2400)=0,"",INDEX(Listado!I:I,N2400)))),"")</f>
        <v/>
      </c>
      <c r="P2400" s="17">
        <f t="shared" ca="1" si="112"/>
        <v/>
      </c>
      <c r="Q2400" s="17">
        <f>IFERROR(IF(AND(N2400&lt;&gt;"",ISNUMBER(O2400),O2400&gt;0,O2400&gt;=TODAY()-90),1,0),0)</f>
        <v/>
      </c>
      <c r="R2400" s="17" t="str">
        <f t="shared" si="114"/>
        <v/>
      </c>
      <c r="S2400" s="17" t="str">
        <f>IF(INDEX(Listado!A:A,ROW())="","",INDEX(Listado!A:A,ROW()))</f>
        <v/>
      </c>
      <c r="T2400" s="17" t="str">
        <f ca="1">IF(INDEX(Listado!G:G,ROW())="","",INDEX(Listado!G:G,ROW()))</f>
        <v/>
      </c>
      <c r="U2400" s="17" t="str">
        <f>IF(INDEX(Listado!F:F,ROW())="","",INDEX(Listado!F:F,ROW()))</f>
        <v/>
      </c>
      <c r="V2400" s="17">
        <f>IF(COUNTA(INDEX(Listado!B:B,ROW()):INDEX(Listado!F:F,ROW()))&gt;0,1,0)</f>
        <v/>
      </c>
      <c r="W2400" s="17" t="str">
        <f>IF(INDEX(Listado!L:L,ROW())="","",INDEX(Listado!L:L,ROW()))</f>
        <v/>
      </c>
      <c r="X2400" s="17">
        <f>IF(N2400="","",IF(INDEX(Listado!$M:$M,N2400)="No","No","Sí"))</f>
        <v/>
      </c>
    </row>
    <row r="2401" spans="2:24" ht="14.25">
      <c r="N2401" s="17" t="str">
        <f>IF(V2401=0,"",IFERROR(LOOKUP(2,1/(INDEX(Listado!A:A,2):INDEX(Listado!A:A,ROW())&lt;&gt;""),ROW(INDEX(Listado!A:A,2):INDEX(Listado!A:A,ROW()))),""))</f>
        <v/>
      </c>
      <c r="O2401" s="17" t="str">
        <f>IFERROR(IF(N2401="","",IF(INDEX(Listado!M:M,N2401)="No",IF(INDEX(Listado!N:N,N2401)=0,"",INDEX(Listado!N:N,N2401)),IF(INDEX(Listado!I:I,N2401)=0,"",INDEX(Listado!I:I,N2401)))),"")</f>
        <v/>
      </c>
      <c r="P2401" s="17">
        <f t="shared" ca="1" si="112"/>
        <v/>
      </c>
      <c r="Q2401" s="17">
        <f>IFERROR(IF(AND(N2401&lt;&gt;"",ISNUMBER(O2401),O2401&gt;0,O2401&gt;=TODAY()-90),1,0),0)</f>
        <v/>
      </c>
      <c r="R2401" s="17" t="str">
        <f t="shared" si="114"/>
        <v/>
      </c>
      <c r="S2401" s="17" t="str">
        <f>IF(INDEX(Listado!A:A,ROW())="","",INDEX(Listado!A:A,ROW()))</f>
        <v/>
      </c>
      <c r="T2401" s="17" t="str">
        <f ca="1">IF(INDEX(Listado!G:G,ROW())="","",INDEX(Listado!G:G,ROW()))</f>
        <v/>
      </c>
      <c r="U2401" s="17" t="str">
        <f>IF(INDEX(Listado!F:F,ROW())="","",INDEX(Listado!F:F,ROW()))</f>
        <v/>
      </c>
      <c r="V2401" s="17">
        <f>IF(COUNTA(INDEX(Listado!B:B,ROW()):INDEX(Listado!F:F,ROW()))&gt;0,1,0)</f>
        <v/>
      </c>
      <c r="W2401" s="17" t="str">
        <f>IF(INDEX(Listado!L:L,ROW())="","",INDEX(Listado!L:L,ROW()))</f>
        <v/>
      </c>
      <c r="X2401" s="17">
        <f>IF(N2401="","",IF(INDEX(Listado!$M:$M,N2401)="No","No","Sí"))</f>
        <v/>
      </c>
    </row>
    <row r="2402" spans="2:24" ht="14.25">
      <c r="N2402" s="17" t="str">
        <f>IF(V2402=0,"",IFERROR(LOOKUP(2,1/(INDEX(Listado!A:A,2):INDEX(Listado!A:A,ROW())&lt;&gt;""),ROW(INDEX(Listado!A:A,2):INDEX(Listado!A:A,ROW()))),""))</f>
        <v/>
      </c>
      <c r="O2402" s="17" t="str">
        <f>IFERROR(IF(N2402="","",IF(INDEX(Listado!M:M,N2402)="No",IF(INDEX(Listado!N:N,N2402)=0,"",INDEX(Listado!N:N,N2402)),IF(INDEX(Listado!I:I,N2402)=0,"",INDEX(Listado!I:I,N2402)))),"")</f>
        <v/>
      </c>
      <c r="P2402" s="17">
        <f t="shared" ca="1" si="112"/>
        <v/>
      </c>
      <c r="Q2402" s="17">
        <f>IFERROR(IF(AND(N2402&lt;&gt;"",ISNUMBER(O2402),O2402&gt;0,O2402&gt;=TODAY()-90),1,0),0)</f>
        <v/>
      </c>
      <c r="R2402" s="17" t="str">
        <f t="shared" si="114"/>
        <v/>
      </c>
      <c r="S2402" s="17" t="str">
        <f>IF(INDEX(Listado!A:A,ROW())="","",INDEX(Listado!A:A,ROW()))</f>
        <v/>
      </c>
      <c r="T2402" s="17" t="str">
        <f ca="1">IF(INDEX(Listado!G:G,ROW())="","",INDEX(Listado!G:G,ROW()))</f>
        <v/>
      </c>
      <c r="U2402" s="17" t="str">
        <f>IF(INDEX(Listado!F:F,ROW())="","",INDEX(Listado!F:F,ROW()))</f>
        <v/>
      </c>
      <c r="V2402" s="17">
        <f>IF(COUNTA(INDEX(Listado!B:B,ROW()):INDEX(Listado!F:F,ROW()))&gt;0,1,0)</f>
        <v/>
      </c>
      <c r="W2402" s="17" t="str">
        <f>IF(INDEX(Listado!L:L,ROW())="","",INDEX(Listado!L:L,ROW()))</f>
        <v/>
      </c>
      <c r="X2402" s="17">
        <f>IF(N2402="","",IF(INDEX(Listado!$M:$M,N2402)="No","No","Sí"))</f>
        <v/>
      </c>
    </row>
    <row r="2403" spans="2:24" ht="14.25">
      <c r="N2403" s="17" t="str">
        <f>IF(V2403=0,"",IFERROR(LOOKUP(2,1/(INDEX(Listado!A:A,2):INDEX(Listado!A:A,ROW())&lt;&gt;""),ROW(INDEX(Listado!A:A,2):INDEX(Listado!A:A,ROW()))),""))</f>
        <v/>
      </c>
      <c r="O2403" s="17" t="str">
        <f>IFERROR(IF(N2403="","",IF(INDEX(Listado!M:M,N2403)="No",IF(INDEX(Listado!N:N,N2403)=0,"",INDEX(Listado!N:N,N2403)),IF(INDEX(Listado!I:I,N2403)=0,"",INDEX(Listado!I:I,N2403)))),"")</f>
        <v/>
      </c>
      <c r="P2403" s="17">
        <f t="shared" ca="1" si="112"/>
        <v/>
      </c>
      <c r="Q2403" s="17">
        <f>IFERROR(IF(AND(N2403&lt;&gt;"",ISNUMBER(O2403),O2403&gt;0,O2403&gt;=TODAY()-90),1,0),0)</f>
        <v/>
      </c>
      <c r="R2403" s="17" t="str">
        <f t="shared" si="114"/>
        <v/>
      </c>
      <c r="S2403" s="17" t="str">
        <f>IF(INDEX(Listado!A:A,ROW())="","",INDEX(Listado!A:A,ROW()))</f>
        <v/>
      </c>
      <c r="T2403" s="17" t="str">
        <f ca="1">IF(INDEX(Listado!G:G,ROW())="","",INDEX(Listado!G:G,ROW()))</f>
        <v/>
      </c>
      <c r="U2403" s="17" t="str">
        <f>IF(INDEX(Listado!F:F,ROW())="","",INDEX(Listado!F:F,ROW()))</f>
        <v/>
      </c>
      <c r="V2403" s="17">
        <f>IF(COUNTA(INDEX(Listado!B:B,ROW()):INDEX(Listado!F:F,ROW()))&gt;0,1,0)</f>
        <v/>
      </c>
      <c r="W2403" s="17" t="str">
        <f>IF(INDEX(Listado!L:L,ROW())="","",INDEX(Listado!L:L,ROW()))</f>
        <v/>
      </c>
      <c r="X2403" s="17">
        <f>IF(N2403="","",IF(INDEX(Listado!$M:$M,N2403)="No","No","Sí"))</f>
        <v/>
      </c>
    </row>
    <row r="2404" spans="2:24" ht="14.25">
      <c r="N2404" s="17" t="str">
        <f>IF(V2404=0,"",IFERROR(LOOKUP(2,1/(INDEX(Listado!A:A,2):INDEX(Listado!A:A,ROW())&lt;&gt;""),ROW(INDEX(Listado!A:A,2):INDEX(Listado!A:A,ROW()))),""))</f>
        <v/>
      </c>
      <c r="O2404" s="17" t="str">
        <f>IFERROR(IF(N2404="","",IF(INDEX(Listado!M:M,N2404)="No",IF(INDEX(Listado!N:N,N2404)=0,"",INDEX(Listado!N:N,N2404)),IF(INDEX(Listado!I:I,N2404)=0,"",INDEX(Listado!I:I,N2404)))),"")</f>
        <v/>
      </c>
      <c r="P2404" s="17">
        <f t="shared" ca="1" si="112"/>
        <v/>
      </c>
      <c r="Q2404" s="17">
        <f>IFERROR(IF(AND(N2404&lt;&gt;"",ISNUMBER(O2404),O2404&gt;0,O2404&gt;=TODAY()-90),1,0),0)</f>
        <v/>
      </c>
      <c r="R2404" s="17" t="str">
        <f t="shared" si="114"/>
        <v/>
      </c>
      <c r="S2404" s="17" t="str">
        <f>IF(INDEX(Listado!A:A,ROW())="","",INDEX(Listado!A:A,ROW()))</f>
        <v/>
      </c>
      <c r="T2404" s="17" t="str">
        <f ca="1">IF(INDEX(Listado!G:G,ROW())="","",INDEX(Listado!G:G,ROW()))</f>
        <v/>
      </c>
      <c r="U2404" s="17" t="str">
        <f>IF(INDEX(Listado!F:F,ROW())="","",INDEX(Listado!F:F,ROW()))</f>
        <v/>
      </c>
      <c r="V2404" s="17">
        <f>IF(COUNTA(INDEX(Listado!B:B,ROW()):INDEX(Listado!F:F,ROW()))&gt;0,1,0)</f>
        <v/>
      </c>
      <c r="W2404" s="17" t="str">
        <f>IF(INDEX(Listado!L:L,ROW())="","",INDEX(Listado!L:L,ROW()))</f>
        <v/>
      </c>
      <c r="X2404" s="17">
        <f>IF(N2404="","",IF(INDEX(Listado!$M:$M,N2404)="No","No","Sí"))</f>
        <v/>
      </c>
    </row>
    <row r="2405" spans="2:24" ht="14.25">
      <c r="N2405" s="17" t="str">
        <f>IF(V2405=0,"",IFERROR(LOOKUP(2,1/(INDEX(Listado!A:A,2):INDEX(Listado!A:A,ROW())&lt;&gt;""),ROW(INDEX(Listado!A:A,2):INDEX(Listado!A:A,ROW()))),""))</f>
        <v/>
      </c>
      <c r="O2405" s="17" t="str">
        <f>IFERROR(IF(N2405="","",IF(INDEX(Listado!M:M,N2405)="No",IF(INDEX(Listado!N:N,N2405)=0,"",INDEX(Listado!N:N,N2405)),IF(INDEX(Listado!I:I,N2405)=0,"",INDEX(Listado!I:I,N2405)))),"")</f>
        <v/>
      </c>
      <c r="P2405" s="17">
        <f t="shared" ca="1" si="112"/>
        <v/>
      </c>
      <c r="Q2405" s="17">
        <f>IFERROR(IF(AND(N2405&lt;&gt;"",ISNUMBER(O2405),O2405&gt;0,O2405&gt;=TODAY()-90),1,0),0)</f>
        <v/>
      </c>
      <c r="R2405" s="17" t="str">
        <f t="shared" si="114"/>
        <v/>
      </c>
      <c r="S2405" s="17" t="str">
        <f>IF(INDEX(Listado!A:A,ROW())="","",INDEX(Listado!A:A,ROW()))</f>
        <v/>
      </c>
      <c r="T2405" s="17" t="str">
        <f ca="1">IF(INDEX(Listado!G:G,ROW())="","",INDEX(Listado!G:G,ROW()))</f>
        <v/>
      </c>
      <c r="U2405" s="17" t="str">
        <f>IF(INDEX(Listado!F:F,ROW())="","",INDEX(Listado!F:F,ROW()))</f>
        <v/>
      </c>
      <c r="V2405" s="17">
        <f>IF(COUNTA(INDEX(Listado!B:B,ROW()):INDEX(Listado!F:F,ROW()))&gt;0,1,0)</f>
        <v/>
      </c>
      <c r="W2405" s="17" t="str">
        <f>IF(INDEX(Listado!L:L,ROW())="","",INDEX(Listado!L:L,ROW()))</f>
        <v/>
      </c>
      <c r="X2405" s="17">
        <f>IF(N2405="","",IF(INDEX(Listado!$M:$M,N2405)="No","No","Sí"))</f>
        <v/>
      </c>
    </row>
    <row r="2406" spans="2:24" ht="14.25">
      <c r="N2406" s="17" t="str">
        <f>IF(V2406=0,"",IFERROR(LOOKUP(2,1/(INDEX(Listado!A:A,2):INDEX(Listado!A:A,ROW())&lt;&gt;""),ROW(INDEX(Listado!A:A,2):INDEX(Listado!A:A,ROW()))),""))</f>
        <v/>
      </c>
      <c r="O2406" s="17" t="str">
        <f>IFERROR(IF(N2406="","",IF(INDEX(Listado!M:M,N2406)="No",IF(INDEX(Listado!N:N,N2406)=0,"",INDEX(Listado!N:N,N2406)),IF(INDEX(Listado!I:I,N2406)=0,"",INDEX(Listado!I:I,N2406)))),"")</f>
        <v/>
      </c>
      <c r="P2406" s="17">
        <f t="shared" ca="1" si="112"/>
        <v/>
      </c>
      <c r="Q2406" s="17">
        <f>IFERROR(IF(AND(N2406&lt;&gt;"",ISNUMBER(O2406),O2406&gt;0,O2406&gt;=TODAY()-90),1,0),0)</f>
        <v/>
      </c>
      <c r="R2406" s="17" t="str">
        <f t="shared" si="114"/>
        <v/>
      </c>
      <c r="S2406" s="17" t="str">
        <f>IF(INDEX(Listado!A:A,ROW())="","",INDEX(Listado!A:A,ROW()))</f>
        <v/>
      </c>
      <c r="T2406" s="17" t="str">
        <f ca="1">IF(INDEX(Listado!G:G,ROW())="","",INDEX(Listado!G:G,ROW()))</f>
        <v/>
      </c>
      <c r="U2406" s="17" t="str">
        <f>IF(INDEX(Listado!F:F,ROW())="","",INDEX(Listado!F:F,ROW()))</f>
        <v/>
      </c>
      <c r="V2406" s="17">
        <f>IF(COUNTA(INDEX(Listado!B:B,ROW()):INDEX(Listado!F:F,ROW()))&gt;0,1,0)</f>
        <v/>
      </c>
      <c r="W2406" s="17" t="str">
        <f>IF(INDEX(Listado!L:L,ROW())="","",INDEX(Listado!L:L,ROW()))</f>
        <v/>
      </c>
      <c r="X2406" s="17">
        <f>IF(N2406="","",IF(INDEX(Listado!$M:$M,N2406)="No","No","Sí"))</f>
        <v/>
      </c>
    </row>
    <row r="2407" spans="2:24" ht="14.25">
      <c r="N2407" s="17" t="str">
        <f>IF(V2407=0,"",IFERROR(LOOKUP(2,1/(INDEX(Listado!A:A,2):INDEX(Listado!A:A,ROW())&lt;&gt;""),ROW(INDEX(Listado!A:A,2):INDEX(Listado!A:A,ROW()))),""))</f>
        <v/>
      </c>
      <c r="O2407" s="17" t="str">
        <f>IFERROR(IF(N2407="","",IF(INDEX(Listado!M:M,N2407)="No",IF(INDEX(Listado!N:N,N2407)=0,"",INDEX(Listado!N:N,N2407)),IF(INDEX(Listado!I:I,N2407)=0,"",INDEX(Listado!I:I,N2407)))),"")</f>
        <v/>
      </c>
      <c r="P2407" s="17">
        <f t="shared" ca="1" si="112"/>
        <v/>
      </c>
      <c r="Q2407" s="17">
        <f>IFERROR(IF(AND(N2407&lt;&gt;"",ISNUMBER(O2407),O2407&gt;0,O2407&gt;=TODAY()-90),1,0),0)</f>
        <v/>
      </c>
      <c r="R2407" s="17" t="str">
        <f t="shared" si="114"/>
        <v/>
      </c>
      <c r="S2407" s="17" t="str">
        <f>IF(INDEX(Listado!A:A,ROW())="","",INDEX(Listado!A:A,ROW()))</f>
        <v/>
      </c>
      <c r="T2407" s="17" t="str">
        <f ca="1">IF(INDEX(Listado!G:G,ROW())="","",INDEX(Listado!G:G,ROW()))</f>
        <v/>
      </c>
      <c r="U2407" s="17" t="str">
        <f>IF(INDEX(Listado!F:F,ROW())="","",INDEX(Listado!F:F,ROW()))</f>
        <v/>
      </c>
      <c r="V2407" s="17">
        <f>IF(COUNTA(INDEX(Listado!B:B,ROW()):INDEX(Listado!F:F,ROW()))&gt;0,1,0)</f>
        <v/>
      </c>
      <c r="W2407" s="17" t="str">
        <f>IF(INDEX(Listado!L:L,ROW())="","",INDEX(Listado!L:L,ROW()))</f>
        <v/>
      </c>
      <c r="X2407" s="17">
        <f>IF(N2407="","",IF(INDEX(Listado!$M:$M,N2407)="No","No","Sí"))</f>
        <v/>
      </c>
    </row>
    <row r="2408" spans="2:24" ht="14.25">
      <c r="N2408" s="17" t="str">
        <f>IF(V2408=0,"",IFERROR(LOOKUP(2,1/(INDEX(Listado!A:A,2):INDEX(Listado!A:A,ROW())&lt;&gt;""),ROW(INDEX(Listado!A:A,2):INDEX(Listado!A:A,ROW()))),""))</f>
        <v/>
      </c>
      <c r="O2408" s="17" t="str">
        <f>IFERROR(IF(N2408="","",IF(INDEX(Listado!M:M,N2408)="No",IF(INDEX(Listado!N:N,N2408)=0,"",INDEX(Listado!N:N,N2408)),IF(INDEX(Listado!I:I,N2408)=0,"",INDEX(Listado!I:I,N2408)))),"")</f>
        <v/>
      </c>
      <c r="P2408" s="17">
        <f t="shared" ca="1" si="112"/>
        <v/>
      </c>
      <c r="Q2408" s="17">
        <f>IFERROR(IF(AND(N2408&lt;&gt;"",ISNUMBER(O2408),O2408&gt;0,O2408&gt;=TODAY()-90),1,0),0)</f>
        <v/>
      </c>
      <c r="R2408" s="17" t="str">
        <f t="shared" si="114"/>
        <v/>
      </c>
      <c r="S2408" s="17" t="str">
        <f>IF(INDEX(Listado!A:A,ROW())="","",INDEX(Listado!A:A,ROW()))</f>
        <v/>
      </c>
      <c r="T2408" s="17" t="str">
        <f ca="1">IF(INDEX(Listado!G:G,ROW())="","",INDEX(Listado!G:G,ROW()))</f>
        <v/>
      </c>
      <c r="U2408" s="17" t="str">
        <f>IF(INDEX(Listado!F:F,ROW())="","",INDEX(Listado!F:F,ROW()))</f>
        <v/>
      </c>
      <c r="V2408" s="17">
        <f>IF(COUNTA(INDEX(Listado!B:B,ROW()):INDEX(Listado!F:F,ROW()))&gt;0,1,0)</f>
        <v/>
      </c>
      <c r="W2408" s="17" t="str">
        <f>IF(INDEX(Listado!L:L,ROW())="","",INDEX(Listado!L:L,ROW()))</f>
        <v/>
      </c>
      <c r="X2408" s="17">
        <f>IF(N2408="","",IF(INDEX(Listado!$M:$M,N2408)="No","No","Sí"))</f>
        <v/>
      </c>
    </row>
    <row r="2409" spans="2:24" ht="14.25">
      <c r="N2409" s="17" t="str">
        <f>IF(V2409=0,"",IFERROR(LOOKUP(2,1/(INDEX(Listado!A:A,2):INDEX(Listado!A:A,ROW())&lt;&gt;""),ROW(INDEX(Listado!A:A,2):INDEX(Listado!A:A,ROW()))),""))</f>
        <v/>
      </c>
      <c r="O2409" s="17" t="str">
        <f>IFERROR(IF(N2409="","",IF(INDEX(Listado!M:M,N2409)="No",IF(INDEX(Listado!N:N,N2409)=0,"",INDEX(Listado!N:N,N2409)),IF(INDEX(Listado!I:I,N2409)=0,"",INDEX(Listado!I:I,N2409)))),"")</f>
        <v/>
      </c>
      <c r="P2409" s="17">
        <f t="shared" ca="1" si="112"/>
        <v/>
      </c>
      <c r="Q2409" s="17">
        <f>IFERROR(IF(AND(N2409&lt;&gt;"",ISNUMBER(O2409),O2409&gt;0,O2409&gt;=TODAY()-90),1,0),0)</f>
        <v/>
      </c>
      <c r="R2409" s="17" t="str">
        <f t="shared" si="114"/>
        <v/>
      </c>
      <c r="S2409" s="17" t="str">
        <f>IF(INDEX(Listado!A:A,ROW())="","",INDEX(Listado!A:A,ROW()))</f>
        <v/>
      </c>
      <c r="T2409" s="17" t="str">
        <f ca="1">IF(INDEX(Listado!G:G,ROW())="","",INDEX(Listado!G:G,ROW()))</f>
        <v/>
      </c>
      <c r="U2409" s="17" t="str">
        <f>IF(INDEX(Listado!F:F,ROW())="","",INDEX(Listado!F:F,ROW()))</f>
        <v/>
      </c>
      <c r="V2409" s="17">
        <f>IF(COUNTA(INDEX(Listado!B:B,ROW()):INDEX(Listado!F:F,ROW()))&gt;0,1,0)</f>
        <v/>
      </c>
      <c r="W2409" s="17" t="str">
        <f>IF(INDEX(Listado!L:L,ROW())="","",INDEX(Listado!L:L,ROW()))</f>
        <v/>
      </c>
      <c r="X2409" s="17">
        <f>IF(N2409="","",IF(INDEX(Listado!$M:$M,N2409)="No","No","Sí"))</f>
        <v/>
      </c>
    </row>
    <row r="2410" spans="2:24" ht="14.25">
      <c r="N2410" s="17" t="str">
        <f>IF(V2410=0,"",IFERROR(LOOKUP(2,1/(INDEX(Listado!A:A,2):INDEX(Listado!A:A,ROW())&lt;&gt;""),ROW(INDEX(Listado!A:A,2):INDEX(Listado!A:A,ROW()))),""))</f>
        <v/>
      </c>
      <c r="O2410" s="17" t="str">
        <f>IFERROR(IF(N2410="","",IF(INDEX(Listado!M:M,N2410)="No",IF(INDEX(Listado!N:N,N2410)=0,"",INDEX(Listado!N:N,N2410)),IF(INDEX(Listado!I:I,N2410)=0,"",INDEX(Listado!I:I,N2410)))),"")</f>
        <v/>
      </c>
      <c r="P2410" s="17">
        <f t="shared" ca="1" si="112"/>
        <v/>
      </c>
      <c r="Q2410" s="17">
        <f>IFERROR(IF(AND(N2410&lt;&gt;"",ISNUMBER(O2410),O2410&gt;0,O2410&gt;=TODAY()-90),1,0),0)</f>
        <v/>
      </c>
      <c r="R2410" s="17" t="str">
        <f t="shared" si="114"/>
        <v/>
      </c>
      <c r="S2410" s="17" t="str">
        <f>IF(INDEX(Listado!A:A,ROW())="","",INDEX(Listado!A:A,ROW()))</f>
        <v/>
      </c>
      <c r="T2410" s="17" t="str">
        <f ca="1">IF(INDEX(Listado!G:G,ROW())="","",INDEX(Listado!G:G,ROW()))</f>
        <v/>
      </c>
      <c r="U2410" s="17" t="str">
        <f>IF(INDEX(Listado!F:F,ROW())="","",INDEX(Listado!F:F,ROW()))</f>
        <v/>
      </c>
      <c r="V2410" s="17">
        <f>IF(COUNTA(INDEX(Listado!B:B,ROW()):INDEX(Listado!F:F,ROW()))&gt;0,1,0)</f>
        <v/>
      </c>
      <c r="W2410" s="17" t="str">
        <f>IF(INDEX(Listado!L:L,ROW())="","",INDEX(Listado!L:L,ROW()))</f>
        <v/>
      </c>
      <c r="X2410" s="17">
        <f>IF(N2410="","",IF(INDEX(Listado!$M:$M,N2410)="No","No","Sí"))</f>
        <v/>
      </c>
    </row>
    <row r="2411" spans="2:24" ht="14.25">
      <c r="N2411" s="17" t="str">
        <f>IF(V2411=0,"",IFERROR(LOOKUP(2,1/(INDEX(Listado!A:A,2):INDEX(Listado!A:A,ROW())&lt;&gt;""),ROW(INDEX(Listado!A:A,2):INDEX(Listado!A:A,ROW()))),""))</f>
        <v/>
      </c>
      <c r="O2411" s="17" t="str">
        <f>IFERROR(IF(N2411="","",IF(INDEX(Listado!M:M,N2411)="No",IF(INDEX(Listado!N:N,N2411)=0,"",INDEX(Listado!N:N,N2411)),IF(INDEX(Listado!I:I,N2411)=0,"",INDEX(Listado!I:I,N2411)))),"")</f>
        <v/>
      </c>
      <c r="P2411" s="17">
        <f t="shared" ca="1" si="112"/>
        <v/>
      </c>
      <c r="Q2411" s="17">
        <f>IFERROR(IF(AND(N2411&lt;&gt;"",ISNUMBER(O2411),O2411&gt;0,O2411&gt;=TODAY()-90),1,0),0)</f>
        <v/>
      </c>
      <c r="R2411" s="17" t="str">
        <f t="shared" si="114"/>
        <v/>
      </c>
      <c r="S2411" s="17" t="str">
        <f>IF(INDEX(Listado!A:A,ROW())="","",INDEX(Listado!A:A,ROW()))</f>
        <v/>
      </c>
      <c r="T2411" s="17" t="str">
        <f ca="1">IF(INDEX(Listado!G:G,ROW())="","",INDEX(Listado!G:G,ROW()))</f>
        <v/>
      </c>
      <c r="U2411" s="17" t="str">
        <f>IF(INDEX(Listado!F:F,ROW())="","",INDEX(Listado!F:F,ROW()))</f>
        <v/>
      </c>
      <c r="V2411" s="17">
        <f>IF(COUNTA(INDEX(Listado!B:B,ROW()):INDEX(Listado!F:F,ROW()))&gt;0,1,0)</f>
        <v/>
      </c>
      <c r="W2411" s="17" t="str">
        <f>IF(INDEX(Listado!L:L,ROW())="","",INDEX(Listado!L:L,ROW()))</f>
        <v/>
      </c>
      <c r="X2411" s="17">
        <f>IF(N2411="","",IF(INDEX(Listado!$M:$M,N2411)="No","No","Sí"))</f>
        <v/>
      </c>
    </row>
    <row r="2412" spans="2:24" ht="14.25">
      <c r="N2412" s="17" t="str">
        <f>IF(V2412=0,"",IFERROR(LOOKUP(2,1/(INDEX(Listado!A:A,2):INDEX(Listado!A:A,ROW())&lt;&gt;""),ROW(INDEX(Listado!A:A,2):INDEX(Listado!A:A,ROW()))),""))</f>
        <v/>
      </c>
      <c r="O2412" s="17" t="str">
        <f>IFERROR(IF(N2412="","",IF(INDEX(Listado!M:M,N2412)="No",IF(INDEX(Listado!N:N,N2412)=0,"",INDEX(Listado!N:N,N2412)),IF(INDEX(Listado!I:I,N2412)=0,"",INDEX(Listado!I:I,N2412)))),"")</f>
        <v/>
      </c>
      <c r="P2412" s="17">
        <f t="shared" ca="1" si="112"/>
        <v/>
      </c>
      <c r="Q2412" s="17">
        <f>IFERROR(IF(AND(N2412&lt;&gt;"",ISNUMBER(O2412),O2412&gt;0,O2412&gt;=TODAY()-90),1,0),0)</f>
        <v/>
      </c>
      <c r="R2412" s="17" t="str">
        <f t="shared" si="114"/>
        <v/>
      </c>
      <c r="S2412" s="17" t="str">
        <f>IF(INDEX(Listado!A:A,ROW())="","",INDEX(Listado!A:A,ROW()))</f>
        <v/>
      </c>
      <c r="T2412" s="17" t="str">
        <f ca="1">IF(INDEX(Listado!G:G,ROW())="","",INDEX(Listado!G:G,ROW()))</f>
        <v/>
      </c>
      <c r="U2412" s="17" t="str">
        <f>IF(INDEX(Listado!F:F,ROW())="","",INDEX(Listado!F:F,ROW()))</f>
        <v/>
      </c>
      <c r="V2412" s="17">
        <f>IF(COUNTA(INDEX(Listado!B:B,ROW()):INDEX(Listado!F:F,ROW()))&gt;0,1,0)</f>
        <v/>
      </c>
      <c r="W2412" s="17" t="str">
        <f>IF(INDEX(Listado!L:L,ROW())="","",INDEX(Listado!L:L,ROW()))</f>
        <v/>
      </c>
      <c r="X2412" s="17">
        <f>IF(N2412="","",IF(INDEX(Listado!$M:$M,N2412)="No","No","Sí"))</f>
        <v/>
      </c>
    </row>
    <row r="2413" spans="2:24" ht="14.25">
      <c r="N2413" s="17" t="str">
        <f>IF(V2413=0,"",IFERROR(LOOKUP(2,1/(INDEX(Listado!A:A,2):INDEX(Listado!A:A,ROW())&lt;&gt;""),ROW(INDEX(Listado!A:A,2):INDEX(Listado!A:A,ROW()))),""))</f>
        <v/>
      </c>
      <c r="O2413" s="17" t="str">
        <f>IFERROR(IF(N2413="","",IF(INDEX(Listado!M:M,N2413)="No",IF(INDEX(Listado!N:N,N2413)=0,"",INDEX(Listado!N:N,N2413)),IF(INDEX(Listado!I:I,N2413)=0,"",INDEX(Listado!I:I,N2413)))),"")</f>
        <v/>
      </c>
      <c r="P2413" s="17">
        <f t="shared" ca="1" si="112"/>
        <v/>
      </c>
      <c r="Q2413" s="17">
        <f>IFERROR(IF(AND(N2413&lt;&gt;"",ISNUMBER(O2413),O2413&gt;0,O2413&gt;=TODAY()-90),1,0),0)</f>
        <v/>
      </c>
      <c r="R2413" s="17" t="str">
        <f t="shared" si="114"/>
        <v/>
      </c>
      <c r="S2413" s="17" t="str">
        <f>IF(INDEX(Listado!A:A,ROW())="","",INDEX(Listado!A:A,ROW()))</f>
        <v/>
      </c>
      <c r="T2413" s="17" t="str">
        <f ca="1">IF(INDEX(Listado!G:G,ROW())="","",INDEX(Listado!G:G,ROW()))</f>
        <v/>
      </c>
      <c r="U2413" s="17" t="str">
        <f>IF(INDEX(Listado!F:F,ROW())="","",INDEX(Listado!F:F,ROW()))</f>
        <v/>
      </c>
      <c r="V2413" s="17">
        <f>IF(COUNTA(INDEX(Listado!B:B,ROW()):INDEX(Listado!F:F,ROW()))&gt;0,1,0)</f>
        <v/>
      </c>
      <c r="W2413" s="17" t="str">
        <f>IF(INDEX(Listado!L:L,ROW())="","",INDEX(Listado!L:L,ROW()))</f>
        <v/>
      </c>
      <c r="X2413" s="17">
        <f>IF(N2413="","",IF(INDEX(Listado!$M:$M,N2413)="No","No","Sí"))</f>
        <v/>
      </c>
    </row>
    <row r="2414" spans="2:24" ht="14.25">
      <c r="N2414" s="17" t="str">
        <f>IF(V2414=0,"",IFERROR(LOOKUP(2,1/(INDEX(Listado!A:A,2):INDEX(Listado!A:A,ROW())&lt;&gt;""),ROW(INDEX(Listado!A:A,2):INDEX(Listado!A:A,ROW()))),""))</f>
        <v/>
      </c>
      <c r="O2414" s="17" t="str">
        <f>IFERROR(IF(N2414="","",IF(INDEX(Listado!M:M,N2414)="No",IF(INDEX(Listado!N:N,N2414)=0,"",INDEX(Listado!N:N,N2414)),IF(INDEX(Listado!I:I,N2414)=0,"",INDEX(Listado!I:I,N2414)))),"")</f>
        <v/>
      </c>
      <c r="P2414" s="17">
        <f t="shared" ca="1" si="112"/>
        <v/>
      </c>
      <c r="Q2414" s="17">
        <f>IFERROR(IF(AND(N2414&lt;&gt;"",ISNUMBER(O2414),O2414&gt;0,O2414&gt;=TODAY()-90),1,0),0)</f>
        <v/>
      </c>
      <c r="R2414" s="17" t="str">
        <f t="shared" si="114"/>
        <v/>
      </c>
      <c r="S2414" s="17" t="str">
        <f>IF(INDEX(Listado!A:A,ROW())="","",INDEX(Listado!A:A,ROW()))</f>
        <v/>
      </c>
      <c r="T2414" s="17" t="str">
        <f ca="1">IF(INDEX(Listado!G:G,ROW())="","",INDEX(Listado!G:G,ROW()))</f>
        <v/>
      </c>
      <c r="U2414" s="17" t="str">
        <f>IF(INDEX(Listado!F:F,ROW())="","",INDEX(Listado!F:F,ROW()))</f>
        <v/>
      </c>
      <c r="V2414" s="17">
        <f>IF(COUNTA(INDEX(Listado!B:B,ROW()):INDEX(Listado!F:F,ROW()))&gt;0,1,0)</f>
        <v/>
      </c>
      <c r="W2414" s="17" t="str">
        <f>IF(INDEX(Listado!L:L,ROW())="","",INDEX(Listado!L:L,ROW()))</f>
        <v/>
      </c>
      <c r="X2414" s="17">
        <f>IF(N2414="","",IF(INDEX(Listado!$M:$M,N2414)="No","No","Sí"))</f>
        <v/>
      </c>
    </row>
    <row r="2415" spans="2:24" ht="14.25">
      <c r="N2415" s="17" t="str">
        <f>IF(V2415=0,"",IFERROR(LOOKUP(2,1/(INDEX(Listado!A:A,2):INDEX(Listado!A:A,ROW())&lt;&gt;""),ROW(INDEX(Listado!A:A,2):INDEX(Listado!A:A,ROW()))),""))</f>
        <v/>
      </c>
      <c r="O2415" s="17" t="str">
        <f>IFERROR(IF(N2415="","",IF(INDEX(Listado!M:M,N2415)="No",IF(INDEX(Listado!N:N,N2415)=0,"",INDEX(Listado!N:N,N2415)),IF(INDEX(Listado!I:I,N2415)=0,"",INDEX(Listado!I:I,N2415)))),"")</f>
        <v/>
      </c>
      <c r="P2415" s="17">
        <f t="shared" ca="1" si="112"/>
        <v/>
      </c>
      <c r="Q2415" s="17">
        <f>IFERROR(IF(AND(N2415&lt;&gt;"",ISNUMBER(O2415),O2415&gt;0,O2415&gt;=TODAY()-90),1,0),0)</f>
        <v/>
      </c>
      <c r="R2415" s="17" t="str">
        <f t="shared" si="114"/>
        <v/>
      </c>
      <c r="S2415" s="17" t="str">
        <f>IF(INDEX(Listado!A:A,ROW())="","",INDEX(Listado!A:A,ROW()))</f>
        <v/>
      </c>
      <c r="T2415" s="17" t="str">
        <f ca="1">IF(INDEX(Listado!G:G,ROW())="","",INDEX(Listado!G:G,ROW()))</f>
        <v/>
      </c>
      <c r="U2415" s="17" t="str">
        <f>IF(INDEX(Listado!F:F,ROW())="","",INDEX(Listado!F:F,ROW()))</f>
        <v/>
      </c>
      <c r="V2415" s="17">
        <f>IF(COUNTA(INDEX(Listado!B:B,ROW()):INDEX(Listado!F:F,ROW()))&gt;0,1,0)</f>
        <v/>
      </c>
      <c r="W2415" s="17" t="str">
        <f>IF(INDEX(Listado!L:L,ROW())="","",INDEX(Listado!L:L,ROW()))</f>
        <v/>
      </c>
      <c r="X2415" s="17">
        <f>IF(N2415="","",IF(INDEX(Listado!$M:$M,N2415)="No","No","Sí"))</f>
        <v/>
      </c>
    </row>
    <row r="2416" spans="2:24" ht="14.25">
      <c r="N2416" s="17" t="str">
        <f>IF(V2416=0,"",IFERROR(LOOKUP(2,1/(INDEX(Listado!A:A,2):INDEX(Listado!A:A,ROW())&lt;&gt;""),ROW(INDEX(Listado!A:A,2):INDEX(Listado!A:A,ROW()))),""))</f>
        <v/>
      </c>
      <c r="O2416" s="17" t="str">
        <f>IFERROR(IF(N2416="","",IF(INDEX(Listado!M:M,N2416)="No",IF(INDEX(Listado!N:N,N2416)=0,"",INDEX(Listado!N:N,N2416)),IF(INDEX(Listado!I:I,N2416)=0,"",INDEX(Listado!I:I,N2416)))),"")</f>
        <v/>
      </c>
      <c r="P2416" s="17">
        <f t="shared" ca="1" si="112"/>
        <v/>
      </c>
      <c r="Q2416" s="17">
        <f>IFERROR(IF(AND(N2416&lt;&gt;"",ISNUMBER(O2416),O2416&gt;0,O2416&gt;=TODAY()-90),1,0),0)</f>
        <v/>
      </c>
      <c r="R2416" s="17" t="str">
        <f t="shared" si="114"/>
        <v/>
      </c>
      <c r="S2416" s="17" t="str">
        <f>IF(INDEX(Listado!A:A,ROW())="","",INDEX(Listado!A:A,ROW()))</f>
        <v/>
      </c>
      <c r="T2416" s="17" t="str">
        <f ca="1">IF(INDEX(Listado!G:G,ROW())="","",INDEX(Listado!G:G,ROW()))</f>
        <v/>
      </c>
      <c r="U2416" s="17" t="str">
        <f>IF(INDEX(Listado!F:F,ROW())="","",INDEX(Listado!F:F,ROW()))</f>
        <v/>
      </c>
      <c r="V2416" s="17">
        <f>IF(COUNTA(INDEX(Listado!B:B,ROW()):INDEX(Listado!F:F,ROW()))&gt;0,1,0)</f>
        <v/>
      </c>
      <c r="W2416" s="17" t="str">
        <f>IF(INDEX(Listado!L:L,ROW())="","",INDEX(Listado!L:L,ROW()))</f>
        <v/>
      </c>
      <c r="X2416" s="17">
        <f>IF(N2416="","",IF(INDEX(Listado!$M:$M,N2416)="No","No","Sí"))</f>
        <v/>
      </c>
    </row>
    <row r="2417" spans="2:24" ht="14.25">
      <c r="N2417" s="17" t="str">
        <f>IF(V2417=0,"",IFERROR(LOOKUP(2,1/(INDEX(Listado!A:A,2):INDEX(Listado!A:A,ROW())&lt;&gt;""),ROW(INDEX(Listado!A:A,2):INDEX(Listado!A:A,ROW()))),""))</f>
        <v/>
      </c>
      <c r="O2417" s="17" t="str">
        <f>IFERROR(IF(N2417="","",IF(INDEX(Listado!M:M,N2417)="No",IF(INDEX(Listado!N:N,N2417)=0,"",INDEX(Listado!N:N,N2417)),IF(INDEX(Listado!I:I,N2417)=0,"",INDEX(Listado!I:I,N2417)))),"")</f>
        <v/>
      </c>
      <c r="P2417" s="17">
        <f t="shared" ca="1" si="112"/>
        <v/>
      </c>
      <c r="Q2417" s="17">
        <f>IFERROR(IF(AND(N2417&lt;&gt;"",ISNUMBER(O2417),O2417&gt;0,O2417&gt;=TODAY()-90),1,0),0)</f>
        <v/>
      </c>
      <c r="R2417" s="17" t="str">
        <f t="shared" si="114"/>
        <v/>
      </c>
      <c r="S2417" s="17" t="str">
        <f>IF(INDEX(Listado!A:A,ROW())="","",INDEX(Listado!A:A,ROW()))</f>
        <v/>
      </c>
      <c r="T2417" s="17" t="str">
        <f ca="1">IF(INDEX(Listado!G:G,ROW())="","",INDEX(Listado!G:G,ROW()))</f>
        <v/>
      </c>
      <c r="U2417" s="17" t="str">
        <f>IF(INDEX(Listado!F:F,ROW())="","",INDEX(Listado!F:F,ROW()))</f>
        <v/>
      </c>
      <c r="V2417" s="17">
        <f>IF(COUNTA(INDEX(Listado!B:B,ROW()):INDEX(Listado!F:F,ROW()))&gt;0,1,0)</f>
        <v/>
      </c>
      <c r="W2417" s="17" t="str">
        <f>IF(INDEX(Listado!L:L,ROW())="","",INDEX(Listado!L:L,ROW()))</f>
        <v/>
      </c>
      <c r="X2417" s="17">
        <f>IF(N2417="","",IF(INDEX(Listado!$M:$M,N2417)="No","No","Sí"))</f>
        <v/>
      </c>
    </row>
    <row r="2418" spans="2:24" ht="14.25">
      <c r="N2418" s="17" t="str">
        <f>IF(V2418=0,"",IFERROR(LOOKUP(2,1/(INDEX(Listado!A:A,2):INDEX(Listado!A:A,ROW())&lt;&gt;""),ROW(INDEX(Listado!A:A,2):INDEX(Listado!A:A,ROW()))),""))</f>
        <v/>
      </c>
      <c r="O2418" s="17" t="str">
        <f>IFERROR(IF(N2418="","",IF(INDEX(Listado!M:M,N2418)="No",IF(INDEX(Listado!N:N,N2418)=0,"",INDEX(Listado!N:N,N2418)),IF(INDEX(Listado!I:I,N2418)=0,"",INDEX(Listado!I:I,N2418)))),"")</f>
        <v/>
      </c>
      <c r="P2418" s="17">
        <f t="shared" ca="1" si="112"/>
        <v/>
      </c>
      <c r="Q2418" s="17">
        <f>IFERROR(IF(AND(N2418&lt;&gt;"",ISNUMBER(O2418),O2418&gt;0,O2418&gt;=TODAY()-90),1,0),0)</f>
        <v/>
      </c>
      <c r="R2418" s="17" t="str">
        <f t="shared" si="114"/>
        <v/>
      </c>
      <c r="S2418" s="17" t="str">
        <f>IF(INDEX(Listado!A:A,ROW())="","",INDEX(Listado!A:A,ROW()))</f>
        <v/>
      </c>
      <c r="T2418" s="17" t="str">
        <f ca="1">IF(INDEX(Listado!G:G,ROW())="","",INDEX(Listado!G:G,ROW()))</f>
        <v/>
      </c>
      <c r="U2418" s="17" t="str">
        <f>IF(INDEX(Listado!F:F,ROW())="","",INDEX(Listado!F:F,ROW()))</f>
        <v/>
      </c>
      <c r="V2418" s="17">
        <f>IF(COUNTA(INDEX(Listado!B:B,ROW()):INDEX(Listado!F:F,ROW()))&gt;0,1,0)</f>
        <v/>
      </c>
      <c r="W2418" s="17" t="str">
        <f>IF(INDEX(Listado!L:L,ROW())="","",INDEX(Listado!L:L,ROW()))</f>
        <v/>
      </c>
      <c r="X2418" s="17">
        <f>IF(N2418="","",IF(INDEX(Listado!$M:$M,N2418)="No","No","Sí"))</f>
        <v/>
      </c>
    </row>
    <row r="2419" spans="2:24" ht="14.25">
      <c r="N2419" s="17" t="str">
        <f>IF(V2419=0,"",IFERROR(LOOKUP(2,1/(INDEX(Listado!A:A,2):INDEX(Listado!A:A,ROW())&lt;&gt;""),ROW(INDEX(Listado!A:A,2):INDEX(Listado!A:A,ROW()))),""))</f>
        <v/>
      </c>
      <c r="O2419" s="17" t="str">
        <f>IFERROR(IF(N2419="","",IF(INDEX(Listado!M:M,N2419)="No",IF(INDEX(Listado!N:N,N2419)=0,"",INDEX(Listado!N:N,N2419)),IF(INDEX(Listado!I:I,N2419)=0,"",INDEX(Listado!I:I,N2419)))),"")</f>
        <v/>
      </c>
      <c r="P2419" s="17">
        <f t="shared" ca="1" si="112"/>
        <v/>
      </c>
      <c r="Q2419" s="17">
        <f>IFERROR(IF(AND(N2419&lt;&gt;"",ISNUMBER(O2419),O2419&gt;0,O2419&gt;=TODAY()-90),1,0),0)</f>
        <v/>
      </c>
      <c r="R2419" s="17" t="str">
        <f t="shared" si="114"/>
        <v/>
      </c>
      <c r="S2419" s="17" t="str">
        <f>IF(INDEX(Listado!A:A,ROW())="","",INDEX(Listado!A:A,ROW()))</f>
        <v/>
      </c>
      <c r="T2419" s="17" t="str">
        <f ca="1">IF(INDEX(Listado!G:G,ROW())="","",INDEX(Listado!G:G,ROW()))</f>
        <v/>
      </c>
      <c r="U2419" s="17" t="str">
        <f>IF(INDEX(Listado!F:F,ROW())="","",INDEX(Listado!F:F,ROW()))</f>
        <v/>
      </c>
      <c r="V2419" s="17">
        <f>IF(COUNTA(INDEX(Listado!B:B,ROW()):INDEX(Listado!F:F,ROW()))&gt;0,1,0)</f>
        <v/>
      </c>
      <c r="W2419" s="17" t="str">
        <f>IF(INDEX(Listado!L:L,ROW())="","",INDEX(Listado!L:L,ROW()))</f>
        <v/>
      </c>
      <c r="X2419" s="17">
        <f>IF(N2419="","",IF(INDEX(Listado!$M:$M,N2419)="No","No","Sí"))</f>
        <v/>
      </c>
    </row>
    <row r="2420" spans="2:24" ht="14.25">
      <c r="N2420" s="17" t="str">
        <f>IF(V2420=0,"",IFERROR(LOOKUP(2,1/(INDEX(Listado!A:A,2):INDEX(Listado!A:A,ROW())&lt;&gt;""),ROW(INDEX(Listado!A:A,2):INDEX(Listado!A:A,ROW()))),""))</f>
        <v/>
      </c>
      <c r="O2420" s="17" t="str">
        <f>IFERROR(IF(N2420="","",IF(INDEX(Listado!M:M,N2420)="No",IF(INDEX(Listado!N:N,N2420)=0,"",INDEX(Listado!N:N,N2420)),IF(INDEX(Listado!I:I,N2420)=0,"",INDEX(Listado!I:I,N2420)))),"")</f>
        <v/>
      </c>
      <c r="P2420" s="17">
        <f t="shared" ca="1" si="112"/>
        <v/>
      </c>
      <c r="Q2420" s="17">
        <f>IFERROR(IF(AND(N2420&lt;&gt;"",ISNUMBER(O2420),O2420&gt;0,O2420&gt;=TODAY()-90),1,0),0)</f>
        <v/>
      </c>
      <c r="R2420" s="17" t="str">
        <f t="shared" si="114"/>
        <v/>
      </c>
      <c r="S2420" s="17" t="str">
        <f>IF(INDEX(Listado!A:A,ROW())="","",INDEX(Listado!A:A,ROW()))</f>
        <v/>
      </c>
      <c r="T2420" s="17" t="str">
        <f ca="1">IF(INDEX(Listado!G:G,ROW())="","",INDEX(Listado!G:G,ROW()))</f>
        <v/>
      </c>
      <c r="U2420" s="17" t="str">
        <f>IF(INDEX(Listado!F:F,ROW())="","",INDEX(Listado!F:F,ROW()))</f>
        <v/>
      </c>
      <c r="V2420" s="17">
        <f>IF(COUNTA(INDEX(Listado!B:B,ROW()):INDEX(Listado!F:F,ROW()))&gt;0,1,0)</f>
        <v/>
      </c>
      <c r="W2420" s="17" t="str">
        <f>IF(INDEX(Listado!L:L,ROW())="","",INDEX(Listado!L:L,ROW()))</f>
        <v/>
      </c>
      <c r="X2420" s="17">
        <f>IF(N2420="","",IF(INDEX(Listado!$M:$M,N2420)="No","No","Sí"))</f>
        <v/>
      </c>
    </row>
    <row r="2421" spans="2:24" ht="14.25">
      <c r="N2421" s="17" t="str">
        <f>IF(V2421=0,"",IFERROR(LOOKUP(2,1/(INDEX(Listado!A:A,2):INDEX(Listado!A:A,ROW())&lt;&gt;""),ROW(INDEX(Listado!A:A,2):INDEX(Listado!A:A,ROW()))),""))</f>
        <v/>
      </c>
      <c r="O2421" s="17" t="str">
        <f>IFERROR(IF(N2421="","",IF(INDEX(Listado!M:M,N2421)="No",IF(INDEX(Listado!N:N,N2421)=0,"",INDEX(Listado!N:N,N2421)),IF(INDEX(Listado!I:I,N2421)=0,"",INDEX(Listado!I:I,N2421)))),"")</f>
        <v/>
      </c>
      <c r="P2421" s="17">
        <f t="shared" ca="1" si="112"/>
        <v/>
      </c>
      <c r="Q2421" s="17">
        <f>IFERROR(IF(AND(N2421&lt;&gt;"",ISNUMBER(O2421),O2421&gt;0,O2421&gt;=TODAY()-90),1,0),0)</f>
        <v/>
      </c>
      <c r="R2421" s="17" t="str">
        <f t="shared" si="114"/>
        <v/>
      </c>
      <c r="S2421" s="17" t="str">
        <f>IF(INDEX(Listado!A:A,ROW())="","",INDEX(Listado!A:A,ROW()))</f>
        <v/>
      </c>
      <c r="T2421" s="17" t="str">
        <f ca="1">IF(INDEX(Listado!G:G,ROW())="","",INDEX(Listado!G:G,ROW()))</f>
        <v/>
      </c>
      <c r="U2421" s="17" t="str">
        <f>IF(INDEX(Listado!F:F,ROW())="","",INDEX(Listado!F:F,ROW()))</f>
        <v/>
      </c>
      <c r="V2421" s="17">
        <f>IF(COUNTA(INDEX(Listado!B:B,ROW()):INDEX(Listado!F:F,ROW()))&gt;0,1,0)</f>
        <v/>
      </c>
      <c r="W2421" s="17" t="str">
        <f>IF(INDEX(Listado!L:L,ROW())="","",INDEX(Listado!L:L,ROW()))</f>
        <v/>
      </c>
      <c r="X2421" s="17">
        <f>IF(N2421="","",IF(INDEX(Listado!$M:$M,N2421)="No","No","Sí"))</f>
        <v/>
      </c>
    </row>
    <row r="2422" spans="2:24" ht="14.25">
      <c r="N2422" s="17" t="str">
        <f>IF(V2422=0,"",IFERROR(LOOKUP(2,1/(INDEX(Listado!A:A,2):INDEX(Listado!A:A,ROW())&lt;&gt;""),ROW(INDEX(Listado!A:A,2):INDEX(Listado!A:A,ROW()))),""))</f>
        <v/>
      </c>
      <c r="O2422" s="17" t="str">
        <f>IFERROR(IF(N2422="","",IF(INDEX(Listado!M:M,N2422)="No",IF(INDEX(Listado!N:N,N2422)=0,"",INDEX(Listado!N:N,N2422)),IF(INDEX(Listado!I:I,N2422)=0,"",INDEX(Listado!I:I,N2422)))),"")</f>
        <v/>
      </c>
      <c r="P2422" s="17">
        <f t="shared" ca="1" si="112"/>
        <v/>
      </c>
      <c r="Q2422" s="17">
        <f>IFERROR(IF(AND(N2422&lt;&gt;"",ISNUMBER(O2422),O2422&gt;0,O2422&gt;=TODAY()-90),1,0),0)</f>
        <v/>
      </c>
      <c r="R2422" s="17" t="str">
        <f t="shared" si="114"/>
        <v/>
      </c>
      <c r="S2422" s="17" t="str">
        <f>IF(INDEX(Listado!A:A,ROW())="","",INDEX(Listado!A:A,ROW()))</f>
        <v/>
      </c>
      <c r="T2422" s="17" t="str">
        <f ca="1">IF(INDEX(Listado!G:G,ROW())="","",INDEX(Listado!G:G,ROW()))</f>
        <v/>
      </c>
      <c r="U2422" s="17" t="str">
        <f>IF(INDEX(Listado!F:F,ROW())="","",INDEX(Listado!F:F,ROW()))</f>
        <v/>
      </c>
      <c r="V2422" s="17">
        <f>IF(COUNTA(INDEX(Listado!B:B,ROW()):INDEX(Listado!F:F,ROW()))&gt;0,1,0)</f>
        <v/>
      </c>
      <c r="W2422" s="17" t="str">
        <f>IF(INDEX(Listado!L:L,ROW())="","",INDEX(Listado!L:L,ROW()))</f>
        <v/>
      </c>
      <c r="X2422" s="17">
        <f>IF(N2422="","",IF(INDEX(Listado!$M:$M,N2422)="No","No","Sí"))</f>
        <v/>
      </c>
    </row>
    <row r="2423" spans="2:24" ht="14.25">
      <c r="N2423" s="17" t="str">
        <f>IF(V2423=0,"",IFERROR(LOOKUP(2,1/(INDEX(Listado!A:A,2):INDEX(Listado!A:A,ROW())&lt;&gt;""),ROW(INDEX(Listado!A:A,2):INDEX(Listado!A:A,ROW()))),""))</f>
        <v/>
      </c>
      <c r="O2423" s="17" t="str">
        <f>IFERROR(IF(N2423="","",IF(INDEX(Listado!M:M,N2423)="No",IF(INDEX(Listado!N:N,N2423)=0,"",INDEX(Listado!N:N,N2423)),IF(INDEX(Listado!I:I,N2423)=0,"",INDEX(Listado!I:I,N2423)))),"")</f>
        <v/>
      </c>
      <c r="P2423" s="17">
        <f t="shared" ca="1" si="112"/>
        <v/>
      </c>
      <c r="Q2423" s="17">
        <f>IFERROR(IF(AND(N2423&lt;&gt;"",ISNUMBER(O2423),O2423&gt;0,O2423&gt;=TODAY()-90),1,0),0)</f>
        <v/>
      </c>
      <c r="R2423" s="17" t="str">
        <f t="shared" si="114"/>
        <v/>
      </c>
      <c r="S2423" s="17" t="str">
        <f>IF(INDEX(Listado!A:A,ROW())="","",INDEX(Listado!A:A,ROW()))</f>
        <v/>
      </c>
      <c r="T2423" s="17" t="str">
        <f ca="1">IF(INDEX(Listado!G:G,ROW())="","",INDEX(Listado!G:G,ROW()))</f>
        <v/>
      </c>
      <c r="U2423" s="17" t="str">
        <f>IF(INDEX(Listado!F:F,ROW())="","",INDEX(Listado!F:F,ROW()))</f>
        <v/>
      </c>
      <c r="V2423" s="17">
        <f>IF(COUNTA(INDEX(Listado!B:B,ROW()):INDEX(Listado!F:F,ROW()))&gt;0,1,0)</f>
        <v/>
      </c>
      <c r="W2423" s="17" t="str">
        <f>IF(INDEX(Listado!L:L,ROW())="","",INDEX(Listado!L:L,ROW()))</f>
        <v/>
      </c>
      <c r="X2423" s="17">
        <f>IF(N2423="","",IF(INDEX(Listado!$M:$M,N2423)="No","No","Sí"))</f>
        <v/>
      </c>
    </row>
    <row r="2424" spans="2:24" ht="14.25">
      <c r="N2424" s="17" t="str">
        <f>IF(V2424=0,"",IFERROR(LOOKUP(2,1/(INDEX(Listado!A:A,2):INDEX(Listado!A:A,ROW())&lt;&gt;""),ROW(INDEX(Listado!A:A,2):INDEX(Listado!A:A,ROW()))),""))</f>
        <v/>
      </c>
      <c r="O2424" s="17" t="str">
        <f>IFERROR(IF(N2424="","",IF(INDEX(Listado!M:M,N2424)="No",IF(INDEX(Listado!N:N,N2424)=0,"",INDEX(Listado!N:N,N2424)),IF(INDEX(Listado!I:I,N2424)=0,"",INDEX(Listado!I:I,N2424)))),"")</f>
        <v/>
      </c>
      <c r="P2424" s="17">
        <f t="shared" ca="1" si="112"/>
        <v/>
      </c>
      <c r="Q2424" s="17">
        <f>IFERROR(IF(AND(N2424&lt;&gt;"",ISNUMBER(O2424),O2424&gt;0,O2424&gt;=TODAY()-90),1,0),0)</f>
        <v/>
      </c>
      <c r="R2424" s="17" t="str">
        <f t="shared" si="114"/>
        <v/>
      </c>
      <c r="S2424" s="17" t="str">
        <f>IF(INDEX(Listado!A:A,ROW())="","",INDEX(Listado!A:A,ROW()))</f>
        <v/>
      </c>
      <c r="T2424" s="17" t="str">
        <f ca="1">IF(INDEX(Listado!G:G,ROW())="","",INDEX(Listado!G:G,ROW()))</f>
        <v/>
      </c>
      <c r="U2424" s="17" t="str">
        <f>IF(INDEX(Listado!F:F,ROW())="","",INDEX(Listado!F:F,ROW()))</f>
        <v/>
      </c>
      <c r="V2424" s="17">
        <f>IF(COUNTA(INDEX(Listado!B:B,ROW()):INDEX(Listado!F:F,ROW()))&gt;0,1,0)</f>
        <v/>
      </c>
      <c r="W2424" s="17" t="str">
        <f>IF(INDEX(Listado!L:L,ROW())="","",INDEX(Listado!L:L,ROW()))</f>
        <v/>
      </c>
      <c r="X2424" s="17">
        <f>IF(N2424="","",IF(INDEX(Listado!$M:$M,N2424)="No","No","Sí"))</f>
        <v/>
      </c>
    </row>
    <row r="2425" spans="2:24" ht="14.25">
      <c r="N2425" s="17" t="str">
        <f>IF(V2425=0,"",IFERROR(LOOKUP(2,1/(INDEX(Listado!A:A,2):INDEX(Listado!A:A,ROW())&lt;&gt;""),ROW(INDEX(Listado!A:A,2):INDEX(Listado!A:A,ROW()))),""))</f>
        <v/>
      </c>
      <c r="O2425" s="17" t="str">
        <f>IFERROR(IF(N2425="","",IF(INDEX(Listado!M:M,N2425)="No",IF(INDEX(Listado!N:N,N2425)=0,"",INDEX(Listado!N:N,N2425)),IF(INDEX(Listado!I:I,N2425)=0,"",INDEX(Listado!I:I,N2425)))),"")</f>
        <v/>
      </c>
      <c r="P2425" s="17">
        <f t="shared" ca="1" si="112"/>
        <v/>
      </c>
      <c r="Q2425" s="17">
        <f>IFERROR(IF(AND(N2425&lt;&gt;"",ISNUMBER(O2425),O2425&gt;0,O2425&gt;=TODAY()-90),1,0),0)</f>
        <v/>
      </c>
      <c r="R2425" s="17" t="str">
        <f t="shared" si="114"/>
        <v/>
      </c>
      <c r="S2425" s="17" t="str">
        <f>IF(INDEX(Listado!A:A,ROW())="","",INDEX(Listado!A:A,ROW()))</f>
        <v/>
      </c>
      <c r="T2425" s="17" t="str">
        <f ca="1">IF(INDEX(Listado!G:G,ROW())="","",INDEX(Listado!G:G,ROW()))</f>
        <v/>
      </c>
      <c r="U2425" s="17" t="str">
        <f>IF(INDEX(Listado!F:F,ROW())="","",INDEX(Listado!F:F,ROW()))</f>
        <v/>
      </c>
      <c r="V2425" s="17">
        <f>IF(COUNTA(INDEX(Listado!B:B,ROW()):INDEX(Listado!F:F,ROW()))&gt;0,1,0)</f>
        <v/>
      </c>
      <c r="W2425" s="17" t="str">
        <f>IF(INDEX(Listado!L:L,ROW())="","",INDEX(Listado!L:L,ROW()))</f>
        <v/>
      </c>
      <c r="X2425" s="17">
        <f>IF(N2425="","",IF(INDEX(Listado!$M:$M,N2425)="No","No","Sí"))</f>
        <v/>
      </c>
    </row>
    <row r="2426" spans="2:24" ht="14.25">
      <c r="N2426" s="17" t="str">
        <f>IF(V2426=0,"",IFERROR(LOOKUP(2,1/(INDEX(Listado!A:A,2):INDEX(Listado!A:A,ROW())&lt;&gt;""),ROW(INDEX(Listado!A:A,2):INDEX(Listado!A:A,ROW()))),""))</f>
        <v/>
      </c>
      <c r="O2426" s="17" t="str">
        <f>IFERROR(IF(N2426="","",IF(INDEX(Listado!M:M,N2426)="No",IF(INDEX(Listado!N:N,N2426)=0,"",INDEX(Listado!N:N,N2426)),IF(INDEX(Listado!I:I,N2426)=0,"",INDEX(Listado!I:I,N2426)))),"")</f>
        <v/>
      </c>
      <c r="P2426" s="17">
        <f t="shared" ca="1" si="112"/>
        <v/>
      </c>
      <c r="Q2426" s="17">
        <f>IFERROR(IF(AND(N2426&lt;&gt;"",ISNUMBER(O2426),O2426&gt;0,O2426&gt;=TODAY()-90),1,0),0)</f>
        <v/>
      </c>
      <c r="R2426" s="17" t="str">
        <f t="shared" si="114"/>
        <v/>
      </c>
      <c r="S2426" s="17" t="str">
        <f>IF(INDEX(Listado!A:A,ROW())="","",INDEX(Listado!A:A,ROW()))</f>
        <v/>
      </c>
      <c r="T2426" s="17" t="str">
        <f ca="1">IF(INDEX(Listado!G:G,ROW())="","",INDEX(Listado!G:G,ROW()))</f>
        <v/>
      </c>
      <c r="U2426" s="17" t="str">
        <f>IF(INDEX(Listado!F:F,ROW())="","",INDEX(Listado!F:F,ROW()))</f>
        <v/>
      </c>
      <c r="V2426" s="17">
        <f>IF(COUNTA(INDEX(Listado!B:B,ROW()):INDEX(Listado!F:F,ROW()))&gt;0,1,0)</f>
        <v/>
      </c>
      <c r="W2426" s="17" t="str">
        <f>IF(INDEX(Listado!L:L,ROW())="","",INDEX(Listado!L:L,ROW()))</f>
        <v/>
      </c>
      <c r="X2426" s="17">
        <f>IF(N2426="","",IF(INDEX(Listado!$M:$M,N2426)="No","No","Sí"))</f>
        <v/>
      </c>
    </row>
    <row r="2427" spans="2:24" ht="14.25">
      <c r="N2427" s="17" t="str">
        <f>IF(V2427=0,"",IFERROR(LOOKUP(2,1/(INDEX(Listado!A:A,2):INDEX(Listado!A:A,ROW())&lt;&gt;""),ROW(INDEX(Listado!A:A,2):INDEX(Listado!A:A,ROW()))),""))</f>
        <v/>
      </c>
      <c r="O2427" s="17" t="str">
        <f>IFERROR(IF(N2427="","",IF(INDEX(Listado!M:M,N2427)="No",IF(INDEX(Listado!N:N,N2427)=0,"",INDEX(Listado!N:N,N2427)),IF(INDEX(Listado!I:I,N2427)=0,"",INDEX(Listado!I:I,N2427)))),"")</f>
        <v/>
      </c>
      <c r="P2427" s="17">
        <f t="shared" ca="1" si="112"/>
        <v/>
      </c>
      <c r="Q2427" s="17">
        <f>IFERROR(IF(AND(N2427&lt;&gt;"",ISNUMBER(O2427),O2427&gt;0,O2427&gt;=TODAY()-90),1,0),0)</f>
        <v/>
      </c>
      <c r="R2427" s="17" t="str">
        <f t="shared" si="114"/>
        <v/>
      </c>
      <c r="S2427" s="17" t="str">
        <f>IF(INDEX(Listado!A:A,ROW())="","",INDEX(Listado!A:A,ROW()))</f>
        <v/>
      </c>
      <c r="T2427" s="17" t="str">
        <f ca="1">IF(INDEX(Listado!G:G,ROW())="","",INDEX(Listado!G:G,ROW()))</f>
        <v/>
      </c>
      <c r="U2427" s="17" t="str">
        <f>IF(INDEX(Listado!F:F,ROW())="","",INDEX(Listado!F:F,ROW()))</f>
        <v/>
      </c>
      <c r="V2427" s="17">
        <f>IF(COUNTA(INDEX(Listado!B:B,ROW()):INDEX(Listado!F:F,ROW()))&gt;0,1,0)</f>
        <v/>
      </c>
      <c r="W2427" s="17" t="str">
        <f>IF(INDEX(Listado!L:L,ROW())="","",INDEX(Listado!L:L,ROW()))</f>
        <v/>
      </c>
      <c r="X2427" s="17">
        <f>IF(N2427="","",IF(INDEX(Listado!$M:$M,N2427)="No","No","Sí"))</f>
        <v/>
      </c>
    </row>
    <row r="2428" spans="2:24" ht="14.25">
      <c r="N2428" s="17" t="str">
        <f>IF(V2428=0,"",IFERROR(LOOKUP(2,1/(INDEX(Listado!A:A,2):INDEX(Listado!A:A,ROW())&lt;&gt;""),ROW(INDEX(Listado!A:A,2):INDEX(Listado!A:A,ROW()))),""))</f>
        <v/>
      </c>
      <c r="O2428" s="17" t="str">
        <f>IFERROR(IF(N2428="","",IF(INDEX(Listado!M:M,N2428)="No",IF(INDEX(Listado!N:N,N2428)=0,"",INDEX(Listado!N:N,N2428)),IF(INDEX(Listado!I:I,N2428)=0,"",INDEX(Listado!I:I,N2428)))),"")</f>
        <v/>
      </c>
      <c r="P2428" s="17">
        <f t="shared" ca="1" si="112"/>
        <v/>
      </c>
      <c r="Q2428" s="17">
        <f>IFERROR(IF(AND(N2428&lt;&gt;"",ISNUMBER(O2428),O2428&gt;0,O2428&gt;=TODAY()-90),1,0),0)</f>
        <v/>
      </c>
      <c r="R2428" s="17" t="str">
        <f t="shared" si="114"/>
        <v/>
      </c>
      <c r="S2428" s="17" t="str">
        <f>IF(INDEX(Listado!A:A,ROW())="","",INDEX(Listado!A:A,ROW()))</f>
        <v/>
      </c>
      <c r="T2428" s="17" t="str">
        <f ca="1">IF(INDEX(Listado!G:G,ROW())="","",INDEX(Listado!G:G,ROW()))</f>
        <v/>
      </c>
      <c r="U2428" s="17" t="str">
        <f>IF(INDEX(Listado!F:F,ROW())="","",INDEX(Listado!F:F,ROW()))</f>
        <v/>
      </c>
      <c r="V2428" s="17">
        <f>IF(COUNTA(INDEX(Listado!B:B,ROW()):INDEX(Listado!F:F,ROW()))&gt;0,1,0)</f>
        <v/>
      </c>
      <c r="W2428" s="17" t="str">
        <f>IF(INDEX(Listado!L:L,ROW())="","",INDEX(Listado!L:L,ROW()))</f>
        <v/>
      </c>
      <c r="X2428" s="17">
        <f>IF(N2428="","",IF(INDEX(Listado!$M:$M,N2428)="No","No","Sí"))</f>
        <v/>
      </c>
    </row>
    <row r="2429" spans="2:24" ht="14.25">
      <c r="N2429" s="17" t="str">
        <f>IF(V2429=0,"",IFERROR(LOOKUP(2,1/(INDEX(Listado!A:A,2):INDEX(Listado!A:A,ROW())&lt;&gt;""),ROW(INDEX(Listado!A:A,2):INDEX(Listado!A:A,ROW()))),""))</f>
        <v/>
      </c>
      <c r="O2429" s="17" t="str">
        <f>IFERROR(IF(N2429="","",IF(INDEX(Listado!M:M,N2429)="No",IF(INDEX(Listado!N:N,N2429)=0,"",INDEX(Listado!N:N,N2429)),IF(INDEX(Listado!I:I,N2429)=0,"",INDEX(Listado!I:I,N2429)))),"")</f>
        <v/>
      </c>
      <c r="P2429" s="17">
        <f t="shared" ca="1" si="112"/>
        <v/>
      </c>
      <c r="Q2429" s="17">
        <f>IFERROR(IF(AND(N2429&lt;&gt;"",ISNUMBER(O2429),O2429&gt;0,O2429&gt;=TODAY()-90),1,0),0)</f>
        <v/>
      </c>
      <c r="R2429" s="17" t="str">
        <f t="shared" si="114"/>
        <v/>
      </c>
      <c r="S2429" s="17" t="str">
        <f>IF(INDEX(Listado!A:A,ROW())="","",INDEX(Listado!A:A,ROW()))</f>
        <v/>
      </c>
      <c r="T2429" s="17" t="str">
        <f ca="1">IF(INDEX(Listado!G:G,ROW())="","",INDEX(Listado!G:G,ROW()))</f>
        <v/>
      </c>
      <c r="U2429" s="17" t="str">
        <f>IF(INDEX(Listado!F:F,ROW())="","",INDEX(Listado!F:F,ROW()))</f>
        <v/>
      </c>
      <c r="V2429" s="17">
        <f>IF(COUNTA(INDEX(Listado!B:B,ROW()):INDEX(Listado!F:F,ROW()))&gt;0,1,0)</f>
        <v/>
      </c>
      <c r="W2429" s="17" t="str">
        <f>IF(INDEX(Listado!L:L,ROW())="","",INDEX(Listado!L:L,ROW()))</f>
        <v/>
      </c>
      <c r="X2429" s="17">
        <f>IF(N2429="","",IF(INDEX(Listado!$M:$M,N2429)="No","No","Sí"))</f>
        <v/>
      </c>
    </row>
    <row r="2430" spans="2:24" ht="14.25">
      <c r="N2430" s="17" t="str">
        <f>IF(V2430=0,"",IFERROR(LOOKUP(2,1/(INDEX(Listado!A:A,2):INDEX(Listado!A:A,ROW())&lt;&gt;""),ROW(INDEX(Listado!A:A,2):INDEX(Listado!A:A,ROW()))),""))</f>
        <v/>
      </c>
      <c r="O2430" s="17" t="str">
        <f>IFERROR(IF(N2430="","",IF(INDEX(Listado!M:M,N2430)="No",IF(INDEX(Listado!N:N,N2430)=0,"",INDEX(Listado!N:N,N2430)),IF(INDEX(Listado!I:I,N2430)=0,"",INDEX(Listado!I:I,N2430)))),"")</f>
        <v/>
      </c>
      <c r="P2430" s="17">
        <f t="shared" ca="1" si="112"/>
        <v/>
      </c>
      <c r="Q2430" s="17">
        <f>IFERROR(IF(AND(N2430&lt;&gt;"",ISNUMBER(O2430),O2430&gt;0,O2430&gt;=TODAY()-90),1,0),0)</f>
        <v/>
      </c>
      <c r="R2430" s="17" t="str">
        <f t="shared" si="114"/>
        <v/>
      </c>
      <c r="S2430" s="17" t="str">
        <f>IF(INDEX(Listado!A:A,ROW())="","",INDEX(Listado!A:A,ROW()))</f>
        <v/>
      </c>
      <c r="T2430" s="17" t="str">
        <f ca="1">IF(INDEX(Listado!G:G,ROW())="","",INDEX(Listado!G:G,ROW()))</f>
        <v/>
      </c>
      <c r="U2430" s="17" t="str">
        <f>IF(INDEX(Listado!F:F,ROW())="","",INDEX(Listado!F:F,ROW()))</f>
        <v/>
      </c>
      <c r="V2430" s="17">
        <f>IF(COUNTA(INDEX(Listado!B:B,ROW()):INDEX(Listado!F:F,ROW()))&gt;0,1,0)</f>
        <v/>
      </c>
      <c r="W2430" s="17" t="str">
        <f>IF(INDEX(Listado!L:L,ROW())="","",INDEX(Listado!L:L,ROW()))</f>
        <v/>
      </c>
      <c r="X2430" s="17">
        <f>IF(N2430="","",IF(INDEX(Listado!$M:$M,N2430)="No","No","Sí"))</f>
        <v/>
      </c>
    </row>
    <row r="2431" spans="2:24" ht="14.25">
      <c r="N2431" s="17" t="str">
        <f>IF(V2431=0,"",IFERROR(LOOKUP(2,1/(INDEX(Listado!A:A,2):INDEX(Listado!A:A,ROW())&lt;&gt;""),ROW(INDEX(Listado!A:A,2):INDEX(Listado!A:A,ROW()))),""))</f>
        <v/>
      </c>
      <c r="O2431" s="17" t="str">
        <f>IFERROR(IF(N2431="","",IF(INDEX(Listado!M:M,N2431)="No",IF(INDEX(Listado!N:N,N2431)=0,"",INDEX(Listado!N:N,N2431)),IF(INDEX(Listado!I:I,N2431)=0,"",INDEX(Listado!I:I,N2431)))),"")</f>
        <v/>
      </c>
      <c r="P2431" s="17">
        <f t="shared" ca="1" si="112"/>
        <v/>
      </c>
      <c r="Q2431" s="17">
        <f>IFERROR(IF(AND(N2431&lt;&gt;"",ISNUMBER(O2431),O2431&gt;0,O2431&gt;=TODAY()-90),1,0),0)</f>
        <v/>
      </c>
      <c r="R2431" s="17" t="str">
        <f t="shared" si="114"/>
        <v/>
      </c>
      <c r="S2431" s="17" t="str">
        <f>IF(INDEX(Listado!A:A,ROW())="","",INDEX(Listado!A:A,ROW()))</f>
        <v/>
      </c>
      <c r="T2431" s="17" t="str">
        <f ca="1">IF(INDEX(Listado!G:G,ROW())="","",INDEX(Listado!G:G,ROW()))</f>
        <v/>
      </c>
      <c r="U2431" s="17" t="str">
        <f>IF(INDEX(Listado!F:F,ROW())="","",INDEX(Listado!F:F,ROW()))</f>
        <v/>
      </c>
      <c r="V2431" s="17">
        <f>IF(COUNTA(INDEX(Listado!B:B,ROW()):INDEX(Listado!F:F,ROW()))&gt;0,1,0)</f>
        <v/>
      </c>
      <c r="W2431" s="17" t="str">
        <f>IF(INDEX(Listado!L:L,ROW())="","",INDEX(Listado!L:L,ROW()))</f>
        <v/>
      </c>
      <c r="X2431" s="17">
        <f>IF(N2431="","",IF(INDEX(Listado!$M:$M,N2431)="No","No","Sí"))</f>
        <v/>
      </c>
    </row>
    <row r="2432" spans="2:24" ht="14.25">
      <c r="N2432" s="17" t="str">
        <f>IF(V2432=0,"",IFERROR(LOOKUP(2,1/(INDEX(Listado!A:A,2):INDEX(Listado!A:A,ROW())&lt;&gt;""),ROW(INDEX(Listado!A:A,2):INDEX(Listado!A:A,ROW()))),""))</f>
        <v/>
      </c>
      <c r="O2432" s="17" t="str">
        <f>IFERROR(IF(N2432="","",IF(INDEX(Listado!M:M,N2432)="No",IF(INDEX(Listado!N:N,N2432)=0,"",INDEX(Listado!N:N,N2432)),IF(INDEX(Listado!I:I,N2432)=0,"",INDEX(Listado!I:I,N2432)))),"")</f>
        <v/>
      </c>
      <c r="P2432" s="17">
        <f t="shared" ca="1" si="112"/>
        <v/>
      </c>
      <c r="Q2432" s="17">
        <f>IFERROR(IF(AND(N2432&lt;&gt;"",ISNUMBER(O2432),O2432&gt;0,O2432&gt;=TODAY()-90),1,0),0)</f>
        <v/>
      </c>
      <c r="R2432" s="17" t="str">
        <f t="shared" si="114"/>
        <v/>
      </c>
      <c r="S2432" s="17" t="str">
        <f>IF(INDEX(Listado!A:A,ROW())="","",INDEX(Listado!A:A,ROW()))</f>
        <v/>
      </c>
      <c r="T2432" s="17" t="str">
        <f ca="1">IF(INDEX(Listado!G:G,ROW())="","",INDEX(Listado!G:G,ROW()))</f>
        <v/>
      </c>
      <c r="U2432" s="17" t="str">
        <f>IF(INDEX(Listado!F:F,ROW())="","",INDEX(Listado!F:F,ROW()))</f>
        <v/>
      </c>
      <c r="V2432" s="17">
        <f>IF(COUNTA(INDEX(Listado!B:B,ROW()):INDEX(Listado!F:F,ROW()))&gt;0,1,0)</f>
        <v/>
      </c>
      <c r="W2432" s="17" t="str">
        <f>IF(INDEX(Listado!L:L,ROW())="","",INDEX(Listado!L:L,ROW()))</f>
        <v/>
      </c>
      <c r="X2432" s="17">
        <f>IF(N2432="","",IF(INDEX(Listado!$M:$M,N2432)="No","No","Sí"))</f>
        <v/>
      </c>
    </row>
    <row r="2433" spans="2:24" ht="14.25">
      <c r="N2433" s="17" t="str">
        <f>IF(V2433=0,"",IFERROR(LOOKUP(2,1/(INDEX(Listado!A:A,2):INDEX(Listado!A:A,ROW())&lt;&gt;""),ROW(INDEX(Listado!A:A,2):INDEX(Listado!A:A,ROW()))),""))</f>
        <v/>
      </c>
      <c r="O2433" s="17" t="str">
        <f>IFERROR(IF(N2433="","",IF(INDEX(Listado!M:M,N2433)="No",IF(INDEX(Listado!N:N,N2433)=0,"",INDEX(Listado!N:N,N2433)),IF(INDEX(Listado!I:I,N2433)=0,"",INDEX(Listado!I:I,N2433)))),"")</f>
        <v/>
      </c>
      <c r="P2433" s="17">
        <f t="shared" ca="1" si="112"/>
        <v/>
      </c>
      <c r="Q2433" s="17">
        <f>IFERROR(IF(AND(N2433&lt;&gt;"",ISNUMBER(O2433),O2433&gt;0,O2433&gt;=TODAY()-90),1,0),0)</f>
        <v/>
      </c>
      <c r="R2433" s="17" t="str">
        <f t="shared" si="114"/>
        <v/>
      </c>
      <c r="S2433" s="17" t="str">
        <f>IF(INDEX(Listado!A:A,ROW())="","",INDEX(Listado!A:A,ROW()))</f>
        <v/>
      </c>
      <c r="T2433" s="17" t="str">
        <f ca="1">IF(INDEX(Listado!G:G,ROW())="","",INDEX(Listado!G:G,ROW()))</f>
        <v/>
      </c>
      <c r="U2433" s="17" t="str">
        <f>IF(INDEX(Listado!F:F,ROW())="","",INDEX(Listado!F:F,ROW()))</f>
        <v/>
      </c>
      <c r="V2433" s="17">
        <f>IF(COUNTA(INDEX(Listado!B:B,ROW()):INDEX(Listado!F:F,ROW()))&gt;0,1,0)</f>
        <v/>
      </c>
      <c r="W2433" s="17" t="str">
        <f>IF(INDEX(Listado!L:L,ROW())="","",INDEX(Listado!L:L,ROW()))</f>
        <v/>
      </c>
      <c r="X2433" s="17">
        <f>IF(N2433="","",IF(INDEX(Listado!$M:$M,N2433)="No","No","Sí"))</f>
        <v/>
      </c>
    </row>
    <row r="2434" spans="2:24" ht="14.25">
      <c r="N2434" s="17" t="str">
        <f>IF(V2434=0,"",IFERROR(LOOKUP(2,1/(INDEX(Listado!A:A,2):INDEX(Listado!A:A,ROW())&lt;&gt;""),ROW(INDEX(Listado!A:A,2):INDEX(Listado!A:A,ROW()))),""))</f>
        <v/>
      </c>
      <c r="O2434" s="17" t="str">
        <f>IFERROR(IF(N2434="","",IF(INDEX(Listado!M:M,N2434)="No",IF(INDEX(Listado!N:N,N2434)=0,"",INDEX(Listado!N:N,N2434)),IF(INDEX(Listado!I:I,N2434)=0,"",INDEX(Listado!I:I,N2434)))),"")</f>
        <v/>
      </c>
      <c r="P2434" s="17">
        <f t="shared" ref="P2434:P2497" ca="1" si="115">IF(W2434="",0,IFERROR(IF(AND(ISNUMBER(W2434),W2434=INT(W2434),ISNUMBER(O2434),O2434&gt;0,W2434&gt;=TODAY(),W2434&lt;=O2434+90),0,1),1))</f>
        <v/>
      </c>
      <c r="Q2434" s="17">
        <f>IFERROR(IF(AND(N2434&lt;&gt;"",ISNUMBER(O2434),O2434&gt;0,O2434&gt;=TODAY()-90),1,0),0)</f>
        <v/>
      </c>
      <c r="R2434" s="17" t="str">
        <f t="shared" ref="R2434:R2497" si="117">IF(S2434="","",COUNTIFS($N$2:$N$2999,ROW(),$Q$2:$Q$2999,1))</f>
        <v/>
      </c>
      <c r="S2434" s="17" t="str">
        <f>IF(INDEX(Listado!A:A,ROW())="","",INDEX(Listado!A:A,ROW()))</f>
        <v/>
      </c>
      <c r="T2434" s="17" t="str">
        <f ca="1">IF(INDEX(Listado!G:G,ROW())="","",INDEX(Listado!G:G,ROW()))</f>
        <v/>
      </c>
      <c r="U2434" s="17" t="str">
        <f>IF(INDEX(Listado!F:F,ROW())="","",INDEX(Listado!F:F,ROW()))</f>
        <v/>
      </c>
      <c r="V2434" s="17">
        <f>IF(COUNTA(INDEX(Listado!B:B,ROW()):INDEX(Listado!F:F,ROW()))&gt;0,1,0)</f>
        <v/>
      </c>
      <c r="W2434" s="17" t="str">
        <f>IF(INDEX(Listado!L:L,ROW())="","",INDEX(Listado!L:L,ROW()))</f>
        <v/>
      </c>
      <c r="X2434" s="17">
        <f>IF(N2434="","",IF(INDEX(Listado!$M:$M,N2434)="No","No","Sí"))</f>
        <v/>
      </c>
    </row>
    <row r="2435" spans="2:24" ht="14.25">
      <c r="N2435" s="17" t="str">
        <f>IF(V2435=0,"",IFERROR(LOOKUP(2,1/(INDEX(Listado!A:A,2):INDEX(Listado!A:A,ROW())&lt;&gt;""),ROW(INDEX(Listado!A:A,2):INDEX(Listado!A:A,ROW()))),""))</f>
        <v/>
      </c>
      <c r="O2435" s="17" t="str">
        <f>IFERROR(IF(N2435="","",IF(INDEX(Listado!M:M,N2435)="No",IF(INDEX(Listado!N:N,N2435)=0,"",INDEX(Listado!N:N,N2435)),IF(INDEX(Listado!I:I,N2435)=0,"",INDEX(Listado!I:I,N2435)))),"")</f>
        <v/>
      </c>
      <c r="P2435" s="17">
        <f t="shared" ca="1" si="115"/>
        <v/>
      </c>
      <c r="Q2435" s="17">
        <f>IFERROR(IF(AND(N2435&lt;&gt;"",ISNUMBER(O2435),O2435&gt;0,O2435&gt;=TODAY()-90),1,0),0)</f>
        <v/>
      </c>
      <c r="R2435" s="17" t="str">
        <f t="shared" si="117"/>
        <v/>
      </c>
      <c r="S2435" s="17" t="str">
        <f>IF(INDEX(Listado!A:A,ROW())="","",INDEX(Listado!A:A,ROW()))</f>
        <v/>
      </c>
      <c r="T2435" s="17" t="str">
        <f ca="1">IF(INDEX(Listado!G:G,ROW())="","",INDEX(Listado!G:G,ROW()))</f>
        <v/>
      </c>
      <c r="U2435" s="17" t="str">
        <f>IF(INDEX(Listado!F:F,ROW())="","",INDEX(Listado!F:F,ROW()))</f>
        <v/>
      </c>
      <c r="V2435" s="17">
        <f>IF(COUNTA(INDEX(Listado!B:B,ROW()):INDEX(Listado!F:F,ROW()))&gt;0,1,0)</f>
        <v/>
      </c>
      <c r="W2435" s="17" t="str">
        <f>IF(INDEX(Listado!L:L,ROW())="","",INDEX(Listado!L:L,ROW()))</f>
        <v/>
      </c>
      <c r="X2435" s="17">
        <f>IF(N2435="","",IF(INDEX(Listado!$M:$M,N2435)="No","No","Sí"))</f>
        <v/>
      </c>
    </row>
    <row r="2436" spans="2:24" ht="14.25">
      <c r="N2436" s="17" t="str">
        <f>IF(V2436=0,"",IFERROR(LOOKUP(2,1/(INDEX(Listado!A:A,2):INDEX(Listado!A:A,ROW())&lt;&gt;""),ROW(INDEX(Listado!A:A,2):INDEX(Listado!A:A,ROW()))),""))</f>
        <v/>
      </c>
      <c r="O2436" s="17" t="str">
        <f>IFERROR(IF(N2436="","",IF(INDEX(Listado!M:M,N2436)="No",IF(INDEX(Listado!N:N,N2436)=0,"",INDEX(Listado!N:N,N2436)),IF(INDEX(Listado!I:I,N2436)=0,"",INDEX(Listado!I:I,N2436)))),"")</f>
        <v/>
      </c>
      <c r="P2436" s="17">
        <f t="shared" ca="1" si="115"/>
        <v/>
      </c>
      <c r="Q2436" s="17">
        <f>IFERROR(IF(AND(N2436&lt;&gt;"",ISNUMBER(O2436),O2436&gt;0,O2436&gt;=TODAY()-90),1,0),0)</f>
        <v/>
      </c>
      <c r="R2436" s="17" t="str">
        <f t="shared" si="117"/>
        <v/>
      </c>
      <c r="S2436" s="17" t="str">
        <f>IF(INDEX(Listado!A:A,ROW())="","",INDEX(Listado!A:A,ROW()))</f>
        <v/>
      </c>
      <c r="T2436" s="17" t="str">
        <f ca="1">IF(INDEX(Listado!G:G,ROW())="","",INDEX(Listado!G:G,ROW()))</f>
        <v/>
      </c>
      <c r="U2436" s="17" t="str">
        <f>IF(INDEX(Listado!F:F,ROW())="","",INDEX(Listado!F:F,ROW()))</f>
        <v/>
      </c>
      <c r="V2436" s="17">
        <f>IF(COUNTA(INDEX(Listado!B:B,ROW()):INDEX(Listado!F:F,ROW()))&gt;0,1,0)</f>
        <v/>
      </c>
      <c r="W2436" s="17" t="str">
        <f>IF(INDEX(Listado!L:L,ROW())="","",INDEX(Listado!L:L,ROW()))</f>
        <v/>
      </c>
      <c r="X2436" s="17">
        <f>IF(N2436="","",IF(INDEX(Listado!$M:$M,N2436)="No","No","Sí"))</f>
        <v/>
      </c>
    </row>
    <row r="2437" spans="2:24" ht="14.25">
      <c r="N2437" s="17" t="str">
        <f>IF(V2437=0,"",IFERROR(LOOKUP(2,1/(INDEX(Listado!A:A,2):INDEX(Listado!A:A,ROW())&lt;&gt;""),ROW(INDEX(Listado!A:A,2):INDEX(Listado!A:A,ROW()))),""))</f>
        <v/>
      </c>
      <c r="O2437" s="17" t="str">
        <f>IFERROR(IF(N2437="","",IF(INDEX(Listado!M:M,N2437)="No",IF(INDEX(Listado!N:N,N2437)=0,"",INDEX(Listado!N:N,N2437)),IF(INDEX(Listado!I:I,N2437)=0,"",INDEX(Listado!I:I,N2437)))),"")</f>
        <v/>
      </c>
      <c r="P2437" s="17">
        <f t="shared" ca="1" si="115"/>
        <v/>
      </c>
      <c r="Q2437" s="17">
        <f>IFERROR(IF(AND(N2437&lt;&gt;"",ISNUMBER(O2437),O2437&gt;0,O2437&gt;=TODAY()-90),1,0),0)</f>
        <v/>
      </c>
      <c r="R2437" s="17" t="str">
        <f t="shared" si="117"/>
        <v/>
      </c>
      <c r="S2437" s="17" t="str">
        <f>IF(INDEX(Listado!A:A,ROW())="","",INDEX(Listado!A:A,ROW()))</f>
        <v/>
      </c>
      <c r="T2437" s="17" t="str">
        <f ca="1">IF(INDEX(Listado!G:G,ROW())="","",INDEX(Listado!G:G,ROW()))</f>
        <v/>
      </c>
      <c r="U2437" s="17" t="str">
        <f>IF(INDEX(Listado!F:F,ROW())="","",INDEX(Listado!F:F,ROW()))</f>
        <v/>
      </c>
      <c r="V2437" s="17">
        <f>IF(COUNTA(INDEX(Listado!B:B,ROW()):INDEX(Listado!F:F,ROW()))&gt;0,1,0)</f>
        <v/>
      </c>
      <c r="W2437" s="17" t="str">
        <f>IF(INDEX(Listado!L:L,ROW())="","",INDEX(Listado!L:L,ROW()))</f>
        <v/>
      </c>
      <c r="X2437" s="17">
        <f>IF(N2437="","",IF(INDEX(Listado!$M:$M,N2437)="No","No","Sí"))</f>
        <v/>
      </c>
    </row>
    <row r="2438" spans="2:24" ht="14.25">
      <c r="N2438" s="17" t="str">
        <f>IF(V2438=0,"",IFERROR(LOOKUP(2,1/(INDEX(Listado!A:A,2):INDEX(Listado!A:A,ROW())&lt;&gt;""),ROW(INDEX(Listado!A:A,2):INDEX(Listado!A:A,ROW()))),""))</f>
        <v/>
      </c>
      <c r="O2438" s="17" t="str">
        <f>IFERROR(IF(N2438="","",IF(INDEX(Listado!M:M,N2438)="No",IF(INDEX(Listado!N:N,N2438)=0,"",INDEX(Listado!N:N,N2438)),IF(INDEX(Listado!I:I,N2438)=0,"",INDEX(Listado!I:I,N2438)))),"")</f>
        <v/>
      </c>
      <c r="P2438" s="17">
        <f t="shared" ca="1" si="115"/>
        <v/>
      </c>
      <c r="Q2438" s="17">
        <f>IFERROR(IF(AND(N2438&lt;&gt;"",ISNUMBER(O2438),O2438&gt;0,O2438&gt;=TODAY()-90),1,0),0)</f>
        <v/>
      </c>
      <c r="R2438" s="17" t="str">
        <f t="shared" si="117"/>
        <v/>
      </c>
      <c r="S2438" s="17" t="str">
        <f>IF(INDEX(Listado!A:A,ROW())="","",INDEX(Listado!A:A,ROW()))</f>
        <v/>
      </c>
      <c r="T2438" s="17" t="str">
        <f ca="1">IF(INDEX(Listado!G:G,ROW())="","",INDEX(Listado!G:G,ROW()))</f>
        <v/>
      </c>
      <c r="U2438" s="17" t="str">
        <f>IF(INDEX(Listado!F:F,ROW())="","",INDEX(Listado!F:F,ROW()))</f>
        <v/>
      </c>
      <c r="V2438" s="17">
        <f>IF(COUNTA(INDEX(Listado!B:B,ROW()):INDEX(Listado!F:F,ROW()))&gt;0,1,0)</f>
        <v/>
      </c>
      <c r="W2438" s="17" t="str">
        <f>IF(INDEX(Listado!L:L,ROW())="","",INDEX(Listado!L:L,ROW()))</f>
        <v/>
      </c>
      <c r="X2438" s="17">
        <f>IF(N2438="","",IF(INDEX(Listado!$M:$M,N2438)="No","No","Sí"))</f>
        <v/>
      </c>
    </row>
    <row r="2439" spans="2:24" ht="14.25">
      <c r="N2439" s="17" t="str">
        <f>IF(V2439=0,"",IFERROR(LOOKUP(2,1/(INDEX(Listado!A:A,2):INDEX(Listado!A:A,ROW())&lt;&gt;""),ROW(INDEX(Listado!A:A,2):INDEX(Listado!A:A,ROW()))),""))</f>
        <v/>
      </c>
      <c r="O2439" s="17" t="str">
        <f>IFERROR(IF(N2439="","",IF(INDEX(Listado!M:M,N2439)="No",IF(INDEX(Listado!N:N,N2439)=0,"",INDEX(Listado!N:N,N2439)),IF(INDEX(Listado!I:I,N2439)=0,"",INDEX(Listado!I:I,N2439)))),"")</f>
        <v/>
      </c>
      <c r="P2439" s="17">
        <f t="shared" ca="1" si="115"/>
        <v/>
      </c>
      <c r="Q2439" s="17">
        <f>IFERROR(IF(AND(N2439&lt;&gt;"",ISNUMBER(O2439),O2439&gt;0,O2439&gt;=TODAY()-90),1,0),0)</f>
        <v/>
      </c>
      <c r="R2439" s="17" t="str">
        <f t="shared" si="117"/>
        <v/>
      </c>
      <c r="S2439" s="17" t="str">
        <f>IF(INDEX(Listado!A:A,ROW())="","",INDEX(Listado!A:A,ROW()))</f>
        <v/>
      </c>
      <c r="T2439" s="17" t="str">
        <f ca="1">IF(INDEX(Listado!G:G,ROW())="","",INDEX(Listado!G:G,ROW()))</f>
        <v/>
      </c>
      <c r="U2439" s="17" t="str">
        <f>IF(INDEX(Listado!F:F,ROW())="","",INDEX(Listado!F:F,ROW()))</f>
        <v/>
      </c>
      <c r="V2439" s="17">
        <f>IF(COUNTA(INDEX(Listado!B:B,ROW()):INDEX(Listado!F:F,ROW()))&gt;0,1,0)</f>
        <v/>
      </c>
      <c r="W2439" s="17" t="str">
        <f>IF(INDEX(Listado!L:L,ROW())="","",INDEX(Listado!L:L,ROW()))</f>
        <v/>
      </c>
      <c r="X2439" s="17">
        <f>IF(N2439="","",IF(INDEX(Listado!$M:$M,N2439)="No","No","Sí"))</f>
        <v/>
      </c>
    </row>
    <row r="2440" spans="2:24" ht="14.25">
      <c r="N2440" s="17" t="str">
        <f>IF(V2440=0,"",IFERROR(LOOKUP(2,1/(INDEX(Listado!A:A,2):INDEX(Listado!A:A,ROW())&lt;&gt;""),ROW(INDEX(Listado!A:A,2):INDEX(Listado!A:A,ROW()))),""))</f>
        <v/>
      </c>
      <c r="O2440" s="17" t="str">
        <f>IFERROR(IF(N2440="","",IF(INDEX(Listado!M:M,N2440)="No",IF(INDEX(Listado!N:N,N2440)=0,"",INDEX(Listado!N:N,N2440)),IF(INDEX(Listado!I:I,N2440)=0,"",INDEX(Listado!I:I,N2440)))),"")</f>
        <v/>
      </c>
      <c r="P2440" s="17">
        <f t="shared" ca="1" si="115"/>
        <v/>
      </c>
      <c r="Q2440" s="17">
        <f>IFERROR(IF(AND(N2440&lt;&gt;"",ISNUMBER(O2440),O2440&gt;0,O2440&gt;=TODAY()-90),1,0),0)</f>
        <v/>
      </c>
      <c r="R2440" s="17" t="str">
        <f t="shared" si="117"/>
        <v/>
      </c>
      <c r="S2440" s="17" t="str">
        <f>IF(INDEX(Listado!A:A,ROW())="","",INDEX(Listado!A:A,ROW()))</f>
        <v/>
      </c>
      <c r="T2440" s="17" t="str">
        <f ca="1">IF(INDEX(Listado!G:G,ROW())="","",INDEX(Listado!G:G,ROW()))</f>
        <v/>
      </c>
      <c r="U2440" s="17" t="str">
        <f>IF(INDEX(Listado!F:F,ROW())="","",INDEX(Listado!F:F,ROW()))</f>
        <v/>
      </c>
      <c r="V2440" s="17">
        <f>IF(COUNTA(INDEX(Listado!B:B,ROW()):INDEX(Listado!F:F,ROW()))&gt;0,1,0)</f>
        <v/>
      </c>
      <c r="W2440" s="17" t="str">
        <f>IF(INDEX(Listado!L:L,ROW())="","",INDEX(Listado!L:L,ROW()))</f>
        <v/>
      </c>
      <c r="X2440" s="17">
        <f>IF(N2440="","",IF(INDEX(Listado!$M:$M,N2440)="No","No","Sí"))</f>
        <v/>
      </c>
    </row>
    <row r="2441" spans="2:24" ht="14.25">
      <c r="N2441" s="17" t="str">
        <f>IF(V2441=0,"",IFERROR(LOOKUP(2,1/(INDEX(Listado!A:A,2):INDEX(Listado!A:A,ROW())&lt;&gt;""),ROW(INDEX(Listado!A:A,2):INDEX(Listado!A:A,ROW()))),""))</f>
        <v/>
      </c>
      <c r="O2441" s="17" t="str">
        <f>IFERROR(IF(N2441="","",IF(INDEX(Listado!M:M,N2441)="No",IF(INDEX(Listado!N:N,N2441)=0,"",INDEX(Listado!N:N,N2441)),IF(INDEX(Listado!I:I,N2441)=0,"",INDEX(Listado!I:I,N2441)))),"")</f>
        <v/>
      </c>
      <c r="P2441" s="17">
        <f t="shared" ca="1" si="115"/>
        <v/>
      </c>
      <c r="Q2441" s="17">
        <f>IFERROR(IF(AND(N2441&lt;&gt;"",ISNUMBER(O2441),O2441&gt;0,O2441&gt;=TODAY()-90),1,0),0)</f>
        <v/>
      </c>
      <c r="R2441" s="17" t="str">
        <f t="shared" si="117"/>
        <v/>
      </c>
      <c r="S2441" s="17" t="str">
        <f>IF(INDEX(Listado!A:A,ROW())="","",INDEX(Listado!A:A,ROW()))</f>
        <v/>
      </c>
      <c r="T2441" s="17" t="str">
        <f ca="1">IF(INDEX(Listado!G:G,ROW())="","",INDEX(Listado!G:G,ROW()))</f>
        <v/>
      </c>
      <c r="U2441" s="17" t="str">
        <f>IF(INDEX(Listado!F:F,ROW())="","",INDEX(Listado!F:F,ROW()))</f>
        <v/>
      </c>
      <c r="V2441" s="17">
        <f>IF(COUNTA(INDEX(Listado!B:B,ROW()):INDEX(Listado!F:F,ROW()))&gt;0,1,0)</f>
        <v/>
      </c>
      <c r="W2441" s="17" t="str">
        <f>IF(INDEX(Listado!L:L,ROW())="","",INDEX(Listado!L:L,ROW()))</f>
        <v/>
      </c>
      <c r="X2441" s="17">
        <f>IF(N2441="","",IF(INDEX(Listado!$M:$M,N2441)="No","No","Sí"))</f>
        <v/>
      </c>
    </row>
    <row r="2442" spans="2:24" ht="14.25">
      <c r="N2442" s="17" t="str">
        <f>IF(V2442=0,"",IFERROR(LOOKUP(2,1/(INDEX(Listado!A:A,2):INDEX(Listado!A:A,ROW())&lt;&gt;""),ROW(INDEX(Listado!A:A,2):INDEX(Listado!A:A,ROW()))),""))</f>
        <v/>
      </c>
      <c r="O2442" s="17" t="str">
        <f>IFERROR(IF(N2442="","",IF(INDEX(Listado!M:M,N2442)="No",IF(INDEX(Listado!N:N,N2442)=0,"",INDEX(Listado!N:N,N2442)),IF(INDEX(Listado!I:I,N2442)=0,"",INDEX(Listado!I:I,N2442)))),"")</f>
        <v/>
      </c>
      <c r="P2442" s="17">
        <f t="shared" ca="1" si="115"/>
        <v/>
      </c>
      <c r="Q2442" s="17">
        <f>IFERROR(IF(AND(N2442&lt;&gt;"",ISNUMBER(O2442),O2442&gt;0,O2442&gt;=TODAY()-90),1,0),0)</f>
        <v/>
      </c>
      <c r="R2442" s="17" t="str">
        <f t="shared" si="117"/>
        <v/>
      </c>
      <c r="S2442" s="17" t="str">
        <f>IF(INDEX(Listado!A:A,ROW())="","",INDEX(Listado!A:A,ROW()))</f>
        <v/>
      </c>
      <c r="T2442" s="17" t="str">
        <f ca="1">IF(INDEX(Listado!G:G,ROW())="","",INDEX(Listado!G:G,ROW()))</f>
        <v/>
      </c>
      <c r="U2442" s="17" t="str">
        <f>IF(INDEX(Listado!F:F,ROW())="","",INDEX(Listado!F:F,ROW()))</f>
        <v/>
      </c>
      <c r="V2442" s="17">
        <f>IF(COUNTA(INDEX(Listado!B:B,ROW()):INDEX(Listado!F:F,ROW()))&gt;0,1,0)</f>
        <v/>
      </c>
      <c r="W2442" s="17" t="str">
        <f>IF(INDEX(Listado!L:L,ROW())="","",INDEX(Listado!L:L,ROW()))</f>
        <v/>
      </c>
      <c r="X2442" s="17">
        <f>IF(N2442="","",IF(INDEX(Listado!$M:$M,N2442)="No","No","Sí"))</f>
        <v/>
      </c>
    </row>
    <row r="2443" spans="2:24" ht="14.25">
      <c r="N2443" s="17" t="str">
        <f>IF(V2443=0,"",IFERROR(LOOKUP(2,1/(INDEX(Listado!A:A,2):INDEX(Listado!A:A,ROW())&lt;&gt;""),ROW(INDEX(Listado!A:A,2):INDEX(Listado!A:A,ROW()))),""))</f>
        <v/>
      </c>
      <c r="O2443" s="17" t="str">
        <f>IFERROR(IF(N2443="","",IF(INDEX(Listado!M:M,N2443)="No",IF(INDEX(Listado!N:N,N2443)=0,"",INDEX(Listado!N:N,N2443)),IF(INDEX(Listado!I:I,N2443)=0,"",INDEX(Listado!I:I,N2443)))),"")</f>
        <v/>
      </c>
      <c r="P2443" s="17">
        <f t="shared" ca="1" si="115"/>
        <v/>
      </c>
      <c r="Q2443" s="17">
        <f>IFERROR(IF(AND(N2443&lt;&gt;"",ISNUMBER(O2443),O2443&gt;0,O2443&gt;=TODAY()-90),1,0),0)</f>
        <v/>
      </c>
      <c r="R2443" s="17" t="str">
        <f t="shared" si="117"/>
        <v/>
      </c>
      <c r="S2443" s="17" t="str">
        <f>IF(INDEX(Listado!A:A,ROW())="","",INDEX(Listado!A:A,ROW()))</f>
        <v/>
      </c>
      <c r="T2443" s="17" t="str">
        <f ca="1">IF(INDEX(Listado!G:G,ROW())="","",INDEX(Listado!G:G,ROW()))</f>
        <v/>
      </c>
      <c r="U2443" s="17" t="str">
        <f>IF(INDEX(Listado!F:F,ROW())="","",INDEX(Listado!F:F,ROW()))</f>
        <v/>
      </c>
      <c r="V2443" s="17">
        <f>IF(COUNTA(INDEX(Listado!B:B,ROW()):INDEX(Listado!F:F,ROW()))&gt;0,1,0)</f>
        <v/>
      </c>
      <c r="W2443" s="17" t="str">
        <f>IF(INDEX(Listado!L:L,ROW())="","",INDEX(Listado!L:L,ROW()))</f>
        <v/>
      </c>
      <c r="X2443" s="17">
        <f>IF(N2443="","",IF(INDEX(Listado!$M:$M,N2443)="No","No","Sí"))</f>
        <v/>
      </c>
    </row>
    <row r="2444" spans="2:24" ht="14.25">
      <c r="N2444" s="17" t="str">
        <f>IF(V2444=0,"",IFERROR(LOOKUP(2,1/(INDEX(Listado!A:A,2):INDEX(Listado!A:A,ROW())&lt;&gt;""),ROW(INDEX(Listado!A:A,2):INDEX(Listado!A:A,ROW()))),""))</f>
        <v/>
      </c>
      <c r="O2444" s="17" t="str">
        <f>IFERROR(IF(N2444="","",IF(INDEX(Listado!M:M,N2444)="No",IF(INDEX(Listado!N:N,N2444)=0,"",INDEX(Listado!N:N,N2444)),IF(INDEX(Listado!I:I,N2444)=0,"",INDEX(Listado!I:I,N2444)))),"")</f>
        <v/>
      </c>
      <c r="P2444" s="17">
        <f t="shared" ca="1" si="115"/>
        <v/>
      </c>
      <c r="Q2444" s="17">
        <f>IFERROR(IF(AND(N2444&lt;&gt;"",ISNUMBER(O2444),O2444&gt;0,O2444&gt;=TODAY()-90),1,0),0)</f>
        <v/>
      </c>
      <c r="R2444" s="17" t="str">
        <f t="shared" si="117"/>
        <v/>
      </c>
      <c r="S2444" s="17" t="str">
        <f>IF(INDEX(Listado!A:A,ROW())="","",INDEX(Listado!A:A,ROW()))</f>
        <v/>
      </c>
      <c r="T2444" s="17" t="str">
        <f ca="1">IF(INDEX(Listado!G:G,ROW())="","",INDEX(Listado!G:G,ROW()))</f>
        <v/>
      </c>
      <c r="U2444" s="17" t="str">
        <f>IF(INDEX(Listado!F:F,ROW())="","",INDEX(Listado!F:F,ROW()))</f>
        <v/>
      </c>
      <c r="V2444" s="17">
        <f>IF(COUNTA(INDEX(Listado!B:B,ROW()):INDEX(Listado!F:F,ROW()))&gt;0,1,0)</f>
        <v/>
      </c>
      <c r="W2444" s="17" t="str">
        <f>IF(INDEX(Listado!L:L,ROW())="","",INDEX(Listado!L:L,ROW()))</f>
        <v/>
      </c>
      <c r="X2444" s="17">
        <f>IF(N2444="","",IF(INDEX(Listado!$M:$M,N2444)="No","No","Sí"))</f>
        <v/>
      </c>
    </row>
    <row r="2445" spans="2:24" ht="14.25">
      <c r="N2445" s="17" t="str">
        <f>IF(V2445=0,"",IFERROR(LOOKUP(2,1/(INDEX(Listado!A:A,2):INDEX(Listado!A:A,ROW())&lt;&gt;""),ROW(INDEX(Listado!A:A,2):INDEX(Listado!A:A,ROW()))),""))</f>
        <v/>
      </c>
      <c r="O2445" s="17" t="str">
        <f>IFERROR(IF(N2445="","",IF(INDEX(Listado!M:M,N2445)="No",IF(INDEX(Listado!N:N,N2445)=0,"",INDEX(Listado!N:N,N2445)),IF(INDEX(Listado!I:I,N2445)=0,"",INDEX(Listado!I:I,N2445)))),"")</f>
        <v/>
      </c>
      <c r="P2445" s="17">
        <f t="shared" ca="1" si="115"/>
        <v/>
      </c>
      <c r="Q2445" s="17">
        <f>IFERROR(IF(AND(N2445&lt;&gt;"",ISNUMBER(O2445),O2445&gt;0,O2445&gt;=TODAY()-90),1,0),0)</f>
        <v/>
      </c>
      <c r="R2445" s="17" t="str">
        <f t="shared" si="117"/>
        <v/>
      </c>
      <c r="S2445" s="17" t="str">
        <f>IF(INDEX(Listado!A:A,ROW())="","",INDEX(Listado!A:A,ROW()))</f>
        <v/>
      </c>
      <c r="T2445" s="17" t="str">
        <f ca="1">IF(INDEX(Listado!G:G,ROW())="","",INDEX(Listado!G:G,ROW()))</f>
        <v/>
      </c>
      <c r="U2445" s="17" t="str">
        <f>IF(INDEX(Listado!F:F,ROW())="","",INDEX(Listado!F:F,ROW()))</f>
        <v/>
      </c>
      <c r="V2445" s="17">
        <f>IF(COUNTA(INDEX(Listado!B:B,ROW()):INDEX(Listado!F:F,ROW()))&gt;0,1,0)</f>
        <v/>
      </c>
      <c r="W2445" s="17" t="str">
        <f>IF(INDEX(Listado!L:L,ROW())="","",INDEX(Listado!L:L,ROW()))</f>
        <v/>
      </c>
      <c r="X2445" s="17">
        <f>IF(N2445="","",IF(INDEX(Listado!$M:$M,N2445)="No","No","Sí"))</f>
        <v/>
      </c>
    </row>
    <row r="2446" spans="2:24" ht="14.25">
      <c r="N2446" s="17" t="str">
        <f>IF(V2446=0,"",IFERROR(LOOKUP(2,1/(INDEX(Listado!A:A,2):INDEX(Listado!A:A,ROW())&lt;&gt;""),ROW(INDEX(Listado!A:A,2):INDEX(Listado!A:A,ROW()))),""))</f>
        <v/>
      </c>
      <c r="O2446" s="17" t="str">
        <f>IFERROR(IF(N2446="","",IF(INDEX(Listado!M:M,N2446)="No",IF(INDEX(Listado!N:N,N2446)=0,"",INDEX(Listado!N:N,N2446)),IF(INDEX(Listado!I:I,N2446)=0,"",INDEX(Listado!I:I,N2446)))),"")</f>
        <v/>
      </c>
      <c r="P2446" s="17">
        <f t="shared" ca="1" si="115"/>
        <v/>
      </c>
      <c r="Q2446" s="17">
        <f>IFERROR(IF(AND(N2446&lt;&gt;"",ISNUMBER(O2446),O2446&gt;0,O2446&gt;=TODAY()-90),1,0),0)</f>
        <v/>
      </c>
      <c r="R2446" s="17" t="str">
        <f t="shared" si="117"/>
        <v/>
      </c>
      <c r="S2446" s="17" t="str">
        <f>IF(INDEX(Listado!A:A,ROW())="","",INDEX(Listado!A:A,ROW()))</f>
        <v/>
      </c>
      <c r="T2446" s="17" t="str">
        <f ca="1">IF(INDEX(Listado!G:G,ROW())="","",INDEX(Listado!G:G,ROW()))</f>
        <v/>
      </c>
      <c r="U2446" s="17" t="str">
        <f>IF(INDEX(Listado!F:F,ROW())="","",INDEX(Listado!F:F,ROW()))</f>
        <v/>
      </c>
      <c r="V2446" s="17">
        <f>IF(COUNTA(INDEX(Listado!B:B,ROW()):INDEX(Listado!F:F,ROW()))&gt;0,1,0)</f>
        <v/>
      </c>
      <c r="W2446" s="17" t="str">
        <f>IF(INDEX(Listado!L:L,ROW())="","",INDEX(Listado!L:L,ROW()))</f>
        <v/>
      </c>
      <c r="X2446" s="17">
        <f>IF(N2446="","",IF(INDEX(Listado!$M:$M,N2446)="No","No","Sí"))</f>
        <v/>
      </c>
    </row>
    <row r="2447" spans="2:24" ht="14.25">
      <c r="N2447" s="17" t="str">
        <f>IF(V2447=0,"",IFERROR(LOOKUP(2,1/(INDEX(Listado!A:A,2):INDEX(Listado!A:A,ROW())&lt;&gt;""),ROW(INDEX(Listado!A:A,2):INDEX(Listado!A:A,ROW()))),""))</f>
        <v/>
      </c>
      <c r="O2447" s="17" t="str">
        <f>IFERROR(IF(N2447="","",IF(INDEX(Listado!M:M,N2447)="No",IF(INDEX(Listado!N:N,N2447)=0,"",INDEX(Listado!N:N,N2447)),IF(INDEX(Listado!I:I,N2447)=0,"",INDEX(Listado!I:I,N2447)))),"")</f>
        <v/>
      </c>
      <c r="P2447" s="17">
        <f t="shared" ca="1" si="115"/>
        <v/>
      </c>
      <c r="Q2447" s="17">
        <f>IFERROR(IF(AND(N2447&lt;&gt;"",ISNUMBER(O2447),O2447&gt;0,O2447&gt;=TODAY()-90),1,0),0)</f>
        <v/>
      </c>
      <c r="R2447" s="17" t="str">
        <f t="shared" si="117"/>
        <v/>
      </c>
      <c r="S2447" s="17" t="str">
        <f>IF(INDEX(Listado!A:A,ROW())="","",INDEX(Listado!A:A,ROW()))</f>
        <v/>
      </c>
      <c r="T2447" s="17" t="str">
        <f ca="1">IF(INDEX(Listado!G:G,ROW())="","",INDEX(Listado!G:G,ROW()))</f>
        <v/>
      </c>
      <c r="U2447" s="17" t="str">
        <f>IF(INDEX(Listado!F:F,ROW())="","",INDEX(Listado!F:F,ROW()))</f>
        <v/>
      </c>
      <c r="V2447" s="17">
        <f>IF(COUNTA(INDEX(Listado!B:B,ROW()):INDEX(Listado!F:F,ROW()))&gt;0,1,0)</f>
        <v/>
      </c>
      <c r="W2447" s="17" t="str">
        <f>IF(INDEX(Listado!L:L,ROW())="","",INDEX(Listado!L:L,ROW()))</f>
        <v/>
      </c>
      <c r="X2447" s="17">
        <f>IF(N2447="","",IF(INDEX(Listado!$M:$M,N2447)="No","No","Sí"))</f>
        <v/>
      </c>
    </row>
    <row r="2448" spans="2:24" ht="14.25">
      <c r="N2448" s="17" t="str">
        <f>IF(V2448=0,"",IFERROR(LOOKUP(2,1/(INDEX(Listado!A:A,2):INDEX(Listado!A:A,ROW())&lt;&gt;""),ROW(INDEX(Listado!A:A,2):INDEX(Listado!A:A,ROW()))),""))</f>
        <v/>
      </c>
      <c r="O2448" s="17" t="str">
        <f>IFERROR(IF(N2448="","",IF(INDEX(Listado!M:M,N2448)="No",IF(INDEX(Listado!N:N,N2448)=0,"",INDEX(Listado!N:N,N2448)),IF(INDEX(Listado!I:I,N2448)=0,"",INDEX(Listado!I:I,N2448)))),"")</f>
        <v/>
      </c>
      <c r="P2448" s="17">
        <f t="shared" ca="1" si="115"/>
        <v/>
      </c>
      <c r="Q2448" s="17">
        <f>IFERROR(IF(AND(N2448&lt;&gt;"",ISNUMBER(O2448),O2448&gt;0,O2448&gt;=TODAY()-90),1,0),0)</f>
        <v/>
      </c>
      <c r="R2448" s="17" t="str">
        <f t="shared" si="117"/>
        <v/>
      </c>
      <c r="S2448" s="17" t="str">
        <f>IF(INDEX(Listado!A:A,ROW())="","",INDEX(Listado!A:A,ROW()))</f>
        <v/>
      </c>
      <c r="T2448" s="17" t="str">
        <f ca="1">IF(INDEX(Listado!G:G,ROW())="","",INDEX(Listado!G:G,ROW()))</f>
        <v/>
      </c>
      <c r="U2448" s="17" t="str">
        <f>IF(INDEX(Listado!F:F,ROW())="","",INDEX(Listado!F:F,ROW()))</f>
        <v/>
      </c>
      <c r="V2448" s="17">
        <f>IF(COUNTA(INDEX(Listado!B:B,ROW()):INDEX(Listado!F:F,ROW()))&gt;0,1,0)</f>
        <v/>
      </c>
      <c r="W2448" s="17" t="str">
        <f>IF(INDEX(Listado!L:L,ROW())="","",INDEX(Listado!L:L,ROW()))</f>
        <v/>
      </c>
      <c r="X2448" s="17">
        <f>IF(N2448="","",IF(INDEX(Listado!$M:$M,N2448)="No","No","Sí"))</f>
        <v/>
      </c>
    </row>
    <row r="2449" spans="2:24" ht="14.25">
      <c r="N2449" s="17" t="str">
        <f>IF(V2449=0,"",IFERROR(LOOKUP(2,1/(INDEX(Listado!A:A,2):INDEX(Listado!A:A,ROW())&lt;&gt;""),ROW(INDEX(Listado!A:A,2):INDEX(Listado!A:A,ROW()))),""))</f>
        <v/>
      </c>
      <c r="O2449" s="17" t="str">
        <f>IFERROR(IF(N2449="","",IF(INDEX(Listado!M:M,N2449)="No",IF(INDEX(Listado!N:N,N2449)=0,"",INDEX(Listado!N:N,N2449)),IF(INDEX(Listado!I:I,N2449)=0,"",INDEX(Listado!I:I,N2449)))),"")</f>
        <v/>
      </c>
      <c r="P2449" s="17">
        <f t="shared" ca="1" si="115"/>
        <v/>
      </c>
      <c r="Q2449" s="17">
        <f>IFERROR(IF(AND(N2449&lt;&gt;"",ISNUMBER(O2449),O2449&gt;0,O2449&gt;=TODAY()-90),1,0),0)</f>
        <v/>
      </c>
      <c r="R2449" s="17" t="str">
        <f t="shared" si="117"/>
        <v/>
      </c>
      <c r="S2449" s="17" t="str">
        <f>IF(INDEX(Listado!A:A,ROW())="","",INDEX(Listado!A:A,ROW()))</f>
        <v/>
      </c>
      <c r="T2449" s="17" t="str">
        <f ca="1">IF(INDEX(Listado!G:G,ROW())="","",INDEX(Listado!G:G,ROW()))</f>
        <v/>
      </c>
      <c r="U2449" s="17" t="str">
        <f>IF(INDEX(Listado!F:F,ROW())="","",INDEX(Listado!F:F,ROW()))</f>
        <v/>
      </c>
      <c r="V2449" s="17">
        <f>IF(COUNTA(INDEX(Listado!B:B,ROW()):INDEX(Listado!F:F,ROW()))&gt;0,1,0)</f>
        <v/>
      </c>
      <c r="W2449" s="17" t="str">
        <f>IF(INDEX(Listado!L:L,ROW())="","",INDEX(Listado!L:L,ROW()))</f>
        <v/>
      </c>
      <c r="X2449" s="17">
        <f>IF(N2449="","",IF(INDEX(Listado!$M:$M,N2449)="No","No","Sí"))</f>
        <v/>
      </c>
    </row>
    <row r="2450" spans="2:24" ht="14.25">
      <c r="N2450" s="17" t="str">
        <f>IF(V2450=0,"",IFERROR(LOOKUP(2,1/(INDEX(Listado!A:A,2):INDEX(Listado!A:A,ROW())&lt;&gt;""),ROW(INDEX(Listado!A:A,2):INDEX(Listado!A:A,ROW()))),""))</f>
        <v/>
      </c>
      <c r="O2450" s="17" t="str">
        <f>IFERROR(IF(N2450="","",IF(INDEX(Listado!M:M,N2450)="No",IF(INDEX(Listado!N:N,N2450)=0,"",INDEX(Listado!N:N,N2450)),IF(INDEX(Listado!I:I,N2450)=0,"",INDEX(Listado!I:I,N2450)))),"")</f>
        <v/>
      </c>
      <c r="P2450" s="17">
        <f t="shared" ca="1" si="115"/>
        <v/>
      </c>
      <c r="Q2450" s="17">
        <f>IFERROR(IF(AND(N2450&lt;&gt;"",ISNUMBER(O2450),O2450&gt;0,O2450&gt;=TODAY()-90),1,0),0)</f>
        <v/>
      </c>
      <c r="R2450" s="17" t="str">
        <f t="shared" si="117"/>
        <v/>
      </c>
      <c r="S2450" s="17" t="str">
        <f>IF(INDEX(Listado!A:A,ROW())="","",INDEX(Listado!A:A,ROW()))</f>
        <v/>
      </c>
      <c r="T2450" s="17" t="str">
        <f ca="1">IF(INDEX(Listado!G:G,ROW())="","",INDEX(Listado!G:G,ROW()))</f>
        <v/>
      </c>
      <c r="U2450" s="17" t="str">
        <f>IF(INDEX(Listado!F:F,ROW())="","",INDEX(Listado!F:F,ROW()))</f>
        <v/>
      </c>
      <c r="V2450" s="17">
        <f>IF(COUNTA(INDEX(Listado!B:B,ROW()):INDEX(Listado!F:F,ROW()))&gt;0,1,0)</f>
        <v/>
      </c>
      <c r="W2450" s="17" t="str">
        <f>IF(INDEX(Listado!L:L,ROW())="","",INDEX(Listado!L:L,ROW()))</f>
        <v/>
      </c>
      <c r="X2450" s="17">
        <f>IF(N2450="","",IF(INDEX(Listado!$M:$M,N2450)="No","No","Sí"))</f>
        <v/>
      </c>
    </row>
    <row r="2451" spans="2:24" ht="14.25">
      <c r="N2451" s="17" t="str">
        <f>IF(V2451=0,"",IFERROR(LOOKUP(2,1/(INDEX(Listado!A:A,2):INDEX(Listado!A:A,ROW())&lt;&gt;""),ROW(INDEX(Listado!A:A,2):INDEX(Listado!A:A,ROW()))),""))</f>
        <v/>
      </c>
      <c r="O2451" s="17" t="str">
        <f>IFERROR(IF(N2451="","",IF(INDEX(Listado!M:M,N2451)="No",IF(INDEX(Listado!N:N,N2451)=0,"",INDEX(Listado!N:N,N2451)),IF(INDEX(Listado!I:I,N2451)=0,"",INDEX(Listado!I:I,N2451)))),"")</f>
        <v/>
      </c>
      <c r="P2451" s="17">
        <f t="shared" ca="1" si="115"/>
        <v/>
      </c>
      <c r="Q2451" s="17">
        <f>IFERROR(IF(AND(N2451&lt;&gt;"",ISNUMBER(O2451),O2451&gt;0,O2451&gt;=TODAY()-90),1,0),0)</f>
        <v/>
      </c>
      <c r="R2451" s="17" t="str">
        <f t="shared" si="117"/>
        <v/>
      </c>
      <c r="S2451" s="17" t="str">
        <f>IF(INDEX(Listado!A:A,ROW())="","",INDEX(Listado!A:A,ROW()))</f>
        <v/>
      </c>
      <c r="T2451" s="17" t="str">
        <f ca="1">IF(INDEX(Listado!G:G,ROW())="","",INDEX(Listado!G:G,ROW()))</f>
        <v/>
      </c>
      <c r="U2451" s="17" t="str">
        <f>IF(INDEX(Listado!F:F,ROW())="","",INDEX(Listado!F:F,ROW()))</f>
        <v/>
      </c>
      <c r="V2451" s="17">
        <f>IF(COUNTA(INDEX(Listado!B:B,ROW()):INDEX(Listado!F:F,ROW()))&gt;0,1,0)</f>
        <v/>
      </c>
      <c r="W2451" s="17" t="str">
        <f>IF(INDEX(Listado!L:L,ROW())="","",INDEX(Listado!L:L,ROW()))</f>
        <v/>
      </c>
      <c r="X2451" s="17">
        <f>IF(N2451="","",IF(INDEX(Listado!$M:$M,N2451)="No","No","Sí"))</f>
        <v/>
      </c>
    </row>
    <row r="2452" spans="2:24" ht="14.25">
      <c r="N2452" s="17" t="str">
        <f>IF(V2452=0,"",IFERROR(LOOKUP(2,1/(INDEX(Listado!A:A,2):INDEX(Listado!A:A,ROW())&lt;&gt;""),ROW(INDEX(Listado!A:A,2):INDEX(Listado!A:A,ROW()))),""))</f>
        <v/>
      </c>
      <c r="O2452" s="17" t="str">
        <f>IFERROR(IF(N2452="","",IF(INDEX(Listado!M:M,N2452)="No",IF(INDEX(Listado!N:N,N2452)=0,"",INDEX(Listado!N:N,N2452)),IF(INDEX(Listado!I:I,N2452)=0,"",INDEX(Listado!I:I,N2452)))),"")</f>
        <v/>
      </c>
      <c r="P2452" s="17">
        <f t="shared" ca="1" si="115"/>
        <v/>
      </c>
      <c r="Q2452" s="17">
        <f>IFERROR(IF(AND(N2452&lt;&gt;"",ISNUMBER(O2452),O2452&gt;0,O2452&gt;=TODAY()-90),1,0),0)</f>
        <v/>
      </c>
      <c r="R2452" s="17" t="str">
        <f t="shared" si="117"/>
        <v/>
      </c>
      <c r="S2452" s="17" t="str">
        <f>IF(INDEX(Listado!A:A,ROW())="","",INDEX(Listado!A:A,ROW()))</f>
        <v/>
      </c>
      <c r="T2452" s="17" t="str">
        <f ca="1">IF(INDEX(Listado!G:G,ROW())="","",INDEX(Listado!G:G,ROW()))</f>
        <v/>
      </c>
      <c r="U2452" s="17" t="str">
        <f>IF(INDEX(Listado!F:F,ROW())="","",INDEX(Listado!F:F,ROW()))</f>
        <v/>
      </c>
      <c r="V2452" s="17">
        <f>IF(COUNTA(INDEX(Listado!B:B,ROW()):INDEX(Listado!F:F,ROW()))&gt;0,1,0)</f>
        <v/>
      </c>
      <c r="W2452" s="17" t="str">
        <f>IF(INDEX(Listado!L:L,ROW())="","",INDEX(Listado!L:L,ROW()))</f>
        <v/>
      </c>
      <c r="X2452" s="17">
        <f>IF(N2452="","",IF(INDEX(Listado!$M:$M,N2452)="No","No","Sí"))</f>
        <v/>
      </c>
    </row>
    <row r="2453" spans="2:24" ht="14.25">
      <c r="N2453" s="17" t="str">
        <f>IF(V2453=0,"",IFERROR(LOOKUP(2,1/(INDEX(Listado!A:A,2):INDEX(Listado!A:A,ROW())&lt;&gt;""),ROW(INDEX(Listado!A:A,2):INDEX(Listado!A:A,ROW()))),""))</f>
        <v/>
      </c>
      <c r="O2453" s="17" t="str">
        <f>IFERROR(IF(N2453="","",IF(INDEX(Listado!M:M,N2453)="No",IF(INDEX(Listado!N:N,N2453)=0,"",INDEX(Listado!N:N,N2453)),IF(INDEX(Listado!I:I,N2453)=0,"",INDEX(Listado!I:I,N2453)))),"")</f>
        <v/>
      </c>
      <c r="P2453" s="17">
        <f t="shared" ca="1" si="115"/>
        <v/>
      </c>
      <c r="Q2453" s="17">
        <f>IFERROR(IF(AND(N2453&lt;&gt;"",ISNUMBER(O2453),O2453&gt;0,O2453&gt;=TODAY()-90),1,0),0)</f>
        <v/>
      </c>
      <c r="R2453" s="17" t="str">
        <f t="shared" si="117"/>
        <v/>
      </c>
      <c r="S2453" s="17" t="str">
        <f>IF(INDEX(Listado!A:A,ROW())="","",INDEX(Listado!A:A,ROW()))</f>
        <v/>
      </c>
      <c r="T2453" s="17" t="str">
        <f ca="1">IF(INDEX(Listado!G:G,ROW())="","",INDEX(Listado!G:G,ROW()))</f>
        <v/>
      </c>
      <c r="U2453" s="17" t="str">
        <f>IF(INDEX(Listado!F:F,ROW())="","",INDEX(Listado!F:F,ROW()))</f>
        <v/>
      </c>
      <c r="V2453" s="17">
        <f>IF(COUNTA(INDEX(Listado!B:B,ROW()):INDEX(Listado!F:F,ROW()))&gt;0,1,0)</f>
        <v/>
      </c>
      <c r="W2453" s="17" t="str">
        <f>IF(INDEX(Listado!L:L,ROW())="","",INDEX(Listado!L:L,ROW()))</f>
        <v/>
      </c>
      <c r="X2453" s="17">
        <f>IF(N2453="","",IF(INDEX(Listado!$M:$M,N2453)="No","No","Sí"))</f>
        <v/>
      </c>
    </row>
    <row r="2454" spans="2:24" ht="14.25">
      <c r="N2454" s="17" t="str">
        <f>IF(V2454=0,"",IFERROR(LOOKUP(2,1/(INDEX(Listado!A:A,2):INDEX(Listado!A:A,ROW())&lt;&gt;""),ROW(INDEX(Listado!A:A,2):INDEX(Listado!A:A,ROW()))),""))</f>
        <v/>
      </c>
      <c r="O2454" s="17" t="str">
        <f>IFERROR(IF(N2454="","",IF(INDEX(Listado!M:M,N2454)="No",IF(INDEX(Listado!N:N,N2454)=0,"",INDEX(Listado!N:N,N2454)),IF(INDEX(Listado!I:I,N2454)=0,"",INDEX(Listado!I:I,N2454)))),"")</f>
        <v/>
      </c>
      <c r="P2454" s="17">
        <f t="shared" ca="1" si="115"/>
        <v/>
      </c>
      <c r="Q2454" s="17">
        <f>IFERROR(IF(AND(N2454&lt;&gt;"",ISNUMBER(O2454),O2454&gt;0,O2454&gt;=TODAY()-90),1,0),0)</f>
        <v/>
      </c>
      <c r="R2454" s="17" t="str">
        <f t="shared" si="117"/>
        <v/>
      </c>
      <c r="S2454" s="17" t="str">
        <f>IF(INDEX(Listado!A:A,ROW())="","",INDEX(Listado!A:A,ROW()))</f>
        <v/>
      </c>
      <c r="T2454" s="17" t="str">
        <f ca="1">IF(INDEX(Listado!G:G,ROW())="","",INDEX(Listado!G:G,ROW()))</f>
        <v/>
      </c>
      <c r="U2454" s="17" t="str">
        <f>IF(INDEX(Listado!F:F,ROW())="","",INDEX(Listado!F:F,ROW()))</f>
        <v/>
      </c>
      <c r="V2454" s="17">
        <f>IF(COUNTA(INDEX(Listado!B:B,ROW()):INDEX(Listado!F:F,ROW()))&gt;0,1,0)</f>
        <v/>
      </c>
      <c r="W2454" s="17" t="str">
        <f>IF(INDEX(Listado!L:L,ROW())="","",INDEX(Listado!L:L,ROW()))</f>
        <v/>
      </c>
      <c r="X2454" s="17">
        <f>IF(N2454="","",IF(INDEX(Listado!$M:$M,N2454)="No","No","Sí"))</f>
        <v/>
      </c>
    </row>
    <row r="2455" spans="2:24" ht="14.25">
      <c r="N2455" s="17" t="str">
        <f>IF(V2455=0,"",IFERROR(LOOKUP(2,1/(INDEX(Listado!A:A,2):INDEX(Listado!A:A,ROW())&lt;&gt;""),ROW(INDEX(Listado!A:A,2):INDEX(Listado!A:A,ROW()))),""))</f>
        <v/>
      </c>
      <c r="O2455" s="17" t="str">
        <f>IFERROR(IF(N2455="","",IF(INDEX(Listado!M:M,N2455)="No",IF(INDEX(Listado!N:N,N2455)=0,"",INDEX(Listado!N:N,N2455)),IF(INDEX(Listado!I:I,N2455)=0,"",INDEX(Listado!I:I,N2455)))),"")</f>
        <v/>
      </c>
      <c r="P2455" s="17">
        <f t="shared" ca="1" si="115"/>
        <v/>
      </c>
      <c r="Q2455" s="17">
        <f>IFERROR(IF(AND(N2455&lt;&gt;"",ISNUMBER(O2455),O2455&gt;0,O2455&gt;=TODAY()-90),1,0),0)</f>
        <v/>
      </c>
      <c r="R2455" s="17" t="str">
        <f t="shared" si="117"/>
        <v/>
      </c>
      <c r="S2455" s="17" t="str">
        <f>IF(INDEX(Listado!A:A,ROW())="","",INDEX(Listado!A:A,ROW()))</f>
        <v/>
      </c>
      <c r="T2455" s="17" t="str">
        <f ca="1">IF(INDEX(Listado!G:G,ROW())="","",INDEX(Listado!G:G,ROW()))</f>
        <v/>
      </c>
      <c r="U2455" s="17" t="str">
        <f>IF(INDEX(Listado!F:F,ROW())="","",INDEX(Listado!F:F,ROW()))</f>
        <v/>
      </c>
      <c r="V2455" s="17">
        <f>IF(COUNTA(INDEX(Listado!B:B,ROW()):INDEX(Listado!F:F,ROW()))&gt;0,1,0)</f>
        <v/>
      </c>
      <c r="W2455" s="17" t="str">
        <f>IF(INDEX(Listado!L:L,ROW())="","",INDEX(Listado!L:L,ROW()))</f>
        <v/>
      </c>
      <c r="X2455" s="17">
        <f>IF(N2455="","",IF(INDEX(Listado!$M:$M,N2455)="No","No","Sí"))</f>
        <v/>
      </c>
    </row>
    <row r="2456" spans="2:24" ht="14.25">
      <c r="N2456" s="17" t="str">
        <f>IF(V2456=0,"",IFERROR(LOOKUP(2,1/(INDEX(Listado!A:A,2):INDEX(Listado!A:A,ROW())&lt;&gt;""),ROW(INDEX(Listado!A:A,2):INDEX(Listado!A:A,ROW()))),""))</f>
        <v/>
      </c>
      <c r="O2456" s="17" t="str">
        <f>IFERROR(IF(N2456="","",IF(INDEX(Listado!M:M,N2456)="No",IF(INDEX(Listado!N:N,N2456)=0,"",INDEX(Listado!N:N,N2456)),IF(INDEX(Listado!I:I,N2456)=0,"",INDEX(Listado!I:I,N2456)))),"")</f>
        <v/>
      </c>
      <c r="P2456" s="17">
        <f t="shared" ca="1" si="115"/>
        <v/>
      </c>
      <c r="Q2456" s="17">
        <f>IFERROR(IF(AND(N2456&lt;&gt;"",ISNUMBER(O2456),O2456&gt;0,O2456&gt;=TODAY()-90),1,0),0)</f>
        <v/>
      </c>
      <c r="R2456" s="17" t="str">
        <f t="shared" si="117"/>
        <v/>
      </c>
      <c r="S2456" s="17" t="str">
        <f>IF(INDEX(Listado!A:A,ROW())="","",INDEX(Listado!A:A,ROW()))</f>
        <v/>
      </c>
      <c r="T2456" s="17" t="str">
        <f ca="1">IF(INDEX(Listado!G:G,ROW())="","",INDEX(Listado!G:G,ROW()))</f>
        <v/>
      </c>
      <c r="U2456" s="17" t="str">
        <f>IF(INDEX(Listado!F:F,ROW())="","",INDEX(Listado!F:F,ROW()))</f>
        <v/>
      </c>
      <c r="V2456" s="17">
        <f>IF(COUNTA(INDEX(Listado!B:B,ROW()):INDEX(Listado!F:F,ROW()))&gt;0,1,0)</f>
        <v/>
      </c>
      <c r="W2456" s="17" t="str">
        <f>IF(INDEX(Listado!L:L,ROW())="","",INDEX(Listado!L:L,ROW()))</f>
        <v/>
      </c>
      <c r="X2456" s="17">
        <f>IF(N2456="","",IF(INDEX(Listado!$M:$M,N2456)="No","No","Sí"))</f>
        <v/>
      </c>
    </row>
    <row r="2457" spans="2:24" ht="14.25">
      <c r="N2457" s="17" t="str">
        <f>IF(V2457=0,"",IFERROR(LOOKUP(2,1/(INDEX(Listado!A:A,2):INDEX(Listado!A:A,ROW())&lt;&gt;""),ROW(INDEX(Listado!A:A,2):INDEX(Listado!A:A,ROW()))),""))</f>
        <v/>
      </c>
      <c r="O2457" s="17" t="str">
        <f>IFERROR(IF(N2457="","",IF(INDEX(Listado!M:M,N2457)="No",IF(INDEX(Listado!N:N,N2457)=0,"",INDEX(Listado!N:N,N2457)),IF(INDEX(Listado!I:I,N2457)=0,"",INDEX(Listado!I:I,N2457)))),"")</f>
        <v/>
      </c>
      <c r="P2457" s="17">
        <f t="shared" ca="1" si="115"/>
        <v/>
      </c>
      <c r="Q2457" s="17">
        <f>IFERROR(IF(AND(N2457&lt;&gt;"",ISNUMBER(O2457),O2457&gt;0,O2457&gt;=TODAY()-90),1,0),0)</f>
        <v/>
      </c>
      <c r="R2457" s="17" t="str">
        <f t="shared" si="117"/>
        <v/>
      </c>
      <c r="S2457" s="17" t="str">
        <f>IF(INDEX(Listado!A:A,ROW())="","",INDEX(Listado!A:A,ROW()))</f>
        <v/>
      </c>
      <c r="T2457" s="17" t="str">
        <f ca="1">IF(INDEX(Listado!G:G,ROW())="","",INDEX(Listado!G:G,ROW()))</f>
        <v/>
      </c>
      <c r="U2457" s="17" t="str">
        <f>IF(INDEX(Listado!F:F,ROW())="","",INDEX(Listado!F:F,ROW()))</f>
        <v/>
      </c>
      <c r="V2457" s="17">
        <f>IF(COUNTA(INDEX(Listado!B:B,ROW()):INDEX(Listado!F:F,ROW()))&gt;0,1,0)</f>
        <v/>
      </c>
      <c r="W2457" s="17" t="str">
        <f>IF(INDEX(Listado!L:L,ROW())="","",INDEX(Listado!L:L,ROW()))</f>
        <v/>
      </c>
      <c r="X2457" s="17">
        <f>IF(N2457="","",IF(INDEX(Listado!$M:$M,N2457)="No","No","Sí"))</f>
        <v/>
      </c>
    </row>
    <row r="2458" spans="2:24" ht="14.25">
      <c r="N2458" s="17" t="str">
        <f>IF(V2458=0,"",IFERROR(LOOKUP(2,1/(INDEX(Listado!A:A,2):INDEX(Listado!A:A,ROW())&lt;&gt;""),ROW(INDEX(Listado!A:A,2):INDEX(Listado!A:A,ROW()))),""))</f>
        <v/>
      </c>
      <c r="O2458" s="17" t="str">
        <f>IFERROR(IF(N2458="","",IF(INDEX(Listado!M:M,N2458)="No",IF(INDEX(Listado!N:N,N2458)=0,"",INDEX(Listado!N:N,N2458)),IF(INDEX(Listado!I:I,N2458)=0,"",INDEX(Listado!I:I,N2458)))),"")</f>
        <v/>
      </c>
      <c r="P2458" s="17">
        <f t="shared" ca="1" si="115"/>
        <v/>
      </c>
      <c r="Q2458" s="17">
        <f>IFERROR(IF(AND(N2458&lt;&gt;"",ISNUMBER(O2458),O2458&gt;0,O2458&gt;=TODAY()-90),1,0),0)</f>
        <v/>
      </c>
      <c r="R2458" s="17" t="str">
        <f t="shared" si="117"/>
        <v/>
      </c>
      <c r="S2458" s="17" t="str">
        <f>IF(INDEX(Listado!A:A,ROW())="","",INDEX(Listado!A:A,ROW()))</f>
        <v/>
      </c>
      <c r="T2458" s="17" t="str">
        <f ca="1">IF(INDEX(Listado!G:G,ROW())="","",INDEX(Listado!G:G,ROW()))</f>
        <v/>
      </c>
      <c r="U2458" s="17" t="str">
        <f>IF(INDEX(Listado!F:F,ROW())="","",INDEX(Listado!F:F,ROW()))</f>
        <v/>
      </c>
      <c r="V2458" s="17">
        <f>IF(COUNTA(INDEX(Listado!B:B,ROW()):INDEX(Listado!F:F,ROW()))&gt;0,1,0)</f>
        <v/>
      </c>
      <c r="W2458" s="17" t="str">
        <f>IF(INDEX(Listado!L:L,ROW())="","",INDEX(Listado!L:L,ROW()))</f>
        <v/>
      </c>
      <c r="X2458" s="17">
        <f>IF(N2458="","",IF(INDEX(Listado!$M:$M,N2458)="No","No","Sí"))</f>
        <v/>
      </c>
    </row>
    <row r="2459" spans="2:24" ht="14.25">
      <c r="N2459" s="17" t="str">
        <f>IF(V2459=0,"",IFERROR(LOOKUP(2,1/(INDEX(Listado!A:A,2):INDEX(Listado!A:A,ROW())&lt;&gt;""),ROW(INDEX(Listado!A:A,2):INDEX(Listado!A:A,ROW()))),""))</f>
        <v/>
      </c>
      <c r="O2459" s="17" t="str">
        <f>IFERROR(IF(N2459="","",IF(INDEX(Listado!M:M,N2459)="No",IF(INDEX(Listado!N:N,N2459)=0,"",INDEX(Listado!N:N,N2459)),IF(INDEX(Listado!I:I,N2459)=0,"",INDEX(Listado!I:I,N2459)))),"")</f>
        <v/>
      </c>
      <c r="P2459" s="17">
        <f t="shared" ca="1" si="115"/>
        <v/>
      </c>
      <c r="Q2459" s="17">
        <f>IFERROR(IF(AND(N2459&lt;&gt;"",ISNUMBER(O2459),O2459&gt;0,O2459&gt;=TODAY()-90),1,0),0)</f>
        <v/>
      </c>
      <c r="R2459" s="17" t="str">
        <f t="shared" si="117"/>
        <v/>
      </c>
      <c r="S2459" s="17" t="str">
        <f>IF(INDEX(Listado!A:A,ROW())="","",INDEX(Listado!A:A,ROW()))</f>
        <v/>
      </c>
      <c r="T2459" s="17" t="str">
        <f ca="1">IF(INDEX(Listado!G:G,ROW())="","",INDEX(Listado!G:G,ROW()))</f>
        <v/>
      </c>
      <c r="U2459" s="17" t="str">
        <f>IF(INDEX(Listado!F:F,ROW())="","",INDEX(Listado!F:F,ROW()))</f>
        <v/>
      </c>
      <c r="V2459" s="17">
        <f>IF(COUNTA(INDEX(Listado!B:B,ROW()):INDEX(Listado!F:F,ROW()))&gt;0,1,0)</f>
        <v/>
      </c>
      <c r="W2459" s="17" t="str">
        <f>IF(INDEX(Listado!L:L,ROW())="","",INDEX(Listado!L:L,ROW()))</f>
        <v/>
      </c>
      <c r="X2459" s="17">
        <f>IF(N2459="","",IF(INDEX(Listado!$M:$M,N2459)="No","No","Sí"))</f>
        <v/>
      </c>
    </row>
    <row r="2460" spans="2:24" ht="14.25">
      <c r="N2460" s="17" t="str">
        <f>IF(V2460=0,"",IFERROR(LOOKUP(2,1/(INDEX(Listado!A:A,2):INDEX(Listado!A:A,ROW())&lt;&gt;""),ROW(INDEX(Listado!A:A,2):INDEX(Listado!A:A,ROW()))),""))</f>
        <v/>
      </c>
      <c r="O2460" s="17" t="str">
        <f>IFERROR(IF(N2460="","",IF(INDEX(Listado!M:M,N2460)="No",IF(INDEX(Listado!N:N,N2460)=0,"",INDEX(Listado!N:N,N2460)),IF(INDEX(Listado!I:I,N2460)=0,"",INDEX(Listado!I:I,N2460)))),"")</f>
        <v/>
      </c>
      <c r="P2460" s="17">
        <f t="shared" ca="1" si="115"/>
        <v/>
      </c>
      <c r="Q2460" s="17">
        <f>IFERROR(IF(AND(N2460&lt;&gt;"",ISNUMBER(O2460),O2460&gt;0,O2460&gt;=TODAY()-90),1,0),0)</f>
        <v/>
      </c>
      <c r="R2460" s="17" t="str">
        <f t="shared" si="117"/>
        <v/>
      </c>
      <c r="S2460" s="17" t="str">
        <f>IF(INDEX(Listado!A:A,ROW())="","",INDEX(Listado!A:A,ROW()))</f>
        <v/>
      </c>
      <c r="T2460" s="17" t="str">
        <f ca="1">IF(INDEX(Listado!G:G,ROW())="","",INDEX(Listado!G:G,ROW()))</f>
        <v/>
      </c>
      <c r="U2460" s="17" t="str">
        <f>IF(INDEX(Listado!F:F,ROW())="","",INDEX(Listado!F:F,ROW()))</f>
        <v/>
      </c>
      <c r="V2460" s="17">
        <f>IF(COUNTA(INDEX(Listado!B:B,ROW()):INDEX(Listado!F:F,ROW()))&gt;0,1,0)</f>
        <v/>
      </c>
      <c r="W2460" s="17" t="str">
        <f>IF(INDEX(Listado!L:L,ROW())="","",INDEX(Listado!L:L,ROW()))</f>
        <v/>
      </c>
      <c r="X2460" s="17">
        <f>IF(N2460="","",IF(INDEX(Listado!$M:$M,N2460)="No","No","Sí"))</f>
        <v/>
      </c>
    </row>
    <row r="2461" spans="2:24" ht="14.25">
      <c r="N2461" s="17" t="str">
        <f>IF(V2461=0,"",IFERROR(LOOKUP(2,1/(INDEX(Listado!A:A,2):INDEX(Listado!A:A,ROW())&lt;&gt;""),ROW(INDEX(Listado!A:A,2):INDEX(Listado!A:A,ROW()))),""))</f>
        <v/>
      </c>
      <c r="O2461" s="17" t="str">
        <f>IFERROR(IF(N2461="","",IF(INDEX(Listado!M:M,N2461)="No",IF(INDEX(Listado!N:N,N2461)=0,"",INDEX(Listado!N:N,N2461)),IF(INDEX(Listado!I:I,N2461)=0,"",INDEX(Listado!I:I,N2461)))),"")</f>
        <v/>
      </c>
      <c r="P2461" s="17">
        <f t="shared" ca="1" si="115"/>
        <v/>
      </c>
      <c r="Q2461" s="17">
        <f>IFERROR(IF(AND(N2461&lt;&gt;"",ISNUMBER(O2461),O2461&gt;0,O2461&gt;=TODAY()-90),1,0),0)</f>
        <v/>
      </c>
      <c r="R2461" s="17" t="str">
        <f t="shared" si="117"/>
        <v/>
      </c>
      <c r="S2461" s="17" t="str">
        <f>IF(INDEX(Listado!A:A,ROW())="","",INDEX(Listado!A:A,ROW()))</f>
        <v/>
      </c>
      <c r="T2461" s="17" t="str">
        <f ca="1">IF(INDEX(Listado!G:G,ROW())="","",INDEX(Listado!G:G,ROW()))</f>
        <v/>
      </c>
      <c r="U2461" s="17" t="str">
        <f>IF(INDEX(Listado!F:F,ROW())="","",INDEX(Listado!F:F,ROW()))</f>
        <v/>
      </c>
      <c r="V2461" s="17">
        <f>IF(COUNTA(INDEX(Listado!B:B,ROW()):INDEX(Listado!F:F,ROW()))&gt;0,1,0)</f>
        <v/>
      </c>
      <c r="W2461" s="17" t="str">
        <f>IF(INDEX(Listado!L:L,ROW())="","",INDEX(Listado!L:L,ROW()))</f>
        <v/>
      </c>
      <c r="X2461" s="17">
        <f>IF(N2461="","",IF(INDEX(Listado!$M:$M,N2461)="No","No","Sí"))</f>
        <v/>
      </c>
    </row>
    <row r="2462" spans="2:24" ht="14.25">
      <c r="N2462" s="17" t="str">
        <f>IF(V2462=0,"",IFERROR(LOOKUP(2,1/(INDEX(Listado!A:A,2):INDEX(Listado!A:A,ROW())&lt;&gt;""),ROW(INDEX(Listado!A:A,2):INDEX(Listado!A:A,ROW()))),""))</f>
        <v/>
      </c>
      <c r="O2462" s="17" t="str">
        <f>IFERROR(IF(N2462="","",IF(INDEX(Listado!M:M,N2462)="No",IF(INDEX(Listado!N:N,N2462)=0,"",INDEX(Listado!N:N,N2462)),IF(INDEX(Listado!I:I,N2462)=0,"",INDEX(Listado!I:I,N2462)))),"")</f>
        <v/>
      </c>
      <c r="P2462" s="17">
        <f t="shared" ca="1" si="115"/>
        <v/>
      </c>
      <c r="Q2462" s="17">
        <f>IFERROR(IF(AND(N2462&lt;&gt;"",ISNUMBER(O2462),O2462&gt;0,O2462&gt;=TODAY()-90),1,0),0)</f>
        <v/>
      </c>
      <c r="R2462" s="17" t="str">
        <f t="shared" si="117"/>
        <v/>
      </c>
      <c r="S2462" s="17" t="str">
        <f>IF(INDEX(Listado!A:A,ROW())="","",INDEX(Listado!A:A,ROW()))</f>
        <v/>
      </c>
      <c r="T2462" s="17" t="str">
        <f ca="1">IF(INDEX(Listado!G:G,ROW())="","",INDEX(Listado!G:G,ROW()))</f>
        <v/>
      </c>
      <c r="U2462" s="17" t="str">
        <f>IF(INDEX(Listado!F:F,ROW())="","",INDEX(Listado!F:F,ROW()))</f>
        <v/>
      </c>
      <c r="V2462" s="17">
        <f>IF(COUNTA(INDEX(Listado!B:B,ROW()):INDEX(Listado!F:F,ROW()))&gt;0,1,0)</f>
        <v/>
      </c>
      <c r="W2462" s="17" t="str">
        <f>IF(INDEX(Listado!L:L,ROW())="","",INDEX(Listado!L:L,ROW()))</f>
        <v/>
      </c>
      <c r="X2462" s="17">
        <f>IF(N2462="","",IF(INDEX(Listado!$M:$M,N2462)="No","No","Sí"))</f>
        <v/>
      </c>
    </row>
    <row r="2463" spans="2:24" ht="14.25">
      <c r="N2463" s="17" t="str">
        <f>IF(V2463=0,"",IFERROR(LOOKUP(2,1/(INDEX(Listado!A:A,2):INDEX(Listado!A:A,ROW())&lt;&gt;""),ROW(INDEX(Listado!A:A,2):INDEX(Listado!A:A,ROW()))),""))</f>
        <v/>
      </c>
      <c r="O2463" s="17" t="str">
        <f>IFERROR(IF(N2463="","",IF(INDEX(Listado!M:M,N2463)="No",IF(INDEX(Listado!N:N,N2463)=0,"",INDEX(Listado!N:N,N2463)),IF(INDEX(Listado!I:I,N2463)=0,"",INDEX(Listado!I:I,N2463)))),"")</f>
        <v/>
      </c>
      <c r="P2463" s="17">
        <f t="shared" ca="1" si="115"/>
        <v/>
      </c>
      <c r="Q2463" s="17">
        <f>IFERROR(IF(AND(N2463&lt;&gt;"",ISNUMBER(O2463),O2463&gt;0,O2463&gt;=TODAY()-90),1,0),0)</f>
        <v/>
      </c>
      <c r="R2463" s="17" t="str">
        <f t="shared" si="117"/>
        <v/>
      </c>
      <c r="S2463" s="17" t="str">
        <f>IF(INDEX(Listado!A:A,ROW())="","",INDEX(Listado!A:A,ROW()))</f>
        <v/>
      </c>
      <c r="T2463" s="17" t="str">
        <f ca="1">IF(INDEX(Listado!G:G,ROW())="","",INDEX(Listado!G:G,ROW()))</f>
        <v/>
      </c>
      <c r="U2463" s="17" t="str">
        <f>IF(INDEX(Listado!F:F,ROW())="","",INDEX(Listado!F:F,ROW()))</f>
        <v/>
      </c>
      <c r="V2463" s="17">
        <f>IF(COUNTA(INDEX(Listado!B:B,ROW()):INDEX(Listado!F:F,ROW()))&gt;0,1,0)</f>
        <v/>
      </c>
      <c r="W2463" s="17" t="str">
        <f>IF(INDEX(Listado!L:L,ROW())="","",INDEX(Listado!L:L,ROW()))</f>
        <v/>
      </c>
      <c r="X2463" s="17">
        <f>IF(N2463="","",IF(INDEX(Listado!$M:$M,N2463)="No","No","Sí"))</f>
        <v/>
      </c>
    </row>
    <row r="2464" spans="2:24" ht="14.25">
      <c r="N2464" s="17" t="str">
        <f>IF(V2464=0,"",IFERROR(LOOKUP(2,1/(INDEX(Listado!A:A,2):INDEX(Listado!A:A,ROW())&lt;&gt;""),ROW(INDEX(Listado!A:A,2):INDEX(Listado!A:A,ROW()))),""))</f>
        <v/>
      </c>
      <c r="O2464" s="17" t="str">
        <f>IFERROR(IF(N2464="","",IF(INDEX(Listado!M:M,N2464)="No",IF(INDEX(Listado!N:N,N2464)=0,"",INDEX(Listado!N:N,N2464)),IF(INDEX(Listado!I:I,N2464)=0,"",INDEX(Listado!I:I,N2464)))),"")</f>
        <v/>
      </c>
      <c r="P2464" s="17">
        <f t="shared" ca="1" si="115"/>
        <v/>
      </c>
      <c r="Q2464" s="17">
        <f>IFERROR(IF(AND(N2464&lt;&gt;"",ISNUMBER(O2464),O2464&gt;0,O2464&gt;=TODAY()-90),1,0),0)</f>
        <v/>
      </c>
      <c r="R2464" s="17" t="str">
        <f t="shared" si="117"/>
        <v/>
      </c>
      <c r="S2464" s="17" t="str">
        <f>IF(INDEX(Listado!A:A,ROW())="","",INDEX(Listado!A:A,ROW()))</f>
        <v/>
      </c>
      <c r="T2464" s="17" t="str">
        <f ca="1">IF(INDEX(Listado!G:G,ROW())="","",INDEX(Listado!G:G,ROW()))</f>
        <v/>
      </c>
      <c r="U2464" s="17" t="str">
        <f>IF(INDEX(Listado!F:F,ROW())="","",INDEX(Listado!F:F,ROW()))</f>
        <v/>
      </c>
      <c r="V2464" s="17">
        <f>IF(COUNTA(INDEX(Listado!B:B,ROW()):INDEX(Listado!F:F,ROW()))&gt;0,1,0)</f>
        <v/>
      </c>
      <c r="W2464" s="17" t="str">
        <f>IF(INDEX(Listado!L:L,ROW())="","",INDEX(Listado!L:L,ROW()))</f>
        <v/>
      </c>
      <c r="X2464" s="17">
        <f>IF(N2464="","",IF(INDEX(Listado!$M:$M,N2464)="No","No","Sí"))</f>
        <v/>
      </c>
    </row>
    <row r="2465" spans="2:24" ht="14.25">
      <c r="N2465" s="17" t="str">
        <f>IF(V2465=0,"",IFERROR(LOOKUP(2,1/(INDEX(Listado!A:A,2):INDEX(Listado!A:A,ROW())&lt;&gt;""),ROW(INDEX(Listado!A:A,2):INDEX(Listado!A:A,ROW()))),""))</f>
        <v/>
      </c>
      <c r="O2465" s="17" t="str">
        <f>IFERROR(IF(N2465="","",IF(INDEX(Listado!M:M,N2465)="No",IF(INDEX(Listado!N:N,N2465)=0,"",INDEX(Listado!N:N,N2465)),IF(INDEX(Listado!I:I,N2465)=0,"",INDEX(Listado!I:I,N2465)))),"")</f>
        <v/>
      </c>
      <c r="P2465" s="17">
        <f t="shared" ca="1" si="115"/>
        <v/>
      </c>
      <c r="Q2465" s="17">
        <f>IFERROR(IF(AND(N2465&lt;&gt;"",ISNUMBER(O2465),O2465&gt;0,O2465&gt;=TODAY()-90),1,0),0)</f>
        <v/>
      </c>
      <c r="R2465" s="17" t="str">
        <f t="shared" si="117"/>
        <v/>
      </c>
      <c r="S2465" s="17" t="str">
        <f>IF(INDEX(Listado!A:A,ROW())="","",INDEX(Listado!A:A,ROW()))</f>
        <v/>
      </c>
      <c r="T2465" s="17" t="str">
        <f ca="1">IF(INDEX(Listado!G:G,ROW())="","",INDEX(Listado!G:G,ROW()))</f>
        <v/>
      </c>
      <c r="U2465" s="17" t="str">
        <f>IF(INDEX(Listado!F:F,ROW())="","",INDEX(Listado!F:F,ROW()))</f>
        <v/>
      </c>
      <c r="V2465" s="17">
        <f>IF(COUNTA(INDEX(Listado!B:B,ROW()):INDEX(Listado!F:F,ROW()))&gt;0,1,0)</f>
        <v/>
      </c>
      <c r="W2465" s="17" t="str">
        <f>IF(INDEX(Listado!L:L,ROW())="","",INDEX(Listado!L:L,ROW()))</f>
        <v/>
      </c>
      <c r="X2465" s="17">
        <f>IF(N2465="","",IF(INDEX(Listado!$M:$M,N2465)="No","No","Sí"))</f>
        <v/>
      </c>
    </row>
    <row r="2466" spans="2:24" ht="14.25">
      <c r="N2466" s="17" t="str">
        <f>IF(V2466=0,"",IFERROR(LOOKUP(2,1/(INDEX(Listado!A:A,2):INDEX(Listado!A:A,ROW())&lt;&gt;""),ROW(INDEX(Listado!A:A,2):INDEX(Listado!A:A,ROW()))),""))</f>
        <v/>
      </c>
      <c r="O2466" s="17" t="str">
        <f>IFERROR(IF(N2466="","",IF(INDEX(Listado!M:M,N2466)="No",IF(INDEX(Listado!N:N,N2466)=0,"",INDEX(Listado!N:N,N2466)),IF(INDEX(Listado!I:I,N2466)=0,"",INDEX(Listado!I:I,N2466)))),"")</f>
        <v/>
      </c>
      <c r="P2466" s="17">
        <f t="shared" ca="1" si="115"/>
        <v/>
      </c>
      <c r="Q2466" s="17">
        <f>IFERROR(IF(AND(N2466&lt;&gt;"",ISNUMBER(O2466),O2466&gt;0,O2466&gt;=TODAY()-90),1,0),0)</f>
        <v/>
      </c>
      <c r="R2466" s="17" t="str">
        <f t="shared" si="117"/>
        <v/>
      </c>
      <c r="S2466" s="17" t="str">
        <f>IF(INDEX(Listado!A:A,ROW())="","",INDEX(Listado!A:A,ROW()))</f>
        <v/>
      </c>
      <c r="T2466" s="17" t="str">
        <f ca="1">IF(INDEX(Listado!G:G,ROW())="","",INDEX(Listado!G:G,ROW()))</f>
        <v/>
      </c>
      <c r="U2466" s="17" t="str">
        <f>IF(INDEX(Listado!F:F,ROW())="","",INDEX(Listado!F:F,ROW()))</f>
        <v/>
      </c>
      <c r="V2466" s="17">
        <f>IF(COUNTA(INDEX(Listado!B:B,ROW()):INDEX(Listado!F:F,ROW()))&gt;0,1,0)</f>
        <v/>
      </c>
      <c r="W2466" s="17" t="str">
        <f>IF(INDEX(Listado!L:L,ROW())="","",INDEX(Listado!L:L,ROW()))</f>
        <v/>
      </c>
      <c r="X2466" s="17">
        <f>IF(N2466="","",IF(INDEX(Listado!$M:$M,N2466)="No","No","Sí"))</f>
        <v/>
      </c>
    </row>
    <row r="2467" spans="2:24" ht="14.25">
      <c r="N2467" s="17" t="str">
        <f>IF(V2467=0,"",IFERROR(LOOKUP(2,1/(INDEX(Listado!A:A,2):INDEX(Listado!A:A,ROW())&lt;&gt;""),ROW(INDEX(Listado!A:A,2):INDEX(Listado!A:A,ROW()))),""))</f>
        <v/>
      </c>
      <c r="O2467" s="17" t="str">
        <f>IFERROR(IF(N2467="","",IF(INDEX(Listado!M:M,N2467)="No",IF(INDEX(Listado!N:N,N2467)=0,"",INDEX(Listado!N:N,N2467)),IF(INDEX(Listado!I:I,N2467)=0,"",INDEX(Listado!I:I,N2467)))),"")</f>
        <v/>
      </c>
      <c r="P2467" s="17">
        <f t="shared" ca="1" si="115"/>
        <v/>
      </c>
      <c r="Q2467" s="17">
        <f>IFERROR(IF(AND(N2467&lt;&gt;"",ISNUMBER(O2467),O2467&gt;0,O2467&gt;=TODAY()-90),1,0),0)</f>
        <v/>
      </c>
      <c r="R2467" s="17" t="str">
        <f t="shared" si="117"/>
        <v/>
      </c>
      <c r="S2467" s="17" t="str">
        <f>IF(INDEX(Listado!A:A,ROW())="","",INDEX(Listado!A:A,ROW()))</f>
        <v/>
      </c>
      <c r="T2467" s="17" t="str">
        <f ca="1">IF(INDEX(Listado!G:G,ROW())="","",INDEX(Listado!G:G,ROW()))</f>
        <v/>
      </c>
      <c r="U2467" s="17" t="str">
        <f>IF(INDEX(Listado!F:F,ROW())="","",INDEX(Listado!F:F,ROW()))</f>
        <v/>
      </c>
      <c r="V2467" s="17">
        <f>IF(COUNTA(INDEX(Listado!B:B,ROW()):INDEX(Listado!F:F,ROW()))&gt;0,1,0)</f>
        <v/>
      </c>
      <c r="W2467" s="17" t="str">
        <f>IF(INDEX(Listado!L:L,ROW())="","",INDEX(Listado!L:L,ROW()))</f>
        <v/>
      </c>
      <c r="X2467" s="17">
        <f>IF(N2467="","",IF(INDEX(Listado!$M:$M,N2467)="No","No","Sí"))</f>
        <v/>
      </c>
    </row>
    <row r="2468" spans="2:24" ht="14.25">
      <c r="N2468" s="17" t="str">
        <f>IF(V2468=0,"",IFERROR(LOOKUP(2,1/(INDEX(Listado!A:A,2):INDEX(Listado!A:A,ROW())&lt;&gt;""),ROW(INDEX(Listado!A:A,2):INDEX(Listado!A:A,ROW()))),""))</f>
        <v/>
      </c>
      <c r="O2468" s="17" t="str">
        <f>IFERROR(IF(N2468="","",IF(INDEX(Listado!M:M,N2468)="No",IF(INDEX(Listado!N:N,N2468)=0,"",INDEX(Listado!N:N,N2468)),IF(INDEX(Listado!I:I,N2468)=0,"",INDEX(Listado!I:I,N2468)))),"")</f>
        <v/>
      </c>
      <c r="P2468" s="17">
        <f t="shared" ca="1" si="115"/>
        <v/>
      </c>
      <c r="Q2468" s="17">
        <f>IFERROR(IF(AND(N2468&lt;&gt;"",ISNUMBER(O2468),O2468&gt;0,O2468&gt;=TODAY()-90),1,0),0)</f>
        <v/>
      </c>
      <c r="R2468" s="17" t="str">
        <f t="shared" si="117"/>
        <v/>
      </c>
      <c r="S2468" s="17" t="str">
        <f>IF(INDEX(Listado!A:A,ROW())="","",INDEX(Listado!A:A,ROW()))</f>
        <v/>
      </c>
      <c r="T2468" s="17" t="str">
        <f ca="1">IF(INDEX(Listado!G:G,ROW())="","",INDEX(Listado!G:G,ROW()))</f>
        <v/>
      </c>
      <c r="U2468" s="17" t="str">
        <f>IF(INDEX(Listado!F:F,ROW())="","",INDEX(Listado!F:F,ROW()))</f>
        <v/>
      </c>
      <c r="V2468" s="17">
        <f>IF(COUNTA(INDEX(Listado!B:B,ROW()):INDEX(Listado!F:F,ROW()))&gt;0,1,0)</f>
        <v/>
      </c>
      <c r="W2468" s="17" t="str">
        <f>IF(INDEX(Listado!L:L,ROW())="","",INDEX(Listado!L:L,ROW()))</f>
        <v/>
      </c>
      <c r="X2468" s="17">
        <f>IF(N2468="","",IF(INDEX(Listado!$M:$M,N2468)="No","No","Sí"))</f>
        <v/>
      </c>
    </row>
    <row r="2469" spans="2:24" ht="14.25">
      <c r="N2469" s="17" t="str">
        <f>IF(V2469=0,"",IFERROR(LOOKUP(2,1/(INDEX(Listado!A:A,2):INDEX(Listado!A:A,ROW())&lt;&gt;""),ROW(INDEX(Listado!A:A,2):INDEX(Listado!A:A,ROW()))),""))</f>
        <v/>
      </c>
      <c r="O2469" s="17" t="str">
        <f>IFERROR(IF(N2469="","",IF(INDEX(Listado!M:M,N2469)="No",IF(INDEX(Listado!N:N,N2469)=0,"",INDEX(Listado!N:N,N2469)),IF(INDEX(Listado!I:I,N2469)=0,"",INDEX(Listado!I:I,N2469)))),"")</f>
        <v/>
      </c>
      <c r="P2469" s="17">
        <f t="shared" ca="1" si="115"/>
        <v/>
      </c>
      <c r="Q2469" s="17">
        <f>IFERROR(IF(AND(N2469&lt;&gt;"",ISNUMBER(O2469),O2469&gt;0,O2469&gt;=TODAY()-90),1,0),0)</f>
        <v/>
      </c>
      <c r="R2469" s="17" t="str">
        <f t="shared" si="117"/>
        <v/>
      </c>
      <c r="S2469" s="17" t="str">
        <f>IF(INDEX(Listado!A:A,ROW())="","",INDEX(Listado!A:A,ROW()))</f>
        <v/>
      </c>
      <c r="T2469" s="17" t="str">
        <f ca="1">IF(INDEX(Listado!G:G,ROW())="","",INDEX(Listado!G:G,ROW()))</f>
        <v/>
      </c>
      <c r="U2469" s="17" t="str">
        <f>IF(INDEX(Listado!F:F,ROW())="","",INDEX(Listado!F:F,ROW()))</f>
        <v/>
      </c>
      <c r="V2469" s="17">
        <f>IF(COUNTA(INDEX(Listado!B:B,ROW()):INDEX(Listado!F:F,ROW()))&gt;0,1,0)</f>
        <v/>
      </c>
      <c r="W2469" s="17" t="str">
        <f>IF(INDEX(Listado!L:L,ROW())="","",INDEX(Listado!L:L,ROW()))</f>
        <v/>
      </c>
      <c r="X2469" s="17">
        <f>IF(N2469="","",IF(INDEX(Listado!$M:$M,N2469)="No","No","Sí"))</f>
        <v/>
      </c>
    </row>
    <row r="2470" spans="2:24" ht="14.25">
      <c r="N2470" s="17" t="str">
        <f>IF(V2470=0,"",IFERROR(LOOKUP(2,1/(INDEX(Listado!A:A,2):INDEX(Listado!A:A,ROW())&lt;&gt;""),ROW(INDEX(Listado!A:A,2):INDEX(Listado!A:A,ROW()))),""))</f>
        <v/>
      </c>
      <c r="O2470" s="17" t="str">
        <f>IFERROR(IF(N2470="","",IF(INDEX(Listado!M:M,N2470)="No",IF(INDEX(Listado!N:N,N2470)=0,"",INDEX(Listado!N:N,N2470)),IF(INDEX(Listado!I:I,N2470)=0,"",INDEX(Listado!I:I,N2470)))),"")</f>
        <v/>
      </c>
      <c r="P2470" s="17">
        <f t="shared" ca="1" si="115"/>
        <v/>
      </c>
      <c r="Q2470" s="17">
        <f>IFERROR(IF(AND(N2470&lt;&gt;"",ISNUMBER(O2470),O2470&gt;0,O2470&gt;=TODAY()-90),1,0),0)</f>
        <v/>
      </c>
      <c r="R2470" s="17" t="str">
        <f t="shared" si="117"/>
        <v/>
      </c>
      <c r="S2470" s="17" t="str">
        <f>IF(INDEX(Listado!A:A,ROW())="","",INDEX(Listado!A:A,ROW()))</f>
        <v/>
      </c>
      <c r="T2470" s="17" t="str">
        <f ca="1">IF(INDEX(Listado!G:G,ROW())="","",INDEX(Listado!G:G,ROW()))</f>
        <v/>
      </c>
      <c r="U2470" s="17" t="str">
        <f>IF(INDEX(Listado!F:F,ROW())="","",INDEX(Listado!F:F,ROW()))</f>
        <v/>
      </c>
      <c r="V2470" s="17">
        <f>IF(COUNTA(INDEX(Listado!B:B,ROW()):INDEX(Listado!F:F,ROW()))&gt;0,1,0)</f>
        <v/>
      </c>
      <c r="W2470" s="17" t="str">
        <f>IF(INDEX(Listado!L:L,ROW())="","",INDEX(Listado!L:L,ROW()))</f>
        <v/>
      </c>
      <c r="X2470" s="17">
        <f>IF(N2470="","",IF(INDEX(Listado!$M:$M,N2470)="No","No","Sí"))</f>
        <v/>
      </c>
    </row>
    <row r="2471" spans="2:24" ht="14.25">
      <c r="N2471" s="17" t="str">
        <f>IF(V2471=0,"",IFERROR(LOOKUP(2,1/(INDEX(Listado!A:A,2):INDEX(Listado!A:A,ROW())&lt;&gt;""),ROW(INDEX(Listado!A:A,2):INDEX(Listado!A:A,ROW()))),""))</f>
        <v/>
      </c>
      <c r="O2471" s="17" t="str">
        <f>IFERROR(IF(N2471="","",IF(INDEX(Listado!M:M,N2471)="No",IF(INDEX(Listado!N:N,N2471)=0,"",INDEX(Listado!N:N,N2471)),IF(INDEX(Listado!I:I,N2471)=0,"",INDEX(Listado!I:I,N2471)))),"")</f>
        <v/>
      </c>
      <c r="P2471" s="17">
        <f t="shared" ca="1" si="115"/>
        <v/>
      </c>
      <c r="Q2471" s="17">
        <f>IFERROR(IF(AND(N2471&lt;&gt;"",ISNUMBER(O2471),O2471&gt;0,O2471&gt;=TODAY()-90),1,0),0)</f>
        <v/>
      </c>
      <c r="R2471" s="17" t="str">
        <f t="shared" si="117"/>
        <v/>
      </c>
      <c r="S2471" s="17" t="str">
        <f>IF(INDEX(Listado!A:A,ROW())="","",INDEX(Listado!A:A,ROW()))</f>
        <v/>
      </c>
      <c r="T2471" s="17" t="str">
        <f ca="1">IF(INDEX(Listado!G:G,ROW())="","",INDEX(Listado!G:G,ROW()))</f>
        <v/>
      </c>
      <c r="U2471" s="17" t="str">
        <f>IF(INDEX(Listado!F:F,ROW())="","",INDEX(Listado!F:F,ROW()))</f>
        <v/>
      </c>
      <c r="V2471" s="17">
        <f>IF(COUNTA(INDEX(Listado!B:B,ROW()):INDEX(Listado!F:F,ROW()))&gt;0,1,0)</f>
        <v/>
      </c>
      <c r="W2471" s="17" t="str">
        <f>IF(INDEX(Listado!L:L,ROW())="","",INDEX(Listado!L:L,ROW()))</f>
        <v/>
      </c>
      <c r="X2471" s="17">
        <f>IF(N2471="","",IF(INDEX(Listado!$M:$M,N2471)="No","No","Sí"))</f>
        <v/>
      </c>
    </row>
    <row r="2472" spans="2:24" ht="14.25">
      <c r="N2472" s="17" t="str">
        <f>IF(V2472=0,"",IFERROR(LOOKUP(2,1/(INDEX(Listado!A:A,2):INDEX(Listado!A:A,ROW())&lt;&gt;""),ROW(INDEX(Listado!A:A,2):INDEX(Listado!A:A,ROW()))),""))</f>
        <v/>
      </c>
      <c r="O2472" s="17" t="str">
        <f>IFERROR(IF(N2472="","",IF(INDEX(Listado!M:M,N2472)="No",IF(INDEX(Listado!N:N,N2472)=0,"",INDEX(Listado!N:N,N2472)),IF(INDEX(Listado!I:I,N2472)=0,"",INDEX(Listado!I:I,N2472)))),"")</f>
        <v/>
      </c>
      <c r="P2472" s="17">
        <f t="shared" ca="1" si="115"/>
        <v/>
      </c>
      <c r="Q2472" s="17">
        <f>IFERROR(IF(AND(N2472&lt;&gt;"",ISNUMBER(O2472),O2472&gt;0,O2472&gt;=TODAY()-90),1,0),0)</f>
        <v/>
      </c>
      <c r="R2472" s="17" t="str">
        <f t="shared" si="117"/>
        <v/>
      </c>
      <c r="S2472" s="17" t="str">
        <f>IF(INDEX(Listado!A:A,ROW())="","",INDEX(Listado!A:A,ROW()))</f>
        <v/>
      </c>
      <c r="T2472" s="17" t="str">
        <f ca="1">IF(INDEX(Listado!G:G,ROW())="","",INDEX(Listado!G:G,ROW()))</f>
        <v/>
      </c>
      <c r="U2472" s="17" t="str">
        <f>IF(INDEX(Listado!F:F,ROW())="","",INDEX(Listado!F:F,ROW()))</f>
        <v/>
      </c>
      <c r="V2472" s="17">
        <f>IF(COUNTA(INDEX(Listado!B:B,ROW()):INDEX(Listado!F:F,ROW()))&gt;0,1,0)</f>
        <v/>
      </c>
      <c r="W2472" s="17" t="str">
        <f>IF(INDEX(Listado!L:L,ROW())="","",INDEX(Listado!L:L,ROW()))</f>
        <v/>
      </c>
      <c r="X2472" s="17">
        <f>IF(N2472="","",IF(INDEX(Listado!$M:$M,N2472)="No","No","Sí"))</f>
        <v/>
      </c>
    </row>
    <row r="2473" spans="2:24" ht="14.25">
      <c r="N2473" s="17" t="str">
        <f>IF(V2473=0,"",IFERROR(LOOKUP(2,1/(INDEX(Listado!A:A,2):INDEX(Listado!A:A,ROW())&lt;&gt;""),ROW(INDEX(Listado!A:A,2):INDEX(Listado!A:A,ROW()))),""))</f>
        <v/>
      </c>
      <c r="O2473" s="17" t="str">
        <f>IFERROR(IF(N2473="","",IF(INDEX(Listado!M:M,N2473)="No",IF(INDEX(Listado!N:N,N2473)=0,"",INDEX(Listado!N:N,N2473)),IF(INDEX(Listado!I:I,N2473)=0,"",INDEX(Listado!I:I,N2473)))),"")</f>
        <v/>
      </c>
      <c r="P2473" s="17">
        <f t="shared" ca="1" si="115"/>
        <v/>
      </c>
      <c r="Q2473" s="17">
        <f>IFERROR(IF(AND(N2473&lt;&gt;"",ISNUMBER(O2473),O2473&gt;0,O2473&gt;=TODAY()-90),1,0),0)</f>
        <v/>
      </c>
      <c r="R2473" s="17" t="str">
        <f t="shared" si="117"/>
        <v/>
      </c>
      <c r="S2473" s="17" t="str">
        <f>IF(INDEX(Listado!A:A,ROW())="","",INDEX(Listado!A:A,ROW()))</f>
        <v/>
      </c>
      <c r="T2473" s="17" t="str">
        <f ca="1">IF(INDEX(Listado!G:G,ROW())="","",INDEX(Listado!G:G,ROW()))</f>
        <v/>
      </c>
      <c r="U2473" s="17" t="str">
        <f>IF(INDEX(Listado!F:F,ROW())="","",INDEX(Listado!F:F,ROW()))</f>
        <v/>
      </c>
      <c r="V2473" s="17">
        <f>IF(COUNTA(INDEX(Listado!B:B,ROW()):INDEX(Listado!F:F,ROW()))&gt;0,1,0)</f>
        <v/>
      </c>
      <c r="W2473" s="17" t="str">
        <f>IF(INDEX(Listado!L:L,ROW())="","",INDEX(Listado!L:L,ROW()))</f>
        <v/>
      </c>
      <c r="X2473" s="17">
        <f>IF(N2473="","",IF(INDEX(Listado!$M:$M,N2473)="No","No","Sí"))</f>
        <v/>
      </c>
    </row>
    <row r="2474" spans="2:24" ht="14.25">
      <c r="N2474" s="17" t="str">
        <f>IF(V2474=0,"",IFERROR(LOOKUP(2,1/(INDEX(Listado!A:A,2):INDEX(Listado!A:A,ROW())&lt;&gt;""),ROW(INDEX(Listado!A:A,2):INDEX(Listado!A:A,ROW()))),""))</f>
        <v/>
      </c>
      <c r="O2474" s="17" t="str">
        <f>IFERROR(IF(N2474="","",IF(INDEX(Listado!M:M,N2474)="No",IF(INDEX(Listado!N:N,N2474)=0,"",INDEX(Listado!N:N,N2474)),IF(INDEX(Listado!I:I,N2474)=0,"",INDEX(Listado!I:I,N2474)))),"")</f>
        <v/>
      </c>
      <c r="P2474" s="17">
        <f t="shared" ca="1" si="115"/>
        <v/>
      </c>
      <c r="Q2474" s="17">
        <f>IFERROR(IF(AND(N2474&lt;&gt;"",ISNUMBER(O2474),O2474&gt;0,O2474&gt;=TODAY()-90),1,0),0)</f>
        <v/>
      </c>
      <c r="R2474" s="17" t="str">
        <f t="shared" si="117"/>
        <v/>
      </c>
      <c r="S2474" s="17" t="str">
        <f>IF(INDEX(Listado!A:A,ROW())="","",INDEX(Listado!A:A,ROW()))</f>
        <v/>
      </c>
      <c r="T2474" s="17" t="str">
        <f ca="1">IF(INDEX(Listado!G:G,ROW())="","",INDEX(Listado!G:G,ROW()))</f>
        <v/>
      </c>
      <c r="U2474" s="17" t="str">
        <f>IF(INDEX(Listado!F:F,ROW())="","",INDEX(Listado!F:F,ROW()))</f>
        <v/>
      </c>
      <c r="V2474" s="17">
        <f>IF(COUNTA(INDEX(Listado!B:B,ROW()):INDEX(Listado!F:F,ROW()))&gt;0,1,0)</f>
        <v/>
      </c>
      <c r="W2474" s="17" t="str">
        <f>IF(INDEX(Listado!L:L,ROW())="","",INDEX(Listado!L:L,ROW()))</f>
        <v/>
      </c>
      <c r="X2474" s="17">
        <f>IF(N2474="","",IF(INDEX(Listado!$M:$M,N2474)="No","No","Sí"))</f>
        <v/>
      </c>
    </row>
    <row r="2475" spans="2:24" ht="14.25">
      <c r="N2475" s="17" t="str">
        <f>IF(V2475=0,"",IFERROR(LOOKUP(2,1/(INDEX(Listado!A:A,2):INDEX(Listado!A:A,ROW())&lt;&gt;""),ROW(INDEX(Listado!A:A,2):INDEX(Listado!A:A,ROW()))),""))</f>
        <v/>
      </c>
      <c r="O2475" s="17" t="str">
        <f>IFERROR(IF(N2475="","",IF(INDEX(Listado!M:M,N2475)="No",IF(INDEX(Listado!N:N,N2475)=0,"",INDEX(Listado!N:N,N2475)),IF(INDEX(Listado!I:I,N2475)=0,"",INDEX(Listado!I:I,N2475)))),"")</f>
        <v/>
      </c>
      <c r="P2475" s="17">
        <f t="shared" ca="1" si="115"/>
        <v/>
      </c>
      <c r="Q2475" s="17">
        <f>IFERROR(IF(AND(N2475&lt;&gt;"",ISNUMBER(O2475),O2475&gt;0,O2475&gt;=TODAY()-90),1,0),0)</f>
        <v/>
      </c>
      <c r="R2475" s="17" t="str">
        <f t="shared" si="117"/>
        <v/>
      </c>
      <c r="S2475" s="17" t="str">
        <f>IF(INDEX(Listado!A:A,ROW())="","",INDEX(Listado!A:A,ROW()))</f>
        <v/>
      </c>
      <c r="T2475" s="17" t="str">
        <f ca="1">IF(INDEX(Listado!G:G,ROW())="","",INDEX(Listado!G:G,ROW()))</f>
        <v/>
      </c>
      <c r="U2475" s="17" t="str">
        <f>IF(INDEX(Listado!F:F,ROW())="","",INDEX(Listado!F:F,ROW()))</f>
        <v/>
      </c>
      <c r="V2475" s="17">
        <f>IF(COUNTA(INDEX(Listado!B:B,ROW()):INDEX(Listado!F:F,ROW()))&gt;0,1,0)</f>
        <v/>
      </c>
      <c r="W2475" s="17" t="str">
        <f>IF(INDEX(Listado!L:L,ROW())="","",INDEX(Listado!L:L,ROW()))</f>
        <v/>
      </c>
      <c r="X2475" s="17">
        <f>IF(N2475="","",IF(INDEX(Listado!$M:$M,N2475)="No","No","Sí"))</f>
        <v/>
      </c>
    </row>
    <row r="2476" spans="2:24" ht="14.25">
      <c r="N2476" s="17" t="str">
        <f>IF(V2476=0,"",IFERROR(LOOKUP(2,1/(INDEX(Listado!A:A,2):INDEX(Listado!A:A,ROW())&lt;&gt;""),ROW(INDEX(Listado!A:A,2):INDEX(Listado!A:A,ROW()))),""))</f>
        <v/>
      </c>
      <c r="O2476" s="17" t="str">
        <f>IFERROR(IF(N2476="","",IF(INDEX(Listado!M:M,N2476)="No",IF(INDEX(Listado!N:N,N2476)=0,"",INDEX(Listado!N:N,N2476)),IF(INDEX(Listado!I:I,N2476)=0,"",INDEX(Listado!I:I,N2476)))),"")</f>
        <v/>
      </c>
      <c r="P2476" s="17">
        <f t="shared" ca="1" si="115"/>
        <v/>
      </c>
      <c r="Q2476" s="17">
        <f>IFERROR(IF(AND(N2476&lt;&gt;"",ISNUMBER(O2476),O2476&gt;0,O2476&gt;=TODAY()-90),1,0),0)</f>
        <v/>
      </c>
      <c r="R2476" s="17" t="str">
        <f t="shared" si="117"/>
        <v/>
      </c>
      <c r="S2476" s="17" t="str">
        <f>IF(INDEX(Listado!A:A,ROW())="","",INDEX(Listado!A:A,ROW()))</f>
        <v/>
      </c>
      <c r="T2476" s="17" t="str">
        <f ca="1">IF(INDEX(Listado!G:G,ROW())="","",INDEX(Listado!G:G,ROW()))</f>
        <v/>
      </c>
      <c r="U2476" s="17" t="str">
        <f>IF(INDEX(Listado!F:F,ROW())="","",INDEX(Listado!F:F,ROW()))</f>
        <v/>
      </c>
      <c r="V2476" s="17">
        <f>IF(COUNTA(INDEX(Listado!B:B,ROW()):INDEX(Listado!F:F,ROW()))&gt;0,1,0)</f>
        <v/>
      </c>
      <c r="W2476" s="17" t="str">
        <f>IF(INDEX(Listado!L:L,ROW())="","",INDEX(Listado!L:L,ROW()))</f>
        <v/>
      </c>
      <c r="X2476" s="17">
        <f>IF(N2476="","",IF(INDEX(Listado!$M:$M,N2476)="No","No","Sí"))</f>
        <v/>
      </c>
    </row>
    <row r="2477" spans="2:24" ht="14.25">
      <c r="N2477" s="17" t="str">
        <f>IF(V2477=0,"",IFERROR(LOOKUP(2,1/(INDEX(Listado!A:A,2):INDEX(Listado!A:A,ROW())&lt;&gt;""),ROW(INDEX(Listado!A:A,2):INDEX(Listado!A:A,ROW()))),""))</f>
        <v/>
      </c>
      <c r="O2477" s="17" t="str">
        <f>IFERROR(IF(N2477="","",IF(INDEX(Listado!M:M,N2477)="No",IF(INDEX(Listado!N:N,N2477)=0,"",INDEX(Listado!N:N,N2477)),IF(INDEX(Listado!I:I,N2477)=0,"",INDEX(Listado!I:I,N2477)))),"")</f>
        <v/>
      </c>
      <c r="P2477" s="17">
        <f t="shared" ca="1" si="115"/>
        <v/>
      </c>
      <c r="Q2477" s="17">
        <f>IFERROR(IF(AND(N2477&lt;&gt;"",ISNUMBER(O2477),O2477&gt;0,O2477&gt;=TODAY()-90),1,0),0)</f>
        <v/>
      </c>
      <c r="R2477" s="17" t="str">
        <f t="shared" si="117"/>
        <v/>
      </c>
      <c r="S2477" s="17" t="str">
        <f>IF(INDEX(Listado!A:A,ROW())="","",INDEX(Listado!A:A,ROW()))</f>
        <v/>
      </c>
      <c r="T2477" s="17" t="str">
        <f ca="1">IF(INDEX(Listado!G:G,ROW())="","",INDEX(Listado!G:G,ROW()))</f>
        <v/>
      </c>
      <c r="U2477" s="17" t="str">
        <f>IF(INDEX(Listado!F:F,ROW())="","",INDEX(Listado!F:F,ROW()))</f>
        <v/>
      </c>
      <c r="V2477" s="17">
        <f>IF(COUNTA(INDEX(Listado!B:B,ROW()):INDEX(Listado!F:F,ROW()))&gt;0,1,0)</f>
        <v/>
      </c>
      <c r="W2477" s="17" t="str">
        <f>IF(INDEX(Listado!L:L,ROW())="","",INDEX(Listado!L:L,ROW()))</f>
        <v/>
      </c>
      <c r="X2477" s="17">
        <f>IF(N2477="","",IF(INDEX(Listado!$M:$M,N2477)="No","No","Sí"))</f>
        <v/>
      </c>
    </row>
    <row r="2478" spans="2:24" ht="14.25">
      <c r="N2478" s="17" t="str">
        <f>IF(V2478=0,"",IFERROR(LOOKUP(2,1/(INDEX(Listado!A:A,2):INDEX(Listado!A:A,ROW())&lt;&gt;""),ROW(INDEX(Listado!A:A,2):INDEX(Listado!A:A,ROW()))),""))</f>
        <v/>
      </c>
      <c r="O2478" s="17" t="str">
        <f>IFERROR(IF(N2478="","",IF(INDEX(Listado!M:M,N2478)="No",IF(INDEX(Listado!N:N,N2478)=0,"",INDEX(Listado!N:N,N2478)),IF(INDEX(Listado!I:I,N2478)=0,"",INDEX(Listado!I:I,N2478)))),"")</f>
        <v/>
      </c>
      <c r="P2478" s="17">
        <f t="shared" ca="1" si="115"/>
        <v/>
      </c>
      <c r="Q2478" s="17">
        <f>IFERROR(IF(AND(N2478&lt;&gt;"",ISNUMBER(O2478),O2478&gt;0,O2478&gt;=TODAY()-90),1,0),0)</f>
        <v/>
      </c>
      <c r="R2478" s="17" t="str">
        <f t="shared" si="117"/>
        <v/>
      </c>
      <c r="S2478" s="17" t="str">
        <f>IF(INDEX(Listado!A:A,ROW())="","",INDEX(Listado!A:A,ROW()))</f>
        <v/>
      </c>
      <c r="T2478" s="17" t="str">
        <f ca="1">IF(INDEX(Listado!G:G,ROW())="","",INDEX(Listado!G:G,ROW()))</f>
        <v/>
      </c>
      <c r="U2478" s="17" t="str">
        <f>IF(INDEX(Listado!F:F,ROW())="","",INDEX(Listado!F:F,ROW()))</f>
        <v/>
      </c>
      <c r="V2478" s="17">
        <f>IF(COUNTA(INDEX(Listado!B:B,ROW()):INDEX(Listado!F:F,ROW()))&gt;0,1,0)</f>
        <v/>
      </c>
      <c r="W2478" s="17" t="str">
        <f>IF(INDEX(Listado!L:L,ROW())="","",INDEX(Listado!L:L,ROW()))</f>
        <v/>
      </c>
      <c r="X2478" s="17">
        <f>IF(N2478="","",IF(INDEX(Listado!$M:$M,N2478)="No","No","Sí"))</f>
        <v/>
      </c>
    </row>
    <row r="2479" spans="2:24" ht="14.25">
      <c r="N2479" s="17" t="str">
        <f>IF(V2479=0,"",IFERROR(LOOKUP(2,1/(INDEX(Listado!A:A,2):INDEX(Listado!A:A,ROW())&lt;&gt;""),ROW(INDEX(Listado!A:A,2):INDEX(Listado!A:A,ROW()))),""))</f>
        <v/>
      </c>
      <c r="O2479" s="17" t="str">
        <f>IFERROR(IF(N2479="","",IF(INDEX(Listado!M:M,N2479)="No",IF(INDEX(Listado!N:N,N2479)=0,"",INDEX(Listado!N:N,N2479)),IF(INDEX(Listado!I:I,N2479)=0,"",INDEX(Listado!I:I,N2479)))),"")</f>
        <v/>
      </c>
      <c r="P2479" s="17">
        <f t="shared" ca="1" si="115"/>
        <v/>
      </c>
      <c r="Q2479" s="17">
        <f>IFERROR(IF(AND(N2479&lt;&gt;"",ISNUMBER(O2479),O2479&gt;0,O2479&gt;=TODAY()-90),1,0),0)</f>
        <v/>
      </c>
      <c r="R2479" s="17" t="str">
        <f t="shared" si="117"/>
        <v/>
      </c>
      <c r="S2479" s="17" t="str">
        <f>IF(INDEX(Listado!A:A,ROW())="","",INDEX(Listado!A:A,ROW()))</f>
        <v/>
      </c>
      <c r="T2479" s="17" t="str">
        <f ca="1">IF(INDEX(Listado!G:G,ROW())="","",INDEX(Listado!G:G,ROW()))</f>
        <v/>
      </c>
      <c r="U2479" s="17" t="str">
        <f>IF(INDEX(Listado!F:F,ROW())="","",INDEX(Listado!F:F,ROW()))</f>
        <v/>
      </c>
      <c r="V2479" s="17">
        <f>IF(COUNTA(INDEX(Listado!B:B,ROW()):INDEX(Listado!F:F,ROW()))&gt;0,1,0)</f>
        <v/>
      </c>
      <c r="W2479" s="17" t="str">
        <f>IF(INDEX(Listado!L:L,ROW())="","",INDEX(Listado!L:L,ROW()))</f>
        <v/>
      </c>
      <c r="X2479" s="17">
        <f>IF(N2479="","",IF(INDEX(Listado!$M:$M,N2479)="No","No","Sí"))</f>
        <v/>
      </c>
    </row>
    <row r="2480" spans="2:24" ht="14.25">
      <c r="N2480" s="17" t="str">
        <f>IF(V2480=0,"",IFERROR(LOOKUP(2,1/(INDEX(Listado!A:A,2):INDEX(Listado!A:A,ROW())&lt;&gt;""),ROW(INDEX(Listado!A:A,2):INDEX(Listado!A:A,ROW()))),""))</f>
        <v/>
      </c>
      <c r="O2480" s="17" t="str">
        <f>IFERROR(IF(N2480="","",IF(INDEX(Listado!M:M,N2480)="No",IF(INDEX(Listado!N:N,N2480)=0,"",INDEX(Listado!N:N,N2480)),IF(INDEX(Listado!I:I,N2480)=0,"",INDEX(Listado!I:I,N2480)))),"")</f>
        <v/>
      </c>
      <c r="P2480" s="17">
        <f t="shared" ca="1" si="115"/>
        <v/>
      </c>
      <c r="Q2480" s="17">
        <f>IFERROR(IF(AND(N2480&lt;&gt;"",ISNUMBER(O2480),O2480&gt;0,O2480&gt;=TODAY()-90),1,0),0)</f>
        <v/>
      </c>
      <c r="R2480" s="17" t="str">
        <f t="shared" si="117"/>
        <v/>
      </c>
      <c r="S2480" s="17" t="str">
        <f>IF(INDEX(Listado!A:A,ROW())="","",INDEX(Listado!A:A,ROW()))</f>
        <v/>
      </c>
      <c r="T2480" s="17" t="str">
        <f ca="1">IF(INDEX(Listado!G:G,ROW())="","",INDEX(Listado!G:G,ROW()))</f>
        <v/>
      </c>
      <c r="U2480" s="17" t="str">
        <f>IF(INDEX(Listado!F:F,ROW())="","",INDEX(Listado!F:F,ROW()))</f>
        <v/>
      </c>
      <c r="V2480" s="17">
        <f>IF(COUNTA(INDEX(Listado!B:B,ROW()):INDEX(Listado!F:F,ROW()))&gt;0,1,0)</f>
        <v/>
      </c>
      <c r="W2480" s="17" t="str">
        <f>IF(INDEX(Listado!L:L,ROW())="","",INDEX(Listado!L:L,ROW()))</f>
        <v/>
      </c>
      <c r="X2480" s="17">
        <f>IF(N2480="","",IF(INDEX(Listado!$M:$M,N2480)="No","No","Sí"))</f>
        <v/>
      </c>
    </row>
    <row r="2481" spans="2:24" ht="14.25">
      <c r="N2481" s="17" t="str">
        <f>IF(V2481=0,"",IFERROR(LOOKUP(2,1/(INDEX(Listado!A:A,2):INDEX(Listado!A:A,ROW())&lt;&gt;""),ROW(INDEX(Listado!A:A,2):INDEX(Listado!A:A,ROW()))),""))</f>
        <v/>
      </c>
      <c r="O2481" s="17" t="str">
        <f>IFERROR(IF(N2481="","",IF(INDEX(Listado!M:M,N2481)="No",IF(INDEX(Listado!N:N,N2481)=0,"",INDEX(Listado!N:N,N2481)),IF(INDEX(Listado!I:I,N2481)=0,"",INDEX(Listado!I:I,N2481)))),"")</f>
        <v/>
      </c>
      <c r="P2481" s="17">
        <f t="shared" ca="1" si="115"/>
        <v/>
      </c>
      <c r="Q2481" s="17">
        <f>IFERROR(IF(AND(N2481&lt;&gt;"",ISNUMBER(O2481),O2481&gt;0,O2481&gt;=TODAY()-90),1,0),0)</f>
        <v/>
      </c>
      <c r="R2481" s="17" t="str">
        <f t="shared" si="117"/>
        <v/>
      </c>
      <c r="S2481" s="17" t="str">
        <f>IF(INDEX(Listado!A:A,ROW())="","",INDEX(Listado!A:A,ROW()))</f>
        <v/>
      </c>
      <c r="T2481" s="17" t="str">
        <f ca="1">IF(INDEX(Listado!G:G,ROW())="","",INDEX(Listado!G:G,ROW()))</f>
        <v/>
      </c>
      <c r="U2481" s="17" t="str">
        <f>IF(INDEX(Listado!F:F,ROW())="","",INDEX(Listado!F:F,ROW()))</f>
        <v/>
      </c>
      <c r="V2481" s="17">
        <f>IF(COUNTA(INDEX(Listado!B:B,ROW()):INDEX(Listado!F:F,ROW()))&gt;0,1,0)</f>
        <v/>
      </c>
      <c r="W2481" s="17" t="str">
        <f>IF(INDEX(Listado!L:L,ROW())="","",INDEX(Listado!L:L,ROW()))</f>
        <v/>
      </c>
      <c r="X2481" s="17">
        <f>IF(N2481="","",IF(INDEX(Listado!$M:$M,N2481)="No","No","Sí"))</f>
        <v/>
      </c>
    </row>
    <row r="2482" spans="2:24" ht="14.25">
      <c r="N2482" s="17" t="str">
        <f>IF(V2482=0,"",IFERROR(LOOKUP(2,1/(INDEX(Listado!A:A,2):INDEX(Listado!A:A,ROW())&lt;&gt;""),ROW(INDEX(Listado!A:A,2):INDEX(Listado!A:A,ROW()))),""))</f>
        <v/>
      </c>
      <c r="O2482" s="17" t="str">
        <f>IFERROR(IF(N2482="","",IF(INDEX(Listado!M:M,N2482)="No",IF(INDEX(Listado!N:N,N2482)=0,"",INDEX(Listado!N:N,N2482)),IF(INDEX(Listado!I:I,N2482)=0,"",INDEX(Listado!I:I,N2482)))),"")</f>
        <v/>
      </c>
      <c r="P2482" s="17">
        <f t="shared" ca="1" si="115"/>
        <v/>
      </c>
      <c r="Q2482" s="17">
        <f>IFERROR(IF(AND(N2482&lt;&gt;"",ISNUMBER(O2482),O2482&gt;0,O2482&gt;=TODAY()-90),1,0),0)</f>
        <v/>
      </c>
      <c r="R2482" s="17" t="str">
        <f t="shared" si="117"/>
        <v/>
      </c>
      <c r="S2482" s="17" t="str">
        <f>IF(INDEX(Listado!A:A,ROW())="","",INDEX(Listado!A:A,ROW()))</f>
        <v/>
      </c>
      <c r="T2482" s="17" t="str">
        <f ca="1">IF(INDEX(Listado!G:G,ROW())="","",INDEX(Listado!G:G,ROW()))</f>
        <v/>
      </c>
      <c r="U2482" s="17" t="str">
        <f>IF(INDEX(Listado!F:F,ROW())="","",INDEX(Listado!F:F,ROW()))</f>
        <v/>
      </c>
      <c r="V2482" s="17">
        <f>IF(COUNTA(INDEX(Listado!B:B,ROW()):INDEX(Listado!F:F,ROW()))&gt;0,1,0)</f>
        <v/>
      </c>
      <c r="W2482" s="17" t="str">
        <f>IF(INDEX(Listado!L:L,ROW())="","",INDEX(Listado!L:L,ROW()))</f>
        <v/>
      </c>
      <c r="X2482" s="17">
        <f>IF(N2482="","",IF(INDEX(Listado!$M:$M,N2482)="No","No","Sí"))</f>
        <v/>
      </c>
    </row>
    <row r="2483" spans="2:24" ht="14.25">
      <c r="N2483" s="17" t="str">
        <f>IF(V2483=0,"",IFERROR(LOOKUP(2,1/(INDEX(Listado!A:A,2):INDEX(Listado!A:A,ROW())&lt;&gt;""),ROW(INDEX(Listado!A:A,2):INDEX(Listado!A:A,ROW()))),""))</f>
        <v/>
      </c>
      <c r="O2483" s="17" t="str">
        <f>IFERROR(IF(N2483="","",IF(INDEX(Listado!M:M,N2483)="No",IF(INDEX(Listado!N:N,N2483)=0,"",INDEX(Listado!N:N,N2483)),IF(INDEX(Listado!I:I,N2483)=0,"",INDEX(Listado!I:I,N2483)))),"")</f>
        <v/>
      </c>
      <c r="P2483" s="17">
        <f t="shared" ca="1" si="115"/>
        <v/>
      </c>
      <c r="Q2483" s="17">
        <f>IFERROR(IF(AND(N2483&lt;&gt;"",ISNUMBER(O2483),O2483&gt;0,O2483&gt;=TODAY()-90),1,0),0)</f>
        <v/>
      </c>
      <c r="R2483" s="17" t="str">
        <f t="shared" si="117"/>
        <v/>
      </c>
      <c r="S2483" s="17" t="str">
        <f>IF(INDEX(Listado!A:A,ROW())="","",INDEX(Listado!A:A,ROW()))</f>
        <v/>
      </c>
      <c r="T2483" s="17" t="str">
        <f ca="1">IF(INDEX(Listado!G:G,ROW())="","",INDEX(Listado!G:G,ROW()))</f>
        <v/>
      </c>
      <c r="U2483" s="17" t="str">
        <f>IF(INDEX(Listado!F:F,ROW())="","",INDEX(Listado!F:F,ROW()))</f>
        <v/>
      </c>
      <c r="V2483" s="17">
        <f>IF(COUNTA(INDEX(Listado!B:B,ROW()):INDEX(Listado!F:F,ROW()))&gt;0,1,0)</f>
        <v/>
      </c>
      <c r="W2483" s="17" t="str">
        <f>IF(INDEX(Listado!L:L,ROW())="","",INDEX(Listado!L:L,ROW()))</f>
        <v/>
      </c>
      <c r="X2483" s="17">
        <f>IF(N2483="","",IF(INDEX(Listado!$M:$M,N2483)="No","No","Sí"))</f>
        <v/>
      </c>
    </row>
    <row r="2484" spans="2:24" ht="14.25">
      <c r="N2484" s="17" t="str">
        <f>IF(V2484=0,"",IFERROR(LOOKUP(2,1/(INDEX(Listado!A:A,2):INDEX(Listado!A:A,ROW())&lt;&gt;""),ROW(INDEX(Listado!A:A,2):INDEX(Listado!A:A,ROW()))),""))</f>
        <v/>
      </c>
      <c r="O2484" s="17" t="str">
        <f>IFERROR(IF(N2484="","",IF(INDEX(Listado!M:M,N2484)="No",IF(INDEX(Listado!N:N,N2484)=0,"",INDEX(Listado!N:N,N2484)),IF(INDEX(Listado!I:I,N2484)=0,"",INDEX(Listado!I:I,N2484)))),"")</f>
        <v/>
      </c>
      <c r="P2484" s="17">
        <f t="shared" ca="1" si="115"/>
        <v/>
      </c>
      <c r="Q2484" s="17">
        <f>IFERROR(IF(AND(N2484&lt;&gt;"",ISNUMBER(O2484),O2484&gt;0,O2484&gt;=TODAY()-90),1,0),0)</f>
        <v/>
      </c>
      <c r="R2484" s="17" t="str">
        <f t="shared" si="117"/>
        <v/>
      </c>
      <c r="S2484" s="17" t="str">
        <f>IF(INDEX(Listado!A:A,ROW())="","",INDEX(Listado!A:A,ROW()))</f>
        <v/>
      </c>
      <c r="T2484" s="17" t="str">
        <f ca="1">IF(INDEX(Listado!G:G,ROW())="","",INDEX(Listado!G:G,ROW()))</f>
        <v/>
      </c>
      <c r="U2484" s="17" t="str">
        <f>IF(INDEX(Listado!F:F,ROW())="","",INDEX(Listado!F:F,ROW()))</f>
        <v/>
      </c>
      <c r="V2484" s="17">
        <f>IF(COUNTA(INDEX(Listado!B:B,ROW()):INDEX(Listado!F:F,ROW()))&gt;0,1,0)</f>
        <v/>
      </c>
      <c r="W2484" s="17" t="str">
        <f>IF(INDEX(Listado!L:L,ROW())="","",INDEX(Listado!L:L,ROW()))</f>
        <v/>
      </c>
      <c r="X2484" s="17">
        <f>IF(N2484="","",IF(INDEX(Listado!$M:$M,N2484)="No","No","Sí"))</f>
        <v/>
      </c>
    </row>
    <row r="2485" spans="2:24" ht="14.25">
      <c r="N2485" s="17" t="str">
        <f>IF(V2485=0,"",IFERROR(LOOKUP(2,1/(INDEX(Listado!A:A,2):INDEX(Listado!A:A,ROW())&lt;&gt;""),ROW(INDEX(Listado!A:A,2):INDEX(Listado!A:A,ROW()))),""))</f>
        <v/>
      </c>
      <c r="O2485" s="17" t="str">
        <f>IFERROR(IF(N2485="","",IF(INDEX(Listado!M:M,N2485)="No",IF(INDEX(Listado!N:N,N2485)=0,"",INDEX(Listado!N:N,N2485)),IF(INDEX(Listado!I:I,N2485)=0,"",INDEX(Listado!I:I,N2485)))),"")</f>
        <v/>
      </c>
      <c r="P2485" s="17">
        <f t="shared" ca="1" si="115"/>
        <v/>
      </c>
      <c r="Q2485" s="17">
        <f>IFERROR(IF(AND(N2485&lt;&gt;"",ISNUMBER(O2485),O2485&gt;0,O2485&gt;=TODAY()-90),1,0),0)</f>
        <v/>
      </c>
      <c r="R2485" s="17" t="str">
        <f t="shared" si="117"/>
        <v/>
      </c>
      <c r="S2485" s="17" t="str">
        <f>IF(INDEX(Listado!A:A,ROW())="","",INDEX(Listado!A:A,ROW()))</f>
        <v/>
      </c>
      <c r="T2485" s="17" t="str">
        <f ca="1">IF(INDEX(Listado!G:G,ROW())="","",INDEX(Listado!G:G,ROW()))</f>
        <v/>
      </c>
      <c r="U2485" s="17" t="str">
        <f>IF(INDEX(Listado!F:F,ROW())="","",INDEX(Listado!F:F,ROW()))</f>
        <v/>
      </c>
      <c r="V2485" s="17">
        <f>IF(COUNTA(INDEX(Listado!B:B,ROW()):INDEX(Listado!F:F,ROW()))&gt;0,1,0)</f>
        <v/>
      </c>
      <c r="W2485" s="17" t="str">
        <f>IF(INDEX(Listado!L:L,ROW())="","",INDEX(Listado!L:L,ROW()))</f>
        <v/>
      </c>
      <c r="X2485" s="17">
        <f>IF(N2485="","",IF(INDEX(Listado!$M:$M,N2485)="No","No","Sí"))</f>
        <v/>
      </c>
    </row>
    <row r="2486" spans="2:24" ht="14.25">
      <c r="N2486" s="17" t="str">
        <f>IF(V2486=0,"",IFERROR(LOOKUP(2,1/(INDEX(Listado!A:A,2):INDEX(Listado!A:A,ROW())&lt;&gt;""),ROW(INDEX(Listado!A:A,2):INDEX(Listado!A:A,ROW()))),""))</f>
        <v/>
      </c>
      <c r="O2486" s="17" t="str">
        <f>IFERROR(IF(N2486="","",IF(INDEX(Listado!M:M,N2486)="No",IF(INDEX(Listado!N:N,N2486)=0,"",INDEX(Listado!N:N,N2486)),IF(INDEX(Listado!I:I,N2486)=0,"",INDEX(Listado!I:I,N2486)))),"")</f>
        <v/>
      </c>
      <c r="P2486" s="17">
        <f t="shared" ca="1" si="115"/>
        <v/>
      </c>
      <c r="Q2486" s="17">
        <f>IFERROR(IF(AND(N2486&lt;&gt;"",ISNUMBER(O2486),O2486&gt;0,O2486&gt;=TODAY()-90),1,0),0)</f>
        <v/>
      </c>
      <c r="R2486" s="17" t="str">
        <f t="shared" si="117"/>
        <v/>
      </c>
      <c r="S2486" s="17" t="str">
        <f>IF(INDEX(Listado!A:A,ROW())="","",INDEX(Listado!A:A,ROW()))</f>
        <v/>
      </c>
      <c r="T2486" s="17" t="str">
        <f ca="1">IF(INDEX(Listado!G:G,ROW())="","",INDEX(Listado!G:G,ROW()))</f>
        <v/>
      </c>
      <c r="U2486" s="17" t="str">
        <f>IF(INDEX(Listado!F:F,ROW())="","",INDEX(Listado!F:F,ROW()))</f>
        <v/>
      </c>
      <c r="V2486" s="17">
        <f>IF(COUNTA(INDEX(Listado!B:B,ROW()):INDEX(Listado!F:F,ROW()))&gt;0,1,0)</f>
        <v/>
      </c>
      <c r="W2486" s="17" t="str">
        <f>IF(INDEX(Listado!L:L,ROW())="","",INDEX(Listado!L:L,ROW()))</f>
        <v/>
      </c>
      <c r="X2486" s="17">
        <f>IF(N2486="","",IF(INDEX(Listado!$M:$M,N2486)="No","No","Sí"))</f>
        <v/>
      </c>
    </row>
    <row r="2487" spans="2:24" ht="14.25">
      <c r="N2487" s="17" t="str">
        <f>IF(V2487=0,"",IFERROR(LOOKUP(2,1/(INDEX(Listado!A:A,2):INDEX(Listado!A:A,ROW())&lt;&gt;""),ROW(INDEX(Listado!A:A,2):INDEX(Listado!A:A,ROW()))),""))</f>
        <v/>
      </c>
      <c r="O2487" s="17" t="str">
        <f>IFERROR(IF(N2487="","",IF(INDEX(Listado!M:M,N2487)="No",IF(INDEX(Listado!N:N,N2487)=0,"",INDEX(Listado!N:N,N2487)),IF(INDEX(Listado!I:I,N2487)=0,"",INDEX(Listado!I:I,N2487)))),"")</f>
        <v/>
      </c>
      <c r="P2487" s="17">
        <f t="shared" ca="1" si="115"/>
        <v/>
      </c>
      <c r="Q2487" s="17">
        <f>IFERROR(IF(AND(N2487&lt;&gt;"",ISNUMBER(O2487),O2487&gt;0,O2487&gt;=TODAY()-90),1,0),0)</f>
        <v/>
      </c>
      <c r="R2487" s="17" t="str">
        <f t="shared" si="117"/>
        <v/>
      </c>
      <c r="S2487" s="17" t="str">
        <f>IF(INDEX(Listado!A:A,ROW())="","",INDEX(Listado!A:A,ROW()))</f>
        <v/>
      </c>
      <c r="T2487" s="17" t="str">
        <f ca="1">IF(INDEX(Listado!G:G,ROW())="","",INDEX(Listado!G:G,ROW()))</f>
        <v/>
      </c>
      <c r="U2487" s="17" t="str">
        <f>IF(INDEX(Listado!F:F,ROW())="","",INDEX(Listado!F:F,ROW()))</f>
        <v/>
      </c>
      <c r="V2487" s="17">
        <f>IF(COUNTA(INDEX(Listado!B:B,ROW()):INDEX(Listado!F:F,ROW()))&gt;0,1,0)</f>
        <v/>
      </c>
      <c r="W2487" s="17" t="str">
        <f>IF(INDEX(Listado!L:L,ROW())="","",INDEX(Listado!L:L,ROW()))</f>
        <v/>
      </c>
      <c r="X2487" s="17">
        <f>IF(N2487="","",IF(INDEX(Listado!$M:$M,N2487)="No","No","Sí"))</f>
        <v/>
      </c>
    </row>
    <row r="2488" spans="2:24" ht="14.25">
      <c r="N2488" s="17" t="str">
        <f>IF(V2488=0,"",IFERROR(LOOKUP(2,1/(INDEX(Listado!A:A,2):INDEX(Listado!A:A,ROW())&lt;&gt;""),ROW(INDEX(Listado!A:A,2):INDEX(Listado!A:A,ROW()))),""))</f>
        <v/>
      </c>
      <c r="O2488" s="17" t="str">
        <f>IFERROR(IF(N2488="","",IF(INDEX(Listado!M:M,N2488)="No",IF(INDEX(Listado!N:N,N2488)=0,"",INDEX(Listado!N:N,N2488)),IF(INDEX(Listado!I:I,N2488)=0,"",INDEX(Listado!I:I,N2488)))),"")</f>
        <v/>
      </c>
      <c r="P2488" s="17">
        <f t="shared" ca="1" si="115"/>
        <v/>
      </c>
      <c r="Q2488" s="17">
        <f>IFERROR(IF(AND(N2488&lt;&gt;"",ISNUMBER(O2488),O2488&gt;0,O2488&gt;=TODAY()-90),1,0),0)</f>
        <v/>
      </c>
      <c r="R2488" s="17" t="str">
        <f t="shared" si="117"/>
        <v/>
      </c>
      <c r="S2488" s="17" t="str">
        <f>IF(INDEX(Listado!A:A,ROW())="","",INDEX(Listado!A:A,ROW()))</f>
        <v/>
      </c>
      <c r="T2488" s="17" t="str">
        <f ca="1">IF(INDEX(Listado!G:G,ROW())="","",INDEX(Listado!G:G,ROW()))</f>
        <v/>
      </c>
      <c r="U2488" s="17" t="str">
        <f>IF(INDEX(Listado!F:F,ROW())="","",INDEX(Listado!F:F,ROW()))</f>
        <v/>
      </c>
      <c r="V2488" s="17">
        <f>IF(COUNTA(INDEX(Listado!B:B,ROW()):INDEX(Listado!F:F,ROW()))&gt;0,1,0)</f>
        <v/>
      </c>
      <c r="W2488" s="17" t="str">
        <f>IF(INDEX(Listado!L:L,ROW())="","",INDEX(Listado!L:L,ROW()))</f>
        <v/>
      </c>
      <c r="X2488" s="17">
        <f>IF(N2488="","",IF(INDEX(Listado!$M:$M,N2488)="No","No","Sí"))</f>
        <v/>
      </c>
    </row>
    <row r="2489" spans="2:24" ht="14.25">
      <c r="N2489" s="17" t="str">
        <f>IF(V2489=0,"",IFERROR(LOOKUP(2,1/(INDEX(Listado!A:A,2):INDEX(Listado!A:A,ROW())&lt;&gt;""),ROW(INDEX(Listado!A:A,2):INDEX(Listado!A:A,ROW()))),""))</f>
        <v/>
      </c>
      <c r="O2489" s="17" t="str">
        <f>IFERROR(IF(N2489="","",IF(INDEX(Listado!M:M,N2489)="No",IF(INDEX(Listado!N:N,N2489)=0,"",INDEX(Listado!N:N,N2489)),IF(INDEX(Listado!I:I,N2489)=0,"",INDEX(Listado!I:I,N2489)))),"")</f>
        <v/>
      </c>
      <c r="P2489" s="17">
        <f t="shared" ca="1" si="115"/>
        <v/>
      </c>
      <c r="Q2489" s="17">
        <f>IFERROR(IF(AND(N2489&lt;&gt;"",ISNUMBER(O2489),O2489&gt;0,O2489&gt;=TODAY()-90),1,0),0)</f>
        <v/>
      </c>
      <c r="R2489" s="17" t="str">
        <f t="shared" si="117"/>
        <v/>
      </c>
      <c r="S2489" s="17" t="str">
        <f>IF(INDEX(Listado!A:A,ROW())="","",INDEX(Listado!A:A,ROW()))</f>
        <v/>
      </c>
      <c r="T2489" s="17" t="str">
        <f ca="1">IF(INDEX(Listado!G:G,ROW())="","",INDEX(Listado!G:G,ROW()))</f>
        <v/>
      </c>
      <c r="U2489" s="17" t="str">
        <f>IF(INDEX(Listado!F:F,ROW())="","",INDEX(Listado!F:F,ROW()))</f>
        <v/>
      </c>
      <c r="V2489" s="17">
        <f>IF(COUNTA(INDEX(Listado!B:B,ROW()):INDEX(Listado!F:F,ROW()))&gt;0,1,0)</f>
        <v/>
      </c>
      <c r="W2489" s="17" t="str">
        <f>IF(INDEX(Listado!L:L,ROW())="","",INDEX(Listado!L:L,ROW()))</f>
        <v/>
      </c>
      <c r="X2489" s="17">
        <f>IF(N2489="","",IF(INDEX(Listado!$M:$M,N2489)="No","No","Sí"))</f>
        <v/>
      </c>
    </row>
    <row r="2490" spans="2:24" ht="14.25">
      <c r="N2490" s="17" t="str">
        <f>IF(V2490=0,"",IFERROR(LOOKUP(2,1/(INDEX(Listado!A:A,2):INDEX(Listado!A:A,ROW())&lt;&gt;""),ROW(INDEX(Listado!A:A,2):INDEX(Listado!A:A,ROW()))),""))</f>
        <v/>
      </c>
      <c r="O2490" s="17" t="str">
        <f>IFERROR(IF(N2490="","",IF(INDEX(Listado!M:M,N2490)="No",IF(INDEX(Listado!N:N,N2490)=0,"",INDEX(Listado!N:N,N2490)),IF(INDEX(Listado!I:I,N2490)=0,"",INDEX(Listado!I:I,N2490)))),"")</f>
        <v/>
      </c>
      <c r="P2490" s="17">
        <f t="shared" ca="1" si="115"/>
        <v/>
      </c>
      <c r="Q2490" s="17">
        <f>IFERROR(IF(AND(N2490&lt;&gt;"",ISNUMBER(O2490),O2490&gt;0,O2490&gt;=TODAY()-90),1,0),0)</f>
        <v/>
      </c>
      <c r="R2490" s="17" t="str">
        <f t="shared" si="117"/>
        <v/>
      </c>
      <c r="S2490" s="17" t="str">
        <f>IF(INDEX(Listado!A:A,ROW())="","",INDEX(Listado!A:A,ROW()))</f>
        <v/>
      </c>
      <c r="T2490" s="17" t="str">
        <f ca="1">IF(INDEX(Listado!G:G,ROW())="","",INDEX(Listado!G:G,ROW()))</f>
        <v/>
      </c>
      <c r="U2490" s="17" t="str">
        <f>IF(INDEX(Listado!F:F,ROW())="","",INDEX(Listado!F:F,ROW()))</f>
        <v/>
      </c>
      <c r="V2490" s="17">
        <f>IF(COUNTA(INDEX(Listado!B:B,ROW()):INDEX(Listado!F:F,ROW()))&gt;0,1,0)</f>
        <v/>
      </c>
      <c r="W2490" s="17" t="str">
        <f>IF(INDEX(Listado!L:L,ROW())="","",INDEX(Listado!L:L,ROW()))</f>
        <v/>
      </c>
      <c r="X2490" s="17">
        <f>IF(N2490="","",IF(INDEX(Listado!$M:$M,N2490)="No","No","Sí"))</f>
        <v/>
      </c>
    </row>
    <row r="2491" spans="2:24" ht="14.25">
      <c r="N2491" s="17" t="str">
        <f>IF(V2491=0,"",IFERROR(LOOKUP(2,1/(INDEX(Listado!A:A,2):INDEX(Listado!A:A,ROW())&lt;&gt;""),ROW(INDEX(Listado!A:A,2):INDEX(Listado!A:A,ROW()))),""))</f>
        <v/>
      </c>
      <c r="O2491" s="17" t="str">
        <f>IFERROR(IF(N2491="","",IF(INDEX(Listado!M:M,N2491)="No",IF(INDEX(Listado!N:N,N2491)=0,"",INDEX(Listado!N:N,N2491)),IF(INDEX(Listado!I:I,N2491)=0,"",INDEX(Listado!I:I,N2491)))),"")</f>
        <v/>
      </c>
      <c r="P2491" s="17">
        <f t="shared" ca="1" si="115"/>
        <v/>
      </c>
      <c r="Q2491" s="17">
        <f>IFERROR(IF(AND(N2491&lt;&gt;"",ISNUMBER(O2491),O2491&gt;0,O2491&gt;=TODAY()-90),1,0),0)</f>
        <v/>
      </c>
      <c r="R2491" s="17" t="str">
        <f t="shared" si="117"/>
        <v/>
      </c>
      <c r="S2491" s="17" t="str">
        <f>IF(INDEX(Listado!A:A,ROW())="","",INDEX(Listado!A:A,ROW()))</f>
        <v/>
      </c>
      <c r="T2491" s="17" t="str">
        <f ca="1">IF(INDEX(Listado!G:G,ROW())="","",INDEX(Listado!G:G,ROW()))</f>
        <v/>
      </c>
      <c r="U2491" s="17" t="str">
        <f>IF(INDEX(Listado!F:F,ROW())="","",INDEX(Listado!F:F,ROW()))</f>
        <v/>
      </c>
      <c r="V2491" s="17">
        <f>IF(COUNTA(INDEX(Listado!B:B,ROW()):INDEX(Listado!F:F,ROW()))&gt;0,1,0)</f>
        <v/>
      </c>
      <c r="W2491" s="17" t="str">
        <f>IF(INDEX(Listado!L:L,ROW())="","",INDEX(Listado!L:L,ROW()))</f>
        <v/>
      </c>
      <c r="X2491" s="17">
        <f>IF(N2491="","",IF(INDEX(Listado!$M:$M,N2491)="No","No","Sí"))</f>
        <v/>
      </c>
    </row>
    <row r="2492" spans="2:24" ht="14.25">
      <c r="N2492" s="17" t="str">
        <f>IF(V2492=0,"",IFERROR(LOOKUP(2,1/(INDEX(Listado!A:A,2):INDEX(Listado!A:A,ROW())&lt;&gt;""),ROW(INDEX(Listado!A:A,2):INDEX(Listado!A:A,ROW()))),""))</f>
        <v/>
      </c>
      <c r="O2492" s="17" t="str">
        <f>IFERROR(IF(N2492="","",IF(INDEX(Listado!M:M,N2492)="No",IF(INDEX(Listado!N:N,N2492)=0,"",INDEX(Listado!N:N,N2492)),IF(INDEX(Listado!I:I,N2492)=0,"",INDEX(Listado!I:I,N2492)))),"")</f>
        <v/>
      </c>
      <c r="P2492" s="17">
        <f t="shared" ca="1" si="115"/>
        <v/>
      </c>
      <c r="Q2492" s="17">
        <f>IFERROR(IF(AND(N2492&lt;&gt;"",ISNUMBER(O2492),O2492&gt;0,O2492&gt;=TODAY()-90),1,0),0)</f>
        <v/>
      </c>
      <c r="R2492" s="17" t="str">
        <f t="shared" si="117"/>
        <v/>
      </c>
      <c r="S2492" s="17" t="str">
        <f>IF(INDEX(Listado!A:A,ROW())="","",INDEX(Listado!A:A,ROW()))</f>
        <v/>
      </c>
      <c r="T2492" s="17" t="str">
        <f ca="1">IF(INDEX(Listado!G:G,ROW())="","",INDEX(Listado!G:G,ROW()))</f>
        <v/>
      </c>
      <c r="U2492" s="17" t="str">
        <f>IF(INDEX(Listado!F:F,ROW())="","",INDEX(Listado!F:F,ROW()))</f>
        <v/>
      </c>
      <c r="V2492" s="17">
        <f>IF(COUNTA(INDEX(Listado!B:B,ROW()):INDEX(Listado!F:F,ROW()))&gt;0,1,0)</f>
        <v/>
      </c>
      <c r="W2492" s="17" t="str">
        <f>IF(INDEX(Listado!L:L,ROW())="","",INDEX(Listado!L:L,ROW()))</f>
        <v/>
      </c>
      <c r="X2492" s="17">
        <f>IF(N2492="","",IF(INDEX(Listado!$M:$M,N2492)="No","No","Sí"))</f>
        <v/>
      </c>
    </row>
    <row r="2493" spans="2:24" ht="14.25">
      <c r="N2493" s="17" t="str">
        <f>IF(V2493=0,"",IFERROR(LOOKUP(2,1/(INDEX(Listado!A:A,2):INDEX(Listado!A:A,ROW())&lt;&gt;""),ROW(INDEX(Listado!A:A,2):INDEX(Listado!A:A,ROW()))),""))</f>
        <v/>
      </c>
      <c r="O2493" s="17" t="str">
        <f>IFERROR(IF(N2493="","",IF(INDEX(Listado!M:M,N2493)="No",IF(INDEX(Listado!N:N,N2493)=0,"",INDEX(Listado!N:N,N2493)),IF(INDEX(Listado!I:I,N2493)=0,"",INDEX(Listado!I:I,N2493)))),"")</f>
        <v/>
      </c>
      <c r="P2493" s="17">
        <f t="shared" ca="1" si="115"/>
        <v/>
      </c>
      <c r="Q2493" s="17">
        <f>IFERROR(IF(AND(N2493&lt;&gt;"",ISNUMBER(O2493),O2493&gt;0,O2493&gt;=TODAY()-90),1,0),0)</f>
        <v/>
      </c>
      <c r="R2493" s="17" t="str">
        <f t="shared" si="117"/>
        <v/>
      </c>
      <c r="S2493" s="17" t="str">
        <f>IF(INDEX(Listado!A:A,ROW())="","",INDEX(Listado!A:A,ROW()))</f>
        <v/>
      </c>
      <c r="T2493" s="17" t="str">
        <f ca="1">IF(INDEX(Listado!G:G,ROW())="","",INDEX(Listado!G:G,ROW()))</f>
        <v/>
      </c>
      <c r="U2493" s="17" t="str">
        <f>IF(INDEX(Listado!F:F,ROW())="","",INDEX(Listado!F:F,ROW()))</f>
        <v/>
      </c>
      <c r="V2493" s="17">
        <f>IF(COUNTA(INDEX(Listado!B:B,ROW()):INDEX(Listado!F:F,ROW()))&gt;0,1,0)</f>
        <v/>
      </c>
      <c r="W2493" s="17" t="str">
        <f>IF(INDEX(Listado!L:L,ROW())="","",INDEX(Listado!L:L,ROW()))</f>
        <v/>
      </c>
      <c r="X2493" s="17">
        <f>IF(N2493="","",IF(INDEX(Listado!$M:$M,N2493)="No","No","Sí"))</f>
        <v/>
      </c>
    </row>
    <row r="2494" spans="2:24" ht="14.25">
      <c r="N2494" s="17" t="str">
        <f>IF(V2494=0,"",IFERROR(LOOKUP(2,1/(INDEX(Listado!A:A,2):INDEX(Listado!A:A,ROW())&lt;&gt;""),ROW(INDEX(Listado!A:A,2):INDEX(Listado!A:A,ROW()))),""))</f>
        <v/>
      </c>
      <c r="O2494" s="17" t="str">
        <f>IFERROR(IF(N2494="","",IF(INDEX(Listado!M:M,N2494)="No",IF(INDEX(Listado!N:N,N2494)=0,"",INDEX(Listado!N:N,N2494)),IF(INDEX(Listado!I:I,N2494)=0,"",INDEX(Listado!I:I,N2494)))),"")</f>
        <v/>
      </c>
      <c r="P2494" s="17">
        <f t="shared" ca="1" si="115"/>
        <v/>
      </c>
      <c r="Q2494" s="17">
        <f>IFERROR(IF(AND(N2494&lt;&gt;"",ISNUMBER(O2494),O2494&gt;0,O2494&gt;=TODAY()-90),1,0),0)</f>
        <v/>
      </c>
      <c r="R2494" s="17" t="str">
        <f t="shared" si="117"/>
        <v/>
      </c>
      <c r="S2494" s="17" t="str">
        <f>IF(INDEX(Listado!A:A,ROW())="","",INDEX(Listado!A:A,ROW()))</f>
        <v/>
      </c>
      <c r="T2494" s="17" t="str">
        <f ca="1">IF(INDEX(Listado!G:G,ROW())="","",INDEX(Listado!G:G,ROW()))</f>
        <v/>
      </c>
      <c r="U2494" s="17" t="str">
        <f>IF(INDEX(Listado!F:F,ROW())="","",INDEX(Listado!F:F,ROW()))</f>
        <v/>
      </c>
      <c r="V2494" s="17">
        <f>IF(COUNTA(INDEX(Listado!B:B,ROW()):INDEX(Listado!F:F,ROW()))&gt;0,1,0)</f>
        <v/>
      </c>
      <c r="W2494" s="17" t="str">
        <f>IF(INDEX(Listado!L:L,ROW())="","",INDEX(Listado!L:L,ROW()))</f>
        <v/>
      </c>
      <c r="X2494" s="17">
        <f>IF(N2494="","",IF(INDEX(Listado!$M:$M,N2494)="No","No","Sí"))</f>
        <v/>
      </c>
    </row>
    <row r="2495" spans="2:24" ht="14.25">
      <c r="N2495" s="17" t="str">
        <f>IF(V2495=0,"",IFERROR(LOOKUP(2,1/(INDEX(Listado!A:A,2):INDEX(Listado!A:A,ROW())&lt;&gt;""),ROW(INDEX(Listado!A:A,2):INDEX(Listado!A:A,ROW()))),""))</f>
        <v/>
      </c>
      <c r="O2495" s="17" t="str">
        <f>IFERROR(IF(N2495="","",IF(INDEX(Listado!M:M,N2495)="No",IF(INDEX(Listado!N:N,N2495)=0,"",INDEX(Listado!N:N,N2495)),IF(INDEX(Listado!I:I,N2495)=0,"",INDEX(Listado!I:I,N2495)))),"")</f>
        <v/>
      </c>
      <c r="P2495" s="17">
        <f t="shared" ca="1" si="115"/>
        <v/>
      </c>
      <c r="Q2495" s="17">
        <f>IFERROR(IF(AND(N2495&lt;&gt;"",ISNUMBER(O2495),O2495&gt;0,O2495&gt;=TODAY()-90),1,0),0)</f>
        <v/>
      </c>
      <c r="R2495" s="17" t="str">
        <f t="shared" si="117"/>
        <v/>
      </c>
      <c r="S2495" s="17" t="str">
        <f>IF(INDEX(Listado!A:A,ROW())="","",INDEX(Listado!A:A,ROW()))</f>
        <v/>
      </c>
      <c r="T2495" s="17" t="str">
        <f ca="1">IF(INDEX(Listado!G:G,ROW())="","",INDEX(Listado!G:G,ROW()))</f>
        <v/>
      </c>
      <c r="U2495" s="17" t="str">
        <f>IF(INDEX(Listado!F:F,ROW())="","",INDEX(Listado!F:F,ROW()))</f>
        <v/>
      </c>
      <c r="V2495" s="17">
        <f>IF(COUNTA(INDEX(Listado!B:B,ROW()):INDEX(Listado!F:F,ROW()))&gt;0,1,0)</f>
        <v/>
      </c>
      <c r="W2495" s="17" t="str">
        <f>IF(INDEX(Listado!L:L,ROW())="","",INDEX(Listado!L:L,ROW()))</f>
        <v/>
      </c>
      <c r="X2495" s="17">
        <f>IF(N2495="","",IF(INDEX(Listado!$M:$M,N2495)="No","No","Sí"))</f>
        <v/>
      </c>
    </row>
    <row r="2496" spans="2:24" ht="14.25">
      <c r="N2496" s="17" t="str">
        <f>IF(V2496=0,"",IFERROR(LOOKUP(2,1/(INDEX(Listado!A:A,2):INDEX(Listado!A:A,ROW())&lt;&gt;""),ROW(INDEX(Listado!A:A,2):INDEX(Listado!A:A,ROW()))),""))</f>
        <v/>
      </c>
      <c r="O2496" s="17" t="str">
        <f>IFERROR(IF(N2496="","",IF(INDEX(Listado!M:M,N2496)="No",IF(INDEX(Listado!N:N,N2496)=0,"",INDEX(Listado!N:N,N2496)),IF(INDEX(Listado!I:I,N2496)=0,"",INDEX(Listado!I:I,N2496)))),"")</f>
        <v/>
      </c>
      <c r="P2496" s="17">
        <f t="shared" ca="1" si="115"/>
        <v/>
      </c>
      <c r="Q2496" s="17">
        <f>IFERROR(IF(AND(N2496&lt;&gt;"",ISNUMBER(O2496),O2496&gt;0,O2496&gt;=TODAY()-90),1,0),0)</f>
        <v/>
      </c>
      <c r="R2496" s="17" t="str">
        <f t="shared" si="117"/>
        <v/>
      </c>
      <c r="S2496" s="17" t="str">
        <f>IF(INDEX(Listado!A:A,ROW())="","",INDEX(Listado!A:A,ROW()))</f>
        <v/>
      </c>
      <c r="T2496" s="17" t="str">
        <f ca="1">IF(INDEX(Listado!G:G,ROW())="","",INDEX(Listado!G:G,ROW()))</f>
        <v/>
      </c>
      <c r="U2496" s="17" t="str">
        <f>IF(INDEX(Listado!F:F,ROW())="","",INDEX(Listado!F:F,ROW()))</f>
        <v/>
      </c>
      <c r="V2496" s="17">
        <f>IF(COUNTA(INDEX(Listado!B:B,ROW()):INDEX(Listado!F:F,ROW()))&gt;0,1,0)</f>
        <v/>
      </c>
      <c r="W2496" s="17" t="str">
        <f>IF(INDEX(Listado!L:L,ROW())="","",INDEX(Listado!L:L,ROW()))</f>
        <v/>
      </c>
      <c r="X2496" s="17">
        <f>IF(N2496="","",IF(INDEX(Listado!$M:$M,N2496)="No","No","Sí"))</f>
        <v/>
      </c>
    </row>
    <row r="2497" spans="2:24" ht="14.25">
      <c r="N2497" s="17" t="str">
        <f>IF(V2497=0,"",IFERROR(LOOKUP(2,1/(INDEX(Listado!A:A,2):INDEX(Listado!A:A,ROW())&lt;&gt;""),ROW(INDEX(Listado!A:A,2):INDEX(Listado!A:A,ROW()))),""))</f>
        <v/>
      </c>
      <c r="O2497" s="17" t="str">
        <f>IFERROR(IF(N2497="","",IF(INDEX(Listado!M:M,N2497)="No",IF(INDEX(Listado!N:N,N2497)=0,"",INDEX(Listado!N:N,N2497)),IF(INDEX(Listado!I:I,N2497)=0,"",INDEX(Listado!I:I,N2497)))),"")</f>
        <v/>
      </c>
      <c r="P2497" s="17">
        <f t="shared" ca="1" si="115"/>
        <v/>
      </c>
      <c r="Q2497" s="17">
        <f>IFERROR(IF(AND(N2497&lt;&gt;"",ISNUMBER(O2497),O2497&gt;0,O2497&gt;=TODAY()-90),1,0),0)</f>
        <v/>
      </c>
      <c r="R2497" s="17" t="str">
        <f t="shared" si="117"/>
        <v/>
      </c>
      <c r="S2497" s="17" t="str">
        <f>IF(INDEX(Listado!A:A,ROW())="","",INDEX(Listado!A:A,ROW()))</f>
        <v/>
      </c>
      <c r="T2497" s="17" t="str">
        <f ca="1">IF(INDEX(Listado!G:G,ROW())="","",INDEX(Listado!G:G,ROW()))</f>
        <v/>
      </c>
      <c r="U2497" s="17" t="str">
        <f>IF(INDEX(Listado!F:F,ROW())="","",INDEX(Listado!F:F,ROW()))</f>
        <v/>
      </c>
      <c r="V2497" s="17">
        <f>IF(COUNTA(INDEX(Listado!B:B,ROW()):INDEX(Listado!F:F,ROW()))&gt;0,1,0)</f>
        <v/>
      </c>
      <c r="W2497" s="17" t="str">
        <f>IF(INDEX(Listado!L:L,ROW())="","",INDEX(Listado!L:L,ROW()))</f>
        <v/>
      </c>
      <c r="X2497" s="17">
        <f>IF(N2497="","",IF(INDEX(Listado!$M:$M,N2497)="No","No","Sí"))</f>
        <v/>
      </c>
    </row>
    <row r="2498" spans="2:24" ht="14.25">
      <c r="N2498" s="17" t="str">
        <f>IF(V2498=0,"",IFERROR(LOOKUP(2,1/(INDEX(Listado!A:A,2):INDEX(Listado!A:A,ROW())&lt;&gt;""),ROW(INDEX(Listado!A:A,2):INDEX(Listado!A:A,ROW()))),""))</f>
        <v/>
      </c>
      <c r="O2498" s="17" t="str">
        <f>IFERROR(IF(N2498="","",IF(INDEX(Listado!M:M,N2498)="No",IF(INDEX(Listado!N:N,N2498)=0,"",INDEX(Listado!N:N,N2498)),IF(INDEX(Listado!I:I,N2498)=0,"",INDEX(Listado!I:I,N2498)))),"")</f>
        <v/>
      </c>
      <c r="P2498" s="17">
        <f t="shared" ref="P2498:P2561" ca="1" si="118">IF(W2498="",0,IFERROR(IF(AND(ISNUMBER(W2498),W2498=INT(W2498),ISNUMBER(O2498),O2498&gt;0,W2498&gt;=TODAY(),W2498&lt;=O2498+90),0,1),1))</f>
        <v/>
      </c>
      <c r="Q2498" s="17">
        <f>IFERROR(IF(AND(N2498&lt;&gt;"",ISNUMBER(O2498),O2498&gt;0,O2498&gt;=TODAY()-90),1,0),0)</f>
        <v/>
      </c>
      <c r="R2498" s="17" t="str">
        <f t="shared" ref="R2498:R2561" si="120">IF(S2498="","",COUNTIFS($N$2:$N$2999,ROW(),$Q$2:$Q$2999,1))</f>
        <v/>
      </c>
      <c r="S2498" s="17" t="str">
        <f>IF(INDEX(Listado!A:A,ROW())="","",INDEX(Listado!A:A,ROW()))</f>
        <v/>
      </c>
      <c r="T2498" s="17" t="str">
        <f ca="1">IF(INDEX(Listado!G:G,ROW())="","",INDEX(Listado!G:G,ROW()))</f>
        <v/>
      </c>
      <c r="U2498" s="17" t="str">
        <f>IF(INDEX(Listado!F:F,ROW())="","",INDEX(Listado!F:F,ROW()))</f>
        <v/>
      </c>
      <c r="V2498" s="17">
        <f>IF(COUNTA(INDEX(Listado!B:B,ROW()):INDEX(Listado!F:F,ROW()))&gt;0,1,0)</f>
        <v/>
      </c>
      <c r="W2498" s="17" t="str">
        <f>IF(INDEX(Listado!L:L,ROW())="","",INDEX(Listado!L:L,ROW()))</f>
        <v/>
      </c>
      <c r="X2498" s="17">
        <f>IF(N2498="","",IF(INDEX(Listado!$M:$M,N2498)="No","No","Sí"))</f>
        <v/>
      </c>
    </row>
    <row r="2499" spans="2:24" ht="14.25">
      <c r="N2499" s="17" t="str">
        <f>IF(V2499=0,"",IFERROR(LOOKUP(2,1/(INDEX(Listado!A:A,2):INDEX(Listado!A:A,ROW())&lt;&gt;""),ROW(INDEX(Listado!A:A,2):INDEX(Listado!A:A,ROW()))),""))</f>
        <v/>
      </c>
      <c r="O2499" s="17" t="str">
        <f>IFERROR(IF(N2499="","",IF(INDEX(Listado!M:M,N2499)="No",IF(INDEX(Listado!N:N,N2499)=0,"",INDEX(Listado!N:N,N2499)),IF(INDEX(Listado!I:I,N2499)=0,"",INDEX(Listado!I:I,N2499)))),"")</f>
        <v/>
      </c>
      <c r="P2499" s="17">
        <f t="shared" ca="1" si="118"/>
        <v/>
      </c>
      <c r="Q2499" s="17">
        <f>IFERROR(IF(AND(N2499&lt;&gt;"",ISNUMBER(O2499),O2499&gt;0,O2499&gt;=TODAY()-90),1,0),0)</f>
        <v/>
      </c>
      <c r="R2499" s="17" t="str">
        <f t="shared" si="120"/>
        <v/>
      </c>
      <c r="S2499" s="17" t="str">
        <f>IF(INDEX(Listado!A:A,ROW())="","",INDEX(Listado!A:A,ROW()))</f>
        <v/>
      </c>
      <c r="T2499" s="17" t="str">
        <f ca="1">IF(INDEX(Listado!G:G,ROW())="","",INDEX(Listado!G:G,ROW()))</f>
        <v/>
      </c>
      <c r="U2499" s="17" t="str">
        <f>IF(INDEX(Listado!F:F,ROW())="","",INDEX(Listado!F:F,ROW()))</f>
        <v/>
      </c>
      <c r="V2499" s="17">
        <f>IF(COUNTA(INDEX(Listado!B:B,ROW()):INDEX(Listado!F:F,ROW()))&gt;0,1,0)</f>
        <v/>
      </c>
      <c r="W2499" s="17" t="str">
        <f>IF(INDEX(Listado!L:L,ROW())="","",INDEX(Listado!L:L,ROW()))</f>
        <v/>
      </c>
      <c r="X2499" s="17">
        <f>IF(N2499="","",IF(INDEX(Listado!$M:$M,N2499)="No","No","Sí"))</f>
        <v/>
      </c>
    </row>
    <row r="2500" spans="2:24" ht="14.25">
      <c r="N2500" s="17" t="str">
        <f>IF(V2500=0,"",IFERROR(LOOKUP(2,1/(INDEX(Listado!A:A,2):INDEX(Listado!A:A,ROW())&lt;&gt;""),ROW(INDEX(Listado!A:A,2):INDEX(Listado!A:A,ROW()))),""))</f>
        <v/>
      </c>
      <c r="O2500" s="17" t="str">
        <f>IFERROR(IF(N2500="","",IF(INDEX(Listado!M:M,N2500)="No",IF(INDEX(Listado!N:N,N2500)=0,"",INDEX(Listado!N:N,N2500)),IF(INDEX(Listado!I:I,N2500)=0,"",INDEX(Listado!I:I,N2500)))),"")</f>
        <v/>
      </c>
      <c r="P2500" s="17">
        <f t="shared" ca="1" si="118"/>
        <v/>
      </c>
      <c r="Q2500" s="17">
        <f>IFERROR(IF(AND(N2500&lt;&gt;"",ISNUMBER(O2500),O2500&gt;0,O2500&gt;=TODAY()-90),1,0),0)</f>
        <v/>
      </c>
      <c r="R2500" s="17" t="str">
        <f t="shared" si="120"/>
        <v/>
      </c>
      <c r="S2500" s="17" t="str">
        <f>IF(INDEX(Listado!A:A,ROW())="","",INDEX(Listado!A:A,ROW()))</f>
        <v/>
      </c>
      <c r="T2500" s="17" t="str">
        <f ca="1">IF(INDEX(Listado!G:G,ROW())="","",INDEX(Listado!G:G,ROW()))</f>
        <v/>
      </c>
      <c r="U2500" s="17" t="str">
        <f>IF(INDEX(Listado!F:F,ROW())="","",INDEX(Listado!F:F,ROW()))</f>
        <v/>
      </c>
      <c r="V2500" s="17">
        <f>IF(COUNTA(INDEX(Listado!B:B,ROW()):INDEX(Listado!F:F,ROW()))&gt;0,1,0)</f>
        <v/>
      </c>
      <c r="W2500" s="17" t="str">
        <f>IF(INDEX(Listado!L:L,ROW())="","",INDEX(Listado!L:L,ROW()))</f>
        <v/>
      </c>
      <c r="X2500" s="17">
        <f>IF(N2500="","",IF(INDEX(Listado!$M:$M,N2500)="No","No","Sí"))</f>
        <v/>
      </c>
    </row>
    <row r="2501" spans="2:24" ht="14.25">
      <c r="N2501" s="17" t="str">
        <f>IF(V2501=0,"",IFERROR(LOOKUP(2,1/(INDEX(Listado!A:A,2):INDEX(Listado!A:A,ROW())&lt;&gt;""),ROW(INDEX(Listado!A:A,2):INDEX(Listado!A:A,ROW()))),""))</f>
        <v/>
      </c>
      <c r="O2501" s="17" t="str">
        <f>IFERROR(IF(N2501="","",IF(INDEX(Listado!M:M,N2501)="No",IF(INDEX(Listado!N:N,N2501)=0,"",INDEX(Listado!N:N,N2501)),IF(INDEX(Listado!I:I,N2501)=0,"",INDEX(Listado!I:I,N2501)))),"")</f>
        <v/>
      </c>
      <c r="P2501" s="17">
        <f t="shared" ca="1" si="118"/>
        <v/>
      </c>
      <c r="Q2501" s="17">
        <f>IFERROR(IF(AND(N2501&lt;&gt;"",ISNUMBER(O2501),O2501&gt;0,O2501&gt;=TODAY()-90),1,0),0)</f>
        <v/>
      </c>
      <c r="R2501" s="17" t="str">
        <f t="shared" si="120"/>
        <v/>
      </c>
      <c r="S2501" s="17" t="str">
        <f>IF(INDEX(Listado!A:A,ROW())="","",INDEX(Listado!A:A,ROW()))</f>
        <v/>
      </c>
      <c r="T2501" s="17" t="str">
        <f ca="1">IF(INDEX(Listado!G:G,ROW())="","",INDEX(Listado!G:G,ROW()))</f>
        <v/>
      </c>
      <c r="U2501" s="17" t="str">
        <f>IF(INDEX(Listado!F:F,ROW())="","",INDEX(Listado!F:F,ROW()))</f>
        <v/>
      </c>
      <c r="V2501" s="17">
        <f>IF(COUNTA(INDEX(Listado!B:B,ROW()):INDEX(Listado!F:F,ROW()))&gt;0,1,0)</f>
        <v/>
      </c>
      <c r="W2501" s="17" t="str">
        <f>IF(INDEX(Listado!L:L,ROW())="","",INDEX(Listado!L:L,ROW()))</f>
        <v/>
      </c>
      <c r="X2501" s="17">
        <f>IF(N2501="","",IF(INDEX(Listado!$M:$M,N2501)="No","No","Sí"))</f>
        <v/>
      </c>
    </row>
    <row r="2502" spans="2:24" ht="14.25">
      <c r="N2502" s="17" t="str">
        <f>IF(V2502=0,"",IFERROR(LOOKUP(2,1/(INDEX(Listado!A:A,2):INDEX(Listado!A:A,ROW())&lt;&gt;""),ROW(INDEX(Listado!A:A,2):INDEX(Listado!A:A,ROW()))),""))</f>
        <v/>
      </c>
      <c r="O2502" s="17" t="str">
        <f>IFERROR(IF(N2502="","",IF(INDEX(Listado!M:M,N2502)="No",IF(INDEX(Listado!N:N,N2502)=0,"",INDEX(Listado!N:N,N2502)),IF(INDEX(Listado!I:I,N2502)=0,"",INDEX(Listado!I:I,N2502)))),"")</f>
        <v/>
      </c>
      <c r="P2502" s="17">
        <f t="shared" ca="1" si="118"/>
        <v/>
      </c>
      <c r="Q2502" s="17">
        <f>IFERROR(IF(AND(N2502&lt;&gt;"",ISNUMBER(O2502),O2502&gt;0,O2502&gt;=TODAY()-90),1,0),0)</f>
        <v/>
      </c>
      <c r="R2502" s="17" t="str">
        <f t="shared" si="120"/>
        <v/>
      </c>
      <c r="S2502" s="17" t="str">
        <f>IF(INDEX(Listado!A:A,ROW())="","",INDEX(Listado!A:A,ROW()))</f>
        <v/>
      </c>
      <c r="T2502" s="17" t="str">
        <f ca="1">IF(INDEX(Listado!G:G,ROW())="","",INDEX(Listado!G:G,ROW()))</f>
        <v/>
      </c>
      <c r="U2502" s="17" t="str">
        <f>IF(INDEX(Listado!F:F,ROW())="","",INDEX(Listado!F:F,ROW()))</f>
        <v/>
      </c>
      <c r="V2502" s="17">
        <f>IF(COUNTA(INDEX(Listado!B:B,ROW()):INDEX(Listado!F:F,ROW()))&gt;0,1,0)</f>
        <v/>
      </c>
      <c r="W2502" s="17" t="str">
        <f>IF(INDEX(Listado!L:L,ROW())="","",INDEX(Listado!L:L,ROW()))</f>
        <v/>
      </c>
      <c r="X2502" s="17">
        <f>IF(N2502="","",IF(INDEX(Listado!$M:$M,N2502)="No","No","Sí"))</f>
        <v/>
      </c>
    </row>
    <row r="2503" spans="2:24" ht="14.25">
      <c r="N2503" s="17" t="str">
        <f>IF(V2503=0,"",IFERROR(LOOKUP(2,1/(INDEX(Listado!A:A,2):INDEX(Listado!A:A,ROW())&lt;&gt;""),ROW(INDEX(Listado!A:A,2):INDEX(Listado!A:A,ROW()))),""))</f>
        <v/>
      </c>
      <c r="O2503" s="17" t="str">
        <f>IFERROR(IF(N2503="","",IF(INDEX(Listado!M:M,N2503)="No",IF(INDEX(Listado!N:N,N2503)=0,"",INDEX(Listado!N:N,N2503)),IF(INDEX(Listado!I:I,N2503)=0,"",INDEX(Listado!I:I,N2503)))),"")</f>
        <v/>
      </c>
      <c r="P2503" s="17">
        <f t="shared" ca="1" si="118"/>
        <v/>
      </c>
      <c r="Q2503" s="17">
        <f>IFERROR(IF(AND(N2503&lt;&gt;"",ISNUMBER(O2503),O2503&gt;0,O2503&gt;=TODAY()-90),1,0),0)</f>
        <v/>
      </c>
      <c r="R2503" s="17" t="str">
        <f t="shared" si="120"/>
        <v/>
      </c>
      <c r="S2503" s="17" t="str">
        <f>IF(INDEX(Listado!A:A,ROW())="","",INDEX(Listado!A:A,ROW()))</f>
        <v/>
      </c>
      <c r="T2503" s="17" t="str">
        <f ca="1">IF(INDEX(Listado!G:G,ROW())="","",INDEX(Listado!G:G,ROW()))</f>
        <v/>
      </c>
      <c r="U2503" s="17" t="str">
        <f>IF(INDEX(Listado!F:F,ROW())="","",INDEX(Listado!F:F,ROW()))</f>
        <v/>
      </c>
      <c r="V2503" s="17">
        <f>IF(COUNTA(INDEX(Listado!B:B,ROW()):INDEX(Listado!F:F,ROW()))&gt;0,1,0)</f>
        <v/>
      </c>
      <c r="W2503" s="17" t="str">
        <f>IF(INDEX(Listado!L:L,ROW())="","",INDEX(Listado!L:L,ROW()))</f>
        <v/>
      </c>
      <c r="X2503" s="17">
        <f>IF(N2503="","",IF(INDEX(Listado!$M:$M,N2503)="No","No","Sí"))</f>
        <v/>
      </c>
    </row>
    <row r="2504" spans="2:24" ht="14.25">
      <c r="N2504" s="17" t="str">
        <f>IF(V2504=0,"",IFERROR(LOOKUP(2,1/(INDEX(Listado!A:A,2):INDEX(Listado!A:A,ROW())&lt;&gt;""),ROW(INDEX(Listado!A:A,2):INDEX(Listado!A:A,ROW()))),""))</f>
        <v/>
      </c>
      <c r="O2504" s="17" t="str">
        <f>IFERROR(IF(N2504="","",IF(INDEX(Listado!M:M,N2504)="No",IF(INDEX(Listado!N:N,N2504)=0,"",INDEX(Listado!N:N,N2504)),IF(INDEX(Listado!I:I,N2504)=0,"",INDEX(Listado!I:I,N2504)))),"")</f>
        <v/>
      </c>
      <c r="P2504" s="17">
        <f t="shared" ca="1" si="118"/>
        <v/>
      </c>
      <c r="Q2504" s="17">
        <f>IFERROR(IF(AND(N2504&lt;&gt;"",ISNUMBER(O2504),O2504&gt;0,O2504&gt;=TODAY()-90),1,0),0)</f>
        <v/>
      </c>
      <c r="R2504" s="17" t="str">
        <f t="shared" si="120"/>
        <v/>
      </c>
      <c r="S2504" s="17" t="str">
        <f>IF(INDEX(Listado!A:A,ROW())="","",INDEX(Listado!A:A,ROW()))</f>
        <v/>
      </c>
      <c r="T2504" s="17" t="str">
        <f ca="1">IF(INDEX(Listado!G:G,ROW())="","",INDEX(Listado!G:G,ROW()))</f>
        <v/>
      </c>
      <c r="U2504" s="17" t="str">
        <f>IF(INDEX(Listado!F:F,ROW())="","",INDEX(Listado!F:F,ROW()))</f>
        <v/>
      </c>
      <c r="V2504" s="17">
        <f>IF(COUNTA(INDEX(Listado!B:B,ROW()):INDEX(Listado!F:F,ROW()))&gt;0,1,0)</f>
        <v/>
      </c>
      <c r="W2504" s="17" t="str">
        <f>IF(INDEX(Listado!L:L,ROW())="","",INDEX(Listado!L:L,ROW()))</f>
        <v/>
      </c>
      <c r="X2504" s="17">
        <f>IF(N2504="","",IF(INDEX(Listado!$M:$M,N2504)="No","No","Sí"))</f>
        <v/>
      </c>
    </row>
    <row r="2505" spans="2:24" ht="14.25">
      <c r="N2505" s="17" t="str">
        <f>IF(V2505=0,"",IFERROR(LOOKUP(2,1/(INDEX(Listado!A:A,2):INDEX(Listado!A:A,ROW())&lt;&gt;""),ROW(INDEX(Listado!A:A,2):INDEX(Listado!A:A,ROW()))),""))</f>
        <v/>
      </c>
      <c r="O2505" s="17" t="str">
        <f>IFERROR(IF(N2505="","",IF(INDEX(Listado!M:M,N2505)="No",IF(INDEX(Listado!N:N,N2505)=0,"",INDEX(Listado!N:N,N2505)),IF(INDEX(Listado!I:I,N2505)=0,"",INDEX(Listado!I:I,N2505)))),"")</f>
        <v/>
      </c>
      <c r="P2505" s="17">
        <f t="shared" ca="1" si="118"/>
        <v/>
      </c>
      <c r="Q2505" s="17">
        <f>IFERROR(IF(AND(N2505&lt;&gt;"",ISNUMBER(O2505),O2505&gt;0,O2505&gt;=TODAY()-90),1,0),0)</f>
        <v/>
      </c>
      <c r="R2505" s="17" t="str">
        <f t="shared" si="120"/>
        <v/>
      </c>
      <c r="S2505" s="17" t="str">
        <f>IF(INDEX(Listado!A:A,ROW())="","",INDEX(Listado!A:A,ROW()))</f>
        <v/>
      </c>
      <c r="T2505" s="17" t="str">
        <f ca="1">IF(INDEX(Listado!G:G,ROW())="","",INDEX(Listado!G:G,ROW()))</f>
        <v/>
      </c>
      <c r="U2505" s="17" t="str">
        <f>IF(INDEX(Listado!F:F,ROW())="","",INDEX(Listado!F:F,ROW()))</f>
        <v/>
      </c>
      <c r="V2505" s="17">
        <f>IF(COUNTA(INDEX(Listado!B:B,ROW()):INDEX(Listado!F:F,ROW()))&gt;0,1,0)</f>
        <v/>
      </c>
      <c r="W2505" s="17" t="str">
        <f>IF(INDEX(Listado!L:L,ROW())="","",INDEX(Listado!L:L,ROW()))</f>
        <v/>
      </c>
      <c r="X2505" s="17">
        <f>IF(N2505="","",IF(INDEX(Listado!$M:$M,N2505)="No","No","Sí"))</f>
        <v/>
      </c>
    </row>
    <row r="2506" spans="2:24" ht="14.25">
      <c r="N2506" s="17" t="str">
        <f>IF(V2506=0,"",IFERROR(LOOKUP(2,1/(INDEX(Listado!A:A,2):INDEX(Listado!A:A,ROW())&lt;&gt;""),ROW(INDEX(Listado!A:A,2):INDEX(Listado!A:A,ROW()))),""))</f>
        <v/>
      </c>
      <c r="O2506" s="17" t="str">
        <f>IFERROR(IF(N2506="","",IF(INDEX(Listado!M:M,N2506)="No",IF(INDEX(Listado!N:N,N2506)=0,"",INDEX(Listado!N:N,N2506)),IF(INDEX(Listado!I:I,N2506)=0,"",INDEX(Listado!I:I,N2506)))),"")</f>
        <v/>
      </c>
      <c r="P2506" s="17">
        <f t="shared" ca="1" si="118"/>
        <v/>
      </c>
      <c r="Q2506" s="17">
        <f>IFERROR(IF(AND(N2506&lt;&gt;"",ISNUMBER(O2506),O2506&gt;0,O2506&gt;=TODAY()-90),1,0),0)</f>
        <v/>
      </c>
      <c r="R2506" s="17" t="str">
        <f t="shared" si="120"/>
        <v/>
      </c>
      <c r="S2506" s="17" t="str">
        <f>IF(INDEX(Listado!A:A,ROW())="","",INDEX(Listado!A:A,ROW()))</f>
        <v/>
      </c>
      <c r="T2506" s="17" t="str">
        <f ca="1">IF(INDEX(Listado!G:G,ROW())="","",INDEX(Listado!G:G,ROW()))</f>
        <v/>
      </c>
      <c r="U2506" s="17" t="str">
        <f>IF(INDEX(Listado!F:F,ROW())="","",INDEX(Listado!F:F,ROW()))</f>
        <v/>
      </c>
      <c r="V2506" s="17">
        <f>IF(COUNTA(INDEX(Listado!B:B,ROW()):INDEX(Listado!F:F,ROW()))&gt;0,1,0)</f>
        <v/>
      </c>
      <c r="W2506" s="17" t="str">
        <f>IF(INDEX(Listado!L:L,ROW())="","",INDEX(Listado!L:L,ROW()))</f>
        <v/>
      </c>
      <c r="X2506" s="17">
        <f>IF(N2506="","",IF(INDEX(Listado!$M:$M,N2506)="No","No","Sí"))</f>
        <v/>
      </c>
    </row>
    <row r="2507" spans="2:24" ht="14.25">
      <c r="N2507" s="17" t="str">
        <f>IF(V2507=0,"",IFERROR(LOOKUP(2,1/(INDEX(Listado!A:A,2):INDEX(Listado!A:A,ROW())&lt;&gt;""),ROW(INDEX(Listado!A:A,2):INDEX(Listado!A:A,ROW()))),""))</f>
        <v/>
      </c>
      <c r="O2507" s="17" t="str">
        <f>IFERROR(IF(N2507="","",IF(INDEX(Listado!M:M,N2507)="No",IF(INDEX(Listado!N:N,N2507)=0,"",INDEX(Listado!N:N,N2507)),IF(INDEX(Listado!I:I,N2507)=0,"",INDEX(Listado!I:I,N2507)))),"")</f>
        <v/>
      </c>
      <c r="P2507" s="17">
        <f t="shared" ca="1" si="118"/>
        <v/>
      </c>
      <c r="Q2507" s="17">
        <f>IFERROR(IF(AND(N2507&lt;&gt;"",ISNUMBER(O2507),O2507&gt;0,O2507&gt;=TODAY()-90),1,0),0)</f>
        <v/>
      </c>
      <c r="R2507" s="17" t="str">
        <f t="shared" si="120"/>
        <v/>
      </c>
      <c r="S2507" s="17" t="str">
        <f>IF(INDEX(Listado!A:A,ROW())="","",INDEX(Listado!A:A,ROW()))</f>
        <v/>
      </c>
      <c r="T2507" s="17" t="str">
        <f ca="1">IF(INDEX(Listado!G:G,ROW())="","",INDEX(Listado!G:G,ROW()))</f>
        <v/>
      </c>
      <c r="U2507" s="17" t="str">
        <f>IF(INDEX(Listado!F:F,ROW())="","",INDEX(Listado!F:F,ROW()))</f>
        <v/>
      </c>
      <c r="V2507" s="17">
        <f>IF(COUNTA(INDEX(Listado!B:B,ROW()):INDEX(Listado!F:F,ROW()))&gt;0,1,0)</f>
        <v/>
      </c>
      <c r="W2507" s="17" t="str">
        <f>IF(INDEX(Listado!L:L,ROW())="","",INDEX(Listado!L:L,ROW()))</f>
        <v/>
      </c>
      <c r="X2507" s="17">
        <f>IF(N2507="","",IF(INDEX(Listado!$M:$M,N2507)="No","No","Sí"))</f>
        <v/>
      </c>
    </row>
    <row r="2508" spans="2:24" ht="14.25">
      <c r="N2508" s="17" t="str">
        <f>IF(V2508=0,"",IFERROR(LOOKUP(2,1/(INDEX(Listado!A:A,2):INDEX(Listado!A:A,ROW())&lt;&gt;""),ROW(INDEX(Listado!A:A,2):INDEX(Listado!A:A,ROW()))),""))</f>
        <v/>
      </c>
      <c r="O2508" s="17" t="str">
        <f>IFERROR(IF(N2508="","",IF(INDEX(Listado!M:M,N2508)="No",IF(INDEX(Listado!N:N,N2508)=0,"",INDEX(Listado!N:N,N2508)),IF(INDEX(Listado!I:I,N2508)=0,"",INDEX(Listado!I:I,N2508)))),"")</f>
        <v/>
      </c>
      <c r="P2508" s="17">
        <f t="shared" ca="1" si="118"/>
        <v/>
      </c>
      <c r="Q2508" s="17">
        <f>IFERROR(IF(AND(N2508&lt;&gt;"",ISNUMBER(O2508),O2508&gt;0,O2508&gt;=TODAY()-90),1,0),0)</f>
        <v/>
      </c>
      <c r="R2508" s="17" t="str">
        <f t="shared" si="120"/>
        <v/>
      </c>
      <c r="S2508" s="17" t="str">
        <f>IF(INDEX(Listado!A:A,ROW())="","",INDEX(Listado!A:A,ROW()))</f>
        <v/>
      </c>
      <c r="T2508" s="17" t="str">
        <f ca="1">IF(INDEX(Listado!G:G,ROW())="","",INDEX(Listado!G:G,ROW()))</f>
        <v/>
      </c>
      <c r="U2508" s="17" t="str">
        <f>IF(INDEX(Listado!F:F,ROW())="","",INDEX(Listado!F:F,ROW()))</f>
        <v/>
      </c>
      <c r="V2508" s="17">
        <f>IF(COUNTA(INDEX(Listado!B:B,ROW()):INDEX(Listado!F:F,ROW()))&gt;0,1,0)</f>
        <v/>
      </c>
      <c r="W2508" s="17" t="str">
        <f>IF(INDEX(Listado!L:L,ROW())="","",INDEX(Listado!L:L,ROW()))</f>
        <v/>
      </c>
      <c r="X2508" s="17">
        <f>IF(N2508="","",IF(INDEX(Listado!$M:$M,N2508)="No","No","Sí"))</f>
        <v/>
      </c>
    </row>
    <row r="2509" spans="2:24" ht="14.25">
      <c r="N2509" s="17" t="str">
        <f>IF(V2509=0,"",IFERROR(LOOKUP(2,1/(INDEX(Listado!A:A,2):INDEX(Listado!A:A,ROW())&lt;&gt;""),ROW(INDEX(Listado!A:A,2):INDEX(Listado!A:A,ROW()))),""))</f>
        <v/>
      </c>
      <c r="O2509" s="17" t="str">
        <f>IFERROR(IF(N2509="","",IF(INDEX(Listado!M:M,N2509)="No",IF(INDEX(Listado!N:N,N2509)=0,"",INDEX(Listado!N:N,N2509)),IF(INDEX(Listado!I:I,N2509)=0,"",INDEX(Listado!I:I,N2509)))),"")</f>
        <v/>
      </c>
      <c r="P2509" s="17">
        <f t="shared" ca="1" si="118"/>
        <v/>
      </c>
      <c r="Q2509" s="17">
        <f>IFERROR(IF(AND(N2509&lt;&gt;"",ISNUMBER(O2509),O2509&gt;0,O2509&gt;=TODAY()-90),1,0),0)</f>
        <v/>
      </c>
      <c r="R2509" s="17" t="str">
        <f t="shared" si="120"/>
        <v/>
      </c>
      <c r="S2509" s="17" t="str">
        <f>IF(INDEX(Listado!A:A,ROW())="","",INDEX(Listado!A:A,ROW()))</f>
        <v/>
      </c>
      <c r="T2509" s="17" t="str">
        <f ca="1">IF(INDEX(Listado!G:G,ROW())="","",INDEX(Listado!G:G,ROW()))</f>
        <v/>
      </c>
      <c r="U2509" s="17" t="str">
        <f>IF(INDEX(Listado!F:F,ROW())="","",INDEX(Listado!F:F,ROW()))</f>
        <v/>
      </c>
      <c r="V2509" s="17">
        <f>IF(COUNTA(INDEX(Listado!B:B,ROW()):INDEX(Listado!F:F,ROW()))&gt;0,1,0)</f>
        <v/>
      </c>
      <c r="W2509" s="17" t="str">
        <f>IF(INDEX(Listado!L:L,ROW())="","",INDEX(Listado!L:L,ROW()))</f>
        <v/>
      </c>
      <c r="X2509" s="17">
        <f>IF(N2509="","",IF(INDEX(Listado!$M:$M,N2509)="No","No","Sí"))</f>
        <v/>
      </c>
    </row>
    <row r="2510" spans="2:24" ht="14.25">
      <c r="N2510" s="17" t="str">
        <f>IF(V2510=0,"",IFERROR(LOOKUP(2,1/(INDEX(Listado!A:A,2):INDEX(Listado!A:A,ROW())&lt;&gt;""),ROW(INDEX(Listado!A:A,2):INDEX(Listado!A:A,ROW()))),""))</f>
        <v/>
      </c>
      <c r="O2510" s="17" t="str">
        <f>IFERROR(IF(N2510="","",IF(INDEX(Listado!M:M,N2510)="No",IF(INDEX(Listado!N:N,N2510)=0,"",INDEX(Listado!N:N,N2510)),IF(INDEX(Listado!I:I,N2510)=0,"",INDEX(Listado!I:I,N2510)))),"")</f>
        <v/>
      </c>
      <c r="P2510" s="17">
        <f t="shared" ca="1" si="118"/>
        <v/>
      </c>
      <c r="Q2510" s="17">
        <f>IFERROR(IF(AND(N2510&lt;&gt;"",ISNUMBER(O2510),O2510&gt;0,O2510&gt;=TODAY()-90),1,0),0)</f>
        <v/>
      </c>
      <c r="R2510" s="17" t="str">
        <f t="shared" si="120"/>
        <v/>
      </c>
      <c r="S2510" s="17" t="str">
        <f>IF(INDEX(Listado!A:A,ROW())="","",INDEX(Listado!A:A,ROW()))</f>
        <v/>
      </c>
      <c r="T2510" s="17" t="str">
        <f ca="1">IF(INDEX(Listado!G:G,ROW())="","",INDEX(Listado!G:G,ROW()))</f>
        <v/>
      </c>
      <c r="U2510" s="17" t="str">
        <f>IF(INDEX(Listado!F:F,ROW())="","",INDEX(Listado!F:F,ROW()))</f>
        <v/>
      </c>
      <c r="V2510" s="17">
        <f>IF(COUNTA(INDEX(Listado!B:B,ROW()):INDEX(Listado!F:F,ROW()))&gt;0,1,0)</f>
        <v/>
      </c>
      <c r="W2510" s="17" t="str">
        <f>IF(INDEX(Listado!L:L,ROW())="","",INDEX(Listado!L:L,ROW()))</f>
        <v/>
      </c>
      <c r="X2510" s="17">
        <f>IF(N2510="","",IF(INDEX(Listado!$M:$M,N2510)="No","No","Sí"))</f>
        <v/>
      </c>
    </row>
    <row r="2511" spans="2:24" ht="14.25">
      <c r="N2511" s="17" t="str">
        <f>IF(V2511=0,"",IFERROR(LOOKUP(2,1/(INDEX(Listado!A:A,2):INDEX(Listado!A:A,ROW())&lt;&gt;""),ROW(INDEX(Listado!A:A,2):INDEX(Listado!A:A,ROW()))),""))</f>
        <v/>
      </c>
      <c r="O2511" s="17" t="str">
        <f>IFERROR(IF(N2511="","",IF(INDEX(Listado!M:M,N2511)="No",IF(INDEX(Listado!N:N,N2511)=0,"",INDEX(Listado!N:N,N2511)),IF(INDEX(Listado!I:I,N2511)=0,"",INDEX(Listado!I:I,N2511)))),"")</f>
        <v/>
      </c>
      <c r="P2511" s="17">
        <f t="shared" ca="1" si="118"/>
        <v/>
      </c>
      <c r="Q2511" s="17">
        <f>IFERROR(IF(AND(N2511&lt;&gt;"",ISNUMBER(O2511),O2511&gt;0,O2511&gt;=TODAY()-90),1,0),0)</f>
        <v/>
      </c>
      <c r="R2511" s="17" t="str">
        <f t="shared" si="120"/>
        <v/>
      </c>
      <c r="S2511" s="17" t="str">
        <f>IF(INDEX(Listado!A:A,ROW())="","",INDEX(Listado!A:A,ROW()))</f>
        <v/>
      </c>
      <c r="T2511" s="17" t="str">
        <f ca="1">IF(INDEX(Listado!G:G,ROW())="","",INDEX(Listado!G:G,ROW()))</f>
        <v/>
      </c>
      <c r="U2511" s="17" t="str">
        <f>IF(INDEX(Listado!F:F,ROW())="","",INDEX(Listado!F:F,ROW()))</f>
        <v/>
      </c>
      <c r="V2511" s="17">
        <f>IF(COUNTA(INDEX(Listado!B:B,ROW()):INDEX(Listado!F:F,ROW()))&gt;0,1,0)</f>
        <v/>
      </c>
      <c r="W2511" s="17" t="str">
        <f>IF(INDEX(Listado!L:L,ROW())="","",INDEX(Listado!L:L,ROW()))</f>
        <v/>
      </c>
      <c r="X2511" s="17">
        <f>IF(N2511="","",IF(INDEX(Listado!$M:$M,N2511)="No","No","Sí"))</f>
        <v/>
      </c>
    </row>
    <row r="2512" spans="2:24" ht="14.25">
      <c r="N2512" s="17" t="str">
        <f>IF(V2512=0,"",IFERROR(LOOKUP(2,1/(INDEX(Listado!A:A,2):INDEX(Listado!A:A,ROW())&lt;&gt;""),ROW(INDEX(Listado!A:A,2):INDEX(Listado!A:A,ROW()))),""))</f>
        <v/>
      </c>
      <c r="O2512" s="17" t="str">
        <f>IFERROR(IF(N2512="","",IF(INDEX(Listado!M:M,N2512)="No",IF(INDEX(Listado!N:N,N2512)=0,"",INDEX(Listado!N:N,N2512)),IF(INDEX(Listado!I:I,N2512)=0,"",INDEX(Listado!I:I,N2512)))),"")</f>
        <v/>
      </c>
      <c r="P2512" s="17">
        <f t="shared" ca="1" si="118"/>
        <v/>
      </c>
      <c r="Q2512" s="17">
        <f>IFERROR(IF(AND(N2512&lt;&gt;"",ISNUMBER(O2512),O2512&gt;0,O2512&gt;=TODAY()-90),1,0),0)</f>
        <v/>
      </c>
      <c r="R2512" s="17" t="str">
        <f t="shared" si="120"/>
        <v/>
      </c>
      <c r="S2512" s="17" t="str">
        <f>IF(INDEX(Listado!A:A,ROW())="","",INDEX(Listado!A:A,ROW()))</f>
        <v/>
      </c>
      <c r="T2512" s="17" t="str">
        <f ca="1">IF(INDEX(Listado!G:G,ROW())="","",INDEX(Listado!G:G,ROW()))</f>
        <v/>
      </c>
      <c r="U2512" s="17" t="str">
        <f>IF(INDEX(Listado!F:F,ROW())="","",INDEX(Listado!F:F,ROW()))</f>
        <v/>
      </c>
      <c r="V2512" s="17">
        <f>IF(COUNTA(INDEX(Listado!B:B,ROW()):INDEX(Listado!F:F,ROW()))&gt;0,1,0)</f>
        <v/>
      </c>
      <c r="W2512" s="17" t="str">
        <f>IF(INDEX(Listado!L:L,ROW())="","",INDEX(Listado!L:L,ROW()))</f>
        <v/>
      </c>
      <c r="X2512" s="17">
        <f>IF(N2512="","",IF(INDEX(Listado!$M:$M,N2512)="No","No","Sí"))</f>
        <v/>
      </c>
    </row>
    <row r="2513" spans="2:24" ht="14.25">
      <c r="N2513" s="17" t="str">
        <f>IF(V2513=0,"",IFERROR(LOOKUP(2,1/(INDEX(Listado!A:A,2):INDEX(Listado!A:A,ROW())&lt;&gt;""),ROW(INDEX(Listado!A:A,2):INDEX(Listado!A:A,ROW()))),""))</f>
        <v/>
      </c>
      <c r="O2513" s="17" t="str">
        <f>IFERROR(IF(N2513="","",IF(INDEX(Listado!M:M,N2513)="No",IF(INDEX(Listado!N:N,N2513)=0,"",INDEX(Listado!N:N,N2513)),IF(INDEX(Listado!I:I,N2513)=0,"",INDEX(Listado!I:I,N2513)))),"")</f>
        <v/>
      </c>
      <c r="P2513" s="17">
        <f t="shared" ca="1" si="118"/>
        <v/>
      </c>
      <c r="Q2513" s="17">
        <f>IFERROR(IF(AND(N2513&lt;&gt;"",ISNUMBER(O2513),O2513&gt;0,O2513&gt;=TODAY()-90),1,0),0)</f>
        <v/>
      </c>
      <c r="R2513" s="17" t="str">
        <f t="shared" si="120"/>
        <v/>
      </c>
      <c r="S2513" s="17" t="str">
        <f>IF(INDEX(Listado!A:A,ROW())="","",INDEX(Listado!A:A,ROW()))</f>
        <v/>
      </c>
      <c r="T2513" s="17" t="str">
        <f ca="1">IF(INDEX(Listado!G:G,ROW())="","",INDEX(Listado!G:G,ROW()))</f>
        <v/>
      </c>
      <c r="U2513" s="17" t="str">
        <f>IF(INDEX(Listado!F:F,ROW())="","",INDEX(Listado!F:F,ROW()))</f>
        <v/>
      </c>
      <c r="V2513" s="17">
        <f>IF(COUNTA(INDEX(Listado!B:B,ROW()):INDEX(Listado!F:F,ROW()))&gt;0,1,0)</f>
        <v/>
      </c>
      <c r="W2513" s="17" t="str">
        <f>IF(INDEX(Listado!L:L,ROW())="","",INDEX(Listado!L:L,ROW()))</f>
        <v/>
      </c>
      <c r="X2513" s="17">
        <f>IF(N2513="","",IF(INDEX(Listado!$M:$M,N2513)="No","No","Sí"))</f>
        <v/>
      </c>
    </row>
    <row r="2514" spans="2:24" ht="14.25">
      <c r="N2514" s="17" t="str">
        <f>IF(V2514=0,"",IFERROR(LOOKUP(2,1/(INDEX(Listado!A:A,2):INDEX(Listado!A:A,ROW())&lt;&gt;""),ROW(INDEX(Listado!A:A,2):INDEX(Listado!A:A,ROW()))),""))</f>
        <v/>
      </c>
      <c r="O2514" s="17" t="str">
        <f>IFERROR(IF(N2514="","",IF(INDEX(Listado!M:M,N2514)="No",IF(INDEX(Listado!N:N,N2514)=0,"",INDEX(Listado!N:N,N2514)),IF(INDEX(Listado!I:I,N2514)=0,"",INDEX(Listado!I:I,N2514)))),"")</f>
        <v/>
      </c>
      <c r="P2514" s="17">
        <f t="shared" ca="1" si="118"/>
        <v/>
      </c>
      <c r="Q2514" s="17">
        <f>IFERROR(IF(AND(N2514&lt;&gt;"",ISNUMBER(O2514),O2514&gt;0,O2514&gt;=TODAY()-90),1,0),0)</f>
        <v/>
      </c>
      <c r="R2514" s="17" t="str">
        <f t="shared" si="120"/>
        <v/>
      </c>
      <c r="S2514" s="17" t="str">
        <f>IF(INDEX(Listado!A:A,ROW())="","",INDEX(Listado!A:A,ROW()))</f>
        <v/>
      </c>
      <c r="T2514" s="17" t="str">
        <f ca="1">IF(INDEX(Listado!G:G,ROW())="","",INDEX(Listado!G:G,ROW()))</f>
        <v/>
      </c>
      <c r="U2514" s="17" t="str">
        <f>IF(INDEX(Listado!F:F,ROW())="","",INDEX(Listado!F:F,ROW()))</f>
        <v/>
      </c>
      <c r="V2514" s="17">
        <f>IF(COUNTA(INDEX(Listado!B:B,ROW()):INDEX(Listado!F:F,ROW()))&gt;0,1,0)</f>
        <v/>
      </c>
      <c r="W2514" s="17" t="str">
        <f>IF(INDEX(Listado!L:L,ROW())="","",INDEX(Listado!L:L,ROW()))</f>
        <v/>
      </c>
      <c r="X2514" s="17">
        <f>IF(N2514="","",IF(INDEX(Listado!$M:$M,N2514)="No","No","Sí"))</f>
        <v/>
      </c>
    </row>
    <row r="2515" spans="2:24" ht="14.25">
      <c r="N2515" s="17" t="str">
        <f>IF(V2515=0,"",IFERROR(LOOKUP(2,1/(INDEX(Listado!A:A,2):INDEX(Listado!A:A,ROW())&lt;&gt;""),ROW(INDEX(Listado!A:A,2):INDEX(Listado!A:A,ROW()))),""))</f>
        <v/>
      </c>
      <c r="O2515" s="17" t="str">
        <f>IFERROR(IF(N2515="","",IF(INDEX(Listado!M:M,N2515)="No",IF(INDEX(Listado!N:N,N2515)=0,"",INDEX(Listado!N:N,N2515)),IF(INDEX(Listado!I:I,N2515)=0,"",INDEX(Listado!I:I,N2515)))),"")</f>
        <v/>
      </c>
      <c r="P2515" s="17">
        <f t="shared" ca="1" si="118"/>
        <v/>
      </c>
      <c r="Q2515" s="17">
        <f>IFERROR(IF(AND(N2515&lt;&gt;"",ISNUMBER(O2515),O2515&gt;0,O2515&gt;=TODAY()-90),1,0),0)</f>
        <v/>
      </c>
      <c r="R2515" s="17" t="str">
        <f t="shared" si="120"/>
        <v/>
      </c>
      <c r="S2515" s="17" t="str">
        <f>IF(INDEX(Listado!A:A,ROW())="","",INDEX(Listado!A:A,ROW()))</f>
        <v/>
      </c>
      <c r="T2515" s="17" t="str">
        <f ca="1">IF(INDEX(Listado!G:G,ROW())="","",INDEX(Listado!G:G,ROW()))</f>
        <v/>
      </c>
      <c r="U2515" s="17" t="str">
        <f>IF(INDEX(Listado!F:F,ROW())="","",INDEX(Listado!F:F,ROW()))</f>
        <v/>
      </c>
      <c r="V2515" s="17">
        <f>IF(COUNTA(INDEX(Listado!B:B,ROW()):INDEX(Listado!F:F,ROW()))&gt;0,1,0)</f>
        <v/>
      </c>
      <c r="W2515" s="17" t="str">
        <f>IF(INDEX(Listado!L:L,ROW())="","",INDEX(Listado!L:L,ROW()))</f>
        <v/>
      </c>
      <c r="X2515" s="17">
        <f>IF(N2515="","",IF(INDEX(Listado!$M:$M,N2515)="No","No","Sí"))</f>
        <v/>
      </c>
    </row>
    <row r="2516" spans="2:24" ht="14.25">
      <c r="N2516" s="17" t="str">
        <f>IF(V2516=0,"",IFERROR(LOOKUP(2,1/(INDEX(Listado!A:A,2):INDEX(Listado!A:A,ROW())&lt;&gt;""),ROW(INDEX(Listado!A:A,2):INDEX(Listado!A:A,ROW()))),""))</f>
        <v/>
      </c>
      <c r="O2516" s="17" t="str">
        <f>IFERROR(IF(N2516="","",IF(INDEX(Listado!M:M,N2516)="No",IF(INDEX(Listado!N:N,N2516)=0,"",INDEX(Listado!N:N,N2516)),IF(INDEX(Listado!I:I,N2516)=0,"",INDEX(Listado!I:I,N2516)))),"")</f>
        <v/>
      </c>
      <c r="P2516" s="17">
        <f t="shared" ca="1" si="118"/>
        <v/>
      </c>
      <c r="Q2516" s="17">
        <f>IFERROR(IF(AND(N2516&lt;&gt;"",ISNUMBER(O2516),O2516&gt;0,O2516&gt;=TODAY()-90),1,0),0)</f>
        <v/>
      </c>
      <c r="R2516" s="17" t="str">
        <f t="shared" si="120"/>
        <v/>
      </c>
      <c r="S2516" s="17" t="str">
        <f>IF(INDEX(Listado!A:A,ROW())="","",INDEX(Listado!A:A,ROW()))</f>
        <v/>
      </c>
      <c r="T2516" s="17" t="str">
        <f ca="1">IF(INDEX(Listado!G:G,ROW())="","",INDEX(Listado!G:G,ROW()))</f>
        <v/>
      </c>
      <c r="U2516" s="17" t="str">
        <f>IF(INDEX(Listado!F:F,ROW())="","",INDEX(Listado!F:F,ROW()))</f>
        <v/>
      </c>
      <c r="V2516" s="17">
        <f>IF(COUNTA(INDEX(Listado!B:B,ROW()):INDEX(Listado!F:F,ROW()))&gt;0,1,0)</f>
        <v/>
      </c>
      <c r="W2516" s="17" t="str">
        <f>IF(INDEX(Listado!L:L,ROW())="","",INDEX(Listado!L:L,ROW()))</f>
        <v/>
      </c>
      <c r="X2516" s="17">
        <f>IF(N2516="","",IF(INDEX(Listado!$M:$M,N2516)="No","No","Sí"))</f>
        <v/>
      </c>
    </row>
    <row r="2517" spans="2:24" ht="14.25">
      <c r="N2517" s="17" t="str">
        <f>IF(V2517=0,"",IFERROR(LOOKUP(2,1/(INDEX(Listado!A:A,2):INDEX(Listado!A:A,ROW())&lt;&gt;""),ROW(INDEX(Listado!A:A,2):INDEX(Listado!A:A,ROW()))),""))</f>
        <v/>
      </c>
      <c r="O2517" s="17" t="str">
        <f>IFERROR(IF(N2517="","",IF(INDEX(Listado!M:M,N2517)="No",IF(INDEX(Listado!N:N,N2517)=0,"",INDEX(Listado!N:N,N2517)),IF(INDEX(Listado!I:I,N2517)=0,"",INDEX(Listado!I:I,N2517)))),"")</f>
        <v/>
      </c>
      <c r="P2517" s="17">
        <f t="shared" ca="1" si="118"/>
        <v/>
      </c>
      <c r="Q2517" s="17">
        <f>IFERROR(IF(AND(N2517&lt;&gt;"",ISNUMBER(O2517),O2517&gt;0,O2517&gt;=TODAY()-90),1,0),0)</f>
        <v/>
      </c>
      <c r="R2517" s="17" t="str">
        <f t="shared" si="120"/>
        <v/>
      </c>
      <c r="S2517" s="17" t="str">
        <f>IF(INDEX(Listado!A:A,ROW())="","",INDEX(Listado!A:A,ROW()))</f>
        <v/>
      </c>
      <c r="T2517" s="17" t="str">
        <f ca="1">IF(INDEX(Listado!G:G,ROW())="","",INDEX(Listado!G:G,ROW()))</f>
        <v/>
      </c>
      <c r="U2517" s="17" t="str">
        <f>IF(INDEX(Listado!F:F,ROW())="","",INDEX(Listado!F:F,ROW()))</f>
        <v/>
      </c>
      <c r="V2517" s="17">
        <f>IF(COUNTA(INDEX(Listado!B:B,ROW()):INDEX(Listado!F:F,ROW()))&gt;0,1,0)</f>
        <v/>
      </c>
      <c r="W2517" s="17" t="str">
        <f>IF(INDEX(Listado!L:L,ROW())="","",INDEX(Listado!L:L,ROW()))</f>
        <v/>
      </c>
      <c r="X2517" s="17">
        <f>IF(N2517="","",IF(INDEX(Listado!$M:$M,N2517)="No","No","Sí"))</f>
        <v/>
      </c>
    </row>
    <row r="2518" spans="2:24" ht="14.25">
      <c r="N2518" s="17" t="str">
        <f>IF(V2518=0,"",IFERROR(LOOKUP(2,1/(INDEX(Listado!A:A,2):INDEX(Listado!A:A,ROW())&lt;&gt;""),ROW(INDEX(Listado!A:A,2):INDEX(Listado!A:A,ROW()))),""))</f>
        <v/>
      </c>
      <c r="O2518" s="17" t="str">
        <f>IFERROR(IF(N2518="","",IF(INDEX(Listado!M:M,N2518)="No",IF(INDEX(Listado!N:N,N2518)=0,"",INDEX(Listado!N:N,N2518)),IF(INDEX(Listado!I:I,N2518)=0,"",INDEX(Listado!I:I,N2518)))),"")</f>
        <v/>
      </c>
      <c r="P2518" s="17">
        <f t="shared" ca="1" si="118"/>
        <v/>
      </c>
      <c r="Q2518" s="17">
        <f>IFERROR(IF(AND(N2518&lt;&gt;"",ISNUMBER(O2518),O2518&gt;0,O2518&gt;=TODAY()-90),1,0),0)</f>
        <v/>
      </c>
      <c r="R2518" s="17" t="str">
        <f t="shared" si="120"/>
        <v/>
      </c>
      <c r="S2518" s="17" t="str">
        <f>IF(INDEX(Listado!A:A,ROW())="","",INDEX(Listado!A:A,ROW()))</f>
        <v/>
      </c>
      <c r="T2518" s="17" t="str">
        <f ca="1">IF(INDEX(Listado!G:G,ROW())="","",INDEX(Listado!G:G,ROW()))</f>
        <v/>
      </c>
      <c r="U2518" s="17" t="str">
        <f>IF(INDEX(Listado!F:F,ROW())="","",INDEX(Listado!F:F,ROW()))</f>
        <v/>
      </c>
      <c r="V2518" s="17">
        <f>IF(COUNTA(INDEX(Listado!B:B,ROW()):INDEX(Listado!F:F,ROW()))&gt;0,1,0)</f>
        <v/>
      </c>
      <c r="W2518" s="17" t="str">
        <f>IF(INDEX(Listado!L:L,ROW())="","",INDEX(Listado!L:L,ROW()))</f>
        <v/>
      </c>
      <c r="X2518" s="17">
        <f>IF(N2518="","",IF(INDEX(Listado!$M:$M,N2518)="No","No","Sí"))</f>
        <v/>
      </c>
    </row>
    <row r="2519" spans="2:24" ht="14.25">
      <c r="N2519" s="17" t="str">
        <f>IF(V2519=0,"",IFERROR(LOOKUP(2,1/(INDEX(Listado!A:A,2):INDEX(Listado!A:A,ROW())&lt;&gt;""),ROW(INDEX(Listado!A:A,2):INDEX(Listado!A:A,ROW()))),""))</f>
        <v/>
      </c>
      <c r="O2519" s="17" t="str">
        <f>IFERROR(IF(N2519="","",IF(INDEX(Listado!M:M,N2519)="No",IF(INDEX(Listado!N:N,N2519)=0,"",INDEX(Listado!N:N,N2519)),IF(INDEX(Listado!I:I,N2519)=0,"",INDEX(Listado!I:I,N2519)))),"")</f>
        <v/>
      </c>
      <c r="P2519" s="17">
        <f t="shared" ca="1" si="118"/>
        <v/>
      </c>
      <c r="Q2519" s="17">
        <f>IFERROR(IF(AND(N2519&lt;&gt;"",ISNUMBER(O2519),O2519&gt;0,O2519&gt;=TODAY()-90),1,0),0)</f>
        <v/>
      </c>
      <c r="R2519" s="17" t="str">
        <f t="shared" si="120"/>
        <v/>
      </c>
      <c r="S2519" s="17" t="str">
        <f>IF(INDEX(Listado!A:A,ROW())="","",INDEX(Listado!A:A,ROW()))</f>
        <v/>
      </c>
      <c r="T2519" s="17" t="str">
        <f ca="1">IF(INDEX(Listado!G:G,ROW())="","",INDEX(Listado!G:G,ROW()))</f>
        <v/>
      </c>
      <c r="U2519" s="17" t="str">
        <f>IF(INDEX(Listado!F:F,ROW())="","",INDEX(Listado!F:F,ROW()))</f>
        <v/>
      </c>
      <c r="V2519" s="17">
        <f>IF(COUNTA(INDEX(Listado!B:B,ROW()):INDEX(Listado!F:F,ROW()))&gt;0,1,0)</f>
        <v/>
      </c>
      <c r="W2519" s="17" t="str">
        <f>IF(INDEX(Listado!L:L,ROW())="","",INDEX(Listado!L:L,ROW()))</f>
        <v/>
      </c>
      <c r="X2519" s="17">
        <f>IF(N2519="","",IF(INDEX(Listado!$M:$M,N2519)="No","No","Sí"))</f>
        <v/>
      </c>
    </row>
    <row r="2520" spans="2:24" ht="14.25">
      <c r="N2520" s="17" t="str">
        <f>IF(V2520=0,"",IFERROR(LOOKUP(2,1/(INDEX(Listado!A:A,2):INDEX(Listado!A:A,ROW())&lt;&gt;""),ROW(INDEX(Listado!A:A,2):INDEX(Listado!A:A,ROW()))),""))</f>
        <v/>
      </c>
      <c r="O2520" s="17" t="str">
        <f>IFERROR(IF(N2520="","",IF(INDEX(Listado!M:M,N2520)="No",IF(INDEX(Listado!N:N,N2520)=0,"",INDEX(Listado!N:N,N2520)),IF(INDEX(Listado!I:I,N2520)=0,"",INDEX(Listado!I:I,N2520)))),"")</f>
        <v/>
      </c>
      <c r="P2520" s="17">
        <f t="shared" ca="1" si="118"/>
        <v/>
      </c>
      <c r="Q2520" s="17">
        <f>IFERROR(IF(AND(N2520&lt;&gt;"",ISNUMBER(O2520),O2520&gt;0,O2520&gt;=TODAY()-90),1,0),0)</f>
        <v/>
      </c>
      <c r="R2520" s="17" t="str">
        <f t="shared" si="120"/>
        <v/>
      </c>
      <c r="S2520" s="17" t="str">
        <f>IF(INDEX(Listado!A:A,ROW())="","",INDEX(Listado!A:A,ROW()))</f>
        <v/>
      </c>
      <c r="T2520" s="17" t="str">
        <f ca="1">IF(INDEX(Listado!G:G,ROW())="","",INDEX(Listado!G:G,ROW()))</f>
        <v/>
      </c>
      <c r="U2520" s="17" t="str">
        <f>IF(INDEX(Listado!F:F,ROW())="","",INDEX(Listado!F:F,ROW()))</f>
        <v/>
      </c>
      <c r="V2520" s="17">
        <f>IF(COUNTA(INDEX(Listado!B:B,ROW()):INDEX(Listado!F:F,ROW()))&gt;0,1,0)</f>
        <v/>
      </c>
      <c r="W2520" s="17" t="str">
        <f>IF(INDEX(Listado!L:L,ROW())="","",INDEX(Listado!L:L,ROW()))</f>
        <v/>
      </c>
      <c r="X2520" s="17">
        <f>IF(N2520="","",IF(INDEX(Listado!$M:$M,N2520)="No","No","Sí"))</f>
        <v/>
      </c>
    </row>
    <row r="2521" spans="2:24" ht="14.25">
      <c r="N2521" s="17" t="str">
        <f>IF(V2521=0,"",IFERROR(LOOKUP(2,1/(INDEX(Listado!A:A,2):INDEX(Listado!A:A,ROW())&lt;&gt;""),ROW(INDEX(Listado!A:A,2):INDEX(Listado!A:A,ROW()))),""))</f>
        <v/>
      </c>
      <c r="O2521" s="17" t="str">
        <f>IFERROR(IF(N2521="","",IF(INDEX(Listado!M:M,N2521)="No",IF(INDEX(Listado!N:N,N2521)=0,"",INDEX(Listado!N:N,N2521)),IF(INDEX(Listado!I:I,N2521)=0,"",INDEX(Listado!I:I,N2521)))),"")</f>
        <v/>
      </c>
      <c r="P2521" s="17">
        <f t="shared" ca="1" si="118"/>
        <v/>
      </c>
      <c r="Q2521" s="17">
        <f>IFERROR(IF(AND(N2521&lt;&gt;"",ISNUMBER(O2521),O2521&gt;0,O2521&gt;=TODAY()-90),1,0),0)</f>
        <v/>
      </c>
      <c r="R2521" s="17" t="str">
        <f t="shared" si="120"/>
        <v/>
      </c>
      <c r="S2521" s="17" t="str">
        <f>IF(INDEX(Listado!A:A,ROW())="","",INDEX(Listado!A:A,ROW()))</f>
        <v/>
      </c>
      <c r="T2521" s="17" t="str">
        <f ca="1">IF(INDEX(Listado!G:G,ROW())="","",INDEX(Listado!G:G,ROW()))</f>
        <v/>
      </c>
      <c r="U2521" s="17" t="str">
        <f>IF(INDEX(Listado!F:F,ROW())="","",INDEX(Listado!F:F,ROW()))</f>
        <v/>
      </c>
      <c r="V2521" s="17">
        <f>IF(COUNTA(INDEX(Listado!B:B,ROW()):INDEX(Listado!F:F,ROW()))&gt;0,1,0)</f>
        <v/>
      </c>
      <c r="W2521" s="17" t="str">
        <f>IF(INDEX(Listado!L:L,ROW())="","",INDEX(Listado!L:L,ROW()))</f>
        <v/>
      </c>
      <c r="X2521" s="17">
        <f>IF(N2521="","",IF(INDEX(Listado!$M:$M,N2521)="No","No","Sí"))</f>
        <v/>
      </c>
    </row>
    <row r="2522" spans="2:24" ht="14.25">
      <c r="N2522" s="17" t="str">
        <f>IF(V2522=0,"",IFERROR(LOOKUP(2,1/(INDEX(Listado!A:A,2):INDEX(Listado!A:A,ROW())&lt;&gt;""),ROW(INDEX(Listado!A:A,2):INDEX(Listado!A:A,ROW()))),""))</f>
        <v/>
      </c>
      <c r="O2522" s="17" t="str">
        <f>IFERROR(IF(N2522="","",IF(INDEX(Listado!M:M,N2522)="No",IF(INDEX(Listado!N:N,N2522)=0,"",INDEX(Listado!N:N,N2522)),IF(INDEX(Listado!I:I,N2522)=0,"",INDEX(Listado!I:I,N2522)))),"")</f>
        <v/>
      </c>
      <c r="P2522" s="17">
        <f t="shared" ca="1" si="118"/>
        <v/>
      </c>
      <c r="Q2522" s="17">
        <f>IFERROR(IF(AND(N2522&lt;&gt;"",ISNUMBER(O2522),O2522&gt;0,O2522&gt;=TODAY()-90),1,0),0)</f>
        <v/>
      </c>
      <c r="R2522" s="17" t="str">
        <f t="shared" si="120"/>
        <v/>
      </c>
      <c r="S2522" s="17" t="str">
        <f>IF(INDEX(Listado!A:A,ROW())="","",INDEX(Listado!A:A,ROW()))</f>
        <v/>
      </c>
      <c r="T2522" s="17" t="str">
        <f ca="1">IF(INDEX(Listado!G:G,ROW())="","",INDEX(Listado!G:G,ROW()))</f>
        <v/>
      </c>
      <c r="U2522" s="17" t="str">
        <f>IF(INDEX(Listado!F:F,ROW())="","",INDEX(Listado!F:F,ROW()))</f>
        <v/>
      </c>
      <c r="V2522" s="17">
        <f>IF(COUNTA(INDEX(Listado!B:B,ROW()):INDEX(Listado!F:F,ROW()))&gt;0,1,0)</f>
        <v/>
      </c>
      <c r="W2522" s="17" t="str">
        <f>IF(INDEX(Listado!L:L,ROW())="","",INDEX(Listado!L:L,ROW()))</f>
        <v/>
      </c>
      <c r="X2522" s="17">
        <f>IF(N2522="","",IF(INDEX(Listado!$M:$M,N2522)="No","No","Sí"))</f>
        <v/>
      </c>
    </row>
    <row r="2523" spans="2:24" ht="14.25">
      <c r="N2523" s="17" t="str">
        <f>IF(V2523=0,"",IFERROR(LOOKUP(2,1/(INDEX(Listado!A:A,2):INDEX(Listado!A:A,ROW())&lt;&gt;""),ROW(INDEX(Listado!A:A,2):INDEX(Listado!A:A,ROW()))),""))</f>
        <v/>
      </c>
      <c r="O2523" s="17" t="str">
        <f>IFERROR(IF(N2523="","",IF(INDEX(Listado!M:M,N2523)="No",IF(INDEX(Listado!N:N,N2523)=0,"",INDEX(Listado!N:N,N2523)),IF(INDEX(Listado!I:I,N2523)=0,"",INDEX(Listado!I:I,N2523)))),"")</f>
        <v/>
      </c>
      <c r="P2523" s="17">
        <f t="shared" ca="1" si="118"/>
        <v/>
      </c>
      <c r="Q2523" s="17">
        <f>IFERROR(IF(AND(N2523&lt;&gt;"",ISNUMBER(O2523),O2523&gt;0,O2523&gt;=TODAY()-90),1,0),0)</f>
        <v/>
      </c>
      <c r="R2523" s="17" t="str">
        <f t="shared" si="120"/>
        <v/>
      </c>
      <c r="S2523" s="17" t="str">
        <f>IF(INDEX(Listado!A:A,ROW())="","",INDEX(Listado!A:A,ROW()))</f>
        <v/>
      </c>
      <c r="T2523" s="17" t="str">
        <f ca="1">IF(INDEX(Listado!G:G,ROW())="","",INDEX(Listado!G:G,ROW()))</f>
        <v/>
      </c>
      <c r="U2523" s="17" t="str">
        <f>IF(INDEX(Listado!F:F,ROW())="","",INDEX(Listado!F:F,ROW()))</f>
        <v/>
      </c>
      <c r="V2523" s="17">
        <f>IF(COUNTA(INDEX(Listado!B:B,ROW()):INDEX(Listado!F:F,ROW()))&gt;0,1,0)</f>
        <v/>
      </c>
      <c r="W2523" s="17" t="str">
        <f>IF(INDEX(Listado!L:L,ROW())="","",INDEX(Listado!L:L,ROW()))</f>
        <v/>
      </c>
      <c r="X2523" s="17">
        <f>IF(N2523="","",IF(INDEX(Listado!$M:$M,N2523)="No","No","Sí"))</f>
        <v/>
      </c>
    </row>
    <row r="2524" spans="2:24" ht="14.25">
      <c r="N2524" s="17" t="str">
        <f>IF(V2524=0,"",IFERROR(LOOKUP(2,1/(INDEX(Listado!A:A,2):INDEX(Listado!A:A,ROW())&lt;&gt;""),ROW(INDEX(Listado!A:A,2):INDEX(Listado!A:A,ROW()))),""))</f>
        <v/>
      </c>
      <c r="O2524" s="17" t="str">
        <f>IFERROR(IF(N2524="","",IF(INDEX(Listado!M:M,N2524)="No",IF(INDEX(Listado!N:N,N2524)=0,"",INDEX(Listado!N:N,N2524)),IF(INDEX(Listado!I:I,N2524)=0,"",INDEX(Listado!I:I,N2524)))),"")</f>
        <v/>
      </c>
      <c r="P2524" s="17">
        <f t="shared" ca="1" si="118"/>
        <v/>
      </c>
      <c r="Q2524" s="17">
        <f>IFERROR(IF(AND(N2524&lt;&gt;"",ISNUMBER(O2524),O2524&gt;0,O2524&gt;=TODAY()-90),1,0),0)</f>
        <v/>
      </c>
      <c r="R2524" s="17" t="str">
        <f t="shared" si="120"/>
        <v/>
      </c>
      <c r="S2524" s="17" t="str">
        <f>IF(INDEX(Listado!A:A,ROW())="","",INDEX(Listado!A:A,ROW()))</f>
        <v/>
      </c>
      <c r="T2524" s="17" t="str">
        <f ca="1">IF(INDEX(Listado!G:G,ROW())="","",INDEX(Listado!G:G,ROW()))</f>
        <v/>
      </c>
      <c r="U2524" s="17" t="str">
        <f>IF(INDEX(Listado!F:F,ROW())="","",INDEX(Listado!F:F,ROW()))</f>
        <v/>
      </c>
      <c r="V2524" s="17">
        <f>IF(COUNTA(INDEX(Listado!B:B,ROW()):INDEX(Listado!F:F,ROW()))&gt;0,1,0)</f>
        <v/>
      </c>
      <c r="W2524" s="17" t="str">
        <f>IF(INDEX(Listado!L:L,ROW())="","",INDEX(Listado!L:L,ROW()))</f>
        <v/>
      </c>
      <c r="X2524" s="17">
        <f>IF(N2524="","",IF(INDEX(Listado!$M:$M,N2524)="No","No","Sí"))</f>
        <v/>
      </c>
    </row>
    <row r="2525" spans="2:24" ht="14.25">
      <c r="N2525" s="17" t="str">
        <f>IF(V2525=0,"",IFERROR(LOOKUP(2,1/(INDEX(Listado!A:A,2):INDEX(Listado!A:A,ROW())&lt;&gt;""),ROW(INDEX(Listado!A:A,2):INDEX(Listado!A:A,ROW()))),""))</f>
        <v/>
      </c>
      <c r="O2525" s="17" t="str">
        <f>IFERROR(IF(N2525="","",IF(INDEX(Listado!M:M,N2525)="No",IF(INDEX(Listado!N:N,N2525)=0,"",INDEX(Listado!N:N,N2525)),IF(INDEX(Listado!I:I,N2525)=0,"",INDEX(Listado!I:I,N2525)))),"")</f>
        <v/>
      </c>
      <c r="P2525" s="17">
        <f t="shared" ca="1" si="118"/>
        <v/>
      </c>
      <c r="Q2525" s="17">
        <f>IFERROR(IF(AND(N2525&lt;&gt;"",ISNUMBER(O2525),O2525&gt;0,O2525&gt;=TODAY()-90),1,0),0)</f>
        <v/>
      </c>
      <c r="R2525" s="17" t="str">
        <f t="shared" si="120"/>
        <v/>
      </c>
      <c r="S2525" s="17" t="str">
        <f>IF(INDEX(Listado!A:A,ROW())="","",INDEX(Listado!A:A,ROW()))</f>
        <v/>
      </c>
      <c r="T2525" s="17" t="str">
        <f ca="1">IF(INDEX(Listado!G:G,ROW())="","",INDEX(Listado!G:G,ROW()))</f>
        <v/>
      </c>
      <c r="U2525" s="17" t="str">
        <f>IF(INDEX(Listado!F:F,ROW())="","",INDEX(Listado!F:F,ROW()))</f>
        <v/>
      </c>
      <c r="V2525" s="17">
        <f>IF(COUNTA(INDEX(Listado!B:B,ROW()):INDEX(Listado!F:F,ROW()))&gt;0,1,0)</f>
        <v/>
      </c>
      <c r="W2525" s="17" t="str">
        <f>IF(INDEX(Listado!L:L,ROW())="","",INDEX(Listado!L:L,ROW()))</f>
        <v/>
      </c>
      <c r="X2525" s="17">
        <f>IF(N2525="","",IF(INDEX(Listado!$M:$M,N2525)="No","No","Sí"))</f>
        <v/>
      </c>
    </row>
    <row r="2526" spans="2:24" ht="14.25">
      <c r="N2526" s="17" t="str">
        <f>IF(V2526=0,"",IFERROR(LOOKUP(2,1/(INDEX(Listado!A:A,2):INDEX(Listado!A:A,ROW())&lt;&gt;""),ROW(INDEX(Listado!A:A,2):INDEX(Listado!A:A,ROW()))),""))</f>
        <v/>
      </c>
      <c r="O2526" s="17" t="str">
        <f>IFERROR(IF(N2526="","",IF(INDEX(Listado!M:M,N2526)="No",IF(INDEX(Listado!N:N,N2526)=0,"",INDEX(Listado!N:N,N2526)),IF(INDEX(Listado!I:I,N2526)=0,"",INDEX(Listado!I:I,N2526)))),"")</f>
        <v/>
      </c>
      <c r="P2526" s="17">
        <f t="shared" ca="1" si="118"/>
        <v/>
      </c>
      <c r="Q2526" s="17">
        <f>IFERROR(IF(AND(N2526&lt;&gt;"",ISNUMBER(O2526),O2526&gt;0,O2526&gt;=TODAY()-90),1,0),0)</f>
        <v/>
      </c>
      <c r="R2526" s="17" t="str">
        <f t="shared" si="120"/>
        <v/>
      </c>
      <c r="S2526" s="17" t="str">
        <f>IF(INDEX(Listado!A:A,ROW())="","",INDEX(Listado!A:A,ROW()))</f>
        <v/>
      </c>
      <c r="T2526" s="17" t="str">
        <f ca="1">IF(INDEX(Listado!G:G,ROW())="","",INDEX(Listado!G:G,ROW()))</f>
        <v/>
      </c>
      <c r="U2526" s="17" t="str">
        <f>IF(INDEX(Listado!F:F,ROW())="","",INDEX(Listado!F:F,ROW()))</f>
        <v/>
      </c>
      <c r="V2526" s="17">
        <f>IF(COUNTA(INDEX(Listado!B:B,ROW()):INDEX(Listado!F:F,ROW()))&gt;0,1,0)</f>
        <v/>
      </c>
      <c r="W2526" s="17" t="str">
        <f>IF(INDEX(Listado!L:L,ROW())="","",INDEX(Listado!L:L,ROW()))</f>
        <v/>
      </c>
      <c r="X2526" s="17">
        <f>IF(N2526="","",IF(INDEX(Listado!$M:$M,N2526)="No","No","Sí"))</f>
        <v/>
      </c>
    </row>
    <row r="2527" spans="2:24" ht="14.25">
      <c r="N2527" s="17" t="str">
        <f>IF(V2527=0,"",IFERROR(LOOKUP(2,1/(INDEX(Listado!A:A,2):INDEX(Listado!A:A,ROW())&lt;&gt;""),ROW(INDEX(Listado!A:A,2):INDEX(Listado!A:A,ROW()))),""))</f>
        <v/>
      </c>
      <c r="O2527" s="17" t="str">
        <f>IFERROR(IF(N2527="","",IF(INDEX(Listado!M:M,N2527)="No",IF(INDEX(Listado!N:N,N2527)=0,"",INDEX(Listado!N:N,N2527)),IF(INDEX(Listado!I:I,N2527)=0,"",INDEX(Listado!I:I,N2527)))),"")</f>
        <v/>
      </c>
      <c r="P2527" s="17">
        <f t="shared" ca="1" si="118"/>
        <v/>
      </c>
      <c r="Q2527" s="17">
        <f>IFERROR(IF(AND(N2527&lt;&gt;"",ISNUMBER(O2527),O2527&gt;0,O2527&gt;=TODAY()-90),1,0),0)</f>
        <v/>
      </c>
      <c r="R2527" s="17" t="str">
        <f t="shared" si="120"/>
        <v/>
      </c>
      <c r="S2527" s="17" t="str">
        <f>IF(INDEX(Listado!A:A,ROW())="","",INDEX(Listado!A:A,ROW()))</f>
        <v/>
      </c>
      <c r="T2527" s="17" t="str">
        <f ca="1">IF(INDEX(Listado!G:G,ROW())="","",INDEX(Listado!G:G,ROW()))</f>
        <v/>
      </c>
      <c r="U2527" s="17" t="str">
        <f>IF(INDEX(Listado!F:F,ROW())="","",INDEX(Listado!F:F,ROW()))</f>
        <v/>
      </c>
      <c r="V2527" s="17">
        <f>IF(COUNTA(INDEX(Listado!B:B,ROW()):INDEX(Listado!F:F,ROW()))&gt;0,1,0)</f>
        <v/>
      </c>
      <c r="W2527" s="17" t="str">
        <f>IF(INDEX(Listado!L:L,ROW())="","",INDEX(Listado!L:L,ROW()))</f>
        <v/>
      </c>
      <c r="X2527" s="17">
        <f>IF(N2527="","",IF(INDEX(Listado!$M:$M,N2527)="No","No","Sí"))</f>
        <v/>
      </c>
    </row>
    <row r="2528" spans="2:24" ht="14.25">
      <c r="N2528" s="17" t="str">
        <f>IF(V2528=0,"",IFERROR(LOOKUP(2,1/(INDEX(Listado!A:A,2):INDEX(Listado!A:A,ROW())&lt;&gt;""),ROW(INDEX(Listado!A:A,2):INDEX(Listado!A:A,ROW()))),""))</f>
        <v/>
      </c>
      <c r="O2528" s="17" t="str">
        <f>IFERROR(IF(N2528="","",IF(INDEX(Listado!M:M,N2528)="No",IF(INDEX(Listado!N:N,N2528)=0,"",INDEX(Listado!N:N,N2528)),IF(INDEX(Listado!I:I,N2528)=0,"",INDEX(Listado!I:I,N2528)))),"")</f>
        <v/>
      </c>
      <c r="P2528" s="17">
        <f t="shared" ca="1" si="118"/>
        <v/>
      </c>
      <c r="Q2528" s="17">
        <f>IFERROR(IF(AND(N2528&lt;&gt;"",ISNUMBER(O2528),O2528&gt;0,O2528&gt;=TODAY()-90),1,0),0)</f>
        <v/>
      </c>
      <c r="R2528" s="17" t="str">
        <f t="shared" si="120"/>
        <v/>
      </c>
      <c r="S2528" s="17" t="str">
        <f>IF(INDEX(Listado!A:A,ROW())="","",INDEX(Listado!A:A,ROW()))</f>
        <v/>
      </c>
      <c r="T2528" s="17" t="str">
        <f ca="1">IF(INDEX(Listado!G:G,ROW())="","",INDEX(Listado!G:G,ROW()))</f>
        <v/>
      </c>
      <c r="U2528" s="17" t="str">
        <f>IF(INDEX(Listado!F:F,ROW())="","",INDEX(Listado!F:F,ROW()))</f>
        <v/>
      </c>
      <c r="V2528" s="17">
        <f>IF(COUNTA(INDEX(Listado!B:B,ROW()):INDEX(Listado!F:F,ROW()))&gt;0,1,0)</f>
        <v/>
      </c>
      <c r="W2528" s="17" t="str">
        <f>IF(INDEX(Listado!L:L,ROW())="","",INDEX(Listado!L:L,ROW()))</f>
        <v/>
      </c>
      <c r="X2528" s="17">
        <f>IF(N2528="","",IF(INDEX(Listado!$M:$M,N2528)="No","No","Sí"))</f>
        <v/>
      </c>
    </row>
    <row r="2529" spans="2:24" ht="14.25">
      <c r="N2529" s="17" t="str">
        <f>IF(V2529=0,"",IFERROR(LOOKUP(2,1/(INDEX(Listado!A:A,2):INDEX(Listado!A:A,ROW())&lt;&gt;""),ROW(INDEX(Listado!A:A,2):INDEX(Listado!A:A,ROW()))),""))</f>
        <v/>
      </c>
      <c r="O2529" s="17" t="str">
        <f>IFERROR(IF(N2529="","",IF(INDEX(Listado!M:M,N2529)="No",IF(INDEX(Listado!N:N,N2529)=0,"",INDEX(Listado!N:N,N2529)),IF(INDEX(Listado!I:I,N2529)=0,"",INDEX(Listado!I:I,N2529)))),"")</f>
        <v/>
      </c>
      <c r="P2529" s="17">
        <f t="shared" ca="1" si="118"/>
        <v/>
      </c>
      <c r="Q2529" s="17">
        <f>IFERROR(IF(AND(N2529&lt;&gt;"",ISNUMBER(O2529),O2529&gt;0,O2529&gt;=TODAY()-90),1,0),0)</f>
        <v/>
      </c>
      <c r="R2529" s="17" t="str">
        <f t="shared" si="120"/>
        <v/>
      </c>
      <c r="S2529" s="17" t="str">
        <f>IF(INDEX(Listado!A:A,ROW())="","",INDEX(Listado!A:A,ROW()))</f>
        <v/>
      </c>
      <c r="T2529" s="17" t="str">
        <f ca="1">IF(INDEX(Listado!G:G,ROW())="","",INDEX(Listado!G:G,ROW()))</f>
        <v/>
      </c>
      <c r="U2529" s="17" t="str">
        <f>IF(INDEX(Listado!F:F,ROW())="","",INDEX(Listado!F:F,ROW()))</f>
        <v/>
      </c>
      <c r="V2529" s="17">
        <f>IF(COUNTA(INDEX(Listado!B:B,ROW()):INDEX(Listado!F:F,ROW()))&gt;0,1,0)</f>
        <v/>
      </c>
      <c r="W2529" s="17" t="str">
        <f>IF(INDEX(Listado!L:L,ROW())="","",INDEX(Listado!L:L,ROW()))</f>
        <v/>
      </c>
      <c r="X2529" s="17">
        <f>IF(N2529="","",IF(INDEX(Listado!$M:$M,N2529)="No","No","Sí"))</f>
        <v/>
      </c>
    </row>
    <row r="2530" spans="2:24" ht="14.25">
      <c r="N2530" s="17" t="str">
        <f>IF(V2530=0,"",IFERROR(LOOKUP(2,1/(INDEX(Listado!A:A,2):INDEX(Listado!A:A,ROW())&lt;&gt;""),ROW(INDEX(Listado!A:A,2):INDEX(Listado!A:A,ROW()))),""))</f>
        <v/>
      </c>
      <c r="O2530" s="17" t="str">
        <f>IFERROR(IF(N2530="","",IF(INDEX(Listado!M:M,N2530)="No",IF(INDEX(Listado!N:N,N2530)=0,"",INDEX(Listado!N:N,N2530)),IF(INDEX(Listado!I:I,N2530)=0,"",INDEX(Listado!I:I,N2530)))),"")</f>
        <v/>
      </c>
      <c r="P2530" s="17">
        <f t="shared" ca="1" si="118"/>
        <v/>
      </c>
      <c r="Q2530" s="17">
        <f>IFERROR(IF(AND(N2530&lt;&gt;"",ISNUMBER(O2530),O2530&gt;0,O2530&gt;=TODAY()-90),1,0),0)</f>
        <v/>
      </c>
      <c r="R2530" s="17" t="str">
        <f t="shared" si="120"/>
        <v/>
      </c>
      <c r="S2530" s="17" t="str">
        <f>IF(INDEX(Listado!A:A,ROW())="","",INDEX(Listado!A:A,ROW()))</f>
        <v/>
      </c>
      <c r="T2530" s="17" t="str">
        <f ca="1">IF(INDEX(Listado!G:G,ROW())="","",INDEX(Listado!G:G,ROW()))</f>
        <v/>
      </c>
      <c r="U2530" s="17" t="str">
        <f>IF(INDEX(Listado!F:F,ROW())="","",INDEX(Listado!F:F,ROW()))</f>
        <v/>
      </c>
      <c r="V2530" s="17">
        <f>IF(COUNTA(INDEX(Listado!B:B,ROW()):INDEX(Listado!F:F,ROW()))&gt;0,1,0)</f>
        <v/>
      </c>
      <c r="W2530" s="17" t="str">
        <f>IF(INDEX(Listado!L:L,ROW())="","",INDEX(Listado!L:L,ROW()))</f>
        <v/>
      </c>
      <c r="X2530" s="17">
        <f>IF(N2530="","",IF(INDEX(Listado!$M:$M,N2530)="No","No","Sí"))</f>
        <v/>
      </c>
    </row>
    <row r="2531" spans="2:24" ht="14.25">
      <c r="N2531" s="17" t="str">
        <f>IF(V2531=0,"",IFERROR(LOOKUP(2,1/(INDEX(Listado!A:A,2):INDEX(Listado!A:A,ROW())&lt;&gt;""),ROW(INDEX(Listado!A:A,2):INDEX(Listado!A:A,ROW()))),""))</f>
        <v/>
      </c>
      <c r="O2531" s="17" t="str">
        <f>IFERROR(IF(N2531="","",IF(INDEX(Listado!M:M,N2531)="No",IF(INDEX(Listado!N:N,N2531)=0,"",INDEX(Listado!N:N,N2531)),IF(INDEX(Listado!I:I,N2531)=0,"",INDEX(Listado!I:I,N2531)))),"")</f>
        <v/>
      </c>
      <c r="P2531" s="17">
        <f t="shared" ca="1" si="118"/>
        <v/>
      </c>
      <c r="Q2531" s="17">
        <f>IFERROR(IF(AND(N2531&lt;&gt;"",ISNUMBER(O2531),O2531&gt;0,O2531&gt;=TODAY()-90),1,0),0)</f>
        <v/>
      </c>
      <c r="R2531" s="17" t="str">
        <f t="shared" si="120"/>
        <v/>
      </c>
      <c r="S2531" s="17" t="str">
        <f>IF(INDEX(Listado!A:A,ROW())="","",INDEX(Listado!A:A,ROW()))</f>
        <v/>
      </c>
      <c r="T2531" s="17" t="str">
        <f ca="1">IF(INDEX(Listado!G:G,ROW())="","",INDEX(Listado!G:G,ROW()))</f>
        <v/>
      </c>
      <c r="U2531" s="17" t="str">
        <f>IF(INDEX(Listado!F:F,ROW())="","",INDEX(Listado!F:F,ROW()))</f>
        <v/>
      </c>
      <c r="V2531" s="17">
        <f>IF(COUNTA(INDEX(Listado!B:B,ROW()):INDEX(Listado!F:F,ROW()))&gt;0,1,0)</f>
        <v/>
      </c>
      <c r="W2531" s="17" t="str">
        <f>IF(INDEX(Listado!L:L,ROW())="","",INDEX(Listado!L:L,ROW()))</f>
        <v/>
      </c>
      <c r="X2531" s="17">
        <f>IF(N2531="","",IF(INDEX(Listado!$M:$M,N2531)="No","No","Sí"))</f>
        <v/>
      </c>
    </row>
    <row r="2532" spans="2:24" ht="14.25">
      <c r="N2532" s="17" t="str">
        <f>IF(V2532=0,"",IFERROR(LOOKUP(2,1/(INDEX(Listado!A:A,2):INDEX(Listado!A:A,ROW())&lt;&gt;""),ROW(INDEX(Listado!A:A,2):INDEX(Listado!A:A,ROW()))),""))</f>
        <v/>
      </c>
      <c r="O2532" s="17" t="str">
        <f>IFERROR(IF(N2532="","",IF(INDEX(Listado!M:M,N2532)="No",IF(INDEX(Listado!N:N,N2532)=0,"",INDEX(Listado!N:N,N2532)),IF(INDEX(Listado!I:I,N2532)=0,"",INDEX(Listado!I:I,N2532)))),"")</f>
        <v/>
      </c>
      <c r="P2532" s="17">
        <f t="shared" ca="1" si="118"/>
        <v/>
      </c>
      <c r="Q2532" s="17">
        <f>IFERROR(IF(AND(N2532&lt;&gt;"",ISNUMBER(O2532),O2532&gt;0,O2532&gt;=TODAY()-90),1,0),0)</f>
        <v/>
      </c>
      <c r="R2532" s="17" t="str">
        <f t="shared" si="120"/>
        <v/>
      </c>
      <c r="S2532" s="17" t="str">
        <f>IF(INDEX(Listado!A:A,ROW())="","",INDEX(Listado!A:A,ROW()))</f>
        <v/>
      </c>
      <c r="T2532" s="17" t="str">
        <f ca="1">IF(INDEX(Listado!G:G,ROW())="","",INDEX(Listado!G:G,ROW()))</f>
        <v/>
      </c>
      <c r="U2532" s="17" t="str">
        <f>IF(INDEX(Listado!F:F,ROW())="","",INDEX(Listado!F:F,ROW()))</f>
        <v/>
      </c>
      <c r="V2532" s="17">
        <f>IF(COUNTA(INDEX(Listado!B:B,ROW()):INDEX(Listado!F:F,ROW()))&gt;0,1,0)</f>
        <v/>
      </c>
      <c r="W2532" s="17" t="str">
        <f>IF(INDEX(Listado!L:L,ROW())="","",INDEX(Listado!L:L,ROW()))</f>
        <v/>
      </c>
      <c r="X2532" s="17">
        <f>IF(N2532="","",IF(INDEX(Listado!$M:$M,N2532)="No","No","Sí"))</f>
        <v/>
      </c>
    </row>
    <row r="2533" spans="2:24" ht="14.25">
      <c r="N2533" s="17" t="str">
        <f>IF(V2533=0,"",IFERROR(LOOKUP(2,1/(INDEX(Listado!A:A,2):INDEX(Listado!A:A,ROW())&lt;&gt;""),ROW(INDEX(Listado!A:A,2):INDEX(Listado!A:A,ROW()))),""))</f>
        <v/>
      </c>
      <c r="O2533" s="17" t="str">
        <f>IFERROR(IF(N2533="","",IF(INDEX(Listado!M:M,N2533)="No",IF(INDEX(Listado!N:N,N2533)=0,"",INDEX(Listado!N:N,N2533)),IF(INDEX(Listado!I:I,N2533)=0,"",INDEX(Listado!I:I,N2533)))),"")</f>
        <v/>
      </c>
      <c r="P2533" s="17">
        <f t="shared" ca="1" si="118"/>
        <v/>
      </c>
      <c r="Q2533" s="17">
        <f>IFERROR(IF(AND(N2533&lt;&gt;"",ISNUMBER(O2533),O2533&gt;0,O2533&gt;=TODAY()-90),1,0),0)</f>
        <v/>
      </c>
      <c r="R2533" s="17" t="str">
        <f t="shared" si="120"/>
        <v/>
      </c>
      <c r="S2533" s="17" t="str">
        <f>IF(INDEX(Listado!A:A,ROW())="","",INDEX(Listado!A:A,ROW()))</f>
        <v/>
      </c>
      <c r="T2533" s="17" t="str">
        <f ca="1">IF(INDEX(Listado!G:G,ROW())="","",INDEX(Listado!G:G,ROW()))</f>
        <v/>
      </c>
      <c r="U2533" s="17" t="str">
        <f>IF(INDEX(Listado!F:F,ROW())="","",INDEX(Listado!F:F,ROW()))</f>
        <v/>
      </c>
      <c r="V2533" s="17">
        <f>IF(COUNTA(INDEX(Listado!B:B,ROW()):INDEX(Listado!F:F,ROW()))&gt;0,1,0)</f>
        <v/>
      </c>
      <c r="W2533" s="17" t="str">
        <f>IF(INDEX(Listado!L:L,ROW())="","",INDEX(Listado!L:L,ROW()))</f>
        <v/>
      </c>
      <c r="X2533" s="17">
        <f>IF(N2533="","",IF(INDEX(Listado!$M:$M,N2533)="No","No","Sí"))</f>
        <v/>
      </c>
    </row>
    <row r="2534" spans="2:24" ht="14.25">
      <c r="N2534" s="17" t="str">
        <f>IF(V2534=0,"",IFERROR(LOOKUP(2,1/(INDEX(Listado!A:A,2):INDEX(Listado!A:A,ROW())&lt;&gt;""),ROW(INDEX(Listado!A:A,2):INDEX(Listado!A:A,ROW()))),""))</f>
        <v/>
      </c>
      <c r="O2534" s="17" t="str">
        <f>IFERROR(IF(N2534="","",IF(INDEX(Listado!M:M,N2534)="No",IF(INDEX(Listado!N:N,N2534)=0,"",INDEX(Listado!N:N,N2534)),IF(INDEX(Listado!I:I,N2534)=0,"",INDEX(Listado!I:I,N2534)))),"")</f>
        <v/>
      </c>
      <c r="P2534" s="17">
        <f t="shared" ca="1" si="118"/>
        <v/>
      </c>
      <c r="Q2534" s="17">
        <f>IFERROR(IF(AND(N2534&lt;&gt;"",ISNUMBER(O2534),O2534&gt;0,O2534&gt;=TODAY()-90),1,0),0)</f>
        <v/>
      </c>
      <c r="R2534" s="17" t="str">
        <f t="shared" si="120"/>
        <v/>
      </c>
      <c r="S2534" s="17" t="str">
        <f>IF(INDEX(Listado!A:A,ROW())="","",INDEX(Listado!A:A,ROW()))</f>
        <v/>
      </c>
      <c r="T2534" s="17" t="str">
        <f ca="1">IF(INDEX(Listado!G:G,ROW())="","",INDEX(Listado!G:G,ROW()))</f>
        <v/>
      </c>
      <c r="U2534" s="17" t="str">
        <f>IF(INDEX(Listado!F:F,ROW())="","",INDEX(Listado!F:F,ROW()))</f>
        <v/>
      </c>
      <c r="V2534" s="17">
        <f>IF(COUNTA(INDEX(Listado!B:B,ROW()):INDEX(Listado!F:F,ROW()))&gt;0,1,0)</f>
        <v/>
      </c>
      <c r="W2534" s="17" t="str">
        <f>IF(INDEX(Listado!L:L,ROW())="","",INDEX(Listado!L:L,ROW()))</f>
        <v/>
      </c>
      <c r="X2534" s="17">
        <f>IF(N2534="","",IF(INDEX(Listado!$M:$M,N2534)="No","No","Sí"))</f>
        <v/>
      </c>
    </row>
    <row r="2535" spans="2:24" ht="14.25">
      <c r="N2535" s="17" t="str">
        <f>IF(V2535=0,"",IFERROR(LOOKUP(2,1/(INDEX(Listado!A:A,2):INDEX(Listado!A:A,ROW())&lt;&gt;""),ROW(INDEX(Listado!A:A,2):INDEX(Listado!A:A,ROW()))),""))</f>
        <v/>
      </c>
      <c r="O2535" s="17" t="str">
        <f>IFERROR(IF(N2535="","",IF(INDEX(Listado!M:M,N2535)="No",IF(INDEX(Listado!N:N,N2535)=0,"",INDEX(Listado!N:N,N2535)),IF(INDEX(Listado!I:I,N2535)=0,"",INDEX(Listado!I:I,N2535)))),"")</f>
        <v/>
      </c>
      <c r="P2535" s="17">
        <f t="shared" ca="1" si="118"/>
        <v/>
      </c>
      <c r="Q2535" s="17">
        <f>IFERROR(IF(AND(N2535&lt;&gt;"",ISNUMBER(O2535),O2535&gt;0,O2535&gt;=TODAY()-90),1,0),0)</f>
        <v/>
      </c>
      <c r="R2535" s="17" t="str">
        <f t="shared" si="120"/>
        <v/>
      </c>
      <c r="S2535" s="17" t="str">
        <f>IF(INDEX(Listado!A:A,ROW())="","",INDEX(Listado!A:A,ROW()))</f>
        <v/>
      </c>
      <c r="T2535" s="17" t="str">
        <f ca="1">IF(INDEX(Listado!G:G,ROW())="","",INDEX(Listado!G:G,ROW()))</f>
        <v/>
      </c>
      <c r="U2535" s="17" t="str">
        <f>IF(INDEX(Listado!F:F,ROW())="","",INDEX(Listado!F:F,ROW()))</f>
        <v/>
      </c>
      <c r="V2535" s="17">
        <f>IF(COUNTA(INDEX(Listado!B:B,ROW()):INDEX(Listado!F:F,ROW()))&gt;0,1,0)</f>
        <v/>
      </c>
      <c r="W2535" s="17" t="str">
        <f>IF(INDEX(Listado!L:L,ROW())="","",INDEX(Listado!L:L,ROW()))</f>
        <v/>
      </c>
      <c r="X2535" s="17">
        <f>IF(N2535="","",IF(INDEX(Listado!$M:$M,N2535)="No","No","Sí"))</f>
        <v/>
      </c>
    </row>
    <row r="2536" spans="2:24" ht="14.25">
      <c r="N2536" s="17" t="str">
        <f>IF(V2536=0,"",IFERROR(LOOKUP(2,1/(INDEX(Listado!A:A,2):INDEX(Listado!A:A,ROW())&lt;&gt;""),ROW(INDEX(Listado!A:A,2):INDEX(Listado!A:A,ROW()))),""))</f>
        <v/>
      </c>
      <c r="O2536" s="17" t="str">
        <f>IFERROR(IF(N2536="","",IF(INDEX(Listado!M:M,N2536)="No",IF(INDEX(Listado!N:N,N2536)=0,"",INDEX(Listado!N:N,N2536)),IF(INDEX(Listado!I:I,N2536)=0,"",INDEX(Listado!I:I,N2536)))),"")</f>
        <v/>
      </c>
      <c r="P2536" s="17">
        <f t="shared" ca="1" si="118"/>
        <v/>
      </c>
      <c r="Q2536" s="17">
        <f>IFERROR(IF(AND(N2536&lt;&gt;"",ISNUMBER(O2536),O2536&gt;0,O2536&gt;=TODAY()-90),1,0),0)</f>
        <v/>
      </c>
      <c r="R2536" s="17" t="str">
        <f t="shared" si="120"/>
        <v/>
      </c>
      <c r="S2536" s="17" t="str">
        <f>IF(INDEX(Listado!A:A,ROW())="","",INDEX(Listado!A:A,ROW()))</f>
        <v/>
      </c>
      <c r="T2536" s="17" t="str">
        <f ca="1">IF(INDEX(Listado!G:G,ROW())="","",INDEX(Listado!G:G,ROW()))</f>
        <v/>
      </c>
      <c r="U2536" s="17" t="str">
        <f>IF(INDEX(Listado!F:F,ROW())="","",INDEX(Listado!F:F,ROW()))</f>
        <v/>
      </c>
      <c r="V2536" s="17">
        <f>IF(COUNTA(INDEX(Listado!B:B,ROW()):INDEX(Listado!F:F,ROW()))&gt;0,1,0)</f>
        <v/>
      </c>
      <c r="W2536" s="17" t="str">
        <f>IF(INDEX(Listado!L:L,ROW())="","",INDEX(Listado!L:L,ROW()))</f>
        <v/>
      </c>
      <c r="X2536" s="17">
        <f>IF(N2536="","",IF(INDEX(Listado!$M:$M,N2536)="No","No","Sí"))</f>
        <v/>
      </c>
    </row>
    <row r="2537" spans="2:24" ht="14.25">
      <c r="N2537" s="17" t="str">
        <f>IF(V2537=0,"",IFERROR(LOOKUP(2,1/(INDEX(Listado!A:A,2):INDEX(Listado!A:A,ROW())&lt;&gt;""),ROW(INDEX(Listado!A:A,2):INDEX(Listado!A:A,ROW()))),""))</f>
        <v/>
      </c>
      <c r="O2537" s="17" t="str">
        <f>IFERROR(IF(N2537="","",IF(INDEX(Listado!M:M,N2537)="No",IF(INDEX(Listado!N:N,N2537)=0,"",INDEX(Listado!N:N,N2537)),IF(INDEX(Listado!I:I,N2537)=0,"",INDEX(Listado!I:I,N2537)))),"")</f>
        <v/>
      </c>
      <c r="P2537" s="17">
        <f t="shared" ca="1" si="118"/>
        <v/>
      </c>
      <c r="Q2537" s="17">
        <f>IFERROR(IF(AND(N2537&lt;&gt;"",ISNUMBER(O2537),O2537&gt;0,O2537&gt;=TODAY()-90),1,0),0)</f>
        <v/>
      </c>
      <c r="R2537" s="17" t="str">
        <f t="shared" si="120"/>
        <v/>
      </c>
      <c r="S2537" s="17" t="str">
        <f>IF(INDEX(Listado!A:A,ROW())="","",INDEX(Listado!A:A,ROW()))</f>
        <v/>
      </c>
      <c r="T2537" s="17" t="str">
        <f ca="1">IF(INDEX(Listado!G:G,ROW())="","",INDEX(Listado!G:G,ROW()))</f>
        <v/>
      </c>
      <c r="U2537" s="17" t="str">
        <f>IF(INDEX(Listado!F:F,ROW())="","",INDEX(Listado!F:F,ROW()))</f>
        <v/>
      </c>
      <c r="V2537" s="17">
        <f>IF(COUNTA(INDEX(Listado!B:B,ROW()):INDEX(Listado!F:F,ROW()))&gt;0,1,0)</f>
        <v/>
      </c>
      <c r="W2537" s="17" t="str">
        <f>IF(INDEX(Listado!L:L,ROW())="","",INDEX(Listado!L:L,ROW()))</f>
        <v/>
      </c>
      <c r="X2537" s="17">
        <f>IF(N2537="","",IF(INDEX(Listado!$M:$M,N2537)="No","No","Sí"))</f>
        <v/>
      </c>
    </row>
    <row r="2538" spans="2:24" ht="14.25">
      <c r="N2538" s="17" t="str">
        <f>IF(V2538=0,"",IFERROR(LOOKUP(2,1/(INDEX(Listado!A:A,2):INDEX(Listado!A:A,ROW())&lt;&gt;""),ROW(INDEX(Listado!A:A,2):INDEX(Listado!A:A,ROW()))),""))</f>
        <v/>
      </c>
      <c r="O2538" s="17" t="str">
        <f>IFERROR(IF(N2538="","",IF(INDEX(Listado!M:M,N2538)="No",IF(INDEX(Listado!N:N,N2538)=0,"",INDEX(Listado!N:N,N2538)),IF(INDEX(Listado!I:I,N2538)=0,"",INDEX(Listado!I:I,N2538)))),"")</f>
        <v/>
      </c>
      <c r="P2538" s="17">
        <f t="shared" ca="1" si="118"/>
        <v/>
      </c>
      <c r="Q2538" s="17">
        <f>IFERROR(IF(AND(N2538&lt;&gt;"",ISNUMBER(O2538),O2538&gt;0,O2538&gt;=TODAY()-90),1,0),0)</f>
        <v/>
      </c>
      <c r="R2538" s="17" t="str">
        <f t="shared" si="120"/>
        <v/>
      </c>
      <c r="S2538" s="17" t="str">
        <f>IF(INDEX(Listado!A:A,ROW())="","",INDEX(Listado!A:A,ROW()))</f>
        <v/>
      </c>
      <c r="T2538" s="17" t="str">
        <f ca="1">IF(INDEX(Listado!G:G,ROW())="","",INDEX(Listado!G:G,ROW()))</f>
        <v/>
      </c>
      <c r="U2538" s="17" t="str">
        <f>IF(INDEX(Listado!F:F,ROW())="","",INDEX(Listado!F:F,ROW()))</f>
        <v/>
      </c>
      <c r="V2538" s="17">
        <f>IF(COUNTA(INDEX(Listado!B:B,ROW()):INDEX(Listado!F:F,ROW()))&gt;0,1,0)</f>
        <v/>
      </c>
      <c r="W2538" s="17" t="str">
        <f>IF(INDEX(Listado!L:L,ROW())="","",INDEX(Listado!L:L,ROW()))</f>
        <v/>
      </c>
      <c r="X2538" s="17">
        <f>IF(N2538="","",IF(INDEX(Listado!$M:$M,N2538)="No","No","Sí"))</f>
        <v/>
      </c>
    </row>
    <row r="2539" spans="2:24" ht="14.25">
      <c r="N2539" s="17" t="str">
        <f>IF(V2539=0,"",IFERROR(LOOKUP(2,1/(INDEX(Listado!A:A,2):INDEX(Listado!A:A,ROW())&lt;&gt;""),ROW(INDEX(Listado!A:A,2):INDEX(Listado!A:A,ROW()))),""))</f>
        <v/>
      </c>
      <c r="O2539" s="17" t="str">
        <f>IFERROR(IF(N2539="","",IF(INDEX(Listado!M:M,N2539)="No",IF(INDEX(Listado!N:N,N2539)=0,"",INDEX(Listado!N:N,N2539)),IF(INDEX(Listado!I:I,N2539)=0,"",INDEX(Listado!I:I,N2539)))),"")</f>
        <v/>
      </c>
      <c r="P2539" s="17">
        <f t="shared" ca="1" si="118"/>
        <v/>
      </c>
      <c r="Q2539" s="17">
        <f>IFERROR(IF(AND(N2539&lt;&gt;"",ISNUMBER(O2539),O2539&gt;0,O2539&gt;=TODAY()-90),1,0),0)</f>
        <v/>
      </c>
      <c r="R2539" s="17" t="str">
        <f t="shared" si="120"/>
        <v/>
      </c>
      <c r="S2539" s="17" t="str">
        <f>IF(INDEX(Listado!A:A,ROW())="","",INDEX(Listado!A:A,ROW()))</f>
        <v/>
      </c>
      <c r="T2539" s="17" t="str">
        <f ca="1">IF(INDEX(Listado!G:G,ROW())="","",INDEX(Listado!G:G,ROW()))</f>
        <v/>
      </c>
      <c r="U2539" s="17" t="str">
        <f>IF(INDEX(Listado!F:F,ROW())="","",INDEX(Listado!F:F,ROW()))</f>
        <v/>
      </c>
      <c r="V2539" s="17">
        <f>IF(COUNTA(INDEX(Listado!B:B,ROW()):INDEX(Listado!F:F,ROW()))&gt;0,1,0)</f>
        <v/>
      </c>
      <c r="W2539" s="17" t="str">
        <f>IF(INDEX(Listado!L:L,ROW())="","",INDEX(Listado!L:L,ROW()))</f>
        <v/>
      </c>
      <c r="X2539" s="17">
        <f>IF(N2539="","",IF(INDEX(Listado!$M:$M,N2539)="No","No","Sí"))</f>
        <v/>
      </c>
    </row>
    <row r="2540" spans="2:24" ht="14.25">
      <c r="N2540" s="17" t="str">
        <f>IF(V2540=0,"",IFERROR(LOOKUP(2,1/(INDEX(Listado!A:A,2):INDEX(Listado!A:A,ROW())&lt;&gt;""),ROW(INDEX(Listado!A:A,2):INDEX(Listado!A:A,ROW()))),""))</f>
        <v/>
      </c>
      <c r="O2540" s="17" t="str">
        <f>IFERROR(IF(N2540="","",IF(INDEX(Listado!M:M,N2540)="No",IF(INDEX(Listado!N:N,N2540)=0,"",INDEX(Listado!N:N,N2540)),IF(INDEX(Listado!I:I,N2540)=0,"",INDEX(Listado!I:I,N2540)))),"")</f>
        <v/>
      </c>
      <c r="P2540" s="17">
        <f t="shared" ca="1" si="118"/>
        <v/>
      </c>
      <c r="Q2540" s="17">
        <f>IFERROR(IF(AND(N2540&lt;&gt;"",ISNUMBER(O2540),O2540&gt;0,O2540&gt;=TODAY()-90),1,0),0)</f>
        <v/>
      </c>
      <c r="R2540" s="17" t="str">
        <f t="shared" si="120"/>
        <v/>
      </c>
      <c r="S2540" s="17" t="str">
        <f>IF(INDEX(Listado!A:A,ROW())="","",INDEX(Listado!A:A,ROW()))</f>
        <v/>
      </c>
      <c r="T2540" s="17" t="str">
        <f ca="1">IF(INDEX(Listado!G:G,ROW())="","",INDEX(Listado!G:G,ROW()))</f>
        <v/>
      </c>
      <c r="U2540" s="17" t="str">
        <f>IF(INDEX(Listado!F:F,ROW())="","",INDEX(Listado!F:F,ROW()))</f>
        <v/>
      </c>
      <c r="V2540" s="17">
        <f>IF(COUNTA(INDEX(Listado!B:B,ROW()):INDEX(Listado!F:F,ROW()))&gt;0,1,0)</f>
        <v/>
      </c>
      <c r="W2540" s="17" t="str">
        <f>IF(INDEX(Listado!L:L,ROW())="","",INDEX(Listado!L:L,ROW()))</f>
        <v/>
      </c>
      <c r="X2540" s="17">
        <f>IF(N2540="","",IF(INDEX(Listado!$M:$M,N2540)="No","No","Sí"))</f>
        <v/>
      </c>
    </row>
    <row r="2541" spans="2:24" ht="14.25">
      <c r="N2541" s="17" t="str">
        <f>IF(V2541=0,"",IFERROR(LOOKUP(2,1/(INDEX(Listado!A:A,2):INDEX(Listado!A:A,ROW())&lt;&gt;""),ROW(INDEX(Listado!A:A,2):INDEX(Listado!A:A,ROW()))),""))</f>
        <v/>
      </c>
      <c r="O2541" s="17" t="str">
        <f>IFERROR(IF(N2541="","",IF(INDEX(Listado!M:M,N2541)="No",IF(INDEX(Listado!N:N,N2541)=0,"",INDEX(Listado!N:N,N2541)),IF(INDEX(Listado!I:I,N2541)=0,"",INDEX(Listado!I:I,N2541)))),"")</f>
        <v/>
      </c>
      <c r="P2541" s="17">
        <f t="shared" ca="1" si="118"/>
        <v/>
      </c>
      <c r="Q2541" s="17">
        <f>IFERROR(IF(AND(N2541&lt;&gt;"",ISNUMBER(O2541),O2541&gt;0,O2541&gt;=TODAY()-90),1,0),0)</f>
        <v/>
      </c>
      <c r="R2541" s="17" t="str">
        <f t="shared" si="120"/>
        <v/>
      </c>
      <c r="S2541" s="17" t="str">
        <f>IF(INDEX(Listado!A:A,ROW())="","",INDEX(Listado!A:A,ROW()))</f>
        <v/>
      </c>
      <c r="T2541" s="17" t="str">
        <f ca="1">IF(INDEX(Listado!G:G,ROW())="","",INDEX(Listado!G:G,ROW()))</f>
        <v/>
      </c>
      <c r="U2541" s="17" t="str">
        <f>IF(INDEX(Listado!F:F,ROW())="","",INDEX(Listado!F:F,ROW()))</f>
        <v/>
      </c>
      <c r="V2541" s="17">
        <f>IF(COUNTA(INDEX(Listado!B:B,ROW()):INDEX(Listado!F:F,ROW()))&gt;0,1,0)</f>
        <v/>
      </c>
      <c r="W2541" s="17" t="str">
        <f>IF(INDEX(Listado!L:L,ROW())="","",INDEX(Listado!L:L,ROW()))</f>
        <v/>
      </c>
      <c r="X2541" s="17">
        <f>IF(N2541="","",IF(INDEX(Listado!$M:$M,N2541)="No","No","Sí"))</f>
        <v/>
      </c>
    </row>
    <row r="2542" spans="2:24" ht="14.25">
      <c r="N2542" s="17" t="str">
        <f>IF(V2542=0,"",IFERROR(LOOKUP(2,1/(INDEX(Listado!A:A,2):INDEX(Listado!A:A,ROW())&lt;&gt;""),ROW(INDEX(Listado!A:A,2):INDEX(Listado!A:A,ROW()))),""))</f>
        <v/>
      </c>
      <c r="O2542" s="17" t="str">
        <f>IFERROR(IF(N2542="","",IF(INDEX(Listado!M:M,N2542)="No",IF(INDEX(Listado!N:N,N2542)=0,"",INDEX(Listado!N:N,N2542)),IF(INDEX(Listado!I:I,N2542)=0,"",INDEX(Listado!I:I,N2542)))),"")</f>
        <v/>
      </c>
      <c r="P2542" s="17">
        <f t="shared" ca="1" si="118"/>
        <v/>
      </c>
      <c r="Q2542" s="17">
        <f>IFERROR(IF(AND(N2542&lt;&gt;"",ISNUMBER(O2542),O2542&gt;0,O2542&gt;=TODAY()-90),1,0),0)</f>
        <v/>
      </c>
      <c r="R2542" s="17" t="str">
        <f t="shared" si="120"/>
        <v/>
      </c>
      <c r="S2542" s="17" t="str">
        <f>IF(INDEX(Listado!A:A,ROW())="","",INDEX(Listado!A:A,ROW()))</f>
        <v/>
      </c>
      <c r="T2542" s="17" t="str">
        <f ca="1">IF(INDEX(Listado!G:G,ROW())="","",INDEX(Listado!G:G,ROW()))</f>
        <v/>
      </c>
      <c r="U2542" s="17" t="str">
        <f>IF(INDEX(Listado!F:F,ROW())="","",INDEX(Listado!F:F,ROW()))</f>
        <v/>
      </c>
      <c r="V2542" s="17">
        <f>IF(COUNTA(INDEX(Listado!B:B,ROW()):INDEX(Listado!F:F,ROW()))&gt;0,1,0)</f>
        <v/>
      </c>
      <c r="W2542" s="17" t="str">
        <f>IF(INDEX(Listado!L:L,ROW())="","",INDEX(Listado!L:L,ROW()))</f>
        <v/>
      </c>
      <c r="X2542" s="17">
        <f>IF(N2542="","",IF(INDEX(Listado!$M:$M,N2542)="No","No","Sí"))</f>
        <v/>
      </c>
    </row>
    <row r="2543" spans="2:24" ht="14.25">
      <c r="N2543" s="17" t="str">
        <f>IF(V2543=0,"",IFERROR(LOOKUP(2,1/(INDEX(Listado!A:A,2):INDEX(Listado!A:A,ROW())&lt;&gt;""),ROW(INDEX(Listado!A:A,2):INDEX(Listado!A:A,ROW()))),""))</f>
        <v/>
      </c>
      <c r="O2543" s="17" t="str">
        <f>IFERROR(IF(N2543="","",IF(INDEX(Listado!M:M,N2543)="No",IF(INDEX(Listado!N:N,N2543)=0,"",INDEX(Listado!N:N,N2543)),IF(INDEX(Listado!I:I,N2543)=0,"",INDEX(Listado!I:I,N2543)))),"")</f>
        <v/>
      </c>
      <c r="P2543" s="17">
        <f t="shared" ca="1" si="118"/>
        <v/>
      </c>
      <c r="Q2543" s="17">
        <f>IFERROR(IF(AND(N2543&lt;&gt;"",ISNUMBER(O2543),O2543&gt;0,O2543&gt;=TODAY()-90),1,0),0)</f>
        <v/>
      </c>
      <c r="R2543" s="17" t="str">
        <f t="shared" si="120"/>
        <v/>
      </c>
      <c r="S2543" s="17" t="str">
        <f>IF(INDEX(Listado!A:A,ROW())="","",INDEX(Listado!A:A,ROW()))</f>
        <v/>
      </c>
      <c r="T2543" s="17" t="str">
        <f ca="1">IF(INDEX(Listado!G:G,ROW())="","",INDEX(Listado!G:G,ROW()))</f>
        <v/>
      </c>
      <c r="U2543" s="17" t="str">
        <f>IF(INDEX(Listado!F:F,ROW())="","",INDEX(Listado!F:F,ROW()))</f>
        <v/>
      </c>
      <c r="V2543" s="17">
        <f>IF(COUNTA(INDEX(Listado!B:B,ROW()):INDEX(Listado!F:F,ROW()))&gt;0,1,0)</f>
        <v/>
      </c>
      <c r="W2543" s="17" t="str">
        <f>IF(INDEX(Listado!L:L,ROW())="","",INDEX(Listado!L:L,ROW()))</f>
        <v/>
      </c>
      <c r="X2543" s="17">
        <f>IF(N2543="","",IF(INDEX(Listado!$M:$M,N2543)="No","No","Sí"))</f>
        <v/>
      </c>
    </row>
    <row r="2544" spans="2:24" ht="14.25">
      <c r="N2544" s="17" t="str">
        <f>IF(V2544=0,"",IFERROR(LOOKUP(2,1/(INDEX(Listado!A:A,2):INDEX(Listado!A:A,ROW())&lt;&gt;""),ROW(INDEX(Listado!A:A,2):INDEX(Listado!A:A,ROW()))),""))</f>
        <v/>
      </c>
      <c r="O2544" s="17" t="str">
        <f>IFERROR(IF(N2544="","",IF(INDEX(Listado!M:M,N2544)="No",IF(INDEX(Listado!N:N,N2544)=0,"",INDEX(Listado!N:N,N2544)),IF(INDEX(Listado!I:I,N2544)=0,"",INDEX(Listado!I:I,N2544)))),"")</f>
        <v/>
      </c>
      <c r="P2544" s="17">
        <f t="shared" ca="1" si="118"/>
        <v/>
      </c>
      <c r="Q2544" s="17">
        <f>IFERROR(IF(AND(N2544&lt;&gt;"",ISNUMBER(O2544),O2544&gt;0,O2544&gt;=TODAY()-90),1,0),0)</f>
        <v/>
      </c>
      <c r="R2544" s="17" t="str">
        <f t="shared" si="120"/>
        <v/>
      </c>
      <c r="S2544" s="17" t="str">
        <f>IF(INDEX(Listado!A:A,ROW())="","",INDEX(Listado!A:A,ROW()))</f>
        <v/>
      </c>
      <c r="T2544" s="17" t="str">
        <f ca="1">IF(INDEX(Listado!G:G,ROW())="","",INDEX(Listado!G:G,ROW()))</f>
        <v/>
      </c>
      <c r="U2544" s="17" t="str">
        <f>IF(INDEX(Listado!F:F,ROW())="","",INDEX(Listado!F:F,ROW()))</f>
        <v/>
      </c>
      <c r="V2544" s="17">
        <f>IF(COUNTA(INDEX(Listado!B:B,ROW()):INDEX(Listado!F:F,ROW()))&gt;0,1,0)</f>
        <v/>
      </c>
      <c r="W2544" s="17" t="str">
        <f>IF(INDEX(Listado!L:L,ROW())="","",INDEX(Listado!L:L,ROW()))</f>
        <v/>
      </c>
      <c r="X2544" s="17">
        <f>IF(N2544="","",IF(INDEX(Listado!$M:$M,N2544)="No","No","Sí"))</f>
        <v/>
      </c>
    </row>
    <row r="2545" spans="2:24" ht="14.25">
      <c r="N2545" s="17" t="str">
        <f>IF(V2545=0,"",IFERROR(LOOKUP(2,1/(INDEX(Listado!A:A,2):INDEX(Listado!A:A,ROW())&lt;&gt;""),ROW(INDEX(Listado!A:A,2):INDEX(Listado!A:A,ROW()))),""))</f>
        <v/>
      </c>
      <c r="O2545" s="17" t="str">
        <f>IFERROR(IF(N2545="","",IF(INDEX(Listado!M:M,N2545)="No",IF(INDEX(Listado!N:N,N2545)=0,"",INDEX(Listado!N:N,N2545)),IF(INDEX(Listado!I:I,N2545)=0,"",INDEX(Listado!I:I,N2545)))),"")</f>
        <v/>
      </c>
      <c r="P2545" s="17">
        <f t="shared" ca="1" si="118"/>
        <v/>
      </c>
      <c r="Q2545" s="17">
        <f>IFERROR(IF(AND(N2545&lt;&gt;"",ISNUMBER(O2545),O2545&gt;0,O2545&gt;=TODAY()-90),1,0),0)</f>
        <v/>
      </c>
      <c r="R2545" s="17" t="str">
        <f t="shared" si="120"/>
        <v/>
      </c>
      <c r="S2545" s="17" t="str">
        <f>IF(INDEX(Listado!A:A,ROW())="","",INDEX(Listado!A:A,ROW()))</f>
        <v/>
      </c>
      <c r="T2545" s="17" t="str">
        <f ca="1">IF(INDEX(Listado!G:G,ROW())="","",INDEX(Listado!G:G,ROW()))</f>
        <v/>
      </c>
      <c r="U2545" s="17" t="str">
        <f>IF(INDEX(Listado!F:F,ROW())="","",INDEX(Listado!F:F,ROW()))</f>
        <v/>
      </c>
      <c r="V2545" s="17">
        <f>IF(COUNTA(INDEX(Listado!B:B,ROW()):INDEX(Listado!F:F,ROW()))&gt;0,1,0)</f>
        <v/>
      </c>
      <c r="W2545" s="17" t="str">
        <f>IF(INDEX(Listado!L:L,ROW())="","",INDEX(Listado!L:L,ROW()))</f>
        <v/>
      </c>
      <c r="X2545" s="17">
        <f>IF(N2545="","",IF(INDEX(Listado!$M:$M,N2545)="No","No","Sí"))</f>
        <v/>
      </c>
    </row>
    <row r="2546" spans="2:24" ht="14.25">
      <c r="N2546" s="17" t="str">
        <f>IF(V2546=0,"",IFERROR(LOOKUP(2,1/(INDEX(Listado!A:A,2):INDEX(Listado!A:A,ROW())&lt;&gt;""),ROW(INDEX(Listado!A:A,2):INDEX(Listado!A:A,ROW()))),""))</f>
        <v/>
      </c>
      <c r="O2546" s="17" t="str">
        <f>IFERROR(IF(N2546="","",IF(INDEX(Listado!M:M,N2546)="No",IF(INDEX(Listado!N:N,N2546)=0,"",INDEX(Listado!N:N,N2546)),IF(INDEX(Listado!I:I,N2546)=0,"",INDEX(Listado!I:I,N2546)))),"")</f>
        <v/>
      </c>
      <c r="P2546" s="17">
        <f t="shared" ca="1" si="118"/>
        <v/>
      </c>
      <c r="Q2546" s="17">
        <f>IFERROR(IF(AND(N2546&lt;&gt;"",ISNUMBER(O2546),O2546&gt;0,O2546&gt;=TODAY()-90),1,0),0)</f>
        <v/>
      </c>
      <c r="R2546" s="17" t="str">
        <f t="shared" si="120"/>
        <v/>
      </c>
      <c r="S2546" s="17" t="str">
        <f>IF(INDEX(Listado!A:A,ROW())="","",INDEX(Listado!A:A,ROW()))</f>
        <v/>
      </c>
      <c r="T2546" s="17" t="str">
        <f ca="1">IF(INDEX(Listado!G:G,ROW())="","",INDEX(Listado!G:G,ROW()))</f>
        <v/>
      </c>
      <c r="U2546" s="17" t="str">
        <f>IF(INDEX(Listado!F:F,ROW())="","",INDEX(Listado!F:F,ROW()))</f>
        <v/>
      </c>
      <c r="V2546" s="17">
        <f>IF(COUNTA(INDEX(Listado!B:B,ROW()):INDEX(Listado!F:F,ROW()))&gt;0,1,0)</f>
        <v/>
      </c>
      <c r="W2546" s="17" t="str">
        <f>IF(INDEX(Listado!L:L,ROW())="","",INDEX(Listado!L:L,ROW()))</f>
        <v/>
      </c>
      <c r="X2546" s="17">
        <f>IF(N2546="","",IF(INDEX(Listado!$M:$M,N2546)="No","No","Sí"))</f>
        <v/>
      </c>
    </row>
    <row r="2547" spans="2:24" ht="14.25">
      <c r="N2547" s="17" t="str">
        <f>IF(V2547=0,"",IFERROR(LOOKUP(2,1/(INDEX(Listado!A:A,2):INDEX(Listado!A:A,ROW())&lt;&gt;""),ROW(INDEX(Listado!A:A,2):INDEX(Listado!A:A,ROW()))),""))</f>
        <v/>
      </c>
      <c r="O2547" s="17" t="str">
        <f>IFERROR(IF(N2547="","",IF(INDEX(Listado!M:M,N2547)="No",IF(INDEX(Listado!N:N,N2547)=0,"",INDEX(Listado!N:N,N2547)),IF(INDEX(Listado!I:I,N2547)=0,"",INDEX(Listado!I:I,N2547)))),"")</f>
        <v/>
      </c>
      <c r="P2547" s="17">
        <f t="shared" ca="1" si="118"/>
        <v/>
      </c>
      <c r="Q2547" s="17">
        <f>IFERROR(IF(AND(N2547&lt;&gt;"",ISNUMBER(O2547),O2547&gt;0,O2547&gt;=TODAY()-90),1,0),0)</f>
        <v/>
      </c>
      <c r="R2547" s="17" t="str">
        <f t="shared" si="120"/>
        <v/>
      </c>
      <c r="S2547" s="17" t="str">
        <f>IF(INDEX(Listado!A:A,ROW())="","",INDEX(Listado!A:A,ROW()))</f>
        <v/>
      </c>
      <c r="T2547" s="17" t="str">
        <f ca="1">IF(INDEX(Listado!G:G,ROW())="","",INDEX(Listado!G:G,ROW()))</f>
        <v/>
      </c>
      <c r="U2547" s="17" t="str">
        <f>IF(INDEX(Listado!F:F,ROW())="","",INDEX(Listado!F:F,ROW()))</f>
        <v/>
      </c>
      <c r="V2547" s="17">
        <f>IF(COUNTA(INDEX(Listado!B:B,ROW()):INDEX(Listado!F:F,ROW()))&gt;0,1,0)</f>
        <v/>
      </c>
      <c r="W2547" s="17" t="str">
        <f>IF(INDEX(Listado!L:L,ROW())="","",INDEX(Listado!L:L,ROW()))</f>
        <v/>
      </c>
      <c r="X2547" s="17">
        <f>IF(N2547="","",IF(INDEX(Listado!$M:$M,N2547)="No","No","Sí"))</f>
        <v/>
      </c>
    </row>
    <row r="2548" spans="2:24" ht="14.25">
      <c r="N2548" s="17" t="str">
        <f>IF(V2548=0,"",IFERROR(LOOKUP(2,1/(INDEX(Listado!A:A,2):INDEX(Listado!A:A,ROW())&lt;&gt;""),ROW(INDEX(Listado!A:A,2):INDEX(Listado!A:A,ROW()))),""))</f>
        <v/>
      </c>
      <c r="O2548" s="17" t="str">
        <f>IFERROR(IF(N2548="","",IF(INDEX(Listado!M:M,N2548)="No",IF(INDEX(Listado!N:N,N2548)=0,"",INDEX(Listado!N:N,N2548)),IF(INDEX(Listado!I:I,N2548)=0,"",INDEX(Listado!I:I,N2548)))),"")</f>
        <v/>
      </c>
      <c r="P2548" s="17">
        <f t="shared" ca="1" si="118"/>
        <v/>
      </c>
      <c r="Q2548" s="17">
        <f>IFERROR(IF(AND(N2548&lt;&gt;"",ISNUMBER(O2548),O2548&gt;0,O2548&gt;=TODAY()-90),1,0),0)</f>
        <v/>
      </c>
      <c r="R2548" s="17" t="str">
        <f t="shared" si="120"/>
        <v/>
      </c>
      <c r="S2548" s="17" t="str">
        <f>IF(INDEX(Listado!A:A,ROW())="","",INDEX(Listado!A:A,ROW()))</f>
        <v/>
      </c>
      <c r="T2548" s="17" t="str">
        <f ca="1">IF(INDEX(Listado!G:G,ROW())="","",INDEX(Listado!G:G,ROW()))</f>
        <v/>
      </c>
      <c r="U2548" s="17" t="str">
        <f>IF(INDEX(Listado!F:F,ROW())="","",INDEX(Listado!F:F,ROW()))</f>
        <v/>
      </c>
      <c r="V2548" s="17">
        <f>IF(COUNTA(INDEX(Listado!B:B,ROW()):INDEX(Listado!F:F,ROW()))&gt;0,1,0)</f>
        <v/>
      </c>
      <c r="W2548" s="17" t="str">
        <f>IF(INDEX(Listado!L:L,ROW())="","",INDEX(Listado!L:L,ROW()))</f>
        <v/>
      </c>
      <c r="X2548" s="17">
        <f>IF(N2548="","",IF(INDEX(Listado!$M:$M,N2548)="No","No","Sí"))</f>
        <v/>
      </c>
    </row>
    <row r="2549" spans="2:24" ht="14.25">
      <c r="N2549" s="17" t="str">
        <f>IF(V2549=0,"",IFERROR(LOOKUP(2,1/(INDEX(Listado!A:A,2):INDEX(Listado!A:A,ROW())&lt;&gt;""),ROW(INDEX(Listado!A:A,2):INDEX(Listado!A:A,ROW()))),""))</f>
        <v/>
      </c>
      <c r="O2549" s="17" t="str">
        <f>IFERROR(IF(N2549="","",IF(INDEX(Listado!M:M,N2549)="No",IF(INDEX(Listado!N:N,N2549)=0,"",INDEX(Listado!N:N,N2549)),IF(INDEX(Listado!I:I,N2549)=0,"",INDEX(Listado!I:I,N2549)))),"")</f>
        <v/>
      </c>
      <c r="P2549" s="17">
        <f t="shared" ca="1" si="118"/>
        <v/>
      </c>
      <c r="Q2549" s="17">
        <f>IFERROR(IF(AND(N2549&lt;&gt;"",ISNUMBER(O2549),O2549&gt;0,O2549&gt;=TODAY()-90),1,0),0)</f>
        <v/>
      </c>
      <c r="R2549" s="17" t="str">
        <f t="shared" si="120"/>
        <v/>
      </c>
      <c r="S2549" s="17" t="str">
        <f>IF(INDEX(Listado!A:A,ROW())="","",INDEX(Listado!A:A,ROW()))</f>
        <v/>
      </c>
      <c r="T2549" s="17" t="str">
        <f ca="1">IF(INDEX(Listado!G:G,ROW())="","",INDEX(Listado!G:G,ROW()))</f>
        <v/>
      </c>
      <c r="U2549" s="17" t="str">
        <f>IF(INDEX(Listado!F:F,ROW())="","",INDEX(Listado!F:F,ROW()))</f>
        <v/>
      </c>
      <c r="V2549" s="17">
        <f>IF(COUNTA(INDEX(Listado!B:B,ROW()):INDEX(Listado!F:F,ROW()))&gt;0,1,0)</f>
        <v/>
      </c>
      <c r="W2549" s="17" t="str">
        <f>IF(INDEX(Listado!L:L,ROW())="","",INDEX(Listado!L:L,ROW()))</f>
        <v/>
      </c>
      <c r="X2549" s="17">
        <f>IF(N2549="","",IF(INDEX(Listado!$M:$M,N2549)="No","No","Sí"))</f>
        <v/>
      </c>
    </row>
    <row r="2550" spans="2:24" ht="14.25">
      <c r="N2550" s="17" t="str">
        <f>IF(V2550=0,"",IFERROR(LOOKUP(2,1/(INDEX(Listado!A:A,2):INDEX(Listado!A:A,ROW())&lt;&gt;""),ROW(INDEX(Listado!A:A,2):INDEX(Listado!A:A,ROW()))),""))</f>
        <v/>
      </c>
      <c r="O2550" s="17" t="str">
        <f>IFERROR(IF(N2550="","",IF(INDEX(Listado!M:M,N2550)="No",IF(INDEX(Listado!N:N,N2550)=0,"",INDEX(Listado!N:N,N2550)),IF(INDEX(Listado!I:I,N2550)=0,"",INDEX(Listado!I:I,N2550)))),"")</f>
        <v/>
      </c>
      <c r="P2550" s="17">
        <f t="shared" ca="1" si="118"/>
        <v/>
      </c>
      <c r="Q2550" s="17">
        <f>IFERROR(IF(AND(N2550&lt;&gt;"",ISNUMBER(O2550),O2550&gt;0,O2550&gt;=TODAY()-90),1,0),0)</f>
        <v/>
      </c>
      <c r="R2550" s="17" t="str">
        <f t="shared" si="120"/>
        <v/>
      </c>
      <c r="S2550" s="17" t="str">
        <f>IF(INDEX(Listado!A:A,ROW())="","",INDEX(Listado!A:A,ROW()))</f>
        <v/>
      </c>
      <c r="T2550" s="17" t="str">
        <f ca="1">IF(INDEX(Listado!G:G,ROW())="","",INDEX(Listado!G:G,ROW()))</f>
        <v/>
      </c>
      <c r="U2550" s="17" t="str">
        <f>IF(INDEX(Listado!F:F,ROW())="","",INDEX(Listado!F:F,ROW()))</f>
        <v/>
      </c>
      <c r="V2550" s="17">
        <f>IF(COUNTA(INDEX(Listado!B:B,ROW()):INDEX(Listado!F:F,ROW()))&gt;0,1,0)</f>
        <v/>
      </c>
      <c r="W2550" s="17" t="str">
        <f>IF(INDEX(Listado!L:L,ROW())="","",INDEX(Listado!L:L,ROW()))</f>
        <v/>
      </c>
      <c r="X2550" s="17">
        <f>IF(N2550="","",IF(INDEX(Listado!$M:$M,N2550)="No","No","Sí"))</f>
        <v/>
      </c>
    </row>
    <row r="2551" spans="2:24" ht="14.25">
      <c r="N2551" s="17" t="str">
        <f>IF(V2551=0,"",IFERROR(LOOKUP(2,1/(INDEX(Listado!A:A,2):INDEX(Listado!A:A,ROW())&lt;&gt;""),ROW(INDEX(Listado!A:A,2):INDEX(Listado!A:A,ROW()))),""))</f>
        <v/>
      </c>
      <c r="O2551" s="17" t="str">
        <f>IFERROR(IF(N2551="","",IF(INDEX(Listado!M:M,N2551)="No",IF(INDEX(Listado!N:N,N2551)=0,"",INDEX(Listado!N:N,N2551)),IF(INDEX(Listado!I:I,N2551)=0,"",INDEX(Listado!I:I,N2551)))),"")</f>
        <v/>
      </c>
      <c r="P2551" s="17">
        <f t="shared" ca="1" si="118"/>
        <v/>
      </c>
      <c r="Q2551" s="17">
        <f>IFERROR(IF(AND(N2551&lt;&gt;"",ISNUMBER(O2551),O2551&gt;0,O2551&gt;=TODAY()-90),1,0),0)</f>
        <v/>
      </c>
      <c r="R2551" s="17" t="str">
        <f t="shared" si="120"/>
        <v/>
      </c>
      <c r="S2551" s="17" t="str">
        <f>IF(INDEX(Listado!A:A,ROW())="","",INDEX(Listado!A:A,ROW()))</f>
        <v/>
      </c>
      <c r="T2551" s="17" t="str">
        <f ca="1">IF(INDEX(Listado!G:G,ROW())="","",INDEX(Listado!G:G,ROW()))</f>
        <v/>
      </c>
      <c r="U2551" s="17" t="str">
        <f>IF(INDEX(Listado!F:F,ROW())="","",INDEX(Listado!F:F,ROW()))</f>
        <v/>
      </c>
      <c r="V2551" s="17">
        <f>IF(COUNTA(INDEX(Listado!B:B,ROW()):INDEX(Listado!F:F,ROW()))&gt;0,1,0)</f>
        <v/>
      </c>
      <c r="W2551" s="17" t="str">
        <f>IF(INDEX(Listado!L:L,ROW())="","",INDEX(Listado!L:L,ROW()))</f>
        <v/>
      </c>
      <c r="X2551" s="17">
        <f>IF(N2551="","",IF(INDEX(Listado!$M:$M,N2551)="No","No","Sí"))</f>
        <v/>
      </c>
    </row>
    <row r="2552" spans="2:24" ht="14.25">
      <c r="N2552" s="17" t="str">
        <f>IF(V2552=0,"",IFERROR(LOOKUP(2,1/(INDEX(Listado!A:A,2):INDEX(Listado!A:A,ROW())&lt;&gt;""),ROW(INDEX(Listado!A:A,2):INDEX(Listado!A:A,ROW()))),""))</f>
        <v/>
      </c>
      <c r="O2552" s="17" t="str">
        <f>IFERROR(IF(N2552="","",IF(INDEX(Listado!M:M,N2552)="No",IF(INDEX(Listado!N:N,N2552)=0,"",INDEX(Listado!N:N,N2552)),IF(INDEX(Listado!I:I,N2552)=0,"",INDEX(Listado!I:I,N2552)))),"")</f>
        <v/>
      </c>
      <c r="P2552" s="17">
        <f t="shared" ca="1" si="118"/>
        <v/>
      </c>
      <c r="Q2552" s="17">
        <f>IFERROR(IF(AND(N2552&lt;&gt;"",ISNUMBER(O2552),O2552&gt;0,O2552&gt;=TODAY()-90),1,0),0)</f>
        <v/>
      </c>
      <c r="R2552" s="17" t="str">
        <f t="shared" si="120"/>
        <v/>
      </c>
      <c r="S2552" s="17" t="str">
        <f>IF(INDEX(Listado!A:A,ROW())="","",INDEX(Listado!A:A,ROW()))</f>
        <v/>
      </c>
      <c r="T2552" s="17" t="str">
        <f ca="1">IF(INDEX(Listado!G:G,ROW())="","",INDEX(Listado!G:G,ROW()))</f>
        <v/>
      </c>
      <c r="U2552" s="17" t="str">
        <f>IF(INDEX(Listado!F:F,ROW())="","",INDEX(Listado!F:F,ROW()))</f>
        <v/>
      </c>
      <c r="V2552" s="17">
        <f>IF(COUNTA(INDEX(Listado!B:B,ROW()):INDEX(Listado!F:F,ROW()))&gt;0,1,0)</f>
        <v/>
      </c>
      <c r="W2552" s="17" t="str">
        <f>IF(INDEX(Listado!L:L,ROW())="","",INDEX(Listado!L:L,ROW()))</f>
        <v/>
      </c>
      <c r="X2552" s="17">
        <f>IF(N2552="","",IF(INDEX(Listado!$M:$M,N2552)="No","No","Sí"))</f>
        <v/>
      </c>
    </row>
    <row r="2553" spans="2:24" ht="14.25">
      <c r="N2553" s="17" t="str">
        <f>IF(V2553=0,"",IFERROR(LOOKUP(2,1/(INDEX(Listado!A:A,2):INDEX(Listado!A:A,ROW())&lt;&gt;""),ROW(INDEX(Listado!A:A,2):INDEX(Listado!A:A,ROW()))),""))</f>
        <v/>
      </c>
      <c r="O2553" s="17" t="str">
        <f>IFERROR(IF(N2553="","",IF(INDEX(Listado!M:M,N2553)="No",IF(INDEX(Listado!N:N,N2553)=0,"",INDEX(Listado!N:N,N2553)),IF(INDEX(Listado!I:I,N2553)=0,"",INDEX(Listado!I:I,N2553)))),"")</f>
        <v/>
      </c>
      <c r="P2553" s="17">
        <f t="shared" ca="1" si="118"/>
        <v/>
      </c>
      <c r="Q2553" s="17">
        <f>IFERROR(IF(AND(N2553&lt;&gt;"",ISNUMBER(O2553),O2553&gt;0,O2553&gt;=TODAY()-90),1,0),0)</f>
        <v/>
      </c>
      <c r="R2553" s="17" t="str">
        <f t="shared" si="120"/>
        <v/>
      </c>
      <c r="S2553" s="17" t="str">
        <f>IF(INDEX(Listado!A:A,ROW())="","",INDEX(Listado!A:A,ROW()))</f>
        <v/>
      </c>
      <c r="T2553" s="17" t="str">
        <f ca="1">IF(INDEX(Listado!G:G,ROW())="","",INDEX(Listado!G:G,ROW()))</f>
        <v/>
      </c>
      <c r="U2553" s="17" t="str">
        <f>IF(INDEX(Listado!F:F,ROW())="","",INDEX(Listado!F:F,ROW()))</f>
        <v/>
      </c>
      <c r="V2553" s="17">
        <f>IF(COUNTA(INDEX(Listado!B:B,ROW()):INDEX(Listado!F:F,ROW()))&gt;0,1,0)</f>
        <v/>
      </c>
      <c r="W2553" s="17" t="str">
        <f>IF(INDEX(Listado!L:L,ROW())="","",INDEX(Listado!L:L,ROW()))</f>
        <v/>
      </c>
      <c r="X2553" s="17">
        <f>IF(N2553="","",IF(INDEX(Listado!$M:$M,N2553)="No","No","Sí"))</f>
        <v/>
      </c>
    </row>
    <row r="2554" spans="2:24" ht="14.25">
      <c r="N2554" s="17" t="str">
        <f>IF(V2554=0,"",IFERROR(LOOKUP(2,1/(INDEX(Listado!A:A,2):INDEX(Listado!A:A,ROW())&lt;&gt;""),ROW(INDEX(Listado!A:A,2):INDEX(Listado!A:A,ROW()))),""))</f>
        <v/>
      </c>
      <c r="O2554" s="17" t="str">
        <f>IFERROR(IF(N2554="","",IF(INDEX(Listado!M:M,N2554)="No",IF(INDEX(Listado!N:N,N2554)=0,"",INDEX(Listado!N:N,N2554)),IF(INDEX(Listado!I:I,N2554)=0,"",INDEX(Listado!I:I,N2554)))),"")</f>
        <v/>
      </c>
      <c r="P2554" s="17">
        <f t="shared" ca="1" si="118"/>
        <v/>
      </c>
      <c r="Q2554" s="17">
        <f>IFERROR(IF(AND(N2554&lt;&gt;"",ISNUMBER(O2554),O2554&gt;0,O2554&gt;=TODAY()-90),1,0),0)</f>
        <v/>
      </c>
      <c r="R2554" s="17" t="str">
        <f t="shared" si="120"/>
        <v/>
      </c>
      <c r="S2554" s="17" t="str">
        <f>IF(INDEX(Listado!A:A,ROW())="","",INDEX(Listado!A:A,ROW()))</f>
        <v/>
      </c>
      <c r="T2554" s="17" t="str">
        <f ca="1">IF(INDEX(Listado!G:G,ROW())="","",INDEX(Listado!G:G,ROW()))</f>
        <v/>
      </c>
      <c r="U2554" s="17" t="str">
        <f>IF(INDEX(Listado!F:F,ROW())="","",INDEX(Listado!F:F,ROW()))</f>
        <v/>
      </c>
      <c r="V2554" s="17">
        <f>IF(COUNTA(INDEX(Listado!B:B,ROW()):INDEX(Listado!F:F,ROW()))&gt;0,1,0)</f>
        <v/>
      </c>
      <c r="W2554" s="17" t="str">
        <f>IF(INDEX(Listado!L:L,ROW())="","",INDEX(Listado!L:L,ROW()))</f>
        <v/>
      </c>
      <c r="X2554" s="17">
        <f>IF(N2554="","",IF(INDEX(Listado!$M:$M,N2554)="No","No","Sí"))</f>
        <v/>
      </c>
    </row>
    <row r="2555" spans="2:24" ht="14.25">
      <c r="N2555" s="17" t="str">
        <f>IF(V2555=0,"",IFERROR(LOOKUP(2,1/(INDEX(Listado!A:A,2):INDEX(Listado!A:A,ROW())&lt;&gt;""),ROW(INDEX(Listado!A:A,2):INDEX(Listado!A:A,ROW()))),""))</f>
        <v/>
      </c>
      <c r="O2555" s="17" t="str">
        <f>IFERROR(IF(N2555="","",IF(INDEX(Listado!M:M,N2555)="No",IF(INDEX(Listado!N:N,N2555)=0,"",INDEX(Listado!N:N,N2555)),IF(INDEX(Listado!I:I,N2555)=0,"",INDEX(Listado!I:I,N2555)))),"")</f>
        <v/>
      </c>
      <c r="P2555" s="17">
        <f t="shared" ca="1" si="118"/>
        <v/>
      </c>
      <c r="Q2555" s="17">
        <f>IFERROR(IF(AND(N2555&lt;&gt;"",ISNUMBER(O2555),O2555&gt;0,O2555&gt;=TODAY()-90),1,0),0)</f>
        <v/>
      </c>
      <c r="R2555" s="17" t="str">
        <f t="shared" si="120"/>
        <v/>
      </c>
      <c r="S2555" s="17" t="str">
        <f>IF(INDEX(Listado!A:A,ROW())="","",INDEX(Listado!A:A,ROW()))</f>
        <v/>
      </c>
      <c r="T2555" s="17" t="str">
        <f ca="1">IF(INDEX(Listado!G:G,ROW())="","",INDEX(Listado!G:G,ROW()))</f>
        <v/>
      </c>
      <c r="U2555" s="17" t="str">
        <f>IF(INDEX(Listado!F:F,ROW())="","",INDEX(Listado!F:F,ROW()))</f>
        <v/>
      </c>
      <c r="V2555" s="17">
        <f>IF(COUNTA(INDEX(Listado!B:B,ROW()):INDEX(Listado!F:F,ROW()))&gt;0,1,0)</f>
        <v/>
      </c>
      <c r="W2555" s="17" t="str">
        <f>IF(INDEX(Listado!L:L,ROW())="","",INDEX(Listado!L:L,ROW()))</f>
        <v/>
      </c>
      <c r="X2555" s="17">
        <f>IF(N2555="","",IF(INDEX(Listado!$M:$M,N2555)="No","No","Sí"))</f>
        <v/>
      </c>
    </row>
    <row r="2556" spans="2:24" ht="14.25">
      <c r="N2556" s="17" t="str">
        <f>IF(V2556=0,"",IFERROR(LOOKUP(2,1/(INDEX(Listado!A:A,2):INDEX(Listado!A:A,ROW())&lt;&gt;""),ROW(INDEX(Listado!A:A,2):INDEX(Listado!A:A,ROW()))),""))</f>
        <v/>
      </c>
      <c r="O2556" s="17" t="str">
        <f>IFERROR(IF(N2556="","",IF(INDEX(Listado!M:M,N2556)="No",IF(INDEX(Listado!N:N,N2556)=0,"",INDEX(Listado!N:N,N2556)),IF(INDEX(Listado!I:I,N2556)=0,"",INDEX(Listado!I:I,N2556)))),"")</f>
        <v/>
      </c>
      <c r="P2556" s="17">
        <f t="shared" ca="1" si="118"/>
        <v/>
      </c>
      <c r="Q2556" s="17">
        <f>IFERROR(IF(AND(N2556&lt;&gt;"",ISNUMBER(O2556),O2556&gt;0,O2556&gt;=TODAY()-90),1,0),0)</f>
        <v/>
      </c>
      <c r="R2556" s="17" t="str">
        <f t="shared" si="120"/>
        <v/>
      </c>
      <c r="S2556" s="17" t="str">
        <f>IF(INDEX(Listado!A:A,ROW())="","",INDEX(Listado!A:A,ROW()))</f>
        <v/>
      </c>
      <c r="T2556" s="17" t="str">
        <f ca="1">IF(INDEX(Listado!G:G,ROW())="","",INDEX(Listado!G:G,ROW()))</f>
        <v/>
      </c>
      <c r="U2556" s="17" t="str">
        <f>IF(INDEX(Listado!F:F,ROW())="","",INDEX(Listado!F:F,ROW()))</f>
        <v/>
      </c>
      <c r="V2556" s="17">
        <f>IF(COUNTA(INDEX(Listado!B:B,ROW()):INDEX(Listado!F:F,ROW()))&gt;0,1,0)</f>
        <v/>
      </c>
      <c r="W2556" s="17" t="str">
        <f>IF(INDEX(Listado!L:L,ROW())="","",INDEX(Listado!L:L,ROW()))</f>
        <v/>
      </c>
      <c r="X2556" s="17">
        <f>IF(N2556="","",IF(INDEX(Listado!$M:$M,N2556)="No","No","Sí"))</f>
        <v/>
      </c>
    </row>
    <row r="2557" spans="2:24" ht="14.25">
      <c r="N2557" s="17" t="str">
        <f>IF(V2557=0,"",IFERROR(LOOKUP(2,1/(INDEX(Listado!A:A,2):INDEX(Listado!A:A,ROW())&lt;&gt;""),ROW(INDEX(Listado!A:A,2):INDEX(Listado!A:A,ROW()))),""))</f>
        <v/>
      </c>
      <c r="O2557" s="17" t="str">
        <f>IFERROR(IF(N2557="","",IF(INDEX(Listado!M:M,N2557)="No",IF(INDEX(Listado!N:N,N2557)=0,"",INDEX(Listado!N:N,N2557)),IF(INDEX(Listado!I:I,N2557)=0,"",INDEX(Listado!I:I,N2557)))),"")</f>
        <v/>
      </c>
      <c r="P2557" s="17">
        <f t="shared" ca="1" si="118"/>
        <v/>
      </c>
      <c r="Q2557" s="17">
        <f>IFERROR(IF(AND(N2557&lt;&gt;"",ISNUMBER(O2557),O2557&gt;0,O2557&gt;=TODAY()-90),1,0),0)</f>
        <v/>
      </c>
      <c r="R2557" s="17" t="str">
        <f t="shared" si="120"/>
        <v/>
      </c>
      <c r="S2557" s="17" t="str">
        <f>IF(INDEX(Listado!A:A,ROW())="","",INDEX(Listado!A:A,ROW()))</f>
        <v/>
      </c>
      <c r="T2557" s="17" t="str">
        <f ca="1">IF(INDEX(Listado!G:G,ROW())="","",INDEX(Listado!G:G,ROW()))</f>
        <v/>
      </c>
      <c r="U2557" s="17" t="str">
        <f>IF(INDEX(Listado!F:F,ROW())="","",INDEX(Listado!F:F,ROW()))</f>
        <v/>
      </c>
      <c r="V2557" s="17">
        <f>IF(COUNTA(INDEX(Listado!B:B,ROW()):INDEX(Listado!F:F,ROW()))&gt;0,1,0)</f>
        <v/>
      </c>
      <c r="W2557" s="17" t="str">
        <f>IF(INDEX(Listado!L:L,ROW())="","",INDEX(Listado!L:L,ROW()))</f>
        <v/>
      </c>
      <c r="X2557" s="17">
        <f>IF(N2557="","",IF(INDEX(Listado!$M:$M,N2557)="No","No","Sí"))</f>
        <v/>
      </c>
    </row>
    <row r="2558" spans="2:24" ht="14.25">
      <c r="N2558" s="17" t="str">
        <f>IF(V2558=0,"",IFERROR(LOOKUP(2,1/(INDEX(Listado!A:A,2):INDEX(Listado!A:A,ROW())&lt;&gt;""),ROW(INDEX(Listado!A:A,2):INDEX(Listado!A:A,ROW()))),""))</f>
        <v/>
      </c>
      <c r="O2558" s="17" t="str">
        <f>IFERROR(IF(N2558="","",IF(INDEX(Listado!M:M,N2558)="No",IF(INDEX(Listado!N:N,N2558)=0,"",INDEX(Listado!N:N,N2558)),IF(INDEX(Listado!I:I,N2558)=0,"",INDEX(Listado!I:I,N2558)))),"")</f>
        <v/>
      </c>
      <c r="P2558" s="17">
        <f t="shared" ca="1" si="118"/>
        <v/>
      </c>
      <c r="Q2558" s="17">
        <f>IFERROR(IF(AND(N2558&lt;&gt;"",ISNUMBER(O2558),O2558&gt;0,O2558&gt;=TODAY()-90),1,0),0)</f>
        <v/>
      </c>
      <c r="R2558" s="17" t="str">
        <f t="shared" si="120"/>
        <v/>
      </c>
      <c r="S2558" s="17" t="str">
        <f>IF(INDEX(Listado!A:A,ROW())="","",INDEX(Listado!A:A,ROW()))</f>
        <v/>
      </c>
      <c r="T2558" s="17" t="str">
        <f ca="1">IF(INDEX(Listado!G:G,ROW())="","",INDEX(Listado!G:G,ROW()))</f>
        <v/>
      </c>
      <c r="U2558" s="17" t="str">
        <f>IF(INDEX(Listado!F:F,ROW())="","",INDEX(Listado!F:F,ROW()))</f>
        <v/>
      </c>
      <c r="V2558" s="17">
        <f>IF(COUNTA(INDEX(Listado!B:B,ROW()):INDEX(Listado!F:F,ROW()))&gt;0,1,0)</f>
        <v/>
      </c>
      <c r="W2558" s="17" t="str">
        <f>IF(INDEX(Listado!L:L,ROW())="","",INDEX(Listado!L:L,ROW()))</f>
        <v/>
      </c>
      <c r="X2558" s="17">
        <f>IF(N2558="","",IF(INDEX(Listado!$M:$M,N2558)="No","No","Sí"))</f>
        <v/>
      </c>
    </row>
    <row r="2559" spans="2:24" ht="14.25">
      <c r="N2559" s="17" t="str">
        <f>IF(V2559=0,"",IFERROR(LOOKUP(2,1/(INDEX(Listado!A:A,2):INDEX(Listado!A:A,ROW())&lt;&gt;""),ROW(INDEX(Listado!A:A,2):INDEX(Listado!A:A,ROW()))),""))</f>
        <v/>
      </c>
      <c r="O2559" s="17" t="str">
        <f>IFERROR(IF(N2559="","",IF(INDEX(Listado!M:M,N2559)="No",IF(INDEX(Listado!N:N,N2559)=0,"",INDEX(Listado!N:N,N2559)),IF(INDEX(Listado!I:I,N2559)=0,"",INDEX(Listado!I:I,N2559)))),"")</f>
        <v/>
      </c>
      <c r="P2559" s="17">
        <f t="shared" ca="1" si="118"/>
        <v/>
      </c>
      <c r="Q2559" s="17">
        <f>IFERROR(IF(AND(N2559&lt;&gt;"",ISNUMBER(O2559),O2559&gt;0,O2559&gt;=TODAY()-90),1,0),0)</f>
        <v/>
      </c>
      <c r="R2559" s="17" t="str">
        <f t="shared" si="120"/>
        <v/>
      </c>
      <c r="S2559" s="17" t="str">
        <f>IF(INDEX(Listado!A:A,ROW())="","",INDEX(Listado!A:A,ROW()))</f>
        <v/>
      </c>
      <c r="T2559" s="17" t="str">
        <f ca="1">IF(INDEX(Listado!G:G,ROW())="","",INDEX(Listado!G:G,ROW()))</f>
        <v/>
      </c>
      <c r="U2559" s="17" t="str">
        <f>IF(INDEX(Listado!F:F,ROW())="","",INDEX(Listado!F:F,ROW()))</f>
        <v/>
      </c>
      <c r="V2559" s="17">
        <f>IF(COUNTA(INDEX(Listado!B:B,ROW()):INDEX(Listado!F:F,ROW()))&gt;0,1,0)</f>
        <v/>
      </c>
      <c r="W2559" s="17" t="str">
        <f>IF(INDEX(Listado!L:L,ROW())="","",INDEX(Listado!L:L,ROW()))</f>
        <v/>
      </c>
      <c r="X2559" s="17">
        <f>IF(N2559="","",IF(INDEX(Listado!$M:$M,N2559)="No","No","Sí"))</f>
        <v/>
      </c>
    </row>
    <row r="2560" spans="2:24" ht="14.25">
      <c r="N2560" s="17" t="str">
        <f>IF(V2560=0,"",IFERROR(LOOKUP(2,1/(INDEX(Listado!A:A,2):INDEX(Listado!A:A,ROW())&lt;&gt;""),ROW(INDEX(Listado!A:A,2):INDEX(Listado!A:A,ROW()))),""))</f>
        <v/>
      </c>
      <c r="O2560" s="17" t="str">
        <f>IFERROR(IF(N2560="","",IF(INDEX(Listado!M:M,N2560)="No",IF(INDEX(Listado!N:N,N2560)=0,"",INDEX(Listado!N:N,N2560)),IF(INDEX(Listado!I:I,N2560)=0,"",INDEX(Listado!I:I,N2560)))),"")</f>
        <v/>
      </c>
      <c r="P2560" s="17">
        <f t="shared" ca="1" si="118"/>
        <v/>
      </c>
      <c r="Q2560" s="17">
        <f>IFERROR(IF(AND(N2560&lt;&gt;"",ISNUMBER(O2560),O2560&gt;0,O2560&gt;=TODAY()-90),1,0),0)</f>
        <v/>
      </c>
      <c r="R2560" s="17" t="str">
        <f t="shared" si="120"/>
        <v/>
      </c>
      <c r="S2560" s="17" t="str">
        <f>IF(INDEX(Listado!A:A,ROW())="","",INDEX(Listado!A:A,ROW()))</f>
        <v/>
      </c>
      <c r="T2560" s="17" t="str">
        <f ca="1">IF(INDEX(Listado!G:G,ROW())="","",INDEX(Listado!G:G,ROW()))</f>
        <v/>
      </c>
      <c r="U2560" s="17" t="str">
        <f>IF(INDEX(Listado!F:F,ROW())="","",INDEX(Listado!F:F,ROW()))</f>
        <v/>
      </c>
      <c r="V2560" s="17">
        <f>IF(COUNTA(INDEX(Listado!B:B,ROW()):INDEX(Listado!F:F,ROW()))&gt;0,1,0)</f>
        <v/>
      </c>
      <c r="W2560" s="17" t="str">
        <f>IF(INDEX(Listado!L:L,ROW())="","",INDEX(Listado!L:L,ROW()))</f>
        <v/>
      </c>
      <c r="X2560" s="17">
        <f>IF(N2560="","",IF(INDEX(Listado!$M:$M,N2560)="No","No","Sí"))</f>
        <v/>
      </c>
    </row>
    <row r="2561" spans="2:24" ht="14.25">
      <c r="N2561" s="17" t="str">
        <f>IF(V2561=0,"",IFERROR(LOOKUP(2,1/(INDEX(Listado!A:A,2):INDEX(Listado!A:A,ROW())&lt;&gt;""),ROW(INDEX(Listado!A:A,2):INDEX(Listado!A:A,ROW()))),""))</f>
        <v/>
      </c>
      <c r="O2561" s="17" t="str">
        <f>IFERROR(IF(N2561="","",IF(INDEX(Listado!M:M,N2561)="No",IF(INDEX(Listado!N:N,N2561)=0,"",INDEX(Listado!N:N,N2561)),IF(INDEX(Listado!I:I,N2561)=0,"",INDEX(Listado!I:I,N2561)))),"")</f>
        <v/>
      </c>
      <c r="P2561" s="17">
        <f t="shared" ca="1" si="118"/>
        <v/>
      </c>
      <c r="Q2561" s="17">
        <f>IFERROR(IF(AND(N2561&lt;&gt;"",ISNUMBER(O2561),O2561&gt;0,O2561&gt;=TODAY()-90),1,0),0)</f>
        <v/>
      </c>
      <c r="R2561" s="17" t="str">
        <f t="shared" si="120"/>
        <v/>
      </c>
      <c r="S2561" s="17" t="str">
        <f>IF(INDEX(Listado!A:A,ROW())="","",INDEX(Listado!A:A,ROW()))</f>
        <v/>
      </c>
      <c r="T2561" s="17" t="str">
        <f ca="1">IF(INDEX(Listado!G:G,ROW())="","",INDEX(Listado!G:G,ROW()))</f>
        <v/>
      </c>
      <c r="U2561" s="17" t="str">
        <f>IF(INDEX(Listado!F:F,ROW())="","",INDEX(Listado!F:F,ROW()))</f>
        <v/>
      </c>
      <c r="V2561" s="17">
        <f>IF(COUNTA(INDEX(Listado!B:B,ROW()):INDEX(Listado!F:F,ROW()))&gt;0,1,0)</f>
        <v/>
      </c>
      <c r="W2561" s="17" t="str">
        <f>IF(INDEX(Listado!L:L,ROW())="","",INDEX(Listado!L:L,ROW()))</f>
        <v/>
      </c>
      <c r="X2561" s="17">
        <f>IF(N2561="","",IF(INDEX(Listado!$M:$M,N2561)="No","No","Sí"))</f>
        <v/>
      </c>
    </row>
    <row r="2562" spans="2:24" ht="14.25">
      <c r="N2562" s="17" t="str">
        <f>IF(V2562=0,"",IFERROR(LOOKUP(2,1/(INDEX(Listado!A:A,2):INDEX(Listado!A:A,ROW())&lt;&gt;""),ROW(INDEX(Listado!A:A,2):INDEX(Listado!A:A,ROW()))),""))</f>
        <v/>
      </c>
      <c r="O2562" s="17" t="str">
        <f>IFERROR(IF(N2562="","",IF(INDEX(Listado!M:M,N2562)="No",IF(INDEX(Listado!N:N,N2562)=0,"",INDEX(Listado!N:N,N2562)),IF(INDEX(Listado!I:I,N2562)=0,"",INDEX(Listado!I:I,N2562)))),"")</f>
        <v/>
      </c>
      <c r="P2562" s="17">
        <f t="shared" ref="P2562:P2625" ca="1" si="121">IF(W2562="",0,IFERROR(IF(AND(ISNUMBER(W2562),W2562=INT(W2562),ISNUMBER(O2562),O2562&gt;0,W2562&gt;=TODAY(),W2562&lt;=O2562+90),0,1),1))</f>
        <v/>
      </c>
      <c r="Q2562" s="17">
        <f>IFERROR(IF(AND(N2562&lt;&gt;"",ISNUMBER(O2562),O2562&gt;0,O2562&gt;=TODAY()-90),1,0),0)</f>
        <v/>
      </c>
      <c r="R2562" s="17" t="str">
        <f t="shared" ref="R2562:R2625" si="123">IF(S2562="","",COUNTIFS($N$2:$N$2999,ROW(),$Q$2:$Q$2999,1))</f>
        <v/>
      </c>
      <c r="S2562" s="17" t="str">
        <f>IF(INDEX(Listado!A:A,ROW())="","",INDEX(Listado!A:A,ROW()))</f>
        <v/>
      </c>
      <c r="T2562" s="17" t="str">
        <f ca="1">IF(INDEX(Listado!G:G,ROW())="","",INDEX(Listado!G:G,ROW()))</f>
        <v/>
      </c>
      <c r="U2562" s="17" t="str">
        <f>IF(INDEX(Listado!F:F,ROW())="","",INDEX(Listado!F:F,ROW()))</f>
        <v/>
      </c>
      <c r="V2562" s="17">
        <f>IF(COUNTA(INDEX(Listado!B:B,ROW()):INDEX(Listado!F:F,ROW()))&gt;0,1,0)</f>
        <v/>
      </c>
      <c r="W2562" s="17" t="str">
        <f>IF(INDEX(Listado!L:L,ROW())="","",INDEX(Listado!L:L,ROW()))</f>
        <v/>
      </c>
      <c r="X2562" s="17">
        <f>IF(N2562="","",IF(INDEX(Listado!$M:$M,N2562)="No","No","Sí"))</f>
        <v/>
      </c>
    </row>
    <row r="2563" spans="2:24" ht="14.25">
      <c r="N2563" s="17" t="str">
        <f>IF(V2563=0,"",IFERROR(LOOKUP(2,1/(INDEX(Listado!A:A,2):INDEX(Listado!A:A,ROW())&lt;&gt;""),ROW(INDEX(Listado!A:A,2):INDEX(Listado!A:A,ROW()))),""))</f>
        <v/>
      </c>
      <c r="O2563" s="17" t="str">
        <f>IFERROR(IF(N2563="","",IF(INDEX(Listado!M:M,N2563)="No",IF(INDEX(Listado!N:N,N2563)=0,"",INDEX(Listado!N:N,N2563)),IF(INDEX(Listado!I:I,N2563)=0,"",INDEX(Listado!I:I,N2563)))),"")</f>
        <v/>
      </c>
      <c r="P2563" s="17">
        <f t="shared" ca="1" si="121"/>
        <v/>
      </c>
      <c r="Q2563" s="17">
        <f>IFERROR(IF(AND(N2563&lt;&gt;"",ISNUMBER(O2563),O2563&gt;0,O2563&gt;=TODAY()-90),1,0),0)</f>
        <v/>
      </c>
      <c r="R2563" s="17" t="str">
        <f t="shared" si="123"/>
        <v/>
      </c>
      <c r="S2563" s="17" t="str">
        <f>IF(INDEX(Listado!A:A,ROW())="","",INDEX(Listado!A:A,ROW()))</f>
        <v/>
      </c>
      <c r="T2563" s="17" t="str">
        <f ca="1">IF(INDEX(Listado!G:G,ROW())="","",INDEX(Listado!G:G,ROW()))</f>
        <v/>
      </c>
      <c r="U2563" s="17" t="str">
        <f>IF(INDEX(Listado!F:F,ROW())="","",INDEX(Listado!F:F,ROW()))</f>
        <v/>
      </c>
      <c r="V2563" s="17">
        <f>IF(COUNTA(INDEX(Listado!B:B,ROW()):INDEX(Listado!F:F,ROW()))&gt;0,1,0)</f>
        <v/>
      </c>
      <c r="W2563" s="17" t="str">
        <f>IF(INDEX(Listado!L:L,ROW())="","",INDEX(Listado!L:L,ROW()))</f>
        <v/>
      </c>
      <c r="X2563" s="17">
        <f>IF(N2563="","",IF(INDEX(Listado!$M:$M,N2563)="No","No","Sí"))</f>
        <v/>
      </c>
    </row>
    <row r="2564" spans="2:24" ht="14.25">
      <c r="N2564" s="17" t="str">
        <f>IF(V2564=0,"",IFERROR(LOOKUP(2,1/(INDEX(Listado!A:A,2):INDEX(Listado!A:A,ROW())&lt;&gt;""),ROW(INDEX(Listado!A:A,2):INDEX(Listado!A:A,ROW()))),""))</f>
        <v/>
      </c>
      <c r="O2564" s="17" t="str">
        <f>IFERROR(IF(N2564="","",IF(INDEX(Listado!M:M,N2564)="No",IF(INDEX(Listado!N:N,N2564)=0,"",INDEX(Listado!N:N,N2564)),IF(INDEX(Listado!I:I,N2564)=0,"",INDEX(Listado!I:I,N2564)))),"")</f>
        <v/>
      </c>
      <c r="P2564" s="17">
        <f t="shared" ca="1" si="121"/>
        <v/>
      </c>
      <c r="Q2564" s="17">
        <f>IFERROR(IF(AND(N2564&lt;&gt;"",ISNUMBER(O2564),O2564&gt;0,O2564&gt;=TODAY()-90),1,0),0)</f>
        <v/>
      </c>
      <c r="R2564" s="17" t="str">
        <f t="shared" si="123"/>
        <v/>
      </c>
      <c r="S2564" s="17" t="str">
        <f>IF(INDEX(Listado!A:A,ROW())="","",INDEX(Listado!A:A,ROW()))</f>
        <v/>
      </c>
      <c r="T2564" s="17" t="str">
        <f ca="1">IF(INDEX(Listado!G:G,ROW())="","",INDEX(Listado!G:G,ROW()))</f>
        <v/>
      </c>
      <c r="U2564" s="17" t="str">
        <f>IF(INDEX(Listado!F:F,ROW())="","",INDEX(Listado!F:F,ROW()))</f>
        <v/>
      </c>
      <c r="V2564" s="17">
        <f>IF(COUNTA(INDEX(Listado!B:B,ROW()):INDEX(Listado!F:F,ROW()))&gt;0,1,0)</f>
        <v/>
      </c>
      <c r="W2564" s="17" t="str">
        <f>IF(INDEX(Listado!L:L,ROW())="","",INDEX(Listado!L:L,ROW()))</f>
        <v/>
      </c>
      <c r="X2564" s="17">
        <f>IF(N2564="","",IF(INDEX(Listado!$M:$M,N2564)="No","No","Sí"))</f>
        <v/>
      </c>
    </row>
    <row r="2565" spans="2:24" ht="14.25">
      <c r="N2565" s="17" t="str">
        <f>IF(V2565=0,"",IFERROR(LOOKUP(2,1/(INDEX(Listado!A:A,2):INDEX(Listado!A:A,ROW())&lt;&gt;""),ROW(INDEX(Listado!A:A,2):INDEX(Listado!A:A,ROW()))),""))</f>
        <v/>
      </c>
      <c r="O2565" s="17" t="str">
        <f>IFERROR(IF(N2565="","",IF(INDEX(Listado!M:M,N2565)="No",IF(INDEX(Listado!N:N,N2565)=0,"",INDEX(Listado!N:N,N2565)),IF(INDEX(Listado!I:I,N2565)=0,"",INDEX(Listado!I:I,N2565)))),"")</f>
        <v/>
      </c>
      <c r="P2565" s="17">
        <f t="shared" ca="1" si="121"/>
        <v/>
      </c>
      <c r="Q2565" s="17">
        <f>IFERROR(IF(AND(N2565&lt;&gt;"",ISNUMBER(O2565),O2565&gt;0,O2565&gt;=TODAY()-90),1,0),0)</f>
        <v/>
      </c>
      <c r="R2565" s="17" t="str">
        <f t="shared" si="123"/>
        <v/>
      </c>
      <c r="S2565" s="17" t="str">
        <f>IF(INDEX(Listado!A:A,ROW())="","",INDEX(Listado!A:A,ROW()))</f>
        <v/>
      </c>
      <c r="T2565" s="17" t="str">
        <f ca="1">IF(INDEX(Listado!G:G,ROW())="","",INDEX(Listado!G:G,ROW()))</f>
        <v/>
      </c>
      <c r="U2565" s="17" t="str">
        <f>IF(INDEX(Listado!F:F,ROW())="","",INDEX(Listado!F:F,ROW()))</f>
        <v/>
      </c>
      <c r="V2565" s="17">
        <f>IF(COUNTA(INDEX(Listado!B:B,ROW()):INDEX(Listado!F:F,ROW()))&gt;0,1,0)</f>
        <v/>
      </c>
      <c r="W2565" s="17" t="str">
        <f>IF(INDEX(Listado!L:L,ROW())="","",INDEX(Listado!L:L,ROW()))</f>
        <v/>
      </c>
      <c r="X2565" s="17">
        <f>IF(N2565="","",IF(INDEX(Listado!$M:$M,N2565)="No","No","Sí"))</f>
        <v/>
      </c>
    </row>
    <row r="2566" spans="2:24" ht="14.25">
      <c r="N2566" s="17" t="str">
        <f>IF(V2566=0,"",IFERROR(LOOKUP(2,1/(INDEX(Listado!A:A,2):INDEX(Listado!A:A,ROW())&lt;&gt;""),ROW(INDEX(Listado!A:A,2):INDEX(Listado!A:A,ROW()))),""))</f>
        <v/>
      </c>
      <c r="O2566" s="17" t="str">
        <f>IFERROR(IF(N2566="","",IF(INDEX(Listado!M:M,N2566)="No",IF(INDEX(Listado!N:N,N2566)=0,"",INDEX(Listado!N:N,N2566)),IF(INDEX(Listado!I:I,N2566)=0,"",INDEX(Listado!I:I,N2566)))),"")</f>
        <v/>
      </c>
      <c r="P2566" s="17">
        <f t="shared" ca="1" si="121"/>
        <v/>
      </c>
      <c r="Q2566" s="17">
        <f>IFERROR(IF(AND(N2566&lt;&gt;"",ISNUMBER(O2566),O2566&gt;0,O2566&gt;=TODAY()-90),1,0),0)</f>
        <v/>
      </c>
      <c r="R2566" s="17" t="str">
        <f t="shared" si="123"/>
        <v/>
      </c>
      <c r="S2566" s="17" t="str">
        <f>IF(INDEX(Listado!A:A,ROW())="","",INDEX(Listado!A:A,ROW()))</f>
        <v/>
      </c>
      <c r="T2566" s="17" t="str">
        <f ca="1">IF(INDEX(Listado!G:G,ROW())="","",INDEX(Listado!G:G,ROW()))</f>
        <v/>
      </c>
      <c r="U2566" s="17" t="str">
        <f>IF(INDEX(Listado!F:F,ROW())="","",INDEX(Listado!F:F,ROW()))</f>
        <v/>
      </c>
      <c r="V2566" s="17">
        <f>IF(COUNTA(INDEX(Listado!B:B,ROW()):INDEX(Listado!F:F,ROW()))&gt;0,1,0)</f>
        <v/>
      </c>
      <c r="W2566" s="17" t="str">
        <f>IF(INDEX(Listado!L:L,ROW())="","",INDEX(Listado!L:L,ROW()))</f>
        <v/>
      </c>
      <c r="X2566" s="17">
        <f>IF(N2566="","",IF(INDEX(Listado!$M:$M,N2566)="No","No","Sí"))</f>
        <v/>
      </c>
    </row>
    <row r="2567" spans="2:24" ht="14.25">
      <c r="N2567" s="17" t="str">
        <f>IF(V2567=0,"",IFERROR(LOOKUP(2,1/(INDEX(Listado!A:A,2):INDEX(Listado!A:A,ROW())&lt;&gt;""),ROW(INDEX(Listado!A:A,2):INDEX(Listado!A:A,ROW()))),""))</f>
        <v/>
      </c>
      <c r="O2567" s="17" t="str">
        <f>IFERROR(IF(N2567="","",IF(INDEX(Listado!M:M,N2567)="No",IF(INDEX(Listado!N:N,N2567)=0,"",INDEX(Listado!N:N,N2567)),IF(INDEX(Listado!I:I,N2567)=0,"",INDEX(Listado!I:I,N2567)))),"")</f>
        <v/>
      </c>
      <c r="P2567" s="17">
        <f t="shared" ca="1" si="121"/>
        <v/>
      </c>
      <c r="Q2567" s="17">
        <f>IFERROR(IF(AND(N2567&lt;&gt;"",ISNUMBER(O2567),O2567&gt;0,O2567&gt;=TODAY()-90),1,0),0)</f>
        <v/>
      </c>
      <c r="R2567" s="17" t="str">
        <f t="shared" si="123"/>
        <v/>
      </c>
      <c r="S2567" s="17" t="str">
        <f>IF(INDEX(Listado!A:A,ROW())="","",INDEX(Listado!A:A,ROW()))</f>
        <v/>
      </c>
      <c r="T2567" s="17" t="str">
        <f ca="1">IF(INDEX(Listado!G:G,ROW())="","",INDEX(Listado!G:G,ROW()))</f>
        <v/>
      </c>
      <c r="U2567" s="17" t="str">
        <f>IF(INDEX(Listado!F:F,ROW())="","",INDEX(Listado!F:F,ROW()))</f>
        <v/>
      </c>
      <c r="V2567" s="17">
        <f>IF(COUNTA(INDEX(Listado!B:B,ROW()):INDEX(Listado!F:F,ROW()))&gt;0,1,0)</f>
        <v/>
      </c>
      <c r="W2567" s="17" t="str">
        <f>IF(INDEX(Listado!L:L,ROW())="","",INDEX(Listado!L:L,ROW()))</f>
        <v/>
      </c>
      <c r="X2567" s="17">
        <f>IF(N2567="","",IF(INDEX(Listado!$M:$M,N2567)="No","No","Sí"))</f>
        <v/>
      </c>
    </row>
    <row r="2568" spans="2:24" ht="14.25">
      <c r="N2568" s="17" t="str">
        <f>IF(V2568=0,"",IFERROR(LOOKUP(2,1/(INDEX(Listado!A:A,2):INDEX(Listado!A:A,ROW())&lt;&gt;""),ROW(INDEX(Listado!A:A,2):INDEX(Listado!A:A,ROW()))),""))</f>
        <v/>
      </c>
      <c r="O2568" s="17" t="str">
        <f>IFERROR(IF(N2568="","",IF(INDEX(Listado!M:M,N2568)="No",IF(INDEX(Listado!N:N,N2568)=0,"",INDEX(Listado!N:N,N2568)),IF(INDEX(Listado!I:I,N2568)=0,"",INDEX(Listado!I:I,N2568)))),"")</f>
        <v/>
      </c>
      <c r="P2568" s="17">
        <f t="shared" ca="1" si="121"/>
        <v/>
      </c>
      <c r="Q2568" s="17">
        <f>IFERROR(IF(AND(N2568&lt;&gt;"",ISNUMBER(O2568),O2568&gt;0,O2568&gt;=TODAY()-90),1,0),0)</f>
        <v/>
      </c>
      <c r="R2568" s="17" t="str">
        <f t="shared" si="123"/>
        <v/>
      </c>
      <c r="S2568" s="17" t="str">
        <f>IF(INDEX(Listado!A:A,ROW())="","",INDEX(Listado!A:A,ROW()))</f>
        <v/>
      </c>
      <c r="T2568" s="17" t="str">
        <f ca="1">IF(INDEX(Listado!G:G,ROW())="","",INDEX(Listado!G:G,ROW()))</f>
        <v/>
      </c>
      <c r="U2568" s="17" t="str">
        <f>IF(INDEX(Listado!F:F,ROW())="","",INDEX(Listado!F:F,ROW()))</f>
        <v/>
      </c>
      <c r="V2568" s="17">
        <f>IF(COUNTA(INDEX(Listado!B:B,ROW()):INDEX(Listado!F:F,ROW()))&gt;0,1,0)</f>
        <v/>
      </c>
      <c r="W2568" s="17" t="str">
        <f>IF(INDEX(Listado!L:L,ROW())="","",INDEX(Listado!L:L,ROW()))</f>
        <v/>
      </c>
      <c r="X2568" s="17">
        <f>IF(N2568="","",IF(INDEX(Listado!$M:$M,N2568)="No","No","Sí"))</f>
        <v/>
      </c>
    </row>
    <row r="2569" spans="2:24" ht="14.25">
      <c r="N2569" s="17" t="str">
        <f>IF(V2569=0,"",IFERROR(LOOKUP(2,1/(INDEX(Listado!A:A,2):INDEX(Listado!A:A,ROW())&lt;&gt;""),ROW(INDEX(Listado!A:A,2):INDEX(Listado!A:A,ROW()))),""))</f>
        <v/>
      </c>
      <c r="O2569" s="17" t="str">
        <f>IFERROR(IF(N2569="","",IF(INDEX(Listado!M:M,N2569)="No",IF(INDEX(Listado!N:N,N2569)=0,"",INDEX(Listado!N:N,N2569)),IF(INDEX(Listado!I:I,N2569)=0,"",INDEX(Listado!I:I,N2569)))),"")</f>
        <v/>
      </c>
      <c r="P2569" s="17">
        <f t="shared" ca="1" si="121"/>
        <v/>
      </c>
      <c r="Q2569" s="17">
        <f>IFERROR(IF(AND(N2569&lt;&gt;"",ISNUMBER(O2569),O2569&gt;0,O2569&gt;=TODAY()-90),1,0),0)</f>
        <v/>
      </c>
      <c r="R2569" s="17" t="str">
        <f t="shared" si="123"/>
        <v/>
      </c>
      <c r="S2569" s="17" t="str">
        <f>IF(INDEX(Listado!A:A,ROW())="","",INDEX(Listado!A:A,ROW()))</f>
        <v/>
      </c>
      <c r="T2569" s="17" t="str">
        <f ca="1">IF(INDEX(Listado!G:G,ROW())="","",INDEX(Listado!G:G,ROW()))</f>
        <v/>
      </c>
      <c r="U2569" s="17" t="str">
        <f>IF(INDEX(Listado!F:F,ROW())="","",INDEX(Listado!F:F,ROW()))</f>
        <v/>
      </c>
      <c r="V2569" s="17">
        <f>IF(COUNTA(INDEX(Listado!B:B,ROW()):INDEX(Listado!F:F,ROW()))&gt;0,1,0)</f>
        <v/>
      </c>
      <c r="W2569" s="17" t="str">
        <f>IF(INDEX(Listado!L:L,ROW())="","",INDEX(Listado!L:L,ROW()))</f>
        <v/>
      </c>
      <c r="X2569" s="17">
        <f>IF(N2569="","",IF(INDEX(Listado!$M:$M,N2569)="No","No","Sí"))</f>
        <v/>
      </c>
    </row>
    <row r="2570" spans="2:24" ht="14.25">
      <c r="N2570" s="17" t="str">
        <f>IF(V2570=0,"",IFERROR(LOOKUP(2,1/(INDEX(Listado!A:A,2):INDEX(Listado!A:A,ROW())&lt;&gt;""),ROW(INDEX(Listado!A:A,2):INDEX(Listado!A:A,ROW()))),""))</f>
        <v/>
      </c>
      <c r="O2570" s="17" t="str">
        <f>IFERROR(IF(N2570="","",IF(INDEX(Listado!M:M,N2570)="No",IF(INDEX(Listado!N:N,N2570)=0,"",INDEX(Listado!N:N,N2570)),IF(INDEX(Listado!I:I,N2570)=0,"",INDEX(Listado!I:I,N2570)))),"")</f>
        <v/>
      </c>
      <c r="P2570" s="17">
        <f t="shared" ca="1" si="121"/>
        <v/>
      </c>
      <c r="Q2570" s="17">
        <f>IFERROR(IF(AND(N2570&lt;&gt;"",ISNUMBER(O2570),O2570&gt;0,O2570&gt;=TODAY()-90),1,0),0)</f>
        <v/>
      </c>
      <c r="R2570" s="17" t="str">
        <f t="shared" si="123"/>
        <v/>
      </c>
      <c r="S2570" s="17" t="str">
        <f>IF(INDEX(Listado!A:A,ROW())="","",INDEX(Listado!A:A,ROW()))</f>
        <v/>
      </c>
      <c r="T2570" s="17" t="str">
        <f ca="1">IF(INDEX(Listado!G:G,ROW())="","",INDEX(Listado!G:G,ROW()))</f>
        <v/>
      </c>
      <c r="U2570" s="17" t="str">
        <f>IF(INDEX(Listado!F:F,ROW())="","",INDEX(Listado!F:F,ROW()))</f>
        <v/>
      </c>
      <c r="V2570" s="17">
        <f>IF(COUNTA(INDEX(Listado!B:B,ROW()):INDEX(Listado!F:F,ROW()))&gt;0,1,0)</f>
        <v/>
      </c>
      <c r="W2570" s="17" t="str">
        <f>IF(INDEX(Listado!L:L,ROW())="","",INDEX(Listado!L:L,ROW()))</f>
        <v/>
      </c>
      <c r="X2570" s="17">
        <f>IF(N2570="","",IF(INDEX(Listado!$M:$M,N2570)="No","No","Sí"))</f>
        <v/>
      </c>
    </row>
    <row r="2571" spans="2:24" ht="14.25">
      <c r="N2571" s="17" t="str">
        <f>IF(V2571=0,"",IFERROR(LOOKUP(2,1/(INDEX(Listado!A:A,2):INDEX(Listado!A:A,ROW())&lt;&gt;""),ROW(INDEX(Listado!A:A,2):INDEX(Listado!A:A,ROW()))),""))</f>
        <v/>
      </c>
      <c r="O2571" s="17" t="str">
        <f>IFERROR(IF(N2571="","",IF(INDEX(Listado!M:M,N2571)="No",IF(INDEX(Listado!N:N,N2571)=0,"",INDEX(Listado!N:N,N2571)),IF(INDEX(Listado!I:I,N2571)=0,"",INDEX(Listado!I:I,N2571)))),"")</f>
        <v/>
      </c>
      <c r="P2571" s="17">
        <f t="shared" ca="1" si="121"/>
        <v/>
      </c>
      <c r="Q2571" s="17">
        <f>IFERROR(IF(AND(N2571&lt;&gt;"",ISNUMBER(O2571),O2571&gt;0,O2571&gt;=TODAY()-90),1,0),0)</f>
        <v/>
      </c>
      <c r="R2571" s="17" t="str">
        <f t="shared" si="123"/>
        <v/>
      </c>
      <c r="S2571" s="17" t="str">
        <f>IF(INDEX(Listado!A:A,ROW())="","",INDEX(Listado!A:A,ROW()))</f>
        <v/>
      </c>
      <c r="T2571" s="17" t="str">
        <f ca="1">IF(INDEX(Listado!G:G,ROW())="","",INDEX(Listado!G:G,ROW()))</f>
        <v/>
      </c>
      <c r="U2571" s="17" t="str">
        <f>IF(INDEX(Listado!F:F,ROW())="","",INDEX(Listado!F:F,ROW()))</f>
        <v/>
      </c>
      <c r="V2571" s="17">
        <f>IF(COUNTA(INDEX(Listado!B:B,ROW()):INDEX(Listado!F:F,ROW()))&gt;0,1,0)</f>
        <v/>
      </c>
      <c r="W2571" s="17" t="str">
        <f>IF(INDEX(Listado!L:L,ROW())="","",INDEX(Listado!L:L,ROW()))</f>
        <v/>
      </c>
      <c r="X2571" s="17">
        <f>IF(N2571="","",IF(INDEX(Listado!$M:$M,N2571)="No","No","Sí"))</f>
        <v/>
      </c>
    </row>
    <row r="2572" spans="2:24" ht="14.25">
      <c r="N2572" s="17" t="str">
        <f>IF(V2572=0,"",IFERROR(LOOKUP(2,1/(INDEX(Listado!A:A,2):INDEX(Listado!A:A,ROW())&lt;&gt;""),ROW(INDEX(Listado!A:A,2):INDEX(Listado!A:A,ROW()))),""))</f>
        <v/>
      </c>
      <c r="O2572" s="17" t="str">
        <f>IFERROR(IF(N2572="","",IF(INDEX(Listado!M:M,N2572)="No",IF(INDEX(Listado!N:N,N2572)=0,"",INDEX(Listado!N:N,N2572)),IF(INDEX(Listado!I:I,N2572)=0,"",INDEX(Listado!I:I,N2572)))),"")</f>
        <v/>
      </c>
      <c r="P2572" s="17">
        <f t="shared" ca="1" si="121"/>
        <v/>
      </c>
      <c r="Q2572" s="17">
        <f>IFERROR(IF(AND(N2572&lt;&gt;"",ISNUMBER(O2572),O2572&gt;0,O2572&gt;=TODAY()-90),1,0),0)</f>
        <v/>
      </c>
      <c r="R2572" s="17" t="str">
        <f t="shared" si="123"/>
        <v/>
      </c>
      <c r="S2572" s="17" t="str">
        <f>IF(INDEX(Listado!A:A,ROW())="","",INDEX(Listado!A:A,ROW()))</f>
        <v/>
      </c>
      <c r="T2572" s="17" t="str">
        <f ca="1">IF(INDEX(Listado!G:G,ROW())="","",INDEX(Listado!G:G,ROW()))</f>
        <v/>
      </c>
      <c r="U2572" s="17" t="str">
        <f>IF(INDEX(Listado!F:F,ROW())="","",INDEX(Listado!F:F,ROW()))</f>
        <v/>
      </c>
      <c r="V2572" s="17">
        <f>IF(COUNTA(INDEX(Listado!B:B,ROW()):INDEX(Listado!F:F,ROW()))&gt;0,1,0)</f>
        <v/>
      </c>
      <c r="W2572" s="17" t="str">
        <f>IF(INDEX(Listado!L:L,ROW())="","",INDEX(Listado!L:L,ROW()))</f>
        <v/>
      </c>
      <c r="X2572" s="17">
        <f>IF(N2572="","",IF(INDEX(Listado!$M:$M,N2572)="No","No","Sí"))</f>
        <v/>
      </c>
    </row>
    <row r="2573" spans="2:24" ht="14.25">
      <c r="N2573" s="17" t="str">
        <f>IF(V2573=0,"",IFERROR(LOOKUP(2,1/(INDEX(Listado!A:A,2):INDEX(Listado!A:A,ROW())&lt;&gt;""),ROW(INDEX(Listado!A:A,2):INDEX(Listado!A:A,ROW()))),""))</f>
        <v/>
      </c>
      <c r="O2573" s="17" t="str">
        <f>IFERROR(IF(N2573="","",IF(INDEX(Listado!M:M,N2573)="No",IF(INDEX(Listado!N:N,N2573)=0,"",INDEX(Listado!N:N,N2573)),IF(INDEX(Listado!I:I,N2573)=0,"",INDEX(Listado!I:I,N2573)))),"")</f>
        <v/>
      </c>
      <c r="P2573" s="17">
        <f t="shared" ca="1" si="121"/>
        <v/>
      </c>
      <c r="Q2573" s="17">
        <f>IFERROR(IF(AND(N2573&lt;&gt;"",ISNUMBER(O2573),O2573&gt;0,O2573&gt;=TODAY()-90),1,0),0)</f>
        <v/>
      </c>
      <c r="R2573" s="17" t="str">
        <f t="shared" si="123"/>
        <v/>
      </c>
      <c r="S2573" s="17" t="str">
        <f>IF(INDEX(Listado!A:A,ROW())="","",INDEX(Listado!A:A,ROW()))</f>
        <v/>
      </c>
      <c r="T2573" s="17" t="str">
        <f ca="1">IF(INDEX(Listado!G:G,ROW())="","",INDEX(Listado!G:G,ROW()))</f>
        <v/>
      </c>
      <c r="U2573" s="17" t="str">
        <f>IF(INDEX(Listado!F:F,ROW())="","",INDEX(Listado!F:F,ROW()))</f>
        <v/>
      </c>
      <c r="V2573" s="17">
        <f>IF(COUNTA(INDEX(Listado!B:B,ROW()):INDEX(Listado!F:F,ROW()))&gt;0,1,0)</f>
        <v/>
      </c>
      <c r="W2573" s="17" t="str">
        <f>IF(INDEX(Listado!L:L,ROW())="","",INDEX(Listado!L:L,ROW()))</f>
        <v/>
      </c>
      <c r="X2573" s="17">
        <f>IF(N2573="","",IF(INDEX(Listado!$M:$M,N2573)="No","No","Sí"))</f>
        <v/>
      </c>
    </row>
    <row r="2574" spans="2:24" ht="14.25">
      <c r="N2574" s="17" t="str">
        <f>IF(V2574=0,"",IFERROR(LOOKUP(2,1/(INDEX(Listado!A:A,2):INDEX(Listado!A:A,ROW())&lt;&gt;""),ROW(INDEX(Listado!A:A,2):INDEX(Listado!A:A,ROW()))),""))</f>
        <v/>
      </c>
      <c r="O2574" s="17" t="str">
        <f>IFERROR(IF(N2574="","",IF(INDEX(Listado!M:M,N2574)="No",IF(INDEX(Listado!N:N,N2574)=0,"",INDEX(Listado!N:N,N2574)),IF(INDEX(Listado!I:I,N2574)=0,"",INDEX(Listado!I:I,N2574)))),"")</f>
        <v/>
      </c>
      <c r="P2574" s="17">
        <f t="shared" ca="1" si="121"/>
        <v/>
      </c>
      <c r="Q2574" s="17">
        <f>IFERROR(IF(AND(N2574&lt;&gt;"",ISNUMBER(O2574),O2574&gt;0,O2574&gt;=TODAY()-90),1,0),0)</f>
        <v/>
      </c>
      <c r="R2574" s="17" t="str">
        <f t="shared" si="123"/>
        <v/>
      </c>
      <c r="S2574" s="17" t="str">
        <f>IF(INDEX(Listado!A:A,ROW())="","",INDEX(Listado!A:A,ROW()))</f>
        <v/>
      </c>
      <c r="T2574" s="17" t="str">
        <f ca="1">IF(INDEX(Listado!G:G,ROW())="","",INDEX(Listado!G:G,ROW()))</f>
        <v/>
      </c>
      <c r="U2574" s="17" t="str">
        <f>IF(INDEX(Listado!F:F,ROW())="","",INDEX(Listado!F:F,ROW()))</f>
        <v/>
      </c>
      <c r="V2574" s="17">
        <f>IF(COUNTA(INDEX(Listado!B:B,ROW()):INDEX(Listado!F:F,ROW()))&gt;0,1,0)</f>
        <v/>
      </c>
      <c r="W2574" s="17" t="str">
        <f>IF(INDEX(Listado!L:L,ROW())="","",INDEX(Listado!L:L,ROW()))</f>
        <v/>
      </c>
      <c r="X2574" s="17">
        <f>IF(N2574="","",IF(INDEX(Listado!$M:$M,N2574)="No","No","Sí"))</f>
        <v/>
      </c>
    </row>
    <row r="2575" spans="2:24" ht="14.25">
      <c r="N2575" s="17" t="str">
        <f>IF(V2575=0,"",IFERROR(LOOKUP(2,1/(INDEX(Listado!A:A,2):INDEX(Listado!A:A,ROW())&lt;&gt;""),ROW(INDEX(Listado!A:A,2):INDEX(Listado!A:A,ROW()))),""))</f>
        <v/>
      </c>
      <c r="O2575" s="17" t="str">
        <f>IFERROR(IF(N2575="","",IF(INDEX(Listado!M:M,N2575)="No",IF(INDEX(Listado!N:N,N2575)=0,"",INDEX(Listado!N:N,N2575)),IF(INDEX(Listado!I:I,N2575)=0,"",INDEX(Listado!I:I,N2575)))),"")</f>
        <v/>
      </c>
      <c r="P2575" s="17">
        <f t="shared" ca="1" si="121"/>
        <v/>
      </c>
      <c r="Q2575" s="17">
        <f>IFERROR(IF(AND(N2575&lt;&gt;"",ISNUMBER(O2575),O2575&gt;0,O2575&gt;=TODAY()-90),1,0),0)</f>
        <v/>
      </c>
      <c r="R2575" s="17" t="str">
        <f t="shared" si="123"/>
        <v/>
      </c>
      <c r="S2575" s="17" t="str">
        <f>IF(INDEX(Listado!A:A,ROW())="","",INDEX(Listado!A:A,ROW()))</f>
        <v/>
      </c>
      <c r="T2575" s="17" t="str">
        <f ca="1">IF(INDEX(Listado!G:G,ROW())="","",INDEX(Listado!G:G,ROW()))</f>
        <v/>
      </c>
      <c r="U2575" s="17" t="str">
        <f>IF(INDEX(Listado!F:F,ROW())="","",INDEX(Listado!F:F,ROW()))</f>
        <v/>
      </c>
      <c r="V2575" s="17">
        <f>IF(COUNTA(INDEX(Listado!B:B,ROW()):INDEX(Listado!F:F,ROW()))&gt;0,1,0)</f>
        <v/>
      </c>
      <c r="W2575" s="17" t="str">
        <f>IF(INDEX(Listado!L:L,ROW())="","",INDEX(Listado!L:L,ROW()))</f>
        <v/>
      </c>
      <c r="X2575" s="17">
        <f>IF(N2575="","",IF(INDEX(Listado!$M:$M,N2575)="No","No","Sí"))</f>
        <v/>
      </c>
    </row>
    <row r="2576" spans="2:24" ht="14.25">
      <c r="N2576" s="17" t="str">
        <f>IF(V2576=0,"",IFERROR(LOOKUP(2,1/(INDEX(Listado!A:A,2):INDEX(Listado!A:A,ROW())&lt;&gt;""),ROW(INDEX(Listado!A:A,2):INDEX(Listado!A:A,ROW()))),""))</f>
        <v/>
      </c>
      <c r="O2576" s="17" t="str">
        <f>IFERROR(IF(N2576="","",IF(INDEX(Listado!M:M,N2576)="No",IF(INDEX(Listado!N:N,N2576)=0,"",INDEX(Listado!N:N,N2576)),IF(INDEX(Listado!I:I,N2576)=0,"",INDEX(Listado!I:I,N2576)))),"")</f>
        <v/>
      </c>
      <c r="P2576" s="17">
        <f t="shared" ca="1" si="121"/>
        <v/>
      </c>
      <c r="Q2576" s="17">
        <f>IFERROR(IF(AND(N2576&lt;&gt;"",ISNUMBER(O2576),O2576&gt;0,O2576&gt;=TODAY()-90),1,0),0)</f>
        <v/>
      </c>
      <c r="R2576" s="17" t="str">
        <f t="shared" si="123"/>
        <v/>
      </c>
      <c r="S2576" s="17" t="str">
        <f>IF(INDEX(Listado!A:A,ROW())="","",INDEX(Listado!A:A,ROW()))</f>
        <v/>
      </c>
      <c r="T2576" s="17" t="str">
        <f ca="1">IF(INDEX(Listado!G:G,ROW())="","",INDEX(Listado!G:G,ROW()))</f>
        <v/>
      </c>
      <c r="U2576" s="17" t="str">
        <f>IF(INDEX(Listado!F:F,ROW())="","",INDEX(Listado!F:F,ROW()))</f>
        <v/>
      </c>
      <c r="V2576" s="17">
        <f>IF(COUNTA(INDEX(Listado!B:B,ROW()):INDEX(Listado!F:F,ROW()))&gt;0,1,0)</f>
        <v/>
      </c>
      <c r="W2576" s="17" t="str">
        <f>IF(INDEX(Listado!L:L,ROW())="","",INDEX(Listado!L:L,ROW()))</f>
        <v/>
      </c>
      <c r="X2576" s="17">
        <f>IF(N2576="","",IF(INDEX(Listado!$M:$M,N2576)="No","No","Sí"))</f>
        <v/>
      </c>
    </row>
    <row r="2577" spans="2:24" ht="14.25">
      <c r="N2577" s="17" t="str">
        <f>IF(V2577=0,"",IFERROR(LOOKUP(2,1/(INDEX(Listado!A:A,2):INDEX(Listado!A:A,ROW())&lt;&gt;""),ROW(INDEX(Listado!A:A,2):INDEX(Listado!A:A,ROW()))),""))</f>
        <v/>
      </c>
      <c r="O2577" s="17" t="str">
        <f>IFERROR(IF(N2577="","",IF(INDEX(Listado!M:M,N2577)="No",IF(INDEX(Listado!N:N,N2577)=0,"",INDEX(Listado!N:N,N2577)),IF(INDEX(Listado!I:I,N2577)=0,"",INDEX(Listado!I:I,N2577)))),"")</f>
        <v/>
      </c>
      <c r="P2577" s="17">
        <f t="shared" ca="1" si="121"/>
        <v/>
      </c>
      <c r="Q2577" s="17">
        <f>IFERROR(IF(AND(N2577&lt;&gt;"",ISNUMBER(O2577),O2577&gt;0,O2577&gt;=TODAY()-90),1,0),0)</f>
        <v/>
      </c>
      <c r="R2577" s="17" t="str">
        <f t="shared" si="123"/>
        <v/>
      </c>
      <c r="S2577" s="17" t="str">
        <f>IF(INDEX(Listado!A:A,ROW())="","",INDEX(Listado!A:A,ROW()))</f>
        <v/>
      </c>
      <c r="T2577" s="17" t="str">
        <f ca="1">IF(INDEX(Listado!G:G,ROW())="","",INDEX(Listado!G:G,ROW()))</f>
        <v/>
      </c>
      <c r="U2577" s="17" t="str">
        <f>IF(INDEX(Listado!F:F,ROW())="","",INDEX(Listado!F:F,ROW()))</f>
        <v/>
      </c>
      <c r="V2577" s="17">
        <f>IF(COUNTA(INDEX(Listado!B:B,ROW()):INDEX(Listado!F:F,ROW()))&gt;0,1,0)</f>
        <v/>
      </c>
      <c r="W2577" s="17" t="str">
        <f>IF(INDEX(Listado!L:L,ROW())="","",INDEX(Listado!L:L,ROW()))</f>
        <v/>
      </c>
      <c r="X2577" s="17">
        <f>IF(N2577="","",IF(INDEX(Listado!$M:$M,N2577)="No","No","Sí"))</f>
        <v/>
      </c>
    </row>
    <row r="2578" spans="2:24" ht="14.25">
      <c r="N2578" s="17" t="str">
        <f>IF(V2578=0,"",IFERROR(LOOKUP(2,1/(INDEX(Listado!A:A,2):INDEX(Listado!A:A,ROW())&lt;&gt;""),ROW(INDEX(Listado!A:A,2):INDEX(Listado!A:A,ROW()))),""))</f>
        <v/>
      </c>
      <c r="O2578" s="17" t="str">
        <f>IFERROR(IF(N2578="","",IF(INDEX(Listado!M:M,N2578)="No",IF(INDEX(Listado!N:N,N2578)=0,"",INDEX(Listado!N:N,N2578)),IF(INDEX(Listado!I:I,N2578)=0,"",INDEX(Listado!I:I,N2578)))),"")</f>
        <v/>
      </c>
      <c r="P2578" s="17">
        <f t="shared" ca="1" si="121"/>
        <v/>
      </c>
      <c r="Q2578" s="17">
        <f>IFERROR(IF(AND(N2578&lt;&gt;"",ISNUMBER(O2578),O2578&gt;0,O2578&gt;=TODAY()-90),1,0),0)</f>
        <v/>
      </c>
      <c r="R2578" s="17" t="str">
        <f t="shared" si="123"/>
        <v/>
      </c>
      <c r="S2578" s="17" t="str">
        <f>IF(INDEX(Listado!A:A,ROW())="","",INDEX(Listado!A:A,ROW()))</f>
        <v/>
      </c>
      <c r="T2578" s="17" t="str">
        <f ca="1">IF(INDEX(Listado!G:G,ROW())="","",INDEX(Listado!G:G,ROW()))</f>
        <v/>
      </c>
      <c r="U2578" s="17" t="str">
        <f>IF(INDEX(Listado!F:F,ROW())="","",INDEX(Listado!F:F,ROW()))</f>
        <v/>
      </c>
      <c r="V2578" s="17">
        <f>IF(COUNTA(INDEX(Listado!B:B,ROW()):INDEX(Listado!F:F,ROW()))&gt;0,1,0)</f>
        <v/>
      </c>
      <c r="W2578" s="17" t="str">
        <f>IF(INDEX(Listado!L:L,ROW())="","",INDEX(Listado!L:L,ROW()))</f>
        <v/>
      </c>
      <c r="X2578" s="17">
        <f>IF(N2578="","",IF(INDEX(Listado!$M:$M,N2578)="No","No","Sí"))</f>
        <v/>
      </c>
    </row>
    <row r="2579" spans="2:24" ht="14.25">
      <c r="N2579" s="17" t="str">
        <f>IF(V2579=0,"",IFERROR(LOOKUP(2,1/(INDEX(Listado!A:A,2):INDEX(Listado!A:A,ROW())&lt;&gt;""),ROW(INDEX(Listado!A:A,2):INDEX(Listado!A:A,ROW()))),""))</f>
        <v/>
      </c>
      <c r="O2579" s="17" t="str">
        <f>IFERROR(IF(N2579="","",IF(INDEX(Listado!M:M,N2579)="No",IF(INDEX(Listado!N:N,N2579)=0,"",INDEX(Listado!N:N,N2579)),IF(INDEX(Listado!I:I,N2579)=0,"",INDEX(Listado!I:I,N2579)))),"")</f>
        <v/>
      </c>
      <c r="P2579" s="17">
        <f t="shared" ca="1" si="121"/>
        <v/>
      </c>
      <c r="Q2579" s="17">
        <f>IFERROR(IF(AND(N2579&lt;&gt;"",ISNUMBER(O2579),O2579&gt;0,O2579&gt;=TODAY()-90),1,0),0)</f>
        <v/>
      </c>
      <c r="R2579" s="17" t="str">
        <f t="shared" si="123"/>
        <v/>
      </c>
      <c r="S2579" s="17" t="str">
        <f>IF(INDEX(Listado!A:A,ROW())="","",INDEX(Listado!A:A,ROW()))</f>
        <v/>
      </c>
      <c r="T2579" s="17" t="str">
        <f ca="1">IF(INDEX(Listado!G:G,ROW())="","",INDEX(Listado!G:G,ROW()))</f>
        <v/>
      </c>
      <c r="U2579" s="17" t="str">
        <f>IF(INDEX(Listado!F:F,ROW())="","",INDEX(Listado!F:F,ROW()))</f>
        <v/>
      </c>
      <c r="V2579" s="17">
        <f>IF(COUNTA(INDEX(Listado!B:B,ROW()):INDEX(Listado!F:F,ROW()))&gt;0,1,0)</f>
        <v/>
      </c>
      <c r="W2579" s="17" t="str">
        <f>IF(INDEX(Listado!L:L,ROW())="","",INDEX(Listado!L:L,ROW()))</f>
        <v/>
      </c>
      <c r="X2579" s="17">
        <f>IF(N2579="","",IF(INDEX(Listado!$M:$M,N2579)="No","No","Sí"))</f>
        <v/>
      </c>
    </row>
    <row r="2580" spans="2:24" ht="14.25">
      <c r="N2580" s="17" t="str">
        <f>IF(V2580=0,"",IFERROR(LOOKUP(2,1/(INDEX(Listado!A:A,2):INDEX(Listado!A:A,ROW())&lt;&gt;""),ROW(INDEX(Listado!A:A,2):INDEX(Listado!A:A,ROW()))),""))</f>
        <v/>
      </c>
      <c r="O2580" s="17" t="str">
        <f>IFERROR(IF(N2580="","",IF(INDEX(Listado!M:M,N2580)="No",IF(INDEX(Listado!N:N,N2580)=0,"",INDEX(Listado!N:N,N2580)),IF(INDEX(Listado!I:I,N2580)=0,"",INDEX(Listado!I:I,N2580)))),"")</f>
        <v/>
      </c>
      <c r="P2580" s="17">
        <f t="shared" ca="1" si="121"/>
        <v/>
      </c>
      <c r="Q2580" s="17">
        <f>IFERROR(IF(AND(N2580&lt;&gt;"",ISNUMBER(O2580),O2580&gt;0,O2580&gt;=TODAY()-90),1,0),0)</f>
        <v/>
      </c>
      <c r="R2580" s="17" t="str">
        <f t="shared" si="123"/>
        <v/>
      </c>
      <c r="S2580" s="17" t="str">
        <f>IF(INDEX(Listado!A:A,ROW())="","",INDEX(Listado!A:A,ROW()))</f>
        <v/>
      </c>
      <c r="T2580" s="17" t="str">
        <f ca="1">IF(INDEX(Listado!G:G,ROW())="","",INDEX(Listado!G:G,ROW()))</f>
        <v/>
      </c>
      <c r="U2580" s="17" t="str">
        <f>IF(INDEX(Listado!F:F,ROW())="","",INDEX(Listado!F:F,ROW()))</f>
        <v/>
      </c>
      <c r="V2580" s="17">
        <f>IF(COUNTA(INDEX(Listado!B:B,ROW()):INDEX(Listado!F:F,ROW()))&gt;0,1,0)</f>
        <v/>
      </c>
      <c r="W2580" s="17" t="str">
        <f>IF(INDEX(Listado!L:L,ROW())="","",INDEX(Listado!L:L,ROW()))</f>
        <v/>
      </c>
      <c r="X2580" s="17">
        <f>IF(N2580="","",IF(INDEX(Listado!$M:$M,N2580)="No","No","Sí"))</f>
        <v/>
      </c>
    </row>
    <row r="2581" spans="2:24" ht="14.25">
      <c r="N2581" s="17" t="str">
        <f>IF(V2581=0,"",IFERROR(LOOKUP(2,1/(INDEX(Listado!A:A,2):INDEX(Listado!A:A,ROW())&lt;&gt;""),ROW(INDEX(Listado!A:A,2):INDEX(Listado!A:A,ROW()))),""))</f>
        <v/>
      </c>
      <c r="O2581" s="17" t="str">
        <f>IFERROR(IF(N2581="","",IF(INDEX(Listado!M:M,N2581)="No",IF(INDEX(Listado!N:N,N2581)=0,"",INDEX(Listado!N:N,N2581)),IF(INDEX(Listado!I:I,N2581)=0,"",INDEX(Listado!I:I,N2581)))),"")</f>
        <v/>
      </c>
      <c r="P2581" s="17">
        <f t="shared" ca="1" si="121"/>
        <v/>
      </c>
      <c r="Q2581" s="17">
        <f>IFERROR(IF(AND(N2581&lt;&gt;"",ISNUMBER(O2581),O2581&gt;0,O2581&gt;=TODAY()-90),1,0),0)</f>
        <v/>
      </c>
      <c r="R2581" s="17" t="str">
        <f t="shared" si="123"/>
        <v/>
      </c>
      <c r="S2581" s="17" t="str">
        <f>IF(INDEX(Listado!A:A,ROW())="","",INDEX(Listado!A:A,ROW()))</f>
        <v/>
      </c>
      <c r="T2581" s="17" t="str">
        <f ca="1">IF(INDEX(Listado!G:G,ROW())="","",INDEX(Listado!G:G,ROW()))</f>
        <v/>
      </c>
      <c r="U2581" s="17" t="str">
        <f>IF(INDEX(Listado!F:F,ROW())="","",INDEX(Listado!F:F,ROW()))</f>
        <v/>
      </c>
      <c r="V2581" s="17">
        <f>IF(COUNTA(INDEX(Listado!B:B,ROW()):INDEX(Listado!F:F,ROW()))&gt;0,1,0)</f>
        <v/>
      </c>
      <c r="W2581" s="17" t="str">
        <f>IF(INDEX(Listado!L:L,ROW())="","",INDEX(Listado!L:L,ROW()))</f>
        <v/>
      </c>
      <c r="X2581" s="17">
        <f>IF(N2581="","",IF(INDEX(Listado!$M:$M,N2581)="No","No","Sí"))</f>
        <v/>
      </c>
    </row>
    <row r="2582" spans="2:24" ht="14.25">
      <c r="N2582" s="17" t="str">
        <f>IF(V2582=0,"",IFERROR(LOOKUP(2,1/(INDEX(Listado!A:A,2):INDEX(Listado!A:A,ROW())&lt;&gt;""),ROW(INDEX(Listado!A:A,2):INDEX(Listado!A:A,ROW()))),""))</f>
        <v/>
      </c>
      <c r="O2582" s="17" t="str">
        <f>IFERROR(IF(N2582="","",IF(INDEX(Listado!M:M,N2582)="No",IF(INDEX(Listado!N:N,N2582)=0,"",INDEX(Listado!N:N,N2582)),IF(INDEX(Listado!I:I,N2582)=0,"",INDEX(Listado!I:I,N2582)))),"")</f>
        <v/>
      </c>
      <c r="P2582" s="17">
        <f t="shared" ca="1" si="121"/>
        <v/>
      </c>
      <c r="Q2582" s="17">
        <f>IFERROR(IF(AND(N2582&lt;&gt;"",ISNUMBER(O2582),O2582&gt;0,O2582&gt;=TODAY()-90),1,0),0)</f>
        <v/>
      </c>
      <c r="R2582" s="17" t="str">
        <f t="shared" si="123"/>
        <v/>
      </c>
      <c r="S2582" s="17" t="str">
        <f>IF(INDEX(Listado!A:A,ROW())="","",INDEX(Listado!A:A,ROW()))</f>
        <v/>
      </c>
      <c r="T2582" s="17" t="str">
        <f ca="1">IF(INDEX(Listado!G:G,ROW())="","",INDEX(Listado!G:G,ROW()))</f>
        <v/>
      </c>
      <c r="U2582" s="17" t="str">
        <f>IF(INDEX(Listado!F:F,ROW())="","",INDEX(Listado!F:F,ROW()))</f>
        <v/>
      </c>
      <c r="V2582" s="17">
        <f>IF(COUNTA(INDEX(Listado!B:B,ROW()):INDEX(Listado!F:F,ROW()))&gt;0,1,0)</f>
        <v/>
      </c>
      <c r="W2582" s="17" t="str">
        <f>IF(INDEX(Listado!L:L,ROW())="","",INDEX(Listado!L:L,ROW()))</f>
        <v/>
      </c>
      <c r="X2582" s="17">
        <f>IF(N2582="","",IF(INDEX(Listado!$M:$M,N2582)="No","No","Sí"))</f>
        <v/>
      </c>
    </row>
    <row r="2583" spans="2:24" ht="14.25">
      <c r="N2583" s="17" t="str">
        <f>IF(V2583=0,"",IFERROR(LOOKUP(2,1/(INDEX(Listado!A:A,2):INDEX(Listado!A:A,ROW())&lt;&gt;""),ROW(INDEX(Listado!A:A,2):INDEX(Listado!A:A,ROW()))),""))</f>
        <v/>
      </c>
      <c r="O2583" s="17" t="str">
        <f>IFERROR(IF(N2583="","",IF(INDEX(Listado!M:M,N2583)="No",IF(INDEX(Listado!N:N,N2583)=0,"",INDEX(Listado!N:N,N2583)),IF(INDEX(Listado!I:I,N2583)=0,"",INDEX(Listado!I:I,N2583)))),"")</f>
        <v/>
      </c>
      <c r="P2583" s="17">
        <f t="shared" ca="1" si="121"/>
        <v/>
      </c>
      <c r="Q2583" s="17">
        <f>IFERROR(IF(AND(N2583&lt;&gt;"",ISNUMBER(O2583),O2583&gt;0,O2583&gt;=TODAY()-90),1,0),0)</f>
        <v/>
      </c>
      <c r="R2583" s="17" t="str">
        <f t="shared" si="123"/>
        <v/>
      </c>
      <c r="S2583" s="17" t="str">
        <f>IF(INDEX(Listado!A:A,ROW())="","",INDEX(Listado!A:A,ROW()))</f>
        <v/>
      </c>
      <c r="T2583" s="17" t="str">
        <f ca="1">IF(INDEX(Listado!G:G,ROW())="","",INDEX(Listado!G:G,ROW()))</f>
        <v/>
      </c>
      <c r="U2583" s="17" t="str">
        <f>IF(INDEX(Listado!F:F,ROW())="","",INDEX(Listado!F:F,ROW()))</f>
        <v/>
      </c>
      <c r="V2583" s="17">
        <f>IF(COUNTA(INDEX(Listado!B:B,ROW()):INDEX(Listado!F:F,ROW()))&gt;0,1,0)</f>
        <v/>
      </c>
      <c r="W2583" s="17" t="str">
        <f>IF(INDEX(Listado!L:L,ROW())="","",INDEX(Listado!L:L,ROW()))</f>
        <v/>
      </c>
      <c r="X2583" s="17">
        <f>IF(N2583="","",IF(INDEX(Listado!$M:$M,N2583)="No","No","Sí"))</f>
        <v/>
      </c>
    </row>
    <row r="2584" spans="2:24" ht="14.25">
      <c r="N2584" s="17" t="str">
        <f>IF(V2584=0,"",IFERROR(LOOKUP(2,1/(INDEX(Listado!A:A,2):INDEX(Listado!A:A,ROW())&lt;&gt;""),ROW(INDEX(Listado!A:A,2):INDEX(Listado!A:A,ROW()))),""))</f>
        <v/>
      </c>
      <c r="O2584" s="17" t="str">
        <f>IFERROR(IF(N2584="","",IF(INDEX(Listado!M:M,N2584)="No",IF(INDEX(Listado!N:N,N2584)=0,"",INDEX(Listado!N:N,N2584)),IF(INDEX(Listado!I:I,N2584)=0,"",INDEX(Listado!I:I,N2584)))),"")</f>
        <v/>
      </c>
      <c r="P2584" s="17">
        <f t="shared" ca="1" si="121"/>
        <v/>
      </c>
      <c r="Q2584" s="17">
        <f>IFERROR(IF(AND(N2584&lt;&gt;"",ISNUMBER(O2584),O2584&gt;0,O2584&gt;=TODAY()-90),1,0),0)</f>
        <v/>
      </c>
      <c r="R2584" s="17" t="str">
        <f t="shared" si="123"/>
        <v/>
      </c>
      <c r="S2584" s="17" t="str">
        <f>IF(INDEX(Listado!A:A,ROW())="","",INDEX(Listado!A:A,ROW()))</f>
        <v/>
      </c>
      <c r="T2584" s="17" t="str">
        <f ca="1">IF(INDEX(Listado!G:G,ROW())="","",INDEX(Listado!G:G,ROW()))</f>
        <v/>
      </c>
      <c r="U2584" s="17" t="str">
        <f>IF(INDEX(Listado!F:F,ROW())="","",INDEX(Listado!F:F,ROW()))</f>
        <v/>
      </c>
      <c r="V2584" s="17">
        <f>IF(COUNTA(INDEX(Listado!B:B,ROW()):INDEX(Listado!F:F,ROW()))&gt;0,1,0)</f>
        <v/>
      </c>
      <c r="W2584" s="17" t="str">
        <f>IF(INDEX(Listado!L:L,ROW())="","",INDEX(Listado!L:L,ROW()))</f>
        <v/>
      </c>
      <c r="X2584" s="17">
        <f>IF(N2584="","",IF(INDEX(Listado!$M:$M,N2584)="No","No","Sí"))</f>
        <v/>
      </c>
    </row>
    <row r="2585" spans="2:24" ht="14.25">
      <c r="N2585" s="17" t="str">
        <f>IF(V2585=0,"",IFERROR(LOOKUP(2,1/(INDEX(Listado!A:A,2):INDEX(Listado!A:A,ROW())&lt;&gt;""),ROW(INDEX(Listado!A:A,2):INDEX(Listado!A:A,ROW()))),""))</f>
        <v/>
      </c>
      <c r="O2585" s="17" t="str">
        <f>IFERROR(IF(N2585="","",IF(INDEX(Listado!M:M,N2585)="No",IF(INDEX(Listado!N:N,N2585)=0,"",INDEX(Listado!N:N,N2585)),IF(INDEX(Listado!I:I,N2585)=0,"",INDEX(Listado!I:I,N2585)))),"")</f>
        <v/>
      </c>
      <c r="P2585" s="17">
        <f t="shared" ca="1" si="121"/>
        <v/>
      </c>
      <c r="Q2585" s="17">
        <f>IFERROR(IF(AND(N2585&lt;&gt;"",ISNUMBER(O2585),O2585&gt;0,O2585&gt;=TODAY()-90),1,0),0)</f>
        <v/>
      </c>
      <c r="R2585" s="17" t="str">
        <f t="shared" si="123"/>
        <v/>
      </c>
      <c r="S2585" s="17" t="str">
        <f>IF(INDEX(Listado!A:A,ROW())="","",INDEX(Listado!A:A,ROW()))</f>
        <v/>
      </c>
      <c r="T2585" s="17" t="str">
        <f ca="1">IF(INDEX(Listado!G:G,ROW())="","",INDEX(Listado!G:G,ROW()))</f>
        <v/>
      </c>
      <c r="U2585" s="17" t="str">
        <f>IF(INDEX(Listado!F:F,ROW())="","",INDEX(Listado!F:F,ROW()))</f>
        <v/>
      </c>
      <c r="V2585" s="17">
        <f>IF(COUNTA(INDEX(Listado!B:B,ROW()):INDEX(Listado!F:F,ROW()))&gt;0,1,0)</f>
        <v/>
      </c>
      <c r="W2585" s="17" t="str">
        <f>IF(INDEX(Listado!L:L,ROW())="","",INDEX(Listado!L:L,ROW()))</f>
        <v/>
      </c>
      <c r="X2585" s="17">
        <f>IF(N2585="","",IF(INDEX(Listado!$M:$M,N2585)="No","No","Sí"))</f>
        <v/>
      </c>
    </row>
    <row r="2586" spans="2:24" ht="14.25">
      <c r="N2586" s="17" t="str">
        <f>IF(V2586=0,"",IFERROR(LOOKUP(2,1/(INDEX(Listado!A:A,2):INDEX(Listado!A:A,ROW())&lt;&gt;""),ROW(INDEX(Listado!A:A,2):INDEX(Listado!A:A,ROW()))),""))</f>
        <v/>
      </c>
      <c r="O2586" s="17" t="str">
        <f>IFERROR(IF(N2586="","",IF(INDEX(Listado!M:M,N2586)="No",IF(INDEX(Listado!N:N,N2586)=0,"",INDEX(Listado!N:N,N2586)),IF(INDEX(Listado!I:I,N2586)=0,"",INDEX(Listado!I:I,N2586)))),"")</f>
        <v/>
      </c>
      <c r="P2586" s="17">
        <f t="shared" ca="1" si="121"/>
        <v/>
      </c>
      <c r="Q2586" s="17">
        <f>IFERROR(IF(AND(N2586&lt;&gt;"",ISNUMBER(O2586),O2586&gt;0,O2586&gt;=TODAY()-90),1,0),0)</f>
        <v/>
      </c>
      <c r="R2586" s="17" t="str">
        <f t="shared" si="123"/>
        <v/>
      </c>
      <c r="S2586" s="17" t="str">
        <f>IF(INDEX(Listado!A:A,ROW())="","",INDEX(Listado!A:A,ROW()))</f>
        <v/>
      </c>
      <c r="T2586" s="17" t="str">
        <f ca="1">IF(INDEX(Listado!G:G,ROW())="","",INDEX(Listado!G:G,ROW()))</f>
        <v/>
      </c>
      <c r="U2586" s="17" t="str">
        <f>IF(INDEX(Listado!F:F,ROW())="","",INDEX(Listado!F:F,ROW()))</f>
        <v/>
      </c>
      <c r="V2586" s="17">
        <f>IF(COUNTA(INDEX(Listado!B:B,ROW()):INDEX(Listado!F:F,ROW()))&gt;0,1,0)</f>
        <v/>
      </c>
      <c r="W2586" s="17" t="str">
        <f>IF(INDEX(Listado!L:L,ROW())="","",INDEX(Listado!L:L,ROW()))</f>
        <v/>
      </c>
      <c r="X2586" s="17">
        <f>IF(N2586="","",IF(INDEX(Listado!$M:$M,N2586)="No","No","Sí"))</f>
        <v/>
      </c>
    </row>
    <row r="2587" spans="2:24" ht="14.25">
      <c r="N2587" s="17" t="str">
        <f>IF(V2587=0,"",IFERROR(LOOKUP(2,1/(INDEX(Listado!A:A,2):INDEX(Listado!A:A,ROW())&lt;&gt;""),ROW(INDEX(Listado!A:A,2):INDEX(Listado!A:A,ROW()))),""))</f>
        <v/>
      </c>
      <c r="O2587" s="17" t="str">
        <f>IFERROR(IF(N2587="","",IF(INDEX(Listado!M:M,N2587)="No",IF(INDEX(Listado!N:N,N2587)=0,"",INDEX(Listado!N:N,N2587)),IF(INDEX(Listado!I:I,N2587)=0,"",INDEX(Listado!I:I,N2587)))),"")</f>
        <v/>
      </c>
      <c r="P2587" s="17">
        <f t="shared" ca="1" si="121"/>
        <v/>
      </c>
      <c r="Q2587" s="17">
        <f>IFERROR(IF(AND(N2587&lt;&gt;"",ISNUMBER(O2587),O2587&gt;0,O2587&gt;=TODAY()-90),1,0),0)</f>
        <v/>
      </c>
      <c r="R2587" s="17" t="str">
        <f t="shared" si="123"/>
        <v/>
      </c>
      <c r="S2587" s="17" t="str">
        <f>IF(INDEX(Listado!A:A,ROW())="","",INDEX(Listado!A:A,ROW()))</f>
        <v/>
      </c>
      <c r="T2587" s="17" t="str">
        <f ca="1">IF(INDEX(Listado!G:G,ROW())="","",INDEX(Listado!G:G,ROW()))</f>
        <v/>
      </c>
      <c r="U2587" s="17" t="str">
        <f>IF(INDEX(Listado!F:F,ROW())="","",INDEX(Listado!F:F,ROW()))</f>
        <v/>
      </c>
      <c r="V2587" s="17">
        <f>IF(COUNTA(INDEX(Listado!B:B,ROW()):INDEX(Listado!F:F,ROW()))&gt;0,1,0)</f>
        <v/>
      </c>
      <c r="W2587" s="17" t="str">
        <f>IF(INDEX(Listado!L:L,ROW())="","",INDEX(Listado!L:L,ROW()))</f>
        <v/>
      </c>
      <c r="X2587" s="17">
        <f>IF(N2587="","",IF(INDEX(Listado!$M:$M,N2587)="No","No","Sí"))</f>
        <v/>
      </c>
    </row>
    <row r="2588" spans="2:24" ht="14.25">
      <c r="N2588" s="17" t="str">
        <f>IF(V2588=0,"",IFERROR(LOOKUP(2,1/(INDEX(Listado!A:A,2):INDEX(Listado!A:A,ROW())&lt;&gt;""),ROW(INDEX(Listado!A:A,2):INDEX(Listado!A:A,ROW()))),""))</f>
        <v/>
      </c>
      <c r="O2588" s="17" t="str">
        <f>IFERROR(IF(N2588="","",IF(INDEX(Listado!M:M,N2588)="No",IF(INDEX(Listado!N:N,N2588)=0,"",INDEX(Listado!N:N,N2588)),IF(INDEX(Listado!I:I,N2588)=0,"",INDEX(Listado!I:I,N2588)))),"")</f>
        <v/>
      </c>
      <c r="P2588" s="17">
        <f t="shared" ca="1" si="121"/>
        <v/>
      </c>
      <c r="Q2588" s="17">
        <f>IFERROR(IF(AND(N2588&lt;&gt;"",ISNUMBER(O2588),O2588&gt;0,O2588&gt;=TODAY()-90),1,0),0)</f>
        <v/>
      </c>
      <c r="R2588" s="17" t="str">
        <f t="shared" si="123"/>
        <v/>
      </c>
      <c r="S2588" s="17" t="str">
        <f>IF(INDEX(Listado!A:A,ROW())="","",INDEX(Listado!A:A,ROW()))</f>
        <v/>
      </c>
      <c r="T2588" s="17" t="str">
        <f ca="1">IF(INDEX(Listado!G:G,ROW())="","",INDEX(Listado!G:G,ROW()))</f>
        <v/>
      </c>
      <c r="U2588" s="17" t="str">
        <f>IF(INDEX(Listado!F:F,ROW())="","",INDEX(Listado!F:F,ROW()))</f>
        <v/>
      </c>
      <c r="V2588" s="17">
        <f>IF(COUNTA(INDEX(Listado!B:B,ROW()):INDEX(Listado!F:F,ROW()))&gt;0,1,0)</f>
        <v/>
      </c>
      <c r="W2588" s="17" t="str">
        <f>IF(INDEX(Listado!L:L,ROW())="","",INDEX(Listado!L:L,ROW()))</f>
        <v/>
      </c>
      <c r="X2588" s="17">
        <f>IF(N2588="","",IF(INDEX(Listado!$M:$M,N2588)="No","No","Sí"))</f>
        <v/>
      </c>
    </row>
    <row r="2589" spans="2:24" ht="14.25">
      <c r="N2589" s="17" t="str">
        <f>IF(V2589=0,"",IFERROR(LOOKUP(2,1/(INDEX(Listado!A:A,2):INDEX(Listado!A:A,ROW())&lt;&gt;""),ROW(INDEX(Listado!A:A,2):INDEX(Listado!A:A,ROW()))),""))</f>
        <v/>
      </c>
      <c r="O2589" s="17" t="str">
        <f>IFERROR(IF(N2589="","",IF(INDEX(Listado!M:M,N2589)="No",IF(INDEX(Listado!N:N,N2589)=0,"",INDEX(Listado!N:N,N2589)),IF(INDEX(Listado!I:I,N2589)=0,"",INDEX(Listado!I:I,N2589)))),"")</f>
        <v/>
      </c>
      <c r="P2589" s="17">
        <f t="shared" ca="1" si="121"/>
        <v/>
      </c>
      <c r="Q2589" s="17">
        <f>IFERROR(IF(AND(N2589&lt;&gt;"",ISNUMBER(O2589),O2589&gt;0,O2589&gt;=TODAY()-90),1,0),0)</f>
        <v/>
      </c>
      <c r="R2589" s="17" t="str">
        <f t="shared" si="123"/>
        <v/>
      </c>
      <c r="S2589" s="17" t="str">
        <f>IF(INDEX(Listado!A:A,ROW())="","",INDEX(Listado!A:A,ROW()))</f>
        <v/>
      </c>
      <c r="T2589" s="17" t="str">
        <f ca="1">IF(INDEX(Listado!G:G,ROW())="","",INDEX(Listado!G:G,ROW()))</f>
        <v/>
      </c>
      <c r="U2589" s="17" t="str">
        <f>IF(INDEX(Listado!F:F,ROW())="","",INDEX(Listado!F:F,ROW()))</f>
        <v/>
      </c>
      <c r="V2589" s="17">
        <f>IF(COUNTA(INDEX(Listado!B:B,ROW()):INDEX(Listado!F:F,ROW()))&gt;0,1,0)</f>
        <v/>
      </c>
      <c r="W2589" s="17" t="str">
        <f>IF(INDEX(Listado!L:L,ROW())="","",INDEX(Listado!L:L,ROW()))</f>
        <v/>
      </c>
      <c r="X2589" s="17">
        <f>IF(N2589="","",IF(INDEX(Listado!$M:$M,N2589)="No","No","Sí"))</f>
        <v/>
      </c>
    </row>
    <row r="2590" spans="2:24" ht="14.25">
      <c r="N2590" s="17" t="str">
        <f>IF(V2590=0,"",IFERROR(LOOKUP(2,1/(INDEX(Listado!A:A,2):INDEX(Listado!A:A,ROW())&lt;&gt;""),ROW(INDEX(Listado!A:A,2):INDEX(Listado!A:A,ROW()))),""))</f>
        <v/>
      </c>
      <c r="O2590" s="17" t="str">
        <f>IFERROR(IF(N2590="","",IF(INDEX(Listado!M:M,N2590)="No",IF(INDEX(Listado!N:N,N2590)=0,"",INDEX(Listado!N:N,N2590)),IF(INDEX(Listado!I:I,N2590)=0,"",INDEX(Listado!I:I,N2590)))),"")</f>
        <v/>
      </c>
      <c r="P2590" s="17">
        <f t="shared" ca="1" si="121"/>
        <v/>
      </c>
      <c r="Q2590" s="17">
        <f>IFERROR(IF(AND(N2590&lt;&gt;"",ISNUMBER(O2590),O2590&gt;0,O2590&gt;=TODAY()-90),1,0),0)</f>
        <v/>
      </c>
      <c r="R2590" s="17" t="str">
        <f t="shared" si="123"/>
        <v/>
      </c>
      <c r="S2590" s="17" t="str">
        <f>IF(INDEX(Listado!A:A,ROW())="","",INDEX(Listado!A:A,ROW()))</f>
        <v/>
      </c>
      <c r="T2590" s="17" t="str">
        <f ca="1">IF(INDEX(Listado!G:G,ROW())="","",INDEX(Listado!G:G,ROW()))</f>
        <v/>
      </c>
      <c r="U2590" s="17" t="str">
        <f>IF(INDEX(Listado!F:F,ROW())="","",INDEX(Listado!F:F,ROW()))</f>
        <v/>
      </c>
      <c r="V2590" s="17">
        <f>IF(COUNTA(INDEX(Listado!B:B,ROW()):INDEX(Listado!F:F,ROW()))&gt;0,1,0)</f>
        <v/>
      </c>
      <c r="W2590" s="17" t="str">
        <f>IF(INDEX(Listado!L:L,ROW())="","",INDEX(Listado!L:L,ROW()))</f>
        <v/>
      </c>
      <c r="X2590" s="17">
        <f>IF(N2590="","",IF(INDEX(Listado!$M:$M,N2590)="No","No","Sí"))</f>
        <v/>
      </c>
    </row>
    <row r="2591" spans="2:24" ht="14.25">
      <c r="N2591" s="17" t="str">
        <f>IF(V2591=0,"",IFERROR(LOOKUP(2,1/(INDEX(Listado!A:A,2):INDEX(Listado!A:A,ROW())&lt;&gt;""),ROW(INDEX(Listado!A:A,2):INDEX(Listado!A:A,ROW()))),""))</f>
        <v/>
      </c>
      <c r="O2591" s="17" t="str">
        <f>IFERROR(IF(N2591="","",IF(INDEX(Listado!M:M,N2591)="No",IF(INDEX(Listado!N:N,N2591)=0,"",INDEX(Listado!N:N,N2591)),IF(INDEX(Listado!I:I,N2591)=0,"",INDEX(Listado!I:I,N2591)))),"")</f>
        <v/>
      </c>
      <c r="P2591" s="17">
        <f t="shared" ca="1" si="121"/>
        <v/>
      </c>
      <c r="Q2591" s="17">
        <f>IFERROR(IF(AND(N2591&lt;&gt;"",ISNUMBER(O2591),O2591&gt;0,O2591&gt;=TODAY()-90),1,0),0)</f>
        <v/>
      </c>
      <c r="R2591" s="17" t="str">
        <f t="shared" si="123"/>
        <v/>
      </c>
      <c r="S2591" s="17" t="str">
        <f>IF(INDEX(Listado!A:A,ROW())="","",INDEX(Listado!A:A,ROW()))</f>
        <v/>
      </c>
      <c r="T2591" s="17" t="str">
        <f ca="1">IF(INDEX(Listado!G:G,ROW())="","",INDEX(Listado!G:G,ROW()))</f>
        <v/>
      </c>
      <c r="U2591" s="17" t="str">
        <f>IF(INDEX(Listado!F:F,ROW())="","",INDEX(Listado!F:F,ROW()))</f>
        <v/>
      </c>
      <c r="V2591" s="17">
        <f>IF(COUNTA(INDEX(Listado!B:B,ROW()):INDEX(Listado!F:F,ROW()))&gt;0,1,0)</f>
        <v/>
      </c>
      <c r="W2591" s="17" t="str">
        <f>IF(INDEX(Listado!L:L,ROW())="","",INDEX(Listado!L:L,ROW()))</f>
        <v/>
      </c>
      <c r="X2591" s="17">
        <f>IF(N2591="","",IF(INDEX(Listado!$M:$M,N2591)="No","No","Sí"))</f>
        <v/>
      </c>
    </row>
    <row r="2592" spans="2:24" ht="14.25">
      <c r="N2592" s="17" t="str">
        <f>IF(V2592=0,"",IFERROR(LOOKUP(2,1/(INDEX(Listado!A:A,2):INDEX(Listado!A:A,ROW())&lt;&gt;""),ROW(INDEX(Listado!A:A,2):INDEX(Listado!A:A,ROW()))),""))</f>
        <v/>
      </c>
      <c r="O2592" s="17" t="str">
        <f>IFERROR(IF(N2592="","",IF(INDEX(Listado!M:M,N2592)="No",IF(INDEX(Listado!N:N,N2592)=0,"",INDEX(Listado!N:N,N2592)),IF(INDEX(Listado!I:I,N2592)=0,"",INDEX(Listado!I:I,N2592)))),"")</f>
        <v/>
      </c>
      <c r="P2592" s="17">
        <f t="shared" ca="1" si="121"/>
        <v/>
      </c>
      <c r="Q2592" s="17">
        <f>IFERROR(IF(AND(N2592&lt;&gt;"",ISNUMBER(O2592),O2592&gt;0,O2592&gt;=TODAY()-90),1,0),0)</f>
        <v/>
      </c>
      <c r="R2592" s="17" t="str">
        <f t="shared" si="123"/>
        <v/>
      </c>
      <c r="S2592" s="17" t="str">
        <f>IF(INDEX(Listado!A:A,ROW())="","",INDEX(Listado!A:A,ROW()))</f>
        <v/>
      </c>
      <c r="T2592" s="17" t="str">
        <f ca="1">IF(INDEX(Listado!G:G,ROW())="","",INDEX(Listado!G:G,ROW()))</f>
        <v/>
      </c>
      <c r="U2592" s="17" t="str">
        <f>IF(INDEX(Listado!F:F,ROW())="","",INDEX(Listado!F:F,ROW()))</f>
        <v/>
      </c>
      <c r="V2592" s="17">
        <f>IF(COUNTA(INDEX(Listado!B:B,ROW()):INDEX(Listado!F:F,ROW()))&gt;0,1,0)</f>
        <v/>
      </c>
      <c r="W2592" s="17" t="str">
        <f>IF(INDEX(Listado!L:L,ROW())="","",INDEX(Listado!L:L,ROW()))</f>
        <v/>
      </c>
      <c r="X2592" s="17">
        <f>IF(N2592="","",IF(INDEX(Listado!$M:$M,N2592)="No","No","Sí"))</f>
        <v/>
      </c>
    </row>
    <row r="2593" spans="2:24" ht="14.25">
      <c r="N2593" s="17" t="str">
        <f>IF(V2593=0,"",IFERROR(LOOKUP(2,1/(INDEX(Listado!A:A,2):INDEX(Listado!A:A,ROW())&lt;&gt;""),ROW(INDEX(Listado!A:A,2):INDEX(Listado!A:A,ROW()))),""))</f>
        <v/>
      </c>
      <c r="O2593" s="17" t="str">
        <f>IFERROR(IF(N2593="","",IF(INDEX(Listado!M:M,N2593)="No",IF(INDEX(Listado!N:N,N2593)=0,"",INDEX(Listado!N:N,N2593)),IF(INDEX(Listado!I:I,N2593)=0,"",INDEX(Listado!I:I,N2593)))),"")</f>
        <v/>
      </c>
      <c r="P2593" s="17">
        <f t="shared" ca="1" si="121"/>
        <v/>
      </c>
      <c r="Q2593" s="17">
        <f>IFERROR(IF(AND(N2593&lt;&gt;"",ISNUMBER(O2593),O2593&gt;0,O2593&gt;=TODAY()-90),1,0),0)</f>
        <v/>
      </c>
      <c r="R2593" s="17" t="str">
        <f t="shared" si="123"/>
        <v/>
      </c>
      <c r="S2593" s="17" t="str">
        <f>IF(INDEX(Listado!A:A,ROW())="","",INDEX(Listado!A:A,ROW()))</f>
        <v/>
      </c>
      <c r="T2593" s="17" t="str">
        <f ca="1">IF(INDEX(Listado!G:G,ROW())="","",INDEX(Listado!G:G,ROW()))</f>
        <v/>
      </c>
      <c r="U2593" s="17" t="str">
        <f>IF(INDEX(Listado!F:F,ROW())="","",INDEX(Listado!F:F,ROW()))</f>
        <v/>
      </c>
      <c r="V2593" s="17">
        <f>IF(COUNTA(INDEX(Listado!B:B,ROW()):INDEX(Listado!F:F,ROW()))&gt;0,1,0)</f>
        <v/>
      </c>
      <c r="W2593" s="17" t="str">
        <f>IF(INDEX(Listado!L:L,ROW())="","",INDEX(Listado!L:L,ROW()))</f>
        <v/>
      </c>
      <c r="X2593" s="17">
        <f>IF(N2593="","",IF(INDEX(Listado!$M:$M,N2593)="No","No","Sí"))</f>
        <v/>
      </c>
    </row>
    <row r="2594" spans="2:24" ht="14.25">
      <c r="N2594" s="17" t="str">
        <f>IF(V2594=0,"",IFERROR(LOOKUP(2,1/(INDEX(Listado!A:A,2):INDEX(Listado!A:A,ROW())&lt;&gt;""),ROW(INDEX(Listado!A:A,2):INDEX(Listado!A:A,ROW()))),""))</f>
        <v/>
      </c>
      <c r="O2594" s="17" t="str">
        <f>IFERROR(IF(N2594="","",IF(INDEX(Listado!M:M,N2594)="No",IF(INDEX(Listado!N:N,N2594)=0,"",INDEX(Listado!N:N,N2594)),IF(INDEX(Listado!I:I,N2594)=0,"",INDEX(Listado!I:I,N2594)))),"")</f>
        <v/>
      </c>
      <c r="P2594" s="17">
        <f t="shared" ca="1" si="121"/>
        <v/>
      </c>
      <c r="Q2594" s="17">
        <f>IFERROR(IF(AND(N2594&lt;&gt;"",ISNUMBER(O2594),O2594&gt;0,O2594&gt;=TODAY()-90),1,0),0)</f>
        <v/>
      </c>
      <c r="R2594" s="17" t="str">
        <f t="shared" si="123"/>
        <v/>
      </c>
      <c r="S2594" s="17" t="str">
        <f>IF(INDEX(Listado!A:A,ROW())="","",INDEX(Listado!A:A,ROW()))</f>
        <v/>
      </c>
      <c r="T2594" s="17" t="str">
        <f ca="1">IF(INDEX(Listado!G:G,ROW())="","",INDEX(Listado!G:G,ROW()))</f>
        <v/>
      </c>
      <c r="U2594" s="17" t="str">
        <f>IF(INDEX(Listado!F:F,ROW())="","",INDEX(Listado!F:F,ROW()))</f>
        <v/>
      </c>
      <c r="V2594" s="17">
        <f>IF(COUNTA(INDEX(Listado!B:B,ROW()):INDEX(Listado!F:F,ROW()))&gt;0,1,0)</f>
        <v/>
      </c>
      <c r="W2594" s="17" t="str">
        <f>IF(INDEX(Listado!L:L,ROW())="","",INDEX(Listado!L:L,ROW()))</f>
        <v/>
      </c>
      <c r="X2594" s="17">
        <f>IF(N2594="","",IF(INDEX(Listado!$M:$M,N2594)="No","No","Sí"))</f>
        <v/>
      </c>
    </row>
    <row r="2595" spans="2:24" ht="14.25">
      <c r="N2595" s="17" t="str">
        <f>IF(V2595=0,"",IFERROR(LOOKUP(2,1/(INDEX(Listado!A:A,2):INDEX(Listado!A:A,ROW())&lt;&gt;""),ROW(INDEX(Listado!A:A,2):INDEX(Listado!A:A,ROW()))),""))</f>
        <v/>
      </c>
      <c r="O2595" s="17" t="str">
        <f>IFERROR(IF(N2595="","",IF(INDEX(Listado!M:M,N2595)="No",IF(INDEX(Listado!N:N,N2595)=0,"",INDEX(Listado!N:N,N2595)),IF(INDEX(Listado!I:I,N2595)=0,"",INDEX(Listado!I:I,N2595)))),"")</f>
        <v/>
      </c>
      <c r="P2595" s="17">
        <f t="shared" ca="1" si="121"/>
        <v/>
      </c>
      <c r="Q2595" s="17">
        <f>IFERROR(IF(AND(N2595&lt;&gt;"",ISNUMBER(O2595),O2595&gt;0,O2595&gt;=TODAY()-90),1,0),0)</f>
        <v/>
      </c>
      <c r="R2595" s="17" t="str">
        <f t="shared" si="123"/>
        <v/>
      </c>
      <c r="S2595" s="17" t="str">
        <f>IF(INDEX(Listado!A:A,ROW())="","",INDEX(Listado!A:A,ROW()))</f>
        <v/>
      </c>
      <c r="T2595" s="17" t="str">
        <f ca="1">IF(INDEX(Listado!G:G,ROW())="","",INDEX(Listado!G:G,ROW()))</f>
        <v/>
      </c>
      <c r="U2595" s="17" t="str">
        <f>IF(INDEX(Listado!F:F,ROW())="","",INDEX(Listado!F:F,ROW()))</f>
        <v/>
      </c>
      <c r="V2595" s="17">
        <f>IF(COUNTA(INDEX(Listado!B:B,ROW()):INDEX(Listado!F:F,ROW()))&gt;0,1,0)</f>
        <v/>
      </c>
      <c r="W2595" s="17" t="str">
        <f>IF(INDEX(Listado!L:L,ROW())="","",INDEX(Listado!L:L,ROW()))</f>
        <v/>
      </c>
      <c r="X2595" s="17">
        <f>IF(N2595="","",IF(INDEX(Listado!$M:$M,N2595)="No","No","Sí"))</f>
        <v/>
      </c>
    </row>
    <row r="2596" spans="2:24" ht="14.25">
      <c r="N2596" s="17" t="str">
        <f>IF(V2596=0,"",IFERROR(LOOKUP(2,1/(INDEX(Listado!A:A,2):INDEX(Listado!A:A,ROW())&lt;&gt;""),ROW(INDEX(Listado!A:A,2):INDEX(Listado!A:A,ROW()))),""))</f>
        <v/>
      </c>
      <c r="O2596" s="17" t="str">
        <f>IFERROR(IF(N2596="","",IF(INDEX(Listado!M:M,N2596)="No",IF(INDEX(Listado!N:N,N2596)=0,"",INDEX(Listado!N:N,N2596)),IF(INDEX(Listado!I:I,N2596)=0,"",INDEX(Listado!I:I,N2596)))),"")</f>
        <v/>
      </c>
      <c r="P2596" s="17">
        <f t="shared" ca="1" si="121"/>
        <v/>
      </c>
      <c r="Q2596" s="17">
        <f>IFERROR(IF(AND(N2596&lt;&gt;"",ISNUMBER(O2596),O2596&gt;0,O2596&gt;=TODAY()-90),1,0),0)</f>
        <v/>
      </c>
      <c r="R2596" s="17" t="str">
        <f t="shared" si="123"/>
        <v/>
      </c>
      <c r="S2596" s="17" t="str">
        <f>IF(INDEX(Listado!A:A,ROW())="","",INDEX(Listado!A:A,ROW()))</f>
        <v/>
      </c>
      <c r="T2596" s="17" t="str">
        <f ca="1">IF(INDEX(Listado!G:G,ROW())="","",INDEX(Listado!G:G,ROW()))</f>
        <v/>
      </c>
      <c r="U2596" s="17" t="str">
        <f>IF(INDEX(Listado!F:F,ROW())="","",INDEX(Listado!F:F,ROW()))</f>
        <v/>
      </c>
      <c r="V2596" s="17">
        <f>IF(COUNTA(INDEX(Listado!B:B,ROW()):INDEX(Listado!F:F,ROW()))&gt;0,1,0)</f>
        <v/>
      </c>
      <c r="W2596" s="17" t="str">
        <f>IF(INDEX(Listado!L:L,ROW())="","",INDEX(Listado!L:L,ROW()))</f>
        <v/>
      </c>
      <c r="X2596" s="17">
        <f>IF(N2596="","",IF(INDEX(Listado!$M:$M,N2596)="No","No","Sí"))</f>
        <v/>
      </c>
    </row>
    <row r="2597" spans="2:24" ht="14.25">
      <c r="N2597" s="17" t="str">
        <f>IF(V2597=0,"",IFERROR(LOOKUP(2,1/(INDEX(Listado!A:A,2):INDEX(Listado!A:A,ROW())&lt;&gt;""),ROW(INDEX(Listado!A:A,2):INDEX(Listado!A:A,ROW()))),""))</f>
        <v/>
      </c>
      <c r="O2597" s="17" t="str">
        <f>IFERROR(IF(N2597="","",IF(INDEX(Listado!M:M,N2597)="No",IF(INDEX(Listado!N:N,N2597)=0,"",INDEX(Listado!N:N,N2597)),IF(INDEX(Listado!I:I,N2597)=0,"",INDEX(Listado!I:I,N2597)))),"")</f>
        <v/>
      </c>
      <c r="P2597" s="17">
        <f t="shared" ca="1" si="121"/>
        <v/>
      </c>
      <c r="Q2597" s="17">
        <f>IFERROR(IF(AND(N2597&lt;&gt;"",ISNUMBER(O2597),O2597&gt;0,O2597&gt;=TODAY()-90),1,0),0)</f>
        <v/>
      </c>
      <c r="R2597" s="17" t="str">
        <f t="shared" si="123"/>
        <v/>
      </c>
      <c r="S2597" s="17" t="str">
        <f>IF(INDEX(Listado!A:A,ROW())="","",INDEX(Listado!A:A,ROW()))</f>
        <v/>
      </c>
      <c r="T2597" s="17" t="str">
        <f ca="1">IF(INDEX(Listado!G:G,ROW())="","",INDEX(Listado!G:G,ROW()))</f>
        <v/>
      </c>
      <c r="U2597" s="17" t="str">
        <f>IF(INDEX(Listado!F:F,ROW())="","",INDEX(Listado!F:F,ROW()))</f>
        <v/>
      </c>
      <c r="V2597" s="17">
        <f>IF(COUNTA(INDEX(Listado!B:B,ROW()):INDEX(Listado!F:F,ROW()))&gt;0,1,0)</f>
        <v/>
      </c>
      <c r="W2597" s="17" t="str">
        <f>IF(INDEX(Listado!L:L,ROW())="","",INDEX(Listado!L:L,ROW()))</f>
        <v/>
      </c>
      <c r="X2597" s="17">
        <f>IF(N2597="","",IF(INDEX(Listado!$M:$M,N2597)="No","No","Sí"))</f>
        <v/>
      </c>
    </row>
    <row r="2598" spans="2:24" ht="14.25">
      <c r="N2598" s="17" t="str">
        <f>IF(V2598=0,"",IFERROR(LOOKUP(2,1/(INDEX(Listado!A:A,2):INDEX(Listado!A:A,ROW())&lt;&gt;""),ROW(INDEX(Listado!A:A,2):INDEX(Listado!A:A,ROW()))),""))</f>
        <v/>
      </c>
      <c r="O2598" s="17" t="str">
        <f>IFERROR(IF(N2598="","",IF(INDEX(Listado!M:M,N2598)="No",IF(INDEX(Listado!N:N,N2598)=0,"",INDEX(Listado!N:N,N2598)),IF(INDEX(Listado!I:I,N2598)=0,"",INDEX(Listado!I:I,N2598)))),"")</f>
        <v/>
      </c>
      <c r="P2598" s="17">
        <f t="shared" ca="1" si="121"/>
        <v/>
      </c>
      <c r="Q2598" s="17">
        <f>IFERROR(IF(AND(N2598&lt;&gt;"",ISNUMBER(O2598),O2598&gt;0,O2598&gt;=TODAY()-90),1,0),0)</f>
        <v/>
      </c>
      <c r="R2598" s="17" t="str">
        <f t="shared" si="123"/>
        <v/>
      </c>
      <c r="S2598" s="17" t="str">
        <f>IF(INDEX(Listado!A:A,ROW())="","",INDEX(Listado!A:A,ROW()))</f>
        <v/>
      </c>
      <c r="T2598" s="17" t="str">
        <f ca="1">IF(INDEX(Listado!G:G,ROW())="","",INDEX(Listado!G:G,ROW()))</f>
        <v/>
      </c>
      <c r="U2598" s="17" t="str">
        <f>IF(INDEX(Listado!F:F,ROW())="","",INDEX(Listado!F:F,ROW()))</f>
        <v/>
      </c>
      <c r="V2598" s="17">
        <f>IF(COUNTA(INDEX(Listado!B:B,ROW()):INDEX(Listado!F:F,ROW()))&gt;0,1,0)</f>
        <v/>
      </c>
      <c r="W2598" s="17" t="str">
        <f>IF(INDEX(Listado!L:L,ROW())="","",INDEX(Listado!L:L,ROW()))</f>
        <v/>
      </c>
      <c r="X2598" s="17">
        <f>IF(N2598="","",IF(INDEX(Listado!$M:$M,N2598)="No","No","Sí"))</f>
        <v/>
      </c>
    </row>
    <row r="2599" spans="2:24" ht="14.25">
      <c r="N2599" s="17" t="str">
        <f>IF(V2599=0,"",IFERROR(LOOKUP(2,1/(INDEX(Listado!A:A,2):INDEX(Listado!A:A,ROW())&lt;&gt;""),ROW(INDEX(Listado!A:A,2):INDEX(Listado!A:A,ROW()))),""))</f>
        <v/>
      </c>
      <c r="O2599" s="17" t="str">
        <f>IFERROR(IF(N2599="","",IF(INDEX(Listado!M:M,N2599)="No",IF(INDEX(Listado!N:N,N2599)=0,"",INDEX(Listado!N:N,N2599)),IF(INDEX(Listado!I:I,N2599)=0,"",INDEX(Listado!I:I,N2599)))),"")</f>
        <v/>
      </c>
      <c r="P2599" s="17">
        <f t="shared" ca="1" si="121"/>
        <v/>
      </c>
      <c r="Q2599" s="17">
        <f>IFERROR(IF(AND(N2599&lt;&gt;"",ISNUMBER(O2599),O2599&gt;0,O2599&gt;=TODAY()-90),1,0),0)</f>
        <v/>
      </c>
      <c r="R2599" s="17" t="str">
        <f t="shared" si="123"/>
        <v/>
      </c>
      <c r="S2599" s="17" t="str">
        <f>IF(INDEX(Listado!A:A,ROW())="","",INDEX(Listado!A:A,ROW()))</f>
        <v/>
      </c>
      <c r="T2599" s="17" t="str">
        <f ca="1">IF(INDEX(Listado!G:G,ROW())="","",INDEX(Listado!G:G,ROW()))</f>
        <v/>
      </c>
      <c r="U2599" s="17" t="str">
        <f>IF(INDEX(Listado!F:F,ROW())="","",INDEX(Listado!F:F,ROW()))</f>
        <v/>
      </c>
      <c r="V2599" s="17">
        <f>IF(COUNTA(INDEX(Listado!B:B,ROW()):INDEX(Listado!F:F,ROW()))&gt;0,1,0)</f>
        <v/>
      </c>
      <c r="W2599" s="17" t="str">
        <f>IF(INDEX(Listado!L:L,ROW())="","",INDEX(Listado!L:L,ROW()))</f>
        <v/>
      </c>
      <c r="X2599" s="17">
        <f>IF(N2599="","",IF(INDEX(Listado!$M:$M,N2599)="No","No","Sí"))</f>
        <v/>
      </c>
    </row>
    <row r="2600" spans="2:24" ht="14.25">
      <c r="N2600" s="17" t="str">
        <f>IF(V2600=0,"",IFERROR(LOOKUP(2,1/(INDEX(Listado!A:A,2):INDEX(Listado!A:A,ROW())&lt;&gt;""),ROW(INDEX(Listado!A:A,2):INDEX(Listado!A:A,ROW()))),""))</f>
        <v/>
      </c>
      <c r="O2600" s="17" t="str">
        <f>IFERROR(IF(N2600="","",IF(INDEX(Listado!M:M,N2600)="No",IF(INDEX(Listado!N:N,N2600)=0,"",INDEX(Listado!N:N,N2600)),IF(INDEX(Listado!I:I,N2600)=0,"",INDEX(Listado!I:I,N2600)))),"")</f>
        <v/>
      </c>
      <c r="P2600" s="17">
        <f t="shared" ca="1" si="121"/>
        <v/>
      </c>
      <c r="Q2600" s="17">
        <f>IFERROR(IF(AND(N2600&lt;&gt;"",ISNUMBER(O2600),O2600&gt;0,O2600&gt;=TODAY()-90),1,0),0)</f>
        <v/>
      </c>
      <c r="R2600" s="17" t="str">
        <f t="shared" si="123"/>
        <v/>
      </c>
      <c r="S2600" s="17" t="str">
        <f>IF(INDEX(Listado!A:A,ROW())="","",INDEX(Listado!A:A,ROW()))</f>
        <v/>
      </c>
      <c r="T2600" s="17" t="str">
        <f ca="1">IF(INDEX(Listado!G:G,ROW())="","",INDEX(Listado!G:G,ROW()))</f>
        <v/>
      </c>
      <c r="U2600" s="17" t="str">
        <f>IF(INDEX(Listado!F:F,ROW())="","",INDEX(Listado!F:F,ROW()))</f>
        <v/>
      </c>
      <c r="V2600" s="17">
        <f>IF(COUNTA(INDEX(Listado!B:B,ROW()):INDEX(Listado!F:F,ROW()))&gt;0,1,0)</f>
        <v/>
      </c>
      <c r="W2600" s="17" t="str">
        <f>IF(INDEX(Listado!L:L,ROW())="","",INDEX(Listado!L:L,ROW()))</f>
        <v/>
      </c>
      <c r="X2600" s="17">
        <f>IF(N2600="","",IF(INDEX(Listado!$M:$M,N2600)="No","No","Sí"))</f>
        <v/>
      </c>
    </row>
    <row r="2601" spans="2:24" ht="14.25">
      <c r="N2601" s="17" t="str">
        <f>IF(V2601=0,"",IFERROR(LOOKUP(2,1/(INDEX(Listado!A:A,2):INDEX(Listado!A:A,ROW())&lt;&gt;""),ROW(INDEX(Listado!A:A,2):INDEX(Listado!A:A,ROW()))),""))</f>
        <v/>
      </c>
      <c r="O2601" s="17" t="str">
        <f>IFERROR(IF(N2601="","",IF(INDEX(Listado!M:M,N2601)="No",IF(INDEX(Listado!N:N,N2601)=0,"",INDEX(Listado!N:N,N2601)),IF(INDEX(Listado!I:I,N2601)=0,"",INDEX(Listado!I:I,N2601)))),"")</f>
        <v/>
      </c>
      <c r="P2601" s="17">
        <f t="shared" ca="1" si="121"/>
        <v/>
      </c>
      <c r="Q2601" s="17">
        <f>IFERROR(IF(AND(N2601&lt;&gt;"",ISNUMBER(O2601),O2601&gt;0,O2601&gt;=TODAY()-90),1,0),0)</f>
        <v/>
      </c>
      <c r="R2601" s="17" t="str">
        <f t="shared" si="123"/>
        <v/>
      </c>
      <c r="S2601" s="17" t="str">
        <f>IF(INDEX(Listado!A:A,ROW())="","",INDEX(Listado!A:A,ROW()))</f>
        <v/>
      </c>
      <c r="T2601" s="17" t="str">
        <f ca="1">IF(INDEX(Listado!G:G,ROW())="","",INDEX(Listado!G:G,ROW()))</f>
        <v/>
      </c>
      <c r="U2601" s="17" t="str">
        <f>IF(INDEX(Listado!F:F,ROW())="","",INDEX(Listado!F:F,ROW()))</f>
        <v/>
      </c>
      <c r="V2601" s="17">
        <f>IF(COUNTA(INDEX(Listado!B:B,ROW()):INDEX(Listado!F:F,ROW()))&gt;0,1,0)</f>
        <v/>
      </c>
      <c r="W2601" s="17" t="str">
        <f>IF(INDEX(Listado!L:L,ROW())="","",INDEX(Listado!L:L,ROW()))</f>
        <v/>
      </c>
      <c r="X2601" s="17">
        <f>IF(N2601="","",IF(INDEX(Listado!$M:$M,N2601)="No","No","Sí"))</f>
        <v/>
      </c>
    </row>
    <row r="2602" spans="2:24" ht="14.25">
      <c r="N2602" s="17" t="str">
        <f>IF(V2602=0,"",IFERROR(LOOKUP(2,1/(INDEX(Listado!A:A,2):INDEX(Listado!A:A,ROW())&lt;&gt;""),ROW(INDEX(Listado!A:A,2):INDEX(Listado!A:A,ROW()))),""))</f>
        <v/>
      </c>
      <c r="O2602" s="17" t="str">
        <f>IFERROR(IF(N2602="","",IF(INDEX(Listado!M:M,N2602)="No",IF(INDEX(Listado!N:N,N2602)=0,"",INDEX(Listado!N:N,N2602)),IF(INDEX(Listado!I:I,N2602)=0,"",INDEX(Listado!I:I,N2602)))),"")</f>
        <v/>
      </c>
      <c r="P2602" s="17">
        <f t="shared" ca="1" si="121"/>
        <v/>
      </c>
      <c r="Q2602" s="17">
        <f>IFERROR(IF(AND(N2602&lt;&gt;"",ISNUMBER(O2602),O2602&gt;0,O2602&gt;=TODAY()-90),1,0),0)</f>
        <v/>
      </c>
      <c r="R2602" s="17" t="str">
        <f t="shared" si="123"/>
        <v/>
      </c>
      <c r="S2602" s="17" t="str">
        <f>IF(INDEX(Listado!A:A,ROW())="","",INDEX(Listado!A:A,ROW()))</f>
        <v/>
      </c>
      <c r="T2602" s="17" t="str">
        <f ca="1">IF(INDEX(Listado!G:G,ROW())="","",INDEX(Listado!G:G,ROW()))</f>
        <v/>
      </c>
      <c r="U2602" s="17" t="str">
        <f>IF(INDEX(Listado!F:F,ROW())="","",INDEX(Listado!F:F,ROW()))</f>
        <v/>
      </c>
      <c r="V2602" s="17">
        <f>IF(COUNTA(INDEX(Listado!B:B,ROW()):INDEX(Listado!F:F,ROW()))&gt;0,1,0)</f>
        <v/>
      </c>
      <c r="W2602" s="17" t="str">
        <f>IF(INDEX(Listado!L:L,ROW())="","",INDEX(Listado!L:L,ROW()))</f>
        <v/>
      </c>
      <c r="X2602" s="17">
        <f>IF(N2602="","",IF(INDEX(Listado!$M:$M,N2602)="No","No","Sí"))</f>
        <v/>
      </c>
    </row>
    <row r="2603" spans="2:24" ht="14.25">
      <c r="N2603" s="17" t="str">
        <f>IF(V2603=0,"",IFERROR(LOOKUP(2,1/(INDEX(Listado!A:A,2):INDEX(Listado!A:A,ROW())&lt;&gt;""),ROW(INDEX(Listado!A:A,2):INDEX(Listado!A:A,ROW()))),""))</f>
        <v/>
      </c>
      <c r="O2603" s="17" t="str">
        <f>IFERROR(IF(N2603="","",IF(INDEX(Listado!M:M,N2603)="No",IF(INDEX(Listado!N:N,N2603)=0,"",INDEX(Listado!N:N,N2603)),IF(INDEX(Listado!I:I,N2603)=0,"",INDEX(Listado!I:I,N2603)))),"")</f>
        <v/>
      </c>
      <c r="P2603" s="17">
        <f t="shared" ca="1" si="121"/>
        <v/>
      </c>
      <c r="Q2603" s="17">
        <f>IFERROR(IF(AND(N2603&lt;&gt;"",ISNUMBER(O2603),O2603&gt;0,O2603&gt;=TODAY()-90),1,0),0)</f>
        <v/>
      </c>
      <c r="R2603" s="17" t="str">
        <f t="shared" si="123"/>
        <v/>
      </c>
      <c r="S2603" s="17" t="str">
        <f>IF(INDEX(Listado!A:A,ROW())="","",INDEX(Listado!A:A,ROW()))</f>
        <v/>
      </c>
      <c r="T2603" s="17" t="str">
        <f ca="1">IF(INDEX(Listado!G:G,ROW())="","",INDEX(Listado!G:G,ROW()))</f>
        <v/>
      </c>
      <c r="U2603" s="17" t="str">
        <f>IF(INDEX(Listado!F:F,ROW())="","",INDEX(Listado!F:F,ROW()))</f>
        <v/>
      </c>
      <c r="V2603" s="17">
        <f>IF(COUNTA(INDEX(Listado!B:B,ROW()):INDEX(Listado!F:F,ROW()))&gt;0,1,0)</f>
        <v/>
      </c>
      <c r="W2603" s="17" t="str">
        <f>IF(INDEX(Listado!L:L,ROW())="","",INDEX(Listado!L:L,ROW()))</f>
        <v/>
      </c>
      <c r="X2603" s="17">
        <f>IF(N2603="","",IF(INDEX(Listado!$M:$M,N2603)="No","No","Sí"))</f>
        <v/>
      </c>
    </row>
    <row r="2604" spans="2:24" ht="14.25">
      <c r="N2604" s="17" t="str">
        <f>IF(V2604=0,"",IFERROR(LOOKUP(2,1/(INDEX(Listado!A:A,2):INDEX(Listado!A:A,ROW())&lt;&gt;""),ROW(INDEX(Listado!A:A,2):INDEX(Listado!A:A,ROW()))),""))</f>
        <v/>
      </c>
      <c r="O2604" s="17" t="str">
        <f>IFERROR(IF(N2604="","",IF(INDEX(Listado!M:M,N2604)="No",IF(INDEX(Listado!N:N,N2604)=0,"",INDEX(Listado!N:N,N2604)),IF(INDEX(Listado!I:I,N2604)=0,"",INDEX(Listado!I:I,N2604)))),"")</f>
        <v/>
      </c>
      <c r="P2604" s="17">
        <f t="shared" ca="1" si="121"/>
        <v/>
      </c>
      <c r="Q2604" s="17">
        <f>IFERROR(IF(AND(N2604&lt;&gt;"",ISNUMBER(O2604),O2604&gt;0,O2604&gt;=TODAY()-90),1,0),0)</f>
        <v/>
      </c>
      <c r="R2604" s="17" t="str">
        <f t="shared" si="123"/>
        <v/>
      </c>
      <c r="S2604" s="17" t="str">
        <f>IF(INDEX(Listado!A:A,ROW())="","",INDEX(Listado!A:A,ROW()))</f>
        <v/>
      </c>
      <c r="T2604" s="17" t="str">
        <f ca="1">IF(INDEX(Listado!G:G,ROW())="","",INDEX(Listado!G:G,ROW()))</f>
        <v/>
      </c>
      <c r="U2604" s="17" t="str">
        <f>IF(INDEX(Listado!F:F,ROW())="","",INDEX(Listado!F:F,ROW()))</f>
        <v/>
      </c>
      <c r="V2604" s="17">
        <f>IF(COUNTA(INDEX(Listado!B:B,ROW()):INDEX(Listado!F:F,ROW()))&gt;0,1,0)</f>
        <v/>
      </c>
      <c r="W2604" s="17" t="str">
        <f>IF(INDEX(Listado!L:L,ROW())="","",INDEX(Listado!L:L,ROW()))</f>
        <v/>
      </c>
      <c r="X2604" s="17">
        <f>IF(N2604="","",IF(INDEX(Listado!$M:$M,N2604)="No","No","Sí"))</f>
        <v/>
      </c>
    </row>
    <row r="2605" spans="2:24" ht="14.25">
      <c r="N2605" s="17" t="str">
        <f>IF(V2605=0,"",IFERROR(LOOKUP(2,1/(INDEX(Listado!A:A,2):INDEX(Listado!A:A,ROW())&lt;&gt;""),ROW(INDEX(Listado!A:A,2):INDEX(Listado!A:A,ROW()))),""))</f>
        <v/>
      </c>
      <c r="O2605" s="17" t="str">
        <f>IFERROR(IF(N2605="","",IF(INDEX(Listado!M:M,N2605)="No",IF(INDEX(Listado!N:N,N2605)=0,"",INDEX(Listado!N:N,N2605)),IF(INDEX(Listado!I:I,N2605)=0,"",INDEX(Listado!I:I,N2605)))),"")</f>
        <v/>
      </c>
      <c r="P2605" s="17">
        <f t="shared" ca="1" si="121"/>
        <v/>
      </c>
      <c r="Q2605" s="17">
        <f>IFERROR(IF(AND(N2605&lt;&gt;"",ISNUMBER(O2605),O2605&gt;0,O2605&gt;=TODAY()-90),1,0),0)</f>
        <v/>
      </c>
      <c r="R2605" s="17" t="str">
        <f t="shared" si="123"/>
        <v/>
      </c>
      <c r="S2605" s="17" t="str">
        <f>IF(INDEX(Listado!A:A,ROW())="","",INDEX(Listado!A:A,ROW()))</f>
        <v/>
      </c>
      <c r="T2605" s="17" t="str">
        <f ca="1">IF(INDEX(Listado!G:G,ROW())="","",INDEX(Listado!G:G,ROW()))</f>
        <v/>
      </c>
      <c r="U2605" s="17" t="str">
        <f>IF(INDEX(Listado!F:F,ROW())="","",INDEX(Listado!F:F,ROW()))</f>
        <v/>
      </c>
      <c r="V2605" s="17">
        <f>IF(COUNTA(INDEX(Listado!B:B,ROW()):INDEX(Listado!F:F,ROW()))&gt;0,1,0)</f>
        <v/>
      </c>
      <c r="W2605" s="17" t="str">
        <f>IF(INDEX(Listado!L:L,ROW())="","",INDEX(Listado!L:L,ROW()))</f>
        <v/>
      </c>
      <c r="X2605" s="17">
        <f>IF(N2605="","",IF(INDEX(Listado!$M:$M,N2605)="No","No","Sí"))</f>
        <v/>
      </c>
    </row>
    <row r="2606" spans="2:24" ht="14.25">
      <c r="N2606" s="17" t="str">
        <f>IF(V2606=0,"",IFERROR(LOOKUP(2,1/(INDEX(Listado!A:A,2):INDEX(Listado!A:A,ROW())&lt;&gt;""),ROW(INDEX(Listado!A:A,2):INDEX(Listado!A:A,ROW()))),""))</f>
        <v/>
      </c>
      <c r="O2606" s="17" t="str">
        <f>IFERROR(IF(N2606="","",IF(INDEX(Listado!M:M,N2606)="No",IF(INDEX(Listado!N:N,N2606)=0,"",INDEX(Listado!N:N,N2606)),IF(INDEX(Listado!I:I,N2606)=0,"",INDEX(Listado!I:I,N2606)))),"")</f>
        <v/>
      </c>
      <c r="P2606" s="17">
        <f t="shared" ca="1" si="121"/>
        <v/>
      </c>
      <c r="Q2606" s="17">
        <f>IFERROR(IF(AND(N2606&lt;&gt;"",ISNUMBER(O2606),O2606&gt;0,O2606&gt;=TODAY()-90),1,0),0)</f>
        <v/>
      </c>
      <c r="R2606" s="17" t="str">
        <f t="shared" si="123"/>
        <v/>
      </c>
      <c r="S2606" s="17" t="str">
        <f>IF(INDEX(Listado!A:A,ROW())="","",INDEX(Listado!A:A,ROW()))</f>
        <v/>
      </c>
      <c r="T2606" s="17" t="str">
        <f ca="1">IF(INDEX(Listado!G:G,ROW())="","",INDEX(Listado!G:G,ROW()))</f>
        <v/>
      </c>
      <c r="U2606" s="17" t="str">
        <f>IF(INDEX(Listado!F:F,ROW())="","",INDEX(Listado!F:F,ROW()))</f>
        <v/>
      </c>
      <c r="V2606" s="17">
        <f>IF(COUNTA(INDEX(Listado!B:B,ROW()):INDEX(Listado!F:F,ROW()))&gt;0,1,0)</f>
        <v/>
      </c>
      <c r="W2606" s="17" t="str">
        <f>IF(INDEX(Listado!L:L,ROW())="","",INDEX(Listado!L:L,ROW()))</f>
        <v/>
      </c>
      <c r="X2606" s="17">
        <f>IF(N2606="","",IF(INDEX(Listado!$M:$M,N2606)="No","No","Sí"))</f>
        <v/>
      </c>
    </row>
    <row r="2607" spans="2:24" ht="14.25">
      <c r="N2607" s="17" t="str">
        <f>IF(V2607=0,"",IFERROR(LOOKUP(2,1/(INDEX(Listado!A:A,2):INDEX(Listado!A:A,ROW())&lt;&gt;""),ROW(INDEX(Listado!A:A,2):INDEX(Listado!A:A,ROW()))),""))</f>
        <v/>
      </c>
      <c r="O2607" s="17" t="str">
        <f>IFERROR(IF(N2607="","",IF(INDEX(Listado!M:M,N2607)="No",IF(INDEX(Listado!N:N,N2607)=0,"",INDEX(Listado!N:N,N2607)),IF(INDEX(Listado!I:I,N2607)=0,"",INDEX(Listado!I:I,N2607)))),"")</f>
        <v/>
      </c>
      <c r="P2607" s="17">
        <f t="shared" ca="1" si="121"/>
        <v/>
      </c>
      <c r="Q2607" s="17">
        <f>IFERROR(IF(AND(N2607&lt;&gt;"",ISNUMBER(O2607),O2607&gt;0,O2607&gt;=TODAY()-90),1,0),0)</f>
        <v/>
      </c>
      <c r="R2607" s="17" t="str">
        <f t="shared" si="123"/>
        <v/>
      </c>
      <c r="S2607" s="17" t="str">
        <f>IF(INDEX(Listado!A:A,ROW())="","",INDEX(Listado!A:A,ROW()))</f>
        <v/>
      </c>
      <c r="T2607" s="17" t="str">
        <f ca="1">IF(INDEX(Listado!G:G,ROW())="","",INDEX(Listado!G:G,ROW()))</f>
        <v/>
      </c>
      <c r="U2607" s="17" t="str">
        <f>IF(INDEX(Listado!F:F,ROW())="","",INDEX(Listado!F:F,ROW()))</f>
        <v/>
      </c>
      <c r="V2607" s="17">
        <f>IF(COUNTA(INDEX(Listado!B:B,ROW()):INDEX(Listado!F:F,ROW()))&gt;0,1,0)</f>
        <v/>
      </c>
      <c r="W2607" s="17" t="str">
        <f>IF(INDEX(Listado!L:L,ROW())="","",INDEX(Listado!L:L,ROW()))</f>
        <v/>
      </c>
      <c r="X2607" s="17">
        <f>IF(N2607="","",IF(INDEX(Listado!$M:$M,N2607)="No","No","Sí"))</f>
        <v/>
      </c>
    </row>
    <row r="2608" spans="2:24" ht="14.25">
      <c r="N2608" s="17" t="str">
        <f>IF(V2608=0,"",IFERROR(LOOKUP(2,1/(INDEX(Listado!A:A,2):INDEX(Listado!A:A,ROW())&lt;&gt;""),ROW(INDEX(Listado!A:A,2):INDEX(Listado!A:A,ROW()))),""))</f>
        <v/>
      </c>
      <c r="O2608" s="17" t="str">
        <f>IFERROR(IF(N2608="","",IF(INDEX(Listado!M:M,N2608)="No",IF(INDEX(Listado!N:N,N2608)=0,"",INDEX(Listado!N:N,N2608)),IF(INDEX(Listado!I:I,N2608)=0,"",INDEX(Listado!I:I,N2608)))),"")</f>
        <v/>
      </c>
      <c r="P2608" s="17">
        <f t="shared" ca="1" si="121"/>
        <v/>
      </c>
      <c r="Q2608" s="17">
        <f>IFERROR(IF(AND(N2608&lt;&gt;"",ISNUMBER(O2608),O2608&gt;0,O2608&gt;=TODAY()-90),1,0),0)</f>
        <v/>
      </c>
      <c r="R2608" s="17" t="str">
        <f t="shared" si="123"/>
        <v/>
      </c>
      <c r="S2608" s="17" t="str">
        <f>IF(INDEX(Listado!A:A,ROW())="","",INDEX(Listado!A:A,ROW()))</f>
        <v/>
      </c>
      <c r="T2608" s="17" t="str">
        <f ca="1">IF(INDEX(Listado!G:G,ROW())="","",INDEX(Listado!G:G,ROW()))</f>
        <v/>
      </c>
      <c r="U2608" s="17" t="str">
        <f>IF(INDEX(Listado!F:F,ROW())="","",INDEX(Listado!F:F,ROW()))</f>
        <v/>
      </c>
      <c r="V2608" s="17">
        <f>IF(COUNTA(INDEX(Listado!B:B,ROW()):INDEX(Listado!F:F,ROW()))&gt;0,1,0)</f>
        <v/>
      </c>
      <c r="W2608" s="17" t="str">
        <f>IF(INDEX(Listado!L:L,ROW())="","",INDEX(Listado!L:L,ROW()))</f>
        <v/>
      </c>
      <c r="X2608" s="17">
        <f>IF(N2608="","",IF(INDEX(Listado!$M:$M,N2608)="No","No","Sí"))</f>
        <v/>
      </c>
    </row>
    <row r="2609" spans="2:24" ht="14.25">
      <c r="N2609" s="17" t="str">
        <f>IF(V2609=0,"",IFERROR(LOOKUP(2,1/(INDEX(Listado!A:A,2):INDEX(Listado!A:A,ROW())&lt;&gt;""),ROW(INDEX(Listado!A:A,2):INDEX(Listado!A:A,ROW()))),""))</f>
        <v/>
      </c>
      <c r="O2609" s="17" t="str">
        <f>IFERROR(IF(N2609="","",IF(INDEX(Listado!M:M,N2609)="No",IF(INDEX(Listado!N:N,N2609)=0,"",INDEX(Listado!N:N,N2609)),IF(INDEX(Listado!I:I,N2609)=0,"",INDEX(Listado!I:I,N2609)))),"")</f>
        <v/>
      </c>
      <c r="P2609" s="17">
        <f t="shared" ca="1" si="121"/>
        <v/>
      </c>
      <c r="Q2609" s="17">
        <f>IFERROR(IF(AND(N2609&lt;&gt;"",ISNUMBER(O2609),O2609&gt;0,O2609&gt;=TODAY()-90),1,0),0)</f>
        <v/>
      </c>
      <c r="R2609" s="17" t="str">
        <f t="shared" si="123"/>
        <v/>
      </c>
      <c r="S2609" s="17" t="str">
        <f>IF(INDEX(Listado!A:A,ROW())="","",INDEX(Listado!A:A,ROW()))</f>
        <v/>
      </c>
      <c r="T2609" s="17" t="str">
        <f ca="1">IF(INDEX(Listado!G:G,ROW())="","",INDEX(Listado!G:G,ROW()))</f>
        <v/>
      </c>
      <c r="U2609" s="17" t="str">
        <f>IF(INDEX(Listado!F:F,ROW())="","",INDEX(Listado!F:F,ROW()))</f>
        <v/>
      </c>
      <c r="V2609" s="17">
        <f>IF(COUNTA(INDEX(Listado!B:B,ROW()):INDEX(Listado!F:F,ROW()))&gt;0,1,0)</f>
        <v/>
      </c>
      <c r="W2609" s="17" t="str">
        <f>IF(INDEX(Listado!L:L,ROW())="","",INDEX(Listado!L:L,ROW()))</f>
        <v/>
      </c>
      <c r="X2609" s="17">
        <f>IF(N2609="","",IF(INDEX(Listado!$M:$M,N2609)="No","No","Sí"))</f>
        <v/>
      </c>
    </row>
    <row r="2610" spans="2:24" ht="14.25">
      <c r="N2610" s="17" t="str">
        <f>IF(V2610=0,"",IFERROR(LOOKUP(2,1/(INDEX(Listado!A:A,2):INDEX(Listado!A:A,ROW())&lt;&gt;""),ROW(INDEX(Listado!A:A,2):INDEX(Listado!A:A,ROW()))),""))</f>
        <v/>
      </c>
      <c r="O2610" s="17" t="str">
        <f>IFERROR(IF(N2610="","",IF(INDEX(Listado!M:M,N2610)="No",IF(INDEX(Listado!N:N,N2610)=0,"",INDEX(Listado!N:N,N2610)),IF(INDEX(Listado!I:I,N2610)=0,"",INDEX(Listado!I:I,N2610)))),"")</f>
        <v/>
      </c>
      <c r="P2610" s="17">
        <f t="shared" ca="1" si="121"/>
        <v/>
      </c>
      <c r="Q2610" s="17">
        <f>IFERROR(IF(AND(N2610&lt;&gt;"",ISNUMBER(O2610),O2610&gt;0,O2610&gt;=TODAY()-90),1,0),0)</f>
        <v/>
      </c>
      <c r="R2610" s="17" t="str">
        <f t="shared" si="123"/>
        <v/>
      </c>
      <c r="S2610" s="17" t="str">
        <f>IF(INDEX(Listado!A:A,ROW())="","",INDEX(Listado!A:A,ROW()))</f>
        <v/>
      </c>
      <c r="T2610" s="17" t="str">
        <f ca="1">IF(INDEX(Listado!G:G,ROW())="","",INDEX(Listado!G:G,ROW()))</f>
        <v/>
      </c>
      <c r="U2610" s="17" t="str">
        <f>IF(INDEX(Listado!F:F,ROW())="","",INDEX(Listado!F:F,ROW()))</f>
        <v/>
      </c>
      <c r="V2610" s="17">
        <f>IF(COUNTA(INDEX(Listado!B:B,ROW()):INDEX(Listado!F:F,ROW()))&gt;0,1,0)</f>
        <v/>
      </c>
      <c r="W2610" s="17" t="str">
        <f>IF(INDEX(Listado!L:L,ROW())="","",INDEX(Listado!L:L,ROW()))</f>
        <v/>
      </c>
      <c r="X2610" s="17">
        <f>IF(N2610="","",IF(INDEX(Listado!$M:$M,N2610)="No","No","Sí"))</f>
        <v/>
      </c>
    </row>
    <row r="2611" spans="2:24" ht="14.25">
      <c r="N2611" s="17" t="str">
        <f>IF(V2611=0,"",IFERROR(LOOKUP(2,1/(INDEX(Listado!A:A,2):INDEX(Listado!A:A,ROW())&lt;&gt;""),ROW(INDEX(Listado!A:A,2):INDEX(Listado!A:A,ROW()))),""))</f>
        <v/>
      </c>
      <c r="O2611" s="17" t="str">
        <f>IFERROR(IF(N2611="","",IF(INDEX(Listado!M:M,N2611)="No",IF(INDEX(Listado!N:N,N2611)=0,"",INDEX(Listado!N:N,N2611)),IF(INDEX(Listado!I:I,N2611)=0,"",INDEX(Listado!I:I,N2611)))),"")</f>
        <v/>
      </c>
      <c r="P2611" s="17">
        <f t="shared" ca="1" si="121"/>
        <v/>
      </c>
      <c r="Q2611" s="17">
        <f>IFERROR(IF(AND(N2611&lt;&gt;"",ISNUMBER(O2611),O2611&gt;0,O2611&gt;=TODAY()-90),1,0),0)</f>
        <v/>
      </c>
      <c r="R2611" s="17" t="str">
        <f t="shared" si="123"/>
        <v/>
      </c>
      <c r="S2611" s="17" t="str">
        <f>IF(INDEX(Listado!A:A,ROW())="","",INDEX(Listado!A:A,ROW()))</f>
        <v/>
      </c>
      <c r="T2611" s="17" t="str">
        <f ca="1">IF(INDEX(Listado!G:G,ROW())="","",INDEX(Listado!G:G,ROW()))</f>
        <v/>
      </c>
      <c r="U2611" s="17" t="str">
        <f>IF(INDEX(Listado!F:F,ROW())="","",INDEX(Listado!F:F,ROW()))</f>
        <v/>
      </c>
      <c r="V2611" s="17">
        <f>IF(COUNTA(INDEX(Listado!B:B,ROW()):INDEX(Listado!F:F,ROW()))&gt;0,1,0)</f>
        <v/>
      </c>
      <c r="W2611" s="17" t="str">
        <f>IF(INDEX(Listado!L:L,ROW())="","",INDEX(Listado!L:L,ROW()))</f>
        <v/>
      </c>
      <c r="X2611" s="17">
        <f>IF(N2611="","",IF(INDEX(Listado!$M:$M,N2611)="No","No","Sí"))</f>
        <v/>
      </c>
    </row>
    <row r="2612" spans="2:24" ht="14.25">
      <c r="N2612" s="17" t="str">
        <f>IF(V2612=0,"",IFERROR(LOOKUP(2,1/(INDEX(Listado!A:A,2):INDEX(Listado!A:A,ROW())&lt;&gt;""),ROW(INDEX(Listado!A:A,2):INDEX(Listado!A:A,ROW()))),""))</f>
        <v/>
      </c>
      <c r="O2612" s="17" t="str">
        <f>IFERROR(IF(N2612="","",IF(INDEX(Listado!M:M,N2612)="No",IF(INDEX(Listado!N:N,N2612)=0,"",INDEX(Listado!N:N,N2612)),IF(INDEX(Listado!I:I,N2612)=0,"",INDEX(Listado!I:I,N2612)))),"")</f>
        <v/>
      </c>
      <c r="P2612" s="17">
        <f t="shared" ca="1" si="121"/>
        <v/>
      </c>
      <c r="Q2612" s="17">
        <f>IFERROR(IF(AND(N2612&lt;&gt;"",ISNUMBER(O2612),O2612&gt;0,O2612&gt;=TODAY()-90),1,0),0)</f>
        <v/>
      </c>
      <c r="R2612" s="17" t="str">
        <f t="shared" si="123"/>
        <v/>
      </c>
      <c r="S2612" s="17" t="str">
        <f>IF(INDEX(Listado!A:A,ROW())="","",INDEX(Listado!A:A,ROW()))</f>
        <v/>
      </c>
      <c r="T2612" s="17" t="str">
        <f ca="1">IF(INDEX(Listado!G:G,ROW())="","",INDEX(Listado!G:G,ROW()))</f>
        <v/>
      </c>
      <c r="U2612" s="17" t="str">
        <f>IF(INDEX(Listado!F:F,ROW())="","",INDEX(Listado!F:F,ROW()))</f>
        <v/>
      </c>
      <c r="V2612" s="17">
        <f>IF(COUNTA(INDEX(Listado!B:B,ROW()):INDEX(Listado!F:F,ROW()))&gt;0,1,0)</f>
        <v/>
      </c>
      <c r="W2612" s="17" t="str">
        <f>IF(INDEX(Listado!L:L,ROW())="","",INDEX(Listado!L:L,ROW()))</f>
        <v/>
      </c>
      <c r="X2612" s="17">
        <f>IF(N2612="","",IF(INDEX(Listado!$M:$M,N2612)="No","No","Sí"))</f>
        <v/>
      </c>
    </row>
    <row r="2613" spans="2:24" ht="14.25">
      <c r="N2613" s="17" t="str">
        <f>IF(V2613=0,"",IFERROR(LOOKUP(2,1/(INDEX(Listado!A:A,2):INDEX(Listado!A:A,ROW())&lt;&gt;""),ROW(INDEX(Listado!A:A,2):INDEX(Listado!A:A,ROW()))),""))</f>
        <v/>
      </c>
      <c r="O2613" s="17" t="str">
        <f>IFERROR(IF(N2613="","",IF(INDEX(Listado!M:M,N2613)="No",IF(INDEX(Listado!N:N,N2613)=0,"",INDEX(Listado!N:N,N2613)),IF(INDEX(Listado!I:I,N2613)=0,"",INDEX(Listado!I:I,N2613)))),"")</f>
        <v/>
      </c>
      <c r="P2613" s="17">
        <f t="shared" ca="1" si="121"/>
        <v/>
      </c>
      <c r="Q2613" s="17">
        <f>IFERROR(IF(AND(N2613&lt;&gt;"",ISNUMBER(O2613),O2613&gt;0,O2613&gt;=TODAY()-90),1,0),0)</f>
        <v/>
      </c>
      <c r="R2613" s="17" t="str">
        <f t="shared" si="123"/>
        <v/>
      </c>
      <c r="S2613" s="17" t="str">
        <f>IF(INDEX(Listado!A:A,ROW())="","",INDEX(Listado!A:A,ROW()))</f>
        <v/>
      </c>
      <c r="T2613" s="17" t="str">
        <f ca="1">IF(INDEX(Listado!G:G,ROW())="","",INDEX(Listado!G:G,ROW()))</f>
        <v/>
      </c>
      <c r="U2613" s="17" t="str">
        <f>IF(INDEX(Listado!F:F,ROW())="","",INDEX(Listado!F:F,ROW()))</f>
        <v/>
      </c>
      <c r="V2613" s="17">
        <f>IF(COUNTA(INDEX(Listado!B:B,ROW()):INDEX(Listado!F:F,ROW()))&gt;0,1,0)</f>
        <v/>
      </c>
      <c r="W2613" s="17" t="str">
        <f>IF(INDEX(Listado!L:L,ROW())="","",INDEX(Listado!L:L,ROW()))</f>
        <v/>
      </c>
      <c r="X2613" s="17">
        <f>IF(N2613="","",IF(INDEX(Listado!$M:$M,N2613)="No","No","Sí"))</f>
        <v/>
      </c>
    </row>
    <row r="2614" spans="2:24" ht="14.25">
      <c r="N2614" s="17" t="str">
        <f>IF(V2614=0,"",IFERROR(LOOKUP(2,1/(INDEX(Listado!A:A,2):INDEX(Listado!A:A,ROW())&lt;&gt;""),ROW(INDEX(Listado!A:A,2):INDEX(Listado!A:A,ROW()))),""))</f>
        <v/>
      </c>
      <c r="O2614" s="17" t="str">
        <f>IFERROR(IF(N2614="","",IF(INDEX(Listado!M:M,N2614)="No",IF(INDEX(Listado!N:N,N2614)=0,"",INDEX(Listado!N:N,N2614)),IF(INDEX(Listado!I:I,N2614)=0,"",INDEX(Listado!I:I,N2614)))),"")</f>
        <v/>
      </c>
      <c r="P2614" s="17">
        <f t="shared" ca="1" si="121"/>
        <v/>
      </c>
      <c r="Q2614" s="17">
        <f>IFERROR(IF(AND(N2614&lt;&gt;"",ISNUMBER(O2614),O2614&gt;0,O2614&gt;=TODAY()-90),1,0),0)</f>
        <v/>
      </c>
      <c r="R2614" s="17" t="str">
        <f t="shared" si="123"/>
        <v/>
      </c>
      <c r="S2614" s="17" t="str">
        <f>IF(INDEX(Listado!A:A,ROW())="","",INDEX(Listado!A:A,ROW()))</f>
        <v/>
      </c>
      <c r="T2614" s="17" t="str">
        <f ca="1">IF(INDEX(Listado!G:G,ROW())="","",INDEX(Listado!G:G,ROW()))</f>
        <v/>
      </c>
      <c r="U2614" s="17" t="str">
        <f>IF(INDEX(Listado!F:F,ROW())="","",INDEX(Listado!F:F,ROW()))</f>
        <v/>
      </c>
      <c r="V2614" s="17">
        <f>IF(COUNTA(INDEX(Listado!B:B,ROW()):INDEX(Listado!F:F,ROW()))&gt;0,1,0)</f>
        <v/>
      </c>
      <c r="W2614" s="17" t="str">
        <f>IF(INDEX(Listado!L:L,ROW())="","",INDEX(Listado!L:L,ROW()))</f>
        <v/>
      </c>
      <c r="X2614" s="17">
        <f>IF(N2614="","",IF(INDEX(Listado!$M:$M,N2614)="No","No","Sí"))</f>
        <v/>
      </c>
    </row>
    <row r="2615" spans="2:24" ht="14.25">
      <c r="N2615" s="17" t="str">
        <f>IF(V2615=0,"",IFERROR(LOOKUP(2,1/(INDEX(Listado!A:A,2):INDEX(Listado!A:A,ROW())&lt;&gt;""),ROW(INDEX(Listado!A:A,2):INDEX(Listado!A:A,ROW()))),""))</f>
        <v/>
      </c>
      <c r="O2615" s="17" t="str">
        <f>IFERROR(IF(N2615="","",IF(INDEX(Listado!M:M,N2615)="No",IF(INDEX(Listado!N:N,N2615)=0,"",INDEX(Listado!N:N,N2615)),IF(INDEX(Listado!I:I,N2615)=0,"",INDEX(Listado!I:I,N2615)))),"")</f>
        <v/>
      </c>
      <c r="P2615" s="17">
        <f t="shared" ca="1" si="121"/>
        <v/>
      </c>
      <c r="Q2615" s="17">
        <f>IFERROR(IF(AND(N2615&lt;&gt;"",ISNUMBER(O2615),O2615&gt;0,O2615&gt;=TODAY()-90),1,0),0)</f>
        <v/>
      </c>
      <c r="R2615" s="17" t="str">
        <f t="shared" si="123"/>
        <v/>
      </c>
      <c r="S2615" s="17" t="str">
        <f>IF(INDEX(Listado!A:A,ROW())="","",INDEX(Listado!A:A,ROW()))</f>
        <v/>
      </c>
      <c r="T2615" s="17" t="str">
        <f ca="1">IF(INDEX(Listado!G:G,ROW())="","",INDEX(Listado!G:G,ROW()))</f>
        <v/>
      </c>
      <c r="U2615" s="17" t="str">
        <f>IF(INDEX(Listado!F:F,ROW())="","",INDEX(Listado!F:F,ROW()))</f>
        <v/>
      </c>
      <c r="V2615" s="17">
        <f>IF(COUNTA(INDEX(Listado!B:B,ROW()):INDEX(Listado!F:F,ROW()))&gt;0,1,0)</f>
        <v/>
      </c>
      <c r="W2615" s="17" t="str">
        <f>IF(INDEX(Listado!L:L,ROW())="","",INDEX(Listado!L:L,ROW()))</f>
        <v/>
      </c>
      <c r="X2615" s="17">
        <f>IF(N2615="","",IF(INDEX(Listado!$M:$M,N2615)="No","No","Sí"))</f>
        <v/>
      </c>
    </row>
    <row r="2616" spans="2:24" ht="14.25">
      <c r="N2616" s="17" t="str">
        <f>IF(V2616=0,"",IFERROR(LOOKUP(2,1/(INDEX(Listado!A:A,2):INDEX(Listado!A:A,ROW())&lt;&gt;""),ROW(INDEX(Listado!A:A,2):INDEX(Listado!A:A,ROW()))),""))</f>
        <v/>
      </c>
      <c r="O2616" s="17" t="str">
        <f>IFERROR(IF(N2616="","",IF(INDEX(Listado!M:M,N2616)="No",IF(INDEX(Listado!N:N,N2616)=0,"",INDEX(Listado!N:N,N2616)),IF(INDEX(Listado!I:I,N2616)=0,"",INDEX(Listado!I:I,N2616)))),"")</f>
        <v/>
      </c>
      <c r="P2616" s="17">
        <f t="shared" ca="1" si="121"/>
        <v/>
      </c>
      <c r="Q2616" s="17">
        <f>IFERROR(IF(AND(N2616&lt;&gt;"",ISNUMBER(O2616),O2616&gt;0,O2616&gt;=TODAY()-90),1,0),0)</f>
        <v/>
      </c>
      <c r="R2616" s="17" t="str">
        <f t="shared" si="123"/>
        <v/>
      </c>
      <c r="S2616" s="17" t="str">
        <f>IF(INDEX(Listado!A:A,ROW())="","",INDEX(Listado!A:A,ROW()))</f>
        <v/>
      </c>
      <c r="T2616" s="17" t="str">
        <f ca="1">IF(INDEX(Listado!G:G,ROW())="","",INDEX(Listado!G:G,ROW()))</f>
        <v/>
      </c>
      <c r="U2616" s="17" t="str">
        <f>IF(INDEX(Listado!F:F,ROW())="","",INDEX(Listado!F:F,ROW()))</f>
        <v/>
      </c>
      <c r="V2616" s="17">
        <f>IF(COUNTA(INDEX(Listado!B:B,ROW()):INDEX(Listado!F:F,ROW()))&gt;0,1,0)</f>
        <v/>
      </c>
      <c r="W2616" s="17" t="str">
        <f>IF(INDEX(Listado!L:L,ROW())="","",INDEX(Listado!L:L,ROW()))</f>
        <v/>
      </c>
      <c r="X2616" s="17">
        <f>IF(N2616="","",IF(INDEX(Listado!$M:$M,N2616)="No","No","Sí"))</f>
        <v/>
      </c>
    </row>
    <row r="2617" spans="2:24" ht="14.25">
      <c r="N2617" s="17" t="str">
        <f>IF(V2617=0,"",IFERROR(LOOKUP(2,1/(INDEX(Listado!A:A,2):INDEX(Listado!A:A,ROW())&lt;&gt;""),ROW(INDEX(Listado!A:A,2):INDEX(Listado!A:A,ROW()))),""))</f>
        <v/>
      </c>
      <c r="O2617" s="17" t="str">
        <f>IFERROR(IF(N2617="","",IF(INDEX(Listado!M:M,N2617)="No",IF(INDEX(Listado!N:N,N2617)=0,"",INDEX(Listado!N:N,N2617)),IF(INDEX(Listado!I:I,N2617)=0,"",INDEX(Listado!I:I,N2617)))),"")</f>
        <v/>
      </c>
      <c r="P2617" s="17">
        <f t="shared" ca="1" si="121"/>
        <v/>
      </c>
      <c r="Q2617" s="17">
        <f>IFERROR(IF(AND(N2617&lt;&gt;"",ISNUMBER(O2617),O2617&gt;0,O2617&gt;=TODAY()-90),1,0),0)</f>
        <v/>
      </c>
      <c r="R2617" s="17" t="str">
        <f t="shared" si="123"/>
        <v/>
      </c>
      <c r="S2617" s="17" t="str">
        <f>IF(INDEX(Listado!A:A,ROW())="","",INDEX(Listado!A:A,ROW()))</f>
        <v/>
      </c>
      <c r="T2617" s="17" t="str">
        <f ca="1">IF(INDEX(Listado!G:G,ROW())="","",INDEX(Listado!G:G,ROW()))</f>
        <v/>
      </c>
      <c r="U2617" s="17" t="str">
        <f>IF(INDEX(Listado!F:F,ROW())="","",INDEX(Listado!F:F,ROW()))</f>
        <v/>
      </c>
      <c r="V2617" s="17">
        <f>IF(COUNTA(INDEX(Listado!B:B,ROW()):INDEX(Listado!F:F,ROW()))&gt;0,1,0)</f>
        <v/>
      </c>
      <c r="W2617" s="17" t="str">
        <f>IF(INDEX(Listado!L:L,ROW())="","",INDEX(Listado!L:L,ROW()))</f>
        <v/>
      </c>
      <c r="X2617" s="17">
        <f>IF(N2617="","",IF(INDEX(Listado!$M:$M,N2617)="No","No","Sí"))</f>
        <v/>
      </c>
    </row>
    <row r="2618" spans="2:24" ht="14.25">
      <c r="N2618" s="17" t="str">
        <f>IF(V2618=0,"",IFERROR(LOOKUP(2,1/(INDEX(Listado!A:A,2):INDEX(Listado!A:A,ROW())&lt;&gt;""),ROW(INDEX(Listado!A:A,2):INDEX(Listado!A:A,ROW()))),""))</f>
        <v/>
      </c>
      <c r="O2618" s="17" t="str">
        <f>IFERROR(IF(N2618="","",IF(INDEX(Listado!M:M,N2618)="No",IF(INDEX(Listado!N:N,N2618)=0,"",INDEX(Listado!N:N,N2618)),IF(INDEX(Listado!I:I,N2618)=0,"",INDEX(Listado!I:I,N2618)))),"")</f>
        <v/>
      </c>
      <c r="P2618" s="17">
        <f t="shared" ca="1" si="121"/>
        <v/>
      </c>
      <c r="Q2618" s="17">
        <f>IFERROR(IF(AND(N2618&lt;&gt;"",ISNUMBER(O2618),O2618&gt;0,O2618&gt;=TODAY()-90),1,0),0)</f>
        <v/>
      </c>
      <c r="R2618" s="17" t="str">
        <f t="shared" si="123"/>
        <v/>
      </c>
      <c r="S2618" s="17" t="str">
        <f>IF(INDEX(Listado!A:A,ROW())="","",INDEX(Listado!A:A,ROW()))</f>
        <v/>
      </c>
      <c r="T2618" s="17" t="str">
        <f ca="1">IF(INDEX(Listado!G:G,ROW())="","",INDEX(Listado!G:G,ROW()))</f>
        <v/>
      </c>
      <c r="U2618" s="17" t="str">
        <f>IF(INDEX(Listado!F:F,ROW())="","",INDEX(Listado!F:F,ROW()))</f>
        <v/>
      </c>
      <c r="V2618" s="17">
        <f>IF(COUNTA(INDEX(Listado!B:B,ROW()):INDEX(Listado!F:F,ROW()))&gt;0,1,0)</f>
        <v/>
      </c>
      <c r="W2618" s="17" t="str">
        <f>IF(INDEX(Listado!L:L,ROW())="","",INDEX(Listado!L:L,ROW()))</f>
        <v/>
      </c>
      <c r="X2618" s="17">
        <f>IF(N2618="","",IF(INDEX(Listado!$M:$M,N2618)="No","No","Sí"))</f>
        <v/>
      </c>
    </row>
    <row r="2619" spans="2:24" ht="14.25">
      <c r="N2619" s="17" t="str">
        <f>IF(V2619=0,"",IFERROR(LOOKUP(2,1/(INDEX(Listado!A:A,2):INDEX(Listado!A:A,ROW())&lt;&gt;""),ROW(INDEX(Listado!A:A,2):INDEX(Listado!A:A,ROW()))),""))</f>
        <v/>
      </c>
      <c r="O2619" s="17" t="str">
        <f>IFERROR(IF(N2619="","",IF(INDEX(Listado!M:M,N2619)="No",IF(INDEX(Listado!N:N,N2619)=0,"",INDEX(Listado!N:N,N2619)),IF(INDEX(Listado!I:I,N2619)=0,"",INDEX(Listado!I:I,N2619)))),"")</f>
        <v/>
      </c>
      <c r="P2619" s="17">
        <f t="shared" ca="1" si="121"/>
        <v/>
      </c>
      <c r="Q2619" s="17">
        <f>IFERROR(IF(AND(N2619&lt;&gt;"",ISNUMBER(O2619),O2619&gt;0,O2619&gt;=TODAY()-90),1,0),0)</f>
        <v/>
      </c>
      <c r="R2619" s="17" t="str">
        <f t="shared" si="123"/>
        <v/>
      </c>
      <c r="S2619" s="17" t="str">
        <f>IF(INDEX(Listado!A:A,ROW())="","",INDEX(Listado!A:A,ROW()))</f>
        <v/>
      </c>
      <c r="T2619" s="17" t="str">
        <f ca="1">IF(INDEX(Listado!G:G,ROW())="","",INDEX(Listado!G:G,ROW()))</f>
        <v/>
      </c>
      <c r="U2619" s="17" t="str">
        <f>IF(INDEX(Listado!F:F,ROW())="","",INDEX(Listado!F:F,ROW()))</f>
        <v/>
      </c>
      <c r="V2619" s="17">
        <f>IF(COUNTA(INDEX(Listado!B:B,ROW()):INDEX(Listado!F:F,ROW()))&gt;0,1,0)</f>
        <v/>
      </c>
      <c r="W2619" s="17" t="str">
        <f>IF(INDEX(Listado!L:L,ROW())="","",INDEX(Listado!L:L,ROW()))</f>
        <v/>
      </c>
      <c r="X2619" s="17">
        <f>IF(N2619="","",IF(INDEX(Listado!$M:$M,N2619)="No","No","Sí"))</f>
        <v/>
      </c>
    </row>
    <row r="2620" spans="2:24" ht="14.25">
      <c r="N2620" s="17" t="str">
        <f>IF(V2620=0,"",IFERROR(LOOKUP(2,1/(INDEX(Listado!A:A,2):INDEX(Listado!A:A,ROW())&lt;&gt;""),ROW(INDEX(Listado!A:A,2):INDEX(Listado!A:A,ROW()))),""))</f>
        <v/>
      </c>
      <c r="O2620" s="17" t="str">
        <f>IFERROR(IF(N2620="","",IF(INDEX(Listado!M:M,N2620)="No",IF(INDEX(Listado!N:N,N2620)=0,"",INDEX(Listado!N:N,N2620)),IF(INDEX(Listado!I:I,N2620)=0,"",INDEX(Listado!I:I,N2620)))),"")</f>
        <v/>
      </c>
      <c r="P2620" s="17">
        <f t="shared" ca="1" si="121"/>
        <v/>
      </c>
      <c r="Q2620" s="17">
        <f>IFERROR(IF(AND(N2620&lt;&gt;"",ISNUMBER(O2620),O2620&gt;0,O2620&gt;=TODAY()-90),1,0),0)</f>
        <v/>
      </c>
      <c r="R2620" s="17" t="str">
        <f t="shared" si="123"/>
        <v/>
      </c>
      <c r="S2620" s="17" t="str">
        <f>IF(INDEX(Listado!A:A,ROW())="","",INDEX(Listado!A:A,ROW()))</f>
        <v/>
      </c>
      <c r="T2620" s="17" t="str">
        <f ca="1">IF(INDEX(Listado!G:G,ROW())="","",INDEX(Listado!G:G,ROW()))</f>
        <v/>
      </c>
      <c r="U2620" s="17" t="str">
        <f>IF(INDEX(Listado!F:F,ROW())="","",INDEX(Listado!F:F,ROW()))</f>
        <v/>
      </c>
      <c r="V2620" s="17">
        <f>IF(COUNTA(INDEX(Listado!B:B,ROW()):INDEX(Listado!F:F,ROW()))&gt;0,1,0)</f>
        <v/>
      </c>
      <c r="W2620" s="17" t="str">
        <f>IF(INDEX(Listado!L:L,ROW())="","",INDEX(Listado!L:L,ROW()))</f>
        <v/>
      </c>
      <c r="X2620" s="17">
        <f>IF(N2620="","",IF(INDEX(Listado!$M:$M,N2620)="No","No","Sí"))</f>
        <v/>
      </c>
    </row>
    <row r="2621" spans="2:24" ht="14.25">
      <c r="N2621" s="17" t="str">
        <f>IF(V2621=0,"",IFERROR(LOOKUP(2,1/(INDEX(Listado!A:A,2):INDEX(Listado!A:A,ROW())&lt;&gt;""),ROW(INDEX(Listado!A:A,2):INDEX(Listado!A:A,ROW()))),""))</f>
        <v/>
      </c>
      <c r="O2621" s="17" t="str">
        <f>IFERROR(IF(N2621="","",IF(INDEX(Listado!M:M,N2621)="No",IF(INDEX(Listado!N:N,N2621)=0,"",INDEX(Listado!N:N,N2621)),IF(INDEX(Listado!I:I,N2621)=0,"",INDEX(Listado!I:I,N2621)))),"")</f>
        <v/>
      </c>
      <c r="P2621" s="17">
        <f t="shared" ca="1" si="121"/>
        <v/>
      </c>
      <c r="Q2621" s="17">
        <f>IFERROR(IF(AND(N2621&lt;&gt;"",ISNUMBER(O2621),O2621&gt;0,O2621&gt;=TODAY()-90),1,0),0)</f>
        <v/>
      </c>
      <c r="R2621" s="17" t="str">
        <f t="shared" si="123"/>
        <v/>
      </c>
      <c r="S2621" s="17" t="str">
        <f>IF(INDEX(Listado!A:A,ROW())="","",INDEX(Listado!A:A,ROW()))</f>
        <v/>
      </c>
      <c r="T2621" s="17" t="str">
        <f ca="1">IF(INDEX(Listado!G:G,ROW())="","",INDEX(Listado!G:G,ROW()))</f>
        <v/>
      </c>
      <c r="U2621" s="17" t="str">
        <f>IF(INDEX(Listado!F:F,ROW())="","",INDEX(Listado!F:F,ROW()))</f>
        <v/>
      </c>
      <c r="V2621" s="17">
        <f>IF(COUNTA(INDEX(Listado!B:B,ROW()):INDEX(Listado!F:F,ROW()))&gt;0,1,0)</f>
        <v/>
      </c>
      <c r="W2621" s="17" t="str">
        <f>IF(INDEX(Listado!L:L,ROW())="","",INDEX(Listado!L:L,ROW()))</f>
        <v/>
      </c>
      <c r="X2621" s="17">
        <f>IF(N2621="","",IF(INDEX(Listado!$M:$M,N2621)="No","No","Sí"))</f>
        <v/>
      </c>
    </row>
    <row r="2622" spans="2:24" ht="14.25">
      <c r="N2622" s="17" t="str">
        <f>IF(V2622=0,"",IFERROR(LOOKUP(2,1/(INDEX(Listado!A:A,2):INDEX(Listado!A:A,ROW())&lt;&gt;""),ROW(INDEX(Listado!A:A,2):INDEX(Listado!A:A,ROW()))),""))</f>
        <v/>
      </c>
      <c r="O2622" s="17" t="str">
        <f>IFERROR(IF(N2622="","",IF(INDEX(Listado!M:M,N2622)="No",IF(INDEX(Listado!N:N,N2622)=0,"",INDEX(Listado!N:N,N2622)),IF(INDEX(Listado!I:I,N2622)=0,"",INDEX(Listado!I:I,N2622)))),"")</f>
        <v/>
      </c>
      <c r="P2622" s="17">
        <f t="shared" ca="1" si="121"/>
        <v/>
      </c>
      <c r="Q2622" s="17">
        <f>IFERROR(IF(AND(N2622&lt;&gt;"",ISNUMBER(O2622),O2622&gt;0,O2622&gt;=TODAY()-90),1,0),0)</f>
        <v/>
      </c>
      <c r="R2622" s="17" t="str">
        <f t="shared" si="123"/>
        <v/>
      </c>
      <c r="S2622" s="17" t="str">
        <f>IF(INDEX(Listado!A:A,ROW())="","",INDEX(Listado!A:A,ROW()))</f>
        <v/>
      </c>
      <c r="T2622" s="17" t="str">
        <f ca="1">IF(INDEX(Listado!G:G,ROW())="","",INDEX(Listado!G:G,ROW()))</f>
        <v/>
      </c>
      <c r="U2622" s="17" t="str">
        <f>IF(INDEX(Listado!F:F,ROW())="","",INDEX(Listado!F:F,ROW()))</f>
        <v/>
      </c>
      <c r="V2622" s="17">
        <f>IF(COUNTA(INDEX(Listado!B:B,ROW()):INDEX(Listado!F:F,ROW()))&gt;0,1,0)</f>
        <v/>
      </c>
      <c r="W2622" s="17" t="str">
        <f>IF(INDEX(Listado!L:L,ROW())="","",INDEX(Listado!L:L,ROW()))</f>
        <v/>
      </c>
      <c r="X2622" s="17">
        <f>IF(N2622="","",IF(INDEX(Listado!$M:$M,N2622)="No","No","Sí"))</f>
        <v/>
      </c>
    </row>
    <row r="2623" spans="2:24" ht="14.25">
      <c r="N2623" s="17" t="str">
        <f>IF(V2623=0,"",IFERROR(LOOKUP(2,1/(INDEX(Listado!A:A,2):INDEX(Listado!A:A,ROW())&lt;&gt;""),ROW(INDEX(Listado!A:A,2):INDEX(Listado!A:A,ROW()))),""))</f>
        <v/>
      </c>
      <c r="O2623" s="17" t="str">
        <f>IFERROR(IF(N2623="","",IF(INDEX(Listado!M:M,N2623)="No",IF(INDEX(Listado!N:N,N2623)=0,"",INDEX(Listado!N:N,N2623)),IF(INDEX(Listado!I:I,N2623)=0,"",INDEX(Listado!I:I,N2623)))),"")</f>
        <v/>
      </c>
      <c r="P2623" s="17">
        <f t="shared" ca="1" si="121"/>
        <v/>
      </c>
      <c r="Q2623" s="17">
        <f>IFERROR(IF(AND(N2623&lt;&gt;"",ISNUMBER(O2623),O2623&gt;0,O2623&gt;=TODAY()-90),1,0),0)</f>
        <v/>
      </c>
      <c r="R2623" s="17" t="str">
        <f t="shared" si="123"/>
        <v/>
      </c>
      <c r="S2623" s="17" t="str">
        <f>IF(INDEX(Listado!A:A,ROW())="","",INDEX(Listado!A:A,ROW()))</f>
        <v/>
      </c>
      <c r="T2623" s="17" t="str">
        <f ca="1">IF(INDEX(Listado!G:G,ROW())="","",INDEX(Listado!G:G,ROW()))</f>
        <v/>
      </c>
      <c r="U2623" s="17" t="str">
        <f>IF(INDEX(Listado!F:F,ROW())="","",INDEX(Listado!F:F,ROW()))</f>
        <v/>
      </c>
      <c r="V2623" s="17">
        <f>IF(COUNTA(INDEX(Listado!B:B,ROW()):INDEX(Listado!F:F,ROW()))&gt;0,1,0)</f>
        <v/>
      </c>
      <c r="W2623" s="17" t="str">
        <f>IF(INDEX(Listado!L:L,ROW())="","",INDEX(Listado!L:L,ROW()))</f>
        <v/>
      </c>
      <c r="X2623" s="17">
        <f>IF(N2623="","",IF(INDEX(Listado!$M:$M,N2623)="No","No","Sí"))</f>
        <v/>
      </c>
    </row>
    <row r="2624" spans="2:24" ht="14.25">
      <c r="N2624" s="17" t="str">
        <f>IF(V2624=0,"",IFERROR(LOOKUP(2,1/(INDEX(Listado!A:A,2):INDEX(Listado!A:A,ROW())&lt;&gt;""),ROW(INDEX(Listado!A:A,2):INDEX(Listado!A:A,ROW()))),""))</f>
        <v/>
      </c>
      <c r="O2624" s="17" t="str">
        <f>IFERROR(IF(N2624="","",IF(INDEX(Listado!M:M,N2624)="No",IF(INDEX(Listado!N:N,N2624)=0,"",INDEX(Listado!N:N,N2624)),IF(INDEX(Listado!I:I,N2624)=0,"",INDEX(Listado!I:I,N2624)))),"")</f>
        <v/>
      </c>
      <c r="P2624" s="17">
        <f t="shared" ca="1" si="121"/>
        <v/>
      </c>
      <c r="Q2624" s="17">
        <f>IFERROR(IF(AND(N2624&lt;&gt;"",ISNUMBER(O2624),O2624&gt;0,O2624&gt;=TODAY()-90),1,0),0)</f>
        <v/>
      </c>
      <c r="R2624" s="17" t="str">
        <f t="shared" si="123"/>
        <v/>
      </c>
      <c r="S2624" s="17" t="str">
        <f>IF(INDEX(Listado!A:A,ROW())="","",INDEX(Listado!A:A,ROW()))</f>
        <v/>
      </c>
      <c r="T2624" s="17" t="str">
        <f ca="1">IF(INDEX(Listado!G:G,ROW())="","",INDEX(Listado!G:G,ROW()))</f>
        <v/>
      </c>
      <c r="U2624" s="17" t="str">
        <f>IF(INDEX(Listado!F:F,ROW())="","",INDEX(Listado!F:F,ROW()))</f>
        <v/>
      </c>
      <c r="V2624" s="17">
        <f>IF(COUNTA(INDEX(Listado!B:B,ROW()):INDEX(Listado!F:F,ROW()))&gt;0,1,0)</f>
        <v/>
      </c>
      <c r="W2624" s="17" t="str">
        <f>IF(INDEX(Listado!L:L,ROW())="","",INDEX(Listado!L:L,ROW()))</f>
        <v/>
      </c>
      <c r="X2624" s="17">
        <f>IF(N2624="","",IF(INDEX(Listado!$M:$M,N2624)="No","No","Sí"))</f>
        <v/>
      </c>
    </row>
    <row r="2625" spans="2:24" ht="14.25">
      <c r="N2625" s="17" t="str">
        <f>IF(V2625=0,"",IFERROR(LOOKUP(2,1/(INDEX(Listado!A:A,2):INDEX(Listado!A:A,ROW())&lt;&gt;""),ROW(INDEX(Listado!A:A,2):INDEX(Listado!A:A,ROW()))),""))</f>
        <v/>
      </c>
      <c r="O2625" s="17" t="str">
        <f>IFERROR(IF(N2625="","",IF(INDEX(Listado!M:M,N2625)="No",IF(INDEX(Listado!N:N,N2625)=0,"",INDEX(Listado!N:N,N2625)),IF(INDEX(Listado!I:I,N2625)=0,"",INDEX(Listado!I:I,N2625)))),"")</f>
        <v/>
      </c>
      <c r="P2625" s="17">
        <f t="shared" ca="1" si="121"/>
        <v/>
      </c>
      <c r="Q2625" s="17">
        <f>IFERROR(IF(AND(N2625&lt;&gt;"",ISNUMBER(O2625),O2625&gt;0,O2625&gt;=TODAY()-90),1,0),0)</f>
        <v/>
      </c>
      <c r="R2625" s="17" t="str">
        <f t="shared" si="123"/>
        <v/>
      </c>
      <c r="S2625" s="17" t="str">
        <f>IF(INDEX(Listado!A:A,ROW())="","",INDEX(Listado!A:A,ROW()))</f>
        <v/>
      </c>
      <c r="T2625" s="17" t="str">
        <f ca="1">IF(INDEX(Listado!G:G,ROW())="","",INDEX(Listado!G:G,ROW()))</f>
        <v/>
      </c>
      <c r="U2625" s="17" t="str">
        <f>IF(INDEX(Listado!F:F,ROW())="","",INDEX(Listado!F:F,ROW()))</f>
        <v/>
      </c>
      <c r="V2625" s="17">
        <f>IF(COUNTA(INDEX(Listado!B:B,ROW()):INDEX(Listado!F:F,ROW()))&gt;0,1,0)</f>
        <v/>
      </c>
      <c r="W2625" s="17" t="str">
        <f>IF(INDEX(Listado!L:L,ROW())="","",INDEX(Listado!L:L,ROW()))</f>
        <v/>
      </c>
      <c r="X2625" s="17">
        <f>IF(N2625="","",IF(INDEX(Listado!$M:$M,N2625)="No","No","Sí"))</f>
        <v/>
      </c>
    </row>
    <row r="2626" spans="2:24" ht="14.25">
      <c r="N2626" s="17" t="str">
        <f>IF(V2626=0,"",IFERROR(LOOKUP(2,1/(INDEX(Listado!A:A,2):INDEX(Listado!A:A,ROW())&lt;&gt;""),ROW(INDEX(Listado!A:A,2):INDEX(Listado!A:A,ROW()))),""))</f>
        <v/>
      </c>
      <c r="O2626" s="17" t="str">
        <f>IFERROR(IF(N2626="","",IF(INDEX(Listado!M:M,N2626)="No",IF(INDEX(Listado!N:N,N2626)=0,"",INDEX(Listado!N:N,N2626)),IF(INDEX(Listado!I:I,N2626)=0,"",INDEX(Listado!I:I,N2626)))),"")</f>
        <v/>
      </c>
      <c r="P2626" s="17">
        <f t="shared" ref="P2626:P2689" ca="1" si="124">IF(W2626="",0,IFERROR(IF(AND(ISNUMBER(W2626),W2626=INT(W2626),ISNUMBER(O2626),O2626&gt;0,W2626&gt;=TODAY(),W2626&lt;=O2626+90),0,1),1))</f>
        <v/>
      </c>
      <c r="Q2626" s="17">
        <f>IFERROR(IF(AND(N2626&lt;&gt;"",ISNUMBER(O2626),O2626&gt;0,O2626&gt;=TODAY()-90),1,0),0)</f>
        <v/>
      </c>
      <c r="R2626" s="17" t="str">
        <f t="shared" ref="R2626:R2689" si="126">IF(S2626="","",COUNTIFS($N$2:$N$2999,ROW(),$Q$2:$Q$2999,1))</f>
        <v/>
      </c>
      <c r="S2626" s="17" t="str">
        <f>IF(INDEX(Listado!A:A,ROW())="","",INDEX(Listado!A:A,ROW()))</f>
        <v/>
      </c>
      <c r="T2626" s="17" t="str">
        <f ca="1">IF(INDEX(Listado!G:G,ROW())="","",INDEX(Listado!G:G,ROW()))</f>
        <v/>
      </c>
      <c r="U2626" s="17" t="str">
        <f>IF(INDEX(Listado!F:F,ROW())="","",INDEX(Listado!F:F,ROW()))</f>
        <v/>
      </c>
      <c r="V2626" s="17">
        <f>IF(COUNTA(INDEX(Listado!B:B,ROW()):INDEX(Listado!F:F,ROW()))&gt;0,1,0)</f>
        <v/>
      </c>
      <c r="W2626" s="17" t="str">
        <f>IF(INDEX(Listado!L:L,ROW())="","",INDEX(Listado!L:L,ROW()))</f>
        <v/>
      </c>
      <c r="X2626" s="17">
        <f>IF(N2626="","",IF(INDEX(Listado!$M:$M,N2626)="No","No","Sí"))</f>
        <v/>
      </c>
    </row>
    <row r="2627" spans="2:24" ht="14.25">
      <c r="N2627" s="17" t="str">
        <f>IF(V2627=0,"",IFERROR(LOOKUP(2,1/(INDEX(Listado!A:A,2):INDEX(Listado!A:A,ROW())&lt;&gt;""),ROW(INDEX(Listado!A:A,2):INDEX(Listado!A:A,ROW()))),""))</f>
        <v/>
      </c>
      <c r="O2627" s="17" t="str">
        <f>IFERROR(IF(N2627="","",IF(INDEX(Listado!M:M,N2627)="No",IF(INDEX(Listado!N:N,N2627)=0,"",INDEX(Listado!N:N,N2627)),IF(INDEX(Listado!I:I,N2627)=0,"",INDEX(Listado!I:I,N2627)))),"")</f>
        <v/>
      </c>
      <c r="P2627" s="17">
        <f t="shared" ca="1" si="124"/>
        <v/>
      </c>
      <c r="Q2627" s="17">
        <f>IFERROR(IF(AND(N2627&lt;&gt;"",ISNUMBER(O2627),O2627&gt;0,O2627&gt;=TODAY()-90),1,0),0)</f>
        <v/>
      </c>
      <c r="R2627" s="17" t="str">
        <f t="shared" si="126"/>
        <v/>
      </c>
      <c r="S2627" s="17" t="str">
        <f>IF(INDEX(Listado!A:A,ROW())="","",INDEX(Listado!A:A,ROW()))</f>
        <v/>
      </c>
      <c r="T2627" s="17" t="str">
        <f ca="1">IF(INDEX(Listado!G:G,ROW())="","",INDEX(Listado!G:G,ROW()))</f>
        <v/>
      </c>
      <c r="U2627" s="17" t="str">
        <f>IF(INDEX(Listado!F:F,ROW())="","",INDEX(Listado!F:F,ROW()))</f>
        <v/>
      </c>
      <c r="V2627" s="17">
        <f>IF(COUNTA(INDEX(Listado!B:B,ROW()):INDEX(Listado!F:F,ROW()))&gt;0,1,0)</f>
        <v/>
      </c>
      <c r="W2627" s="17" t="str">
        <f>IF(INDEX(Listado!L:L,ROW())="","",INDEX(Listado!L:L,ROW()))</f>
        <v/>
      </c>
      <c r="X2627" s="17">
        <f>IF(N2627="","",IF(INDEX(Listado!$M:$M,N2627)="No","No","Sí"))</f>
        <v/>
      </c>
    </row>
    <row r="2628" spans="2:24" ht="14.25">
      <c r="N2628" s="17" t="str">
        <f>IF(V2628=0,"",IFERROR(LOOKUP(2,1/(INDEX(Listado!A:A,2):INDEX(Listado!A:A,ROW())&lt;&gt;""),ROW(INDEX(Listado!A:A,2):INDEX(Listado!A:A,ROW()))),""))</f>
        <v/>
      </c>
      <c r="O2628" s="17" t="str">
        <f>IFERROR(IF(N2628="","",IF(INDEX(Listado!M:M,N2628)="No",IF(INDEX(Listado!N:N,N2628)=0,"",INDEX(Listado!N:N,N2628)),IF(INDEX(Listado!I:I,N2628)=0,"",INDEX(Listado!I:I,N2628)))),"")</f>
        <v/>
      </c>
      <c r="P2628" s="17">
        <f t="shared" ca="1" si="124"/>
        <v/>
      </c>
      <c r="Q2628" s="17">
        <f>IFERROR(IF(AND(N2628&lt;&gt;"",ISNUMBER(O2628),O2628&gt;0,O2628&gt;=TODAY()-90),1,0),0)</f>
        <v/>
      </c>
      <c r="R2628" s="17" t="str">
        <f t="shared" si="126"/>
        <v/>
      </c>
      <c r="S2628" s="17" t="str">
        <f>IF(INDEX(Listado!A:A,ROW())="","",INDEX(Listado!A:A,ROW()))</f>
        <v/>
      </c>
      <c r="T2628" s="17" t="str">
        <f ca="1">IF(INDEX(Listado!G:G,ROW())="","",INDEX(Listado!G:G,ROW()))</f>
        <v/>
      </c>
      <c r="U2628" s="17" t="str">
        <f>IF(INDEX(Listado!F:F,ROW())="","",INDEX(Listado!F:F,ROW()))</f>
        <v/>
      </c>
      <c r="V2628" s="17">
        <f>IF(COUNTA(INDEX(Listado!B:B,ROW()):INDEX(Listado!F:F,ROW()))&gt;0,1,0)</f>
        <v/>
      </c>
      <c r="W2628" s="17" t="str">
        <f>IF(INDEX(Listado!L:L,ROW())="","",INDEX(Listado!L:L,ROW()))</f>
        <v/>
      </c>
      <c r="X2628" s="17">
        <f>IF(N2628="","",IF(INDEX(Listado!$M:$M,N2628)="No","No","Sí"))</f>
        <v/>
      </c>
    </row>
    <row r="2629" spans="2:24" ht="14.25">
      <c r="N2629" s="17" t="str">
        <f>IF(V2629=0,"",IFERROR(LOOKUP(2,1/(INDEX(Listado!A:A,2):INDEX(Listado!A:A,ROW())&lt;&gt;""),ROW(INDEX(Listado!A:A,2):INDEX(Listado!A:A,ROW()))),""))</f>
        <v/>
      </c>
      <c r="O2629" s="17" t="str">
        <f>IFERROR(IF(N2629="","",IF(INDEX(Listado!M:M,N2629)="No",IF(INDEX(Listado!N:N,N2629)=0,"",INDEX(Listado!N:N,N2629)),IF(INDEX(Listado!I:I,N2629)=0,"",INDEX(Listado!I:I,N2629)))),"")</f>
        <v/>
      </c>
      <c r="P2629" s="17">
        <f t="shared" ca="1" si="124"/>
        <v/>
      </c>
      <c r="Q2629" s="17">
        <f>IFERROR(IF(AND(N2629&lt;&gt;"",ISNUMBER(O2629),O2629&gt;0,O2629&gt;=TODAY()-90),1,0),0)</f>
        <v/>
      </c>
      <c r="R2629" s="17" t="str">
        <f t="shared" si="126"/>
        <v/>
      </c>
      <c r="S2629" s="17" t="str">
        <f>IF(INDEX(Listado!A:A,ROW())="","",INDEX(Listado!A:A,ROW()))</f>
        <v/>
      </c>
      <c r="T2629" s="17" t="str">
        <f ca="1">IF(INDEX(Listado!G:G,ROW())="","",INDEX(Listado!G:G,ROW()))</f>
        <v/>
      </c>
      <c r="U2629" s="17" t="str">
        <f>IF(INDEX(Listado!F:F,ROW())="","",INDEX(Listado!F:F,ROW()))</f>
        <v/>
      </c>
      <c r="V2629" s="17">
        <f>IF(COUNTA(INDEX(Listado!B:B,ROW()):INDEX(Listado!F:F,ROW()))&gt;0,1,0)</f>
        <v/>
      </c>
      <c r="W2629" s="17" t="str">
        <f>IF(INDEX(Listado!L:L,ROW())="","",INDEX(Listado!L:L,ROW()))</f>
        <v/>
      </c>
      <c r="X2629" s="17">
        <f>IF(N2629="","",IF(INDEX(Listado!$M:$M,N2629)="No","No","Sí"))</f>
        <v/>
      </c>
    </row>
    <row r="2630" spans="2:24" ht="14.25">
      <c r="N2630" s="17" t="str">
        <f>IF(V2630=0,"",IFERROR(LOOKUP(2,1/(INDEX(Listado!A:A,2):INDEX(Listado!A:A,ROW())&lt;&gt;""),ROW(INDEX(Listado!A:A,2):INDEX(Listado!A:A,ROW()))),""))</f>
        <v/>
      </c>
      <c r="O2630" s="17" t="str">
        <f>IFERROR(IF(N2630="","",IF(INDEX(Listado!M:M,N2630)="No",IF(INDEX(Listado!N:N,N2630)=0,"",INDEX(Listado!N:N,N2630)),IF(INDEX(Listado!I:I,N2630)=0,"",INDEX(Listado!I:I,N2630)))),"")</f>
        <v/>
      </c>
      <c r="P2630" s="17">
        <f t="shared" ca="1" si="124"/>
        <v/>
      </c>
      <c r="Q2630" s="17">
        <f>IFERROR(IF(AND(N2630&lt;&gt;"",ISNUMBER(O2630),O2630&gt;0,O2630&gt;=TODAY()-90),1,0),0)</f>
        <v/>
      </c>
      <c r="R2630" s="17" t="str">
        <f t="shared" si="126"/>
        <v/>
      </c>
      <c r="S2630" s="17" t="str">
        <f>IF(INDEX(Listado!A:A,ROW())="","",INDEX(Listado!A:A,ROW()))</f>
        <v/>
      </c>
      <c r="T2630" s="17" t="str">
        <f ca="1">IF(INDEX(Listado!G:G,ROW())="","",INDEX(Listado!G:G,ROW()))</f>
        <v/>
      </c>
      <c r="U2630" s="17" t="str">
        <f>IF(INDEX(Listado!F:F,ROW())="","",INDEX(Listado!F:F,ROW()))</f>
        <v/>
      </c>
      <c r="V2630" s="17">
        <f>IF(COUNTA(INDEX(Listado!B:B,ROW()):INDEX(Listado!F:F,ROW()))&gt;0,1,0)</f>
        <v/>
      </c>
      <c r="W2630" s="17" t="str">
        <f>IF(INDEX(Listado!L:L,ROW())="","",INDEX(Listado!L:L,ROW()))</f>
        <v/>
      </c>
      <c r="X2630" s="17">
        <f>IF(N2630="","",IF(INDEX(Listado!$M:$M,N2630)="No","No","Sí"))</f>
        <v/>
      </c>
    </row>
    <row r="2631" spans="2:24" ht="14.25">
      <c r="N2631" s="17" t="str">
        <f>IF(V2631=0,"",IFERROR(LOOKUP(2,1/(INDEX(Listado!A:A,2):INDEX(Listado!A:A,ROW())&lt;&gt;""),ROW(INDEX(Listado!A:A,2):INDEX(Listado!A:A,ROW()))),""))</f>
        <v/>
      </c>
      <c r="O2631" s="17" t="str">
        <f>IFERROR(IF(N2631="","",IF(INDEX(Listado!M:M,N2631)="No",IF(INDEX(Listado!N:N,N2631)=0,"",INDEX(Listado!N:N,N2631)),IF(INDEX(Listado!I:I,N2631)=0,"",INDEX(Listado!I:I,N2631)))),"")</f>
        <v/>
      </c>
      <c r="P2631" s="17">
        <f t="shared" ca="1" si="124"/>
        <v/>
      </c>
      <c r="Q2631" s="17">
        <f>IFERROR(IF(AND(N2631&lt;&gt;"",ISNUMBER(O2631),O2631&gt;0,O2631&gt;=TODAY()-90),1,0),0)</f>
        <v/>
      </c>
      <c r="R2631" s="17" t="str">
        <f t="shared" si="126"/>
        <v/>
      </c>
      <c r="S2631" s="17" t="str">
        <f>IF(INDEX(Listado!A:A,ROW())="","",INDEX(Listado!A:A,ROW()))</f>
        <v/>
      </c>
      <c r="T2631" s="17" t="str">
        <f ca="1">IF(INDEX(Listado!G:G,ROW())="","",INDEX(Listado!G:G,ROW()))</f>
        <v/>
      </c>
      <c r="U2631" s="17" t="str">
        <f>IF(INDEX(Listado!F:F,ROW())="","",INDEX(Listado!F:F,ROW()))</f>
        <v/>
      </c>
      <c r="V2631" s="17">
        <f>IF(COUNTA(INDEX(Listado!B:B,ROW()):INDEX(Listado!F:F,ROW()))&gt;0,1,0)</f>
        <v/>
      </c>
      <c r="W2631" s="17" t="str">
        <f>IF(INDEX(Listado!L:L,ROW())="","",INDEX(Listado!L:L,ROW()))</f>
        <v/>
      </c>
      <c r="X2631" s="17">
        <f>IF(N2631="","",IF(INDEX(Listado!$M:$M,N2631)="No","No","Sí"))</f>
        <v/>
      </c>
    </row>
    <row r="2632" spans="2:24" ht="14.25">
      <c r="N2632" s="17" t="str">
        <f>IF(V2632=0,"",IFERROR(LOOKUP(2,1/(INDEX(Listado!A:A,2):INDEX(Listado!A:A,ROW())&lt;&gt;""),ROW(INDEX(Listado!A:A,2):INDEX(Listado!A:A,ROW()))),""))</f>
        <v/>
      </c>
      <c r="O2632" s="17" t="str">
        <f>IFERROR(IF(N2632="","",IF(INDEX(Listado!M:M,N2632)="No",IF(INDEX(Listado!N:N,N2632)=0,"",INDEX(Listado!N:N,N2632)),IF(INDEX(Listado!I:I,N2632)=0,"",INDEX(Listado!I:I,N2632)))),"")</f>
        <v/>
      </c>
      <c r="P2632" s="17">
        <f t="shared" ca="1" si="124"/>
        <v/>
      </c>
      <c r="Q2632" s="17">
        <f>IFERROR(IF(AND(N2632&lt;&gt;"",ISNUMBER(O2632),O2632&gt;0,O2632&gt;=TODAY()-90),1,0),0)</f>
        <v/>
      </c>
      <c r="R2632" s="17" t="str">
        <f t="shared" si="126"/>
        <v/>
      </c>
      <c r="S2632" s="17" t="str">
        <f>IF(INDEX(Listado!A:A,ROW())="","",INDEX(Listado!A:A,ROW()))</f>
        <v/>
      </c>
      <c r="T2632" s="17" t="str">
        <f ca="1">IF(INDEX(Listado!G:G,ROW())="","",INDEX(Listado!G:G,ROW()))</f>
        <v/>
      </c>
      <c r="U2632" s="17" t="str">
        <f>IF(INDEX(Listado!F:F,ROW())="","",INDEX(Listado!F:F,ROW()))</f>
        <v/>
      </c>
      <c r="V2632" s="17">
        <f>IF(COUNTA(INDEX(Listado!B:B,ROW()):INDEX(Listado!F:F,ROW()))&gt;0,1,0)</f>
        <v/>
      </c>
      <c r="W2632" s="17" t="str">
        <f>IF(INDEX(Listado!L:L,ROW())="","",INDEX(Listado!L:L,ROW()))</f>
        <v/>
      </c>
      <c r="X2632" s="17">
        <f>IF(N2632="","",IF(INDEX(Listado!$M:$M,N2632)="No","No","Sí"))</f>
        <v/>
      </c>
    </row>
    <row r="2633" spans="2:24" ht="14.25">
      <c r="N2633" s="17" t="str">
        <f>IF(V2633=0,"",IFERROR(LOOKUP(2,1/(INDEX(Listado!A:A,2):INDEX(Listado!A:A,ROW())&lt;&gt;""),ROW(INDEX(Listado!A:A,2):INDEX(Listado!A:A,ROW()))),""))</f>
        <v/>
      </c>
      <c r="O2633" s="17" t="str">
        <f>IFERROR(IF(N2633="","",IF(INDEX(Listado!M:M,N2633)="No",IF(INDEX(Listado!N:N,N2633)=0,"",INDEX(Listado!N:N,N2633)),IF(INDEX(Listado!I:I,N2633)=0,"",INDEX(Listado!I:I,N2633)))),"")</f>
        <v/>
      </c>
      <c r="P2633" s="17">
        <f t="shared" ca="1" si="124"/>
        <v/>
      </c>
      <c r="Q2633" s="17">
        <f>IFERROR(IF(AND(N2633&lt;&gt;"",ISNUMBER(O2633),O2633&gt;0,O2633&gt;=TODAY()-90),1,0),0)</f>
        <v/>
      </c>
      <c r="R2633" s="17" t="str">
        <f t="shared" si="126"/>
        <v/>
      </c>
      <c r="S2633" s="17" t="str">
        <f>IF(INDEX(Listado!A:A,ROW())="","",INDEX(Listado!A:A,ROW()))</f>
        <v/>
      </c>
      <c r="T2633" s="17" t="str">
        <f ca="1">IF(INDEX(Listado!G:G,ROW())="","",INDEX(Listado!G:G,ROW()))</f>
        <v/>
      </c>
      <c r="U2633" s="17" t="str">
        <f>IF(INDEX(Listado!F:F,ROW())="","",INDEX(Listado!F:F,ROW()))</f>
        <v/>
      </c>
      <c r="V2633" s="17">
        <f>IF(COUNTA(INDEX(Listado!B:B,ROW()):INDEX(Listado!F:F,ROW()))&gt;0,1,0)</f>
        <v/>
      </c>
      <c r="W2633" s="17" t="str">
        <f>IF(INDEX(Listado!L:L,ROW())="","",INDEX(Listado!L:L,ROW()))</f>
        <v/>
      </c>
      <c r="X2633" s="17">
        <f>IF(N2633="","",IF(INDEX(Listado!$M:$M,N2633)="No","No","Sí"))</f>
        <v/>
      </c>
    </row>
    <row r="2634" spans="2:24" ht="14.25">
      <c r="N2634" s="17" t="str">
        <f>IF(V2634=0,"",IFERROR(LOOKUP(2,1/(INDEX(Listado!A:A,2):INDEX(Listado!A:A,ROW())&lt;&gt;""),ROW(INDEX(Listado!A:A,2):INDEX(Listado!A:A,ROW()))),""))</f>
        <v/>
      </c>
      <c r="O2634" s="17" t="str">
        <f>IFERROR(IF(N2634="","",IF(INDEX(Listado!M:M,N2634)="No",IF(INDEX(Listado!N:N,N2634)=0,"",INDEX(Listado!N:N,N2634)),IF(INDEX(Listado!I:I,N2634)=0,"",INDEX(Listado!I:I,N2634)))),"")</f>
        <v/>
      </c>
      <c r="P2634" s="17">
        <f t="shared" ca="1" si="124"/>
        <v/>
      </c>
      <c r="Q2634" s="17">
        <f>IFERROR(IF(AND(N2634&lt;&gt;"",ISNUMBER(O2634),O2634&gt;0,O2634&gt;=TODAY()-90),1,0),0)</f>
        <v/>
      </c>
      <c r="R2634" s="17" t="str">
        <f t="shared" si="126"/>
        <v/>
      </c>
      <c r="S2634" s="17" t="str">
        <f>IF(INDEX(Listado!A:A,ROW())="","",INDEX(Listado!A:A,ROW()))</f>
        <v/>
      </c>
      <c r="T2634" s="17" t="str">
        <f ca="1">IF(INDEX(Listado!G:G,ROW())="","",INDEX(Listado!G:G,ROW()))</f>
        <v/>
      </c>
      <c r="U2634" s="17" t="str">
        <f>IF(INDEX(Listado!F:F,ROW())="","",INDEX(Listado!F:F,ROW()))</f>
        <v/>
      </c>
      <c r="V2634" s="17">
        <f>IF(COUNTA(INDEX(Listado!B:B,ROW()):INDEX(Listado!F:F,ROW()))&gt;0,1,0)</f>
        <v/>
      </c>
      <c r="W2634" s="17" t="str">
        <f>IF(INDEX(Listado!L:L,ROW())="","",INDEX(Listado!L:L,ROW()))</f>
        <v/>
      </c>
      <c r="X2634" s="17">
        <f>IF(N2634="","",IF(INDEX(Listado!$M:$M,N2634)="No","No","Sí"))</f>
        <v/>
      </c>
    </row>
    <row r="2635" spans="2:24" ht="14.25">
      <c r="N2635" s="17" t="str">
        <f>IF(V2635=0,"",IFERROR(LOOKUP(2,1/(INDEX(Listado!A:A,2):INDEX(Listado!A:A,ROW())&lt;&gt;""),ROW(INDEX(Listado!A:A,2):INDEX(Listado!A:A,ROW()))),""))</f>
        <v/>
      </c>
      <c r="O2635" s="17" t="str">
        <f>IFERROR(IF(N2635="","",IF(INDEX(Listado!M:M,N2635)="No",IF(INDEX(Listado!N:N,N2635)=0,"",INDEX(Listado!N:N,N2635)),IF(INDEX(Listado!I:I,N2635)=0,"",INDEX(Listado!I:I,N2635)))),"")</f>
        <v/>
      </c>
      <c r="P2635" s="17">
        <f t="shared" ca="1" si="124"/>
        <v/>
      </c>
      <c r="Q2635" s="17">
        <f>IFERROR(IF(AND(N2635&lt;&gt;"",ISNUMBER(O2635),O2635&gt;0,O2635&gt;=TODAY()-90),1,0),0)</f>
        <v/>
      </c>
      <c r="R2635" s="17" t="str">
        <f t="shared" si="126"/>
        <v/>
      </c>
      <c r="S2635" s="17" t="str">
        <f>IF(INDEX(Listado!A:A,ROW())="","",INDEX(Listado!A:A,ROW()))</f>
        <v/>
      </c>
      <c r="T2635" s="17" t="str">
        <f ca="1">IF(INDEX(Listado!G:G,ROW())="","",INDEX(Listado!G:G,ROW()))</f>
        <v/>
      </c>
      <c r="U2635" s="17" t="str">
        <f>IF(INDEX(Listado!F:F,ROW())="","",INDEX(Listado!F:F,ROW()))</f>
        <v/>
      </c>
      <c r="V2635" s="17">
        <f>IF(COUNTA(INDEX(Listado!B:B,ROW()):INDEX(Listado!F:F,ROW()))&gt;0,1,0)</f>
        <v/>
      </c>
      <c r="W2635" s="17" t="str">
        <f>IF(INDEX(Listado!L:L,ROW())="","",INDEX(Listado!L:L,ROW()))</f>
        <v/>
      </c>
      <c r="X2635" s="17">
        <f>IF(N2635="","",IF(INDEX(Listado!$M:$M,N2635)="No","No","Sí"))</f>
        <v/>
      </c>
    </row>
    <row r="2636" spans="2:24" ht="14.25">
      <c r="N2636" s="17" t="str">
        <f>IF(V2636=0,"",IFERROR(LOOKUP(2,1/(INDEX(Listado!A:A,2):INDEX(Listado!A:A,ROW())&lt;&gt;""),ROW(INDEX(Listado!A:A,2):INDEX(Listado!A:A,ROW()))),""))</f>
        <v/>
      </c>
      <c r="O2636" s="17" t="str">
        <f>IFERROR(IF(N2636="","",IF(INDEX(Listado!M:M,N2636)="No",IF(INDEX(Listado!N:N,N2636)=0,"",INDEX(Listado!N:N,N2636)),IF(INDEX(Listado!I:I,N2636)=0,"",INDEX(Listado!I:I,N2636)))),"")</f>
        <v/>
      </c>
      <c r="P2636" s="17">
        <f t="shared" ca="1" si="124"/>
        <v/>
      </c>
      <c r="Q2636" s="17">
        <f>IFERROR(IF(AND(N2636&lt;&gt;"",ISNUMBER(O2636),O2636&gt;0,O2636&gt;=TODAY()-90),1,0),0)</f>
        <v/>
      </c>
      <c r="R2636" s="17" t="str">
        <f t="shared" si="126"/>
        <v/>
      </c>
      <c r="S2636" s="17" t="str">
        <f>IF(INDEX(Listado!A:A,ROW())="","",INDEX(Listado!A:A,ROW()))</f>
        <v/>
      </c>
      <c r="T2636" s="17" t="str">
        <f ca="1">IF(INDEX(Listado!G:G,ROW())="","",INDEX(Listado!G:G,ROW()))</f>
        <v/>
      </c>
      <c r="U2636" s="17" t="str">
        <f>IF(INDEX(Listado!F:F,ROW())="","",INDEX(Listado!F:F,ROW()))</f>
        <v/>
      </c>
      <c r="V2636" s="17">
        <f>IF(COUNTA(INDEX(Listado!B:B,ROW()):INDEX(Listado!F:F,ROW()))&gt;0,1,0)</f>
        <v/>
      </c>
      <c r="W2636" s="17" t="str">
        <f>IF(INDEX(Listado!L:L,ROW())="","",INDEX(Listado!L:L,ROW()))</f>
        <v/>
      </c>
      <c r="X2636" s="17">
        <f>IF(N2636="","",IF(INDEX(Listado!$M:$M,N2636)="No","No","Sí"))</f>
        <v/>
      </c>
    </row>
    <row r="2637" spans="2:24" ht="14.25">
      <c r="N2637" s="17" t="str">
        <f>IF(V2637=0,"",IFERROR(LOOKUP(2,1/(INDEX(Listado!A:A,2):INDEX(Listado!A:A,ROW())&lt;&gt;""),ROW(INDEX(Listado!A:A,2):INDEX(Listado!A:A,ROW()))),""))</f>
        <v/>
      </c>
      <c r="O2637" s="17" t="str">
        <f>IFERROR(IF(N2637="","",IF(INDEX(Listado!M:M,N2637)="No",IF(INDEX(Listado!N:N,N2637)=0,"",INDEX(Listado!N:N,N2637)),IF(INDEX(Listado!I:I,N2637)=0,"",INDEX(Listado!I:I,N2637)))),"")</f>
        <v/>
      </c>
      <c r="P2637" s="17">
        <f t="shared" ca="1" si="124"/>
        <v/>
      </c>
      <c r="Q2637" s="17">
        <f>IFERROR(IF(AND(N2637&lt;&gt;"",ISNUMBER(O2637),O2637&gt;0,O2637&gt;=TODAY()-90),1,0),0)</f>
        <v/>
      </c>
      <c r="R2637" s="17" t="str">
        <f t="shared" si="126"/>
        <v/>
      </c>
      <c r="S2637" s="17" t="str">
        <f>IF(INDEX(Listado!A:A,ROW())="","",INDEX(Listado!A:A,ROW()))</f>
        <v/>
      </c>
      <c r="T2637" s="17" t="str">
        <f ca="1">IF(INDEX(Listado!G:G,ROW())="","",INDEX(Listado!G:G,ROW()))</f>
        <v/>
      </c>
      <c r="U2637" s="17" t="str">
        <f>IF(INDEX(Listado!F:F,ROW())="","",INDEX(Listado!F:F,ROW()))</f>
        <v/>
      </c>
      <c r="V2637" s="17">
        <f>IF(COUNTA(INDEX(Listado!B:B,ROW()):INDEX(Listado!F:F,ROW()))&gt;0,1,0)</f>
        <v/>
      </c>
      <c r="W2637" s="17" t="str">
        <f>IF(INDEX(Listado!L:L,ROW())="","",INDEX(Listado!L:L,ROW()))</f>
        <v/>
      </c>
      <c r="X2637" s="17">
        <f>IF(N2637="","",IF(INDEX(Listado!$M:$M,N2637)="No","No","Sí"))</f>
        <v/>
      </c>
    </row>
    <row r="2638" spans="2:24" ht="14.25">
      <c r="N2638" s="17" t="str">
        <f>IF(V2638=0,"",IFERROR(LOOKUP(2,1/(INDEX(Listado!A:A,2):INDEX(Listado!A:A,ROW())&lt;&gt;""),ROW(INDEX(Listado!A:A,2):INDEX(Listado!A:A,ROW()))),""))</f>
        <v/>
      </c>
      <c r="O2638" s="17" t="str">
        <f>IFERROR(IF(N2638="","",IF(INDEX(Listado!M:M,N2638)="No",IF(INDEX(Listado!N:N,N2638)=0,"",INDEX(Listado!N:N,N2638)),IF(INDEX(Listado!I:I,N2638)=0,"",INDEX(Listado!I:I,N2638)))),"")</f>
        <v/>
      </c>
      <c r="P2638" s="17">
        <f t="shared" ca="1" si="124"/>
        <v/>
      </c>
      <c r="Q2638" s="17">
        <f>IFERROR(IF(AND(N2638&lt;&gt;"",ISNUMBER(O2638),O2638&gt;0,O2638&gt;=TODAY()-90),1,0),0)</f>
        <v/>
      </c>
      <c r="R2638" s="17" t="str">
        <f t="shared" si="126"/>
        <v/>
      </c>
      <c r="S2638" s="17" t="str">
        <f>IF(INDEX(Listado!A:A,ROW())="","",INDEX(Listado!A:A,ROW()))</f>
        <v/>
      </c>
      <c r="T2638" s="17" t="str">
        <f ca="1">IF(INDEX(Listado!G:G,ROW())="","",INDEX(Listado!G:G,ROW()))</f>
        <v/>
      </c>
      <c r="U2638" s="17" t="str">
        <f>IF(INDEX(Listado!F:F,ROW())="","",INDEX(Listado!F:F,ROW()))</f>
        <v/>
      </c>
      <c r="V2638" s="17">
        <f>IF(COUNTA(INDEX(Listado!B:B,ROW()):INDEX(Listado!F:F,ROW()))&gt;0,1,0)</f>
        <v/>
      </c>
      <c r="W2638" s="17" t="str">
        <f>IF(INDEX(Listado!L:L,ROW())="","",INDEX(Listado!L:L,ROW()))</f>
        <v/>
      </c>
      <c r="X2638" s="17">
        <f>IF(N2638="","",IF(INDEX(Listado!$M:$M,N2638)="No","No","Sí"))</f>
        <v/>
      </c>
    </row>
    <row r="2639" spans="2:24" ht="14.25">
      <c r="N2639" s="17" t="str">
        <f>IF(V2639=0,"",IFERROR(LOOKUP(2,1/(INDEX(Listado!A:A,2):INDEX(Listado!A:A,ROW())&lt;&gt;""),ROW(INDEX(Listado!A:A,2):INDEX(Listado!A:A,ROW()))),""))</f>
        <v/>
      </c>
      <c r="O2639" s="17" t="str">
        <f>IFERROR(IF(N2639="","",IF(INDEX(Listado!M:M,N2639)="No",IF(INDEX(Listado!N:N,N2639)=0,"",INDEX(Listado!N:N,N2639)),IF(INDEX(Listado!I:I,N2639)=0,"",INDEX(Listado!I:I,N2639)))),"")</f>
        <v/>
      </c>
      <c r="P2639" s="17">
        <f t="shared" ca="1" si="124"/>
        <v/>
      </c>
      <c r="Q2639" s="17">
        <f>IFERROR(IF(AND(N2639&lt;&gt;"",ISNUMBER(O2639),O2639&gt;0,O2639&gt;=TODAY()-90),1,0),0)</f>
        <v/>
      </c>
      <c r="R2639" s="17" t="str">
        <f t="shared" si="126"/>
        <v/>
      </c>
      <c r="S2639" s="17" t="str">
        <f>IF(INDEX(Listado!A:A,ROW())="","",INDEX(Listado!A:A,ROW()))</f>
        <v/>
      </c>
      <c r="T2639" s="17" t="str">
        <f ca="1">IF(INDEX(Listado!G:G,ROW())="","",INDEX(Listado!G:G,ROW()))</f>
        <v/>
      </c>
      <c r="U2639" s="17" t="str">
        <f>IF(INDEX(Listado!F:F,ROW())="","",INDEX(Listado!F:F,ROW()))</f>
        <v/>
      </c>
      <c r="V2639" s="17">
        <f>IF(COUNTA(INDEX(Listado!B:B,ROW()):INDEX(Listado!F:F,ROW()))&gt;0,1,0)</f>
        <v/>
      </c>
      <c r="W2639" s="17" t="str">
        <f>IF(INDEX(Listado!L:L,ROW())="","",INDEX(Listado!L:L,ROW()))</f>
        <v/>
      </c>
      <c r="X2639" s="17">
        <f>IF(N2639="","",IF(INDEX(Listado!$M:$M,N2639)="No","No","Sí"))</f>
        <v/>
      </c>
    </row>
    <row r="2640" spans="2:24" ht="14.25">
      <c r="N2640" s="17" t="str">
        <f>IF(V2640=0,"",IFERROR(LOOKUP(2,1/(INDEX(Listado!A:A,2):INDEX(Listado!A:A,ROW())&lt;&gt;""),ROW(INDEX(Listado!A:A,2):INDEX(Listado!A:A,ROW()))),""))</f>
        <v/>
      </c>
      <c r="O2640" s="17" t="str">
        <f>IFERROR(IF(N2640="","",IF(INDEX(Listado!M:M,N2640)="No",IF(INDEX(Listado!N:N,N2640)=0,"",INDEX(Listado!N:N,N2640)),IF(INDEX(Listado!I:I,N2640)=0,"",INDEX(Listado!I:I,N2640)))),"")</f>
        <v/>
      </c>
      <c r="P2640" s="17">
        <f t="shared" ca="1" si="124"/>
        <v/>
      </c>
      <c r="Q2640" s="17">
        <f>IFERROR(IF(AND(N2640&lt;&gt;"",ISNUMBER(O2640),O2640&gt;0,O2640&gt;=TODAY()-90),1,0),0)</f>
        <v/>
      </c>
      <c r="R2640" s="17" t="str">
        <f t="shared" si="126"/>
        <v/>
      </c>
      <c r="S2640" s="17" t="str">
        <f>IF(INDEX(Listado!A:A,ROW())="","",INDEX(Listado!A:A,ROW()))</f>
        <v/>
      </c>
      <c r="T2640" s="17" t="str">
        <f ca="1">IF(INDEX(Listado!G:G,ROW())="","",INDEX(Listado!G:G,ROW()))</f>
        <v/>
      </c>
      <c r="U2640" s="17" t="str">
        <f>IF(INDEX(Listado!F:F,ROW())="","",INDEX(Listado!F:F,ROW()))</f>
        <v/>
      </c>
      <c r="V2640" s="17">
        <f>IF(COUNTA(INDEX(Listado!B:B,ROW()):INDEX(Listado!F:F,ROW()))&gt;0,1,0)</f>
        <v/>
      </c>
      <c r="W2640" s="17" t="str">
        <f>IF(INDEX(Listado!L:L,ROW())="","",INDEX(Listado!L:L,ROW()))</f>
        <v/>
      </c>
      <c r="X2640" s="17">
        <f>IF(N2640="","",IF(INDEX(Listado!$M:$M,N2640)="No","No","Sí"))</f>
        <v/>
      </c>
    </row>
    <row r="2641" spans="2:24" ht="14.25">
      <c r="N2641" s="17" t="str">
        <f>IF(V2641=0,"",IFERROR(LOOKUP(2,1/(INDEX(Listado!A:A,2):INDEX(Listado!A:A,ROW())&lt;&gt;""),ROW(INDEX(Listado!A:A,2):INDEX(Listado!A:A,ROW()))),""))</f>
        <v/>
      </c>
      <c r="O2641" s="17" t="str">
        <f>IFERROR(IF(N2641="","",IF(INDEX(Listado!M:M,N2641)="No",IF(INDEX(Listado!N:N,N2641)=0,"",INDEX(Listado!N:N,N2641)),IF(INDEX(Listado!I:I,N2641)=0,"",INDEX(Listado!I:I,N2641)))),"")</f>
        <v/>
      </c>
      <c r="P2641" s="17">
        <f t="shared" ca="1" si="124"/>
        <v/>
      </c>
      <c r="Q2641" s="17">
        <f>IFERROR(IF(AND(N2641&lt;&gt;"",ISNUMBER(O2641),O2641&gt;0,O2641&gt;=TODAY()-90),1,0),0)</f>
        <v/>
      </c>
      <c r="R2641" s="17" t="str">
        <f t="shared" si="126"/>
        <v/>
      </c>
      <c r="S2641" s="17" t="str">
        <f>IF(INDEX(Listado!A:A,ROW())="","",INDEX(Listado!A:A,ROW()))</f>
        <v/>
      </c>
      <c r="T2641" s="17" t="str">
        <f ca="1">IF(INDEX(Listado!G:G,ROW())="","",INDEX(Listado!G:G,ROW()))</f>
        <v/>
      </c>
      <c r="U2641" s="17" t="str">
        <f>IF(INDEX(Listado!F:F,ROW())="","",INDEX(Listado!F:F,ROW()))</f>
        <v/>
      </c>
      <c r="V2641" s="17">
        <f>IF(COUNTA(INDEX(Listado!B:B,ROW()):INDEX(Listado!F:F,ROW()))&gt;0,1,0)</f>
        <v/>
      </c>
      <c r="W2641" s="17" t="str">
        <f>IF(INDEX(Listado!L:L,ROW())="","",INDEX(Listado!L:L,ROW()))</f>
        <v/>
      </c>
      <c r="X2641" s="17">
        <f>IF(N2641="","",IF(INDEX(Listado!$M:$M,N2641)="No","No","Sí"))</f>
        <v/>
      </c>
    </row>
    <row r="2642" spans="2:24" ht="14.25">
      <c r="N2642" s="17" t="str">
        <f>IF(V2642=0,"",IFERROR(LOOKUP(2,1/(INDEX(Listado!A:A,2):INDEX(Listado!A:A,ROW())&lt;&gt;""),ROW(INDEX(Listado!A:A,2):INDEX(Listado!A:A,ROW()))),""))</f>
        <v/>
      </c>
      <c r="O2642" s="17" t="str">
        <f>IFERROR(IF(N2642="","",IF(INDEX(Listado!M:M,N2642)="No",IF(INDEX(Listado!N:N,N2642)=0,"",INDEX(Listado!N:N,N2642)),IF(INDEX(Listado!I:I,N2642)=0,"",INDEX(Listado!I:I,N2642)))),"")</f>
        <v/>
      </c>
      <c r="P2642" s="17">
        <f t="shared" ca="1" si="124"/>
        <v/>
      </c>
      <c r="Q2642" s="17">
        <f>IFERROR(IF(AND(N2642&lt;&gt;"",ISNUMBER(O2642),O2642&gt;0,O2642&gt;=TODAY()-90),1,0),0)</f>
        <v/>
      </c>
      <c r="R2642" s="17" t="str">
        <f t="shared" si="126"/>
        <v/>
      </c>
      <c r="S2642" s="17" t="str">
        <f>IF(INDEX(Listado!A:A,ROW())="","",INDEX(Listado!A:A,ROW()))</f>
        <v/>
      </c>
      <c r="T2642" s="17" t="str">
        <f ca="1">IF(INDEX(Listado!G:G,ROW())="","",INDEX(Listado!G:G,ROW()))</f>
        <v/>
      </c>
      <c r="U2642" s="17" t="str">
        <f>IF(INDEX(Listado!F:F,ROW())="","",INDEX(Listado!F:F,ROW()))</f>
        <v/>
      </c>
      <c r="V2642" s="17">
        <f>IF(COUNTA(INDEX(Listado!B:B,ROW()):INDEX(Listado!F:F,ROW()))&gt;0,1,0)</f>
        <v/>
      </c>
      <c r="W2642" s="17" t="str">
        <f>IF(INDEX(Listado!L:L,ROW())="","",INDEX(Listado!L:L,ROW()))</f>
        <v/>
      </c>
      <c r="X2642" s="17">
        <f>IF(N2642="","",IF(INDEX(Listado!$M:$M,N2642)="No","No","Sí"))</f>
        <v/>
      </c>
    </row>
    <row r="2643" spans="2:24" ht="14.25">
      <c r="N2643" s="17" t="str">
        <f>IF(V2643=0,"",IFERROR(LOOKUP(2,1/(INDEX(Listado!A:A,2):INDEX(Listado!A:A,ROW())&lt;&gt;""),ROW(INDEX(Listado!A:A,2):INDEX(Listado!A:A,ROW()))),""))</f>
        <v/>
      </c>
      <c r="O2643" s="17" t="str">
        <f>IFERROR(IF(N2643="","",IF(INDEX(Listado!M:M,N2643)="No",IF(INDEX(Listado!N:N,N2643)=0,"",INDEX(Listado!N:N,N2643)),IF(INDEX(Listado!I:I,N2643)=0,"",INDEX(Listado!I:I,N2643)))),"")</f>
        <v/>
      </c>
      <c r="P2643" s="17">
        <f t="shared" ca="1" si="124"/>
        <v/>
      </c>
      <c r="Q2643" s="17">
        <f>IFERROR(IF(AND(N2643&lt;&gt;"",ISNUMBER(O2643),O2643&gt;0,O2643&gt;=TODAY()-90),1,0),0)</f>
        <v/>
      </c>
      <c r="R2643" s="17" t="str">
        <f t="shared" si="126"/>
        <v/>
      </c>
      <c r="S2643" s="17" t="str">
        <f>IF(INDEX(Listado!A:A,ROW())="","",INDEX(Listado!A:A,ROW()))</f>
        <v/>
      </c>
      <c r="T2643" s="17" t="str">
        <f ca="1">IF(INDEX(Listado!G:G,ROW())="","",INDEX(Listado!G:G,ROW()))</f>
        <v/>
      </c>
      <c r="U2643" s="17" t="str">
        <f>IF(INDEX(Listado!F:F,ROW())="","",INDEX(Listado!F:F,ROW()))</f>
        <v/>
      </c>
      <c r="V2643" s="17">
        <f>IF(COUNTA(INDEX(Listado!B:B,ROW()):INDEX(Listado!F:F,ROW()))&gt;0,1,0)</f>
        <v/>
      </c>
      <c r="W2643" s="17" t="str">
        <f>IF(INDEX(Listado!L:L,ROW())="","",INDEX(Listado!L:L,ROW()))</f>
        <v/>
      </c>
      <c r="X2643" s="17">
        <f>IF(N2643="","",IF(INDEX(Listado!$M:$M,N2643)="No","No","Sí"))</f>
        <v/>
      </c>
    </row>
    <row r="2644" spans="2:24" ht="14.25">
      <c r="N2644" s="17" t="str">
        <f>IF(V2644=0,"",IFERROR(LOOKUP(2,1/(INDEX(Listado!A:A,2):INDEX(Listado!A:A,ROW())&lt;&gt;""),ROW(INDEX(Listado!A:A,2):INDEX(Listado!A:A,ROW()))),""))</f>
        <v/>
      </c>
      <c r="O2644" s="17" t="str">
        <f>IFERROR(IF(N2644="","",IF(INDEX(Listado!M:M,N2644)="No",IF(INDEX(Listado!N:N,N2644)=0,"",INDEX(Listado!N:N,N2644)),IF(INDEX(Listado!I:I,N2644)=0,"",INDEX(Listado!I:I,N2644)))),"")</f>
        <v/>
      </c>
      <c r="P2644" s="17">
        <f t="shared" ca="1" si="124"/>
        <v/>
      </c>
      <c r="Q2644" s="17">
        <f>IFERROR(IF(AND(N2644&lt;&gt;"",ISNUMBER(O2644),O2644&gt;0,O2644&gt;=TODAY()-90),1,0),0)</f>
        <v/>
      </c>
      <c r="R2644" s="17" t="str">
        <f t="shared" si="126"/>
        <v/>
      </c>
      <c r="S2644" s="17" t="str">
        <f>IF(INDEX(Listado!A:A,ROW())="","",INDEX(Listado!A:A,ROW()))</f>
        <v/>
      </c>
      <c r="T2644" s="17" t="str">
        <f ca="1">IF(INDEX(Listado!G:G,ROW())="","",INDEX(Listado!G:G,ROW()))</f>
        <v/>
      </c>
      <c r="U2644" s="17" t="str">
        <f>IF(INDEX(Listado!F:F,ROW())="","",INDEX(Listado!F:F,ROW()))</f>
        <v/>
      </c>
      <c r="V2644" s="17">
        <f>IF(COUNTA(INDEX(Listado!B:B,ROW()):INDEX(Listado!F:F,ROW()))&gt;0,1,0)</f>
        <v/>
      </c>
      <c r="W2644" s="17" t="str">
        <f>IF(INDEX(Listado!L:L,ROW())="","",INDEX(Listado!L:L,ROW()))</f>
        <v/>
      </c>
      <c r="X2644" s="17">
        <f>IF(N2644="","",IF(INDEX(Listado!$M:$M,N2644)="No","No","Sí"))</f>
        <v/>
      </c>
    </row>
    <row r="2645" spans="2:24" ht="14.25">
      <c r="N2645" s="17" t="str">
        <f>IF(V2645=0,"",IFERROR(LOOKUP(2,1/(INDEX(Listado!A:A,2):INDEX(Listado!A:A,ROW())&lt;&gt;""),ROW(INDEX(Listado!A:A,2):INDEX(Listado!A:A,ROW()))),""))</f>
        <v/>
      </c>
      <c r="O2645" s="17" t="str">
        <f>IFERROR(IF(N2645="","",IF(INDEX(Listado!M:M,N2645)="No",IF(INDEX(Listado!N:N,N2645)=0,"",INDEX(Listado!N:N,N2645)),IF(INDEX(Listado!I:I,N2645)=0,"",INDEX(Listado!I:I,N2645)))),"")</f>
        <v/>
      </c>
      <c r="P2645" s="17">
        <f t="shared" ca="1" si="124"/>
        <v/>
      </c>
      <c r="Q2645" s="17">
        <f>IFERROR(IF(AND(N2645&lt;&gt;"",ISNUMBER(O2645),O2645&gt;0,O2645&gt;=TODAY()-90),1,0),0)</f>
        <v/>
      </c>
      <c r="R2645" s="17" t="str">
        <f t="shared" si="126"/>
        <v/>
      </c>
      <c r="S2645" s="17" t="str">
        <f>IF(INDEX(Listado!A:A,ROW())="","",INDEX(Listado!A:A,ROW()))</f>
        <v/>
      </c>
      <c r="T2645" s="17" t="str">
        <f ca="1">IF(INDEX(Listado!G:G,ROW())="","",INDEX(Listado!G:G,ROW()))</f>
        <v/>
      </c>
      <c r="U2645" s="17" t="str">
        <f>IF(INDEX(Listado!F:F,ROW())="","",INDEX(Listado!F:F,ROW()))</f>
        <v/>
      </c>
      <c r="V2645" s="17">
        <f>IF(COUNTA(INDEX(Listado!B:B,ROW()):INDEX(Listado!F:F,ROW()))&gt;0,1,0)</f>
        <v/>
      </c>
      <c r="W2645" s="17" t="str">
        <f>IF(INDEX(Listado!L:L,ROW())="","",INDEX(Listado!L:L,ROW()))</f>
        <v/>
      </c>
      <c r="X2645" s="17">
        <f>IF(N2645="","",IF(INDEX(Listado!$M:$M,N2645)="No","No","Sí"))</f>
        <v/>
      </c>
    </row>
    <row r="2646" spans="2:24" ht="14.25">
      <c r="N2646" s="17" t="str">
        <f>IF(V2646=0,"",IFERROR(LOOKUP(2,1/(INDEX(Listado!A:A,2):INDEX(Listado!A:A,ROW())&lt;&gt;""),ROW(INDEX(Listado!A:A,2):INDEX(Listado!A:A,ROW()))),""))</f>
        <v/>
      </c>
      <c r="O2646" s="17" t="str">
        <f>IFERROR(IF(N2646="","",IF(INDEX(Listado!M:M,N2646)="No",IF(INDEX(Listado!N:N,N2646)=0,"",INDEX(Listado!N:N,N2646)),IF(INDEX(Listado!I:I,N2646)=0,"",INDEX(Listado!I:I,N2646)))),"")</f>
        <v/>
      </c>
      <c r="P2646" s="17">
        <f t="shared" ca="1" si="124"/>
        <v/>
      </c>
      <c r="Q2646" s="17">
        <f>IFERROR(IF(AND(N2646&lt;&gt;"",ISNUMBER(O2646),O2646&gt;0,O2646&gt;=TODAY()-90),1,0),0)</f>
        <v/>
      </c>
      <c r="R2646" s="17" t="str">
        <f t="shared" si="126"/>
        <v/>
      </c>
      <c r="S2646" s="17" t="str">
        <f>IF(INDEX(Listado!A:A,ROW())="","",INDEX(Listado!A:A,ROW()))</f>
        <v/>
      </c>
      <c r="T2646" s="17" t="str">
        <f ca="1">IF(INDEX(Listado!G:G,ROW())="","",INDEX(Listado!G:G,ROW()))</f>
        <v/>
      </c>
      <c r="U2646" s="17" t="str">
        <f>IF(INDEX(Listado!F:F,ROW())="","",INDEX(Listado!F:F,ROW()))</f>
        <v/>
      </c>
      <c r="V2646" s="17">
        <f>IF(COUNTA(INDEX(Listado!B:B,ROW()):INDEX(Listado!F:F,ROW()))&gt;0,1,0)</f>
        <v/>
      </c>
      <c r="W2646" s="17" t="str">
        <f>IF(INDEX(Listado!L:L,ROW())="","",INDEX(Listado!L:L,ROW()))</f>
        <v/>
      </c>
      <c r="X2646" s="17">
        <f>IF(N2646="","",IF(INDEX(Listado!$M:$M,N2646)="No","No","Sí"))</f>
        <v/>
      </c>
    </row>
    <row r="2647" spans="2:24" ht="14.25">
      <c r="N2647" s="17" t="str">
        <f>IF(V2647=0,"",IFERROR(LOOKUP(2,1/(INDEX(Listado!A:A,2):INDEX(Listado!A:A,ROW())&lt;&gt;""),ROW(INDEX(Listado!A:A,2):INDEX(Listado!A:A,ROW()))),""))</f>
        <v/>
      </c>
      <c r="O2647" s="17" t="str">
        <f>IFERROR(IF(N2647="","",IF(INDEX(Listado!M:M,N2647)="No",IF(INDEX(Listado!N:N,N2647)=0,"",INDEX(Listado!N:N,N2647)),IF(INDEX(Listado!I:I,N2647)=0,"",INDEX(Listado!I:I,N2647)))),"")</f>
        <v/>
      </c>
      <c r="P2647" s="17">
        <f t="shared" ca="1" si="124"/>
        <v/>
      </c>
      <c r="Q2647" s="17">
        <f>IFERROR(IF(AND(N2647&lt;&gt;"",ISNUMBER(O2647),O2647&gt;0,O2647&gt;=TODAY()-90),1,0),0)</f>
        <v/>
      </c>
      <c r="R2647" s="17" t="str">
        <f t="shared" si="126"/>
        <v/>
      </c>
      <c r="S2647" s="17" t="str">
        <f>IF(INDEX(Listado!A:A,ROW())="","",INDEX(Listado!A:A,ROW()))</f>
        <v/>
      </c>
      <c r="T2647" s="17" t="str">
        <f ca="1">IF(INDEX(Listado!G:G,ROW())="","",INDEX(Listado!G:G,ROW()))</f>
        <v/>
      </c>
      <c r="U2647" s="17" t="str">
        <f>IF(INDEX(Listado!F:F,ROW())="","",INDEX(Listado!F:F,ROW()))</f>
        <v/>
      </c>
      <c r="V2647" s="17">
        <f>IF(COUNTA(INDEX(Listado!B:B,ROW()):INDEX(Listado!F:F,ROW()))&gt;0,1,0)</f>
        <v/>
      </c>
      <c r="W2647" s="17" t="str">
        <f>IF(INDEX(Listado!L:L,ROW())="","",INDEX(Listado!L:L,ROW()))</f>
        <v/>
      </c>
      <c r="X2647" s="17">
        <f>IF(N2647="","",IF(INDEX(Listado!$M:$M,N2647)="No","No","Sí"))</f>
        <v/>
      </c>
    </row>
    <row r="2648" spans="2:24" ht="14.25">
      <c r="N2648" s="17" t="str">
        <f>IF(V2648=0,"",IFERROR(LOOKUP(2,1/(INDEX(Listado!A:A,2):INDEX(Listado!A:A,ROW())&lt;&gt;""),ROW(INDEX(Listado!A:A,2):INDEX(Listado!A:A,ROW()))),""))</f>
        <v/>
      </c>
      <c r="O2648" s="17" t="str">
        <f>IFERROR(IF(N2648="","",IF(INDEX(Listado!M:M,N2648)="No",IF(INDEX(Listado!N:N,N2648)=0,"",INDEX(Listado!N:N,N2648)),IF(INDEX(Listado!I:I,N2648)=0,"",INDEX(Listado!I:I,N2648)))),"")</f>
        <v/>
      </c>
      <c r="P2648" s="17">
        <f t="shared" ca="1" si="124"/>
        <v/>
      </c>
      <c r="Q2648" s="17">
        <f>IFERROR(IF(AND(N2648&lt;&gt;"",ISNUMBER(O2648),O2648&gt;0,O2648&gt;=TODAY()-90),1,0),0)</f>
        <v/>
      </c>
      <c r="R2648" s="17" t="str">
        <f t="shared" si="126"/>
        <v/>
      </c>
      <c r="S2648" s="17" t="str">
        <f>IF(INDEX(Listado!A:A,ROW())="","",INDEX(Listado!A:A,ROW()))</f>
        <v/>
      </c>
      <c r="T2648" s="17" t="str">
        <f ca="1">IF(INDEX(Listado!G:G,ROW())="","",INDEX(Listado!G:G,ROW()))</f>
        <v/>
      </c>
      <c r="U2648" s="17" t="str">
        <f>IF(INDEX(Listado!F:F,ROW())="","",INDEX(Listado!F:F,ROW()))</f>
        <v/>
      </c>
      <c r="V2648" s="17">
        <f>IF(COUNTA(INDEX(Listado!B:B,ROW()):INDEX(Listado!F:F,ROW()))&gt;0,1,0)</f>
        <v/>
      </c>
      <c r="W2648" s="17" t="str">
        <f>IF(INDEX(Listado!L:L,ROW())="","",INDEX(Listado!L:L,ROW()))</f>
        <v/>
      </c>
      <c r="X2648" s="17">
        <f>IF(N2648="","",IF(INDEX(Listado!$M:$M,N2648)="No","No","Sí"))</f>
        <v/>
      </c>
    </row>
    <row r="2649" spans="2:24" ht="14.25">
      <c r="N2649" s="17" t="str">
        <f>IF(V2649=0,"",IFERROR(LOOKUP(2,1/(INDEX(Listado!A:A,2):INDEX(Listado!A:A,ROW())&lt;&gt;""),ROW(INDEX(Listado!A:A,2):INDEX(Listado!A:A,ROW()))),""))</f>
        <v/>
      </c>
      <c r="O2649" s="17" t="str">
        <f>IFERROR(IF(N2649="","",IF(INDEX(Listado!M:M,N2649)="No",IF(INDEX(Listado!N:N,N2649)=0,"",INDEX(Listado!N:N,N2649)),IF(INDEX(Listado!I:I,N2649)=0,"",INDEX(Listado!I:I,N2649)))),"")</f>
        <v/>
      </c>
      <c r="P2649" s="17">
        <f t="shared" ca="1" si="124"/>
        <v/>
      </c>
      <c r="Q2649" s="17">
        <f>IFERROR(IF(AND(N2649&lt;&gt;"",ISNUMBER(O2649),O2649&gt;0,O2649&gt;=TODAY()-90),1,0),0)</f>
        <v/>
      </c>
      <c r="R2649" s="17" t="str">
        <f t="shared" si="126"/>
        <v/>
      </c>
      <c r="S2649" s="17" t="str">
        <f>IF(INDEX(Listado!A:A,ROW())="","",INDEX(Listado!A:A,ROW()))</f>
        <v/>
      </c>
      <c r="T2649" s="17" t="str">
        <f ca="1">IF(INDEX(Listado!G:G,ROW())="","",INDEX(Listado!G:G,ROW()))</f>
        <v/>
      </c>
      <c r="U2649" s="17" t="str">
        <f>IF(INDEX(Listado!F:F,ROW())="","",INDEX(Listado!F:F,ROW()))</f>
        <v/>
      </c>
      <c r="V2649" s="17">
        <f>IF(COUNTA(INDEX(Listado!B:B,ROW()):INDEX(Listado!F:F,ROW()))&gt;0,1,0)</f>
        <v/>
      </c>
      <c r="W2649" s="17" t="str">
        <f>IF(INDEX(Listado!L:L,ROW())="","",INDEX(Listado!L:L,ROW()))</f>
        <v/>
      </c>
      <c r="X2649" s="17">
        <f>IF(N2649="","",IF(INDEX(Listado!$M:$M,N2649)="No","No","Sí"))</f>
        <v/>
      </c>
    </row>
    <row r="2650" spans="2:24" ht="14.25">
      <c r="N2650" s="17" t="str">
        <f>IF(V2650=0,"",IFERROR(LOOKUP(2,1/(INDEX(Listado!A:A,2):INDEX(Listado!A:A,ROW())&lt;&gt;""),ROW(INDEX(Listado!A:A,2):INDEX(Listado!A:A,ROW()))),""))</f>
        <v/>
      </c>
      <c r="O2650" s="17" t="str">
        <f>IFERROR(IF(N2650="","",IF(INDEX(Listado!M:M,N2650)="No",IF(INDEX(Listado!N:N,N2650)=0,"",INDEX(Listado!N:N,N2650)),IF(INDEX(Listado!I:I,N2650)=0,"",INDEX(Listado!I:I,N2650)))),"")</f>
        <v/>
      </c>
      <c r="P2650" s="17">
        <f t="shared" ca="1" si="124"/>
        <v/>
      </c>
      <c r="Q2650" s="17">
        <f>IFERROR(IF(AND(N2650&lt;&gt;"",ISNUMBER(O2650),O2650&gt;0,O2650&gt;=TODAY()-90),1,0),0)</f>
        <v/>
      </c>
      <c r="R2650" s="17" t="str">
        <f t="shared" si="126"/>
        <v/>
      </c>
      <c r="S2650" s="17" t="str">
        <f>IF(INDEX(Listado!A:A,ROW())="","",INDEX(Listado!A:A,ROW()))</f>
        <v/>
      </c>
      <c r="T2650" s="17" t="str">
        <f ca="1">IF(INDEX(Listado!G:G,ROW())="","",INDEX(Listado!G:G,ROW()))</f>
        <v/>
      </c>
      <c r="U2650" s="17" t="str">
        <f>IF(INDEX(Listado!F:F,ROW())="","",INDEX(Listado!F:F,ROW()))</f>
        <v/>
      </c>
      <c r="V2650" s="17">
        <f>IF(COUNTA(INDEX(Listado!B:B,ROW()):INDEX(Listado!F:F,ROW()))&gt;0,1,0)</f>
        <v/>
      </c>
      <c r="W2650" s="17" t="str">
        <f>IF(INDEX(Listado!L:L,ROW())="","",INDEX(Listado!L:L,ROW()))</f>
        <v/>
      </c>
      <c r="X2650" s="17">
        <f>IF(N2650="","",IF(INDEX(Listado!$M:$M,N2650)="No","No","Sí"))</f>
        <v/>
      </c>
    </row>
    <row r="2651" spans="2:24" ht="14.25">
      <c r="N2651" s="17" t="str">
        <f>IF(V2651=0,"",IFERROR(LOOKUP(2,1/(INDEX(Listado!A:A,2):INDEX(Listado!A:A,ROW())&lt;&gt;""),ROW(INDEX(Listado!A:A,2):INDEX(Listado!A:A,ROW()))),""))</f>
        <v/>
      </c>
      <c r="O2651" s="17" t="str">
        <f>IFERROR(IF(N2651="","",IF(INDEX(Listado!M:M,N2651)="No",IF(INDEX(Listado!N:N,N2651)=0,"",INDEX(Listado!N:N,N2651)),IF(INDEX(Listado!I:I,N2651)=0,"",INDEX(Listado!I:I,N2651)))),"")</f>
        <v/>
      </c>
      <c r="P2651" s="17">
        <f t="shared" ca="1" si="124"/>
        <v/>
      </c>
      <c r="Q2651" s="17">
        <f>IFERROR(IF(AND(N2651&lt;&gt;"",ISNUMBER(O2651),O2651&gt;0,O2651&gt;=TODAY()-90),1,0),0)</f>
        <v/>
      </c>
      <c r="R2651" s="17" t="str">
        <f t="shared" si="126"/>
        <v/>
      </c>
      <c r="S2651" s="17" t="str">
        <f>IF(INDEX(Listado!A:A,ROW())="","",INDEX(Listado!A:A,ROW()))</f>
        <v/>
      </c>
      <c r="T2651" s="17" t="str">
        <f ca="1">IF(INDEX(Listado!G:G,ROW())="","",INDEX(Listado!G:G,ROW()))</f>
        <v/>
      </c>
      <c r="U2651" s="17" t="str">
        <f>IF(INDEX(Listado!F:F,ROW())="","",INDEX(Listado!F:F,ROW()))</f>
        <v/>
      </c>
      <c r="V2651" s="17">
        <f>IF(COUNTA(INDEX(Listado!B:B,ROW()):INDEX(Listado!F:F,ROW()))&gt;0,1,0)</f>
        <v/>
      </c>
      <c r="W2651" s="17" t="str">
        <f>IF(INDEX(Listado!L:L,ROW())="","",INDEX(Listado!L:L,ROW()))</f>
        <v/>
      </c>
      <c r="X2651" s="17">
        <f>IF(N2651="","",IF(INDEX(Listado!$M:$M,N2651)="No","No","Sí"))</f>
        <v/>
      </c>
    </row>
    <row r="2652" spans="2:24" ht="14.25">
      <c r="N2652" s="17" t="str">
        <f>IF(V2652=0,"",IFERROR(LOOKUP(2,1/(INDEX(Listado!A:A,2):INDEX(Listado!A:A,ROW())&lt;&gt;""),ROW(INDEX(Listado!A:A,2):INDEX(Listado!A:A,ROW()))),""))</f>
        <v/>
      </c>
      <c r="O2652" s="17" t="str">
        <f>IFERROR(IF(N2652="","",IF(INDEX(Listado!M:M,N2652)="No",IF(INDEX(Listado!N:N,N2652)=0,"",INDEX(Listado!N:N,N2652)),IF(INDEX(Listado!I:I,N2652)=0,"",INDEX(Listado!I:I,N2652)))),"")</f>
        <v/>
      </c>
      <c r="P2652" s="17">
        <f t="shared" ca="1" si="124"/>
        <v/>
      </c>
      <c r="Q2652" s="17">
        <f>IFERROR(IF(AND(N2652&lt;&gt;"",ISNUMBER(O2652),O2652&gt;0,O2652&gt;=TODAY()-90),1,0),0)</f>
        <v/>
      </c>
      <c r="R2652" s="17" t="str">
        <f t="shared" si="126"/>
        <v/>
      </c>
      <c r="S2652" s="17" t="str">
        <f>IF(INDEX(Listado!A:A,ROW())="","",INDEX(Listado!A:A,ROW()))</f>
        <v/>
      </c>
      <c r="T2652" s="17" t="str">
        <f ca="1">IF(INDEX(Listado!G:G,ROW())="","",INDEX(Listado!G:G,ROW()))</f>
        <v/>
      </c>
      <c r="U2652" s="17" t="str">
        <f>IF(INDEX(Listado!F:F,ROW())="","",INDEX(Listado!F:F,ROW()))</f>
        <v/>
      </c>
      <c r="V2652" s="17">
        <f>IF(COUNTA(INDEX(Listado!B:B,ROW()):INDEX(Listado!F:F,ROW()))&gt;0,1,0)</f>
        <v/>
      </c>
      <c r="W2652" s="17" t="str">
        <f>IF(INDEX(Listado!L:L,ROW())="","",INDEX(Listado!L:L,ROW()))</f>
        <v/>
      </c>
      <c r="X2652" s="17">
        <f>IF(N2652="","",IF(INDEX(Listado!$M:$M,N2652)="No","No","Sí"))</f>
        <v/>
      </c>
    </row>
    <row r="2653" spans="2:24" ht="14.25">
      <c r="N2653" s="17" t="str">
        <f>IF(V2653=0,"",IFERROR(LOOKUP(2,1/(INDEX(Listado!A:A,2):INDEX(Listado!A:A,ROW())&lt;&gt;""),ROW(INDEX(Listado!A:A,2):INDEX(Listado!A:A,ROW()))),""))</f>
        <v/>
      </c>
      <c r="O2653" s="17" t="str">
        <f>IFERROR(IF(N2653="","",IF(INDEX(Listado!M:M,N2653)="No",IF(INDEX(Listado!N:N,N2653)=0,"",INDEX(Listado!N:N,N2653)),IF(INDEX(Listado!I:I,N2653)=0,"",INDEX(Listado!I:I,N2653)))),"")</f>
        <v/>
      </c>
      <c r="P2653" s="17">
        <f t="shared" ca="1" si="124"/>
        <v/>
      </c>
      <c r="Q2653" s="17">
        <f>IFERROR(IF(AND(N2653&lt;&gt;"",ISNUMBER(O2653),O2653&gt;0,O2653&gt;=TODAY()-90),1,0),0)</f>
        <v/>
      </c>
      <c r="R2653" s="17" t="str">
        <f t="shared" si="126"/>
        <v/>
      </c>
      <c r="S2653" s="17" t="str">
        <f>IF(INDEX(Listado!A:A,ROW())="","",INDEX(Listado!A:A,ROW()))</f>
        <v/>
      </c>
      <c r="T2653" s="17" t="str">
        <f ca="1">IF(INDEX(Listado!G:G,ROW())="","",INDEX(Listado!G:G,ROW()))</f>
        <v/>
      </c>
      <c r="U2653" s="17" t="str">
        <f>IF(INDEX(Listado!F:F,ROW())="","",INDEX(Listado!F:F,ROW()))</f>
        <v/>
      </c>
      <c r="V2653" s="17">
        <f>IF(COUNTA(INDEX(Listado!B:B,ROW()):INDEX(Listado!F:F,ROW()))&gt;0,1,0)</f>
        <v/>
      </c>
      <c r="W2653" s="17" t="str">
        <f>IF(INDEX(Listado!L:L,ROW())="","",INDEX(Listado!L:L,ROW()))</f>
        <v/>
      </c>
      <c r="X2653" s="17">
        <f>IF(N2653="","",IF(INDEX(Listado!$M:$M,N2653)="No","No","Sí"))</f>
        <v/>
      </c>
    </row>
    <row r="2654" spans="2:24" ht="14.25">
      <c r="N2654" s="17" t="str">
        <f>IF(V2654=0,"",IFERROR(LOOKUP(2,1/(INDEX(Listado!A:A,2):INDEX(Listado!A:A,ROW())&lt;&gt;""),ROW(INDEX(Listado!A:A,2):INDEX(Listado!A:A,ROW()))),""))</f>
        <v/>
      </c>
      <c r="O2654" s="17" t="str">
        <f>IFERROR(IF(N2654="","",IF(INDEX(Listado!M:M,N2654)="No",IF(INDEX(Listado!N:N,N2654)=0,"",INDEX(Listado!N:N,N2654)),IF(INDEX(Listado!I:I,N2654)=0,"",INDEX(Listado!I:I,N2654)))),"")</f>
        <v/>
      </c>
      <c r="P2654" s="17">
        <f t="shared" ca="1" si="124"/>
        <v/>
      </c>
      <c r="Q2654" s="17">
        <f>IFERROR(IF(AND(N2654&lt;&gt;"",ISNUMBER(O2654),O2654&gt;0,O2654&gt;=TODAY()-90),1,0),0)</f>
        <v/>
      </c>
      <c r="R2654" s="17" t="str">
        <f t="shared" si="126"/>
        <v/>
      </c>
      <c r="S2654" s="17" t="str">
        <f>IF(INDEX(Listado!A:A,ROW())="","",INDEX(Listado!A:A,ROW()))</f>
        <v/>
      </c>
      <c r="T2654" s="17" t="str">
        <f ca="1">IF(INDEX(Listado!G:G,ROW())="","",INDEX(Listado!G:G,ROW()))</f>
        <v/>
      </c>
      <c r="U2654" s="17" t="str">
        <f>IF(INDEX(Listado!F:F,ROW())="","",INDEX(Listado!F:F,ROW()))</f>
        <v/>
      </c>
      <c r="V2654" s="17">
        <f>IF(COUNTA(INDEX(Listado!B:B,ROW()):INDEX(Listado!F:F,ROW()))&gt;0,1,0)</f>
        <v/>
      </c>
      <c r="W2654" s="17" t="str">
        <f>IF(INDEX(Listado!L:L,ROW())="","",INDEX(Listado!L:L,ROW()))</f>
        <v/>
      </c>
      <c r="X2654" s="17">
        <f>IF(N2654="","",IF(INDEX(Listado!$M:$M,N2654)="No","No","Sí"))</f>
        <v/>
      </c>
    </row>
    <row r="2655" spans="2:24" ht="14.25">
      <c r="N2655" s="17" t="str">
        <f>IF(V2655=0,"",IFERROR(LOOKUP(2,1/(INDEX(Listado!A:A,2):INDEX(Listado!A:A,ROW())&lt;&gt;""),ROW(INDEX(Listado!A:A,2):INDEX(Listado!A:A,ROW()))),""))</f>
        <v/>
      </c>
      <c r="O2655" s="17" t="str">
        <f>IFERROR(IF(N2655="","",IF(INDEX(Listado!M:M,N2655)="No",IF(INDEX(Listado!N:N,N2655)=0,"",INDEX(Listado!N:N,N2655)),IF(INDEX(Listado!I:I,N2655)=0,"",INDEX(Listado!I:I,N2655)))),"")</f>
        <v/>
      </c>
      <c r="P2655" s="17">
        <f t="shared" ca="1" si="124"/>
        <v/>
      </c>
      <c r="Q2655" s="17">
        <f>IFERROR(IF(AND(N2655&lt;&gt;"",ISNUMBER(O2655),O2655&gt;0,O2655&gt;=TODAY()-90),1,0),0)</f>
        <v/>
      </c>
      <c r="R2655" s="17" t="str">
        <f t="shared" si="126"/>
        <v/>
      </c>
      <c r="S2655" s="17" t="str">
        <f>IF(INDEX(Listado!A:A,ROW())="","",INDEX(Listado!A:A,ROW()))</f>
        <v/>
      </c>
      <c r="T2655" s="17" t="str">
        <f ca="1">IF(INDEX(Listado!G:G,ROW())="","",INDEX(Listado!G:G,ROW()))</f>
        <v/>
      </c>
      <c r="U2655" s="17" t="str">
        <f>IF(INDEX(Listado!F:F,ROW())="","",INDEX(Listado!F:F,ROW()))</f>
        <v/>
      </c>
      <c r="V2655" s="17">
        <f>IF(COUNTA(INDEX(Listado!B:B,ROW()):INDEX(Listado!F:F,ROW()))&gt;0,1,0)</f>
        <v/>
      </c>
      <c r="W2655" s="17" t="str">
        <f>IF(INDEX(Listado!L:L,ROW())="","",INDEX(Listado!L:L,ROW()))</f>
        <v/>
      </c>
      <c r="X2655" s="17">
        <f>IF(N2655="","",IF(INDEX(Listado!$M:$M,N2655)="No","No","Sí"))</f>
        <v/>
      </c>
    </row>
    <row r="2656" spans="2:24" ht="14.25">
      <c r="N2656" s="17" t="str">
        <f>IF(V2656=0,"",IFERROR(LOOKUP(2,1/(INDEX(Listado!A:A,2):INDEX(Listado!A:A,ROW())&lt;&gt;""),ROW(INDEX(Listado!A:A,2):INDEX(Listado!A:A,ROW()))),""))</f>
        <v/>
      </c>
      <c r="O2656" s="17" t="str">
        <f>IFERROR(IF(N2656="","",IF(INDEX(Listado!M:M,N2656)="No",IF(INDEX(Listado!N:N,N2656)=0,"",INDEX(Listado!N:N,N2656)),IF(INDEX(Listado!I:I,N2656)=0,"",INDEX(Listado!I:I,N2656)))),"")</f>
        <v/>
      </c>
      <c r="P2656" s="17">
        <f t="shared" ca="1" si="124"/>
        <v/>
      </c>
      <c r="Q2656" s="17">
        <f>IFERROR(IF(AND(N2656&lt;&gt;"",ISNUMBER(O2656),O2656&gt;0,O2656&gt;=TODAY()-90),1,0),0)</f>
        <v/>
      </c>
      <c r="R2656" s="17" t="str">
        <f t="shared" si="126"/>
        <v/>
      </c>
      <c r="S2656" s="17" t="str">
        <f>IF(INDEX(Listado!A:A,ROW())="","",INDEX(Listado!A:A,ROW()))</f>
        <v/>
      </c>
      <c r="T2656" s="17" t="str">
        <f ca="1">IF(INDEX(Listado!G:G,ROW())="","",INDEX(Listado!G:G,ROW()))</f>
        <v/>
      </c>
      <c r="U2656" s="17" t="str">
        <f>IF(INDEX(Listado!F:F,ROW())="","",INDEX(Listado!F:F,ROW()))</f>
        <v/>
      </c>
      <c r="V2656" s="17">
        <f>IF(COUNTA(INDEX(Listado!B:B,ROW()):INDEX(Listado!F:F,ROW()))&gt;0,1,0)</f>
        <v/>
      </c>
      <c r="W2656" s="17" t="str">
        <f>IF(INDEX(Listado!L:L,ROW())="","",INDEX(Listado!L:L,ROW()))</f>
        <v/>
      </c>
      <c r="X2656" s="17">
        <f>IF(N2656="","",IF(INDEX(Listado!$M:$M,N2656)="No","No","Sí"))</f>
        <v/>
      </c>
    </row>
    <row r="2657" spans="2:24" ht="14.25">
      <c r="N2657" s="17" t="str">
        <f>IF(V2657=0,"",IFERROR(LOOKUP(2,1/(INDEX(Listado!A:A,2):INDEX(Listado!A:A,ROW())&lt;&gt;""),ROW(INDEX(Listado!A:A,2):INDEX(Listado!A:A,ROW()))),""))</f>
        <v/>
      </c>
      <c r="O2657" s="17" t="str">
        <f>IFERROR(IF(N2657="","",IF(INDEX(Listado!M:M,N2657)="No",IF(INDEX(Listado!N:N,N2657)=0,"",INDEX(Listado!N:N,N2657)),IF(INDEX(Listado!I:I,N2657)=0,"",INDEX(Listado!I:I,N2657)))),"")</f>
        <v/>
      </c>
      <c r="P2657" s="17">
        <f t="shared" ca="1" si="124"/>
        <v/>
      </c>
      <c r="Q2657" s="17">
        <f>IFERROR(IF(AND(N2657&lt;&gt;"",ISNUMBER(O2657),O2657&gt;0,O2657&gt;=TODAY()-90),1,0),0)</f>
        <v/>
      </c>
      <c r="R2657" s="17" t="str">
        <f t="shared" si="126"/>
        <v/>
      </c>
      <c r="S2657" s="17" t="str">
        <f>IF(INDEX(Listado!A:A,ROW())="","",INDEX(Listado!A:A,ROW()))</f>
        <v/>
      </c>
      <c r="T2657" s="17" t="str">
        <f ca="1">IF(INDEX(Listado!G:G,ROW())="","",INDEX(Listado!G:G,ROW()))</f>
        <v/>
      </c>
      <c r="U2657" s="17" t="str">
        <f>IF(INDEX(Listado!F:F,ROW())="","",INDEX(Listado!F:F,ROW()))</f>
        <v/>
      </c>
      <c r="V2657" s="17">
        <f>IF(COUNTA(INDEX(Listado!B:B,ROW()):INDEX(Listado!F:F,ROW()))&gt;0,1,0)</f>
        <v/>
      </c>
      <c r="W2657" s="17" t="str">
        <f>IF(INDEX(Listado!L:L,ROW())="","",INDEX(Listado!L:L,ROW()))</f>
        <v/>
      </c>
      <c r="X2657" s="17">
        <f>IF(N2657="","",IF(INDEX(Listado!$M:$M,N2657)="No","No","Sí"))</f>
        <v/>
      </c>
    </row>
    <row r="2658" spans="2:24" ht="14.25">
      <c r="N2658" s="17" t="str">
        <f>IF(V2658=0,"",IFERROR(LOOKUP(2,1/(INDEX(Listado!A:A,2):INDEX(Listado!A:A,ROW())&lt;&gt;""),ROW(INDEX(Listado!A:A,2):INDEX(Listado!A:A,ROW()))),""))</f>
        <v/>
      </c>
      <c r="O2658" s="17" t="str">
        <f>IFERROR(IF(N2658="","",IF(INDEX(Listado!M:M,N2658)="No",IF(INDEX(Listado!N:N,N2658)=0,"",INDEX(Listado!N:N,N2658)),IF(INDEX(Listado!I:I,N2658)=0,"",INDEX(Listado!I:I,N2658)))),"")</f>
        <v/>
      </c>
      <c r="P2658" s="17">
        <f t="shared" ca="1" si="124"/>
        <v/>
      </c>
      <c r="Q2658" s="17">
        <f>IFERROR(IF(AND(N2658&lt;&gt;"",ISNUMBER(O2658),O2658&gt;0,O2658&gt;=TODAY()-90),1,0),0)</f>
        <v/>
      </c>
      <c r="R2658" s="17" t="str">
        <f t="shared" si="126"/>
        <v/>
      </c>
      <c r="S2658" s="17" t="str">
        <f>IF(INDEX(Listado!A:A,ROW())="","",INDEX(Listado!A:A,ROW()))</f>
        <v/>
      </c>
      <c r="T2658" s="17" t="str">
        <f ca="1">IF(INDEX(Listado!G:G,ROW())="","",INDEX(Listado!G:G,ROW()))</f>
        <v/>
      </c>
      <c r="U2658" s="17" t="str">
        <f>IF(INDEX(Listado!F:F,ROW())="","",INDEX(Listado!F:F,ROW()))</f>
        <v/>
      </c>
      <c r="V2658" s="17">
        <f>IF(COUNTA(INDEX(Listado!B:B,ROW()):INDEX(Listado!F:F,ROW()))&gt;0,1,0)</f>
        <v/>
      </c>
      <c r="W2658" s="17" t="str">
        <f>IF(INDEX(Listado!L:L,ROW())="","",INDEX(Listado!L:L,ROW()))</f>
        <v/>
      </c>
      <c r="X2658" s="17">
        <f>IF(N2658="","",IF(INDEX(Listado!$M:$M,N2658)="No","No","Sí"))</f>
        <v/>
      </c>
    </row>
    <row r="2659" spans="2:24" ht="14.25">
      <c r="N2659" s="17" t="str">
        <f>IF(V2659=0,"",IFERROR(LOOKUP(2,1/(INDEX(Listado!A:A,2):INDEX(Listado!A:A,ROW())&lt;&gt;""),ROW(INDEX(Listado!A:A,2):INDEX(Listado!A:A,ROW()))),""))</f>
        <v/>
      </c>
      <c r="O2659" s="17" t="str">
        <f>IFERROR(IF(N2659="","",IF(INDEX(Listado!M:M,N2659)="No",IF(INDEX(Listado!N:N,N2659)=0,"",INDEX(Listado!N:N,N2659)),IF(INDEX(Listado!I:I,N2659)=0,"",INDEX(Listado!I:I,N2659)))),"")</f>
        <v/>
      </c>
      <c r="P2659" s="17">
        <f t="shared" ca="1" si="124"/>
        <v/>
      </c>
      <c r="Q2659" s="17">
        <f>IFERROR(IF(AND(N2659&lt;&gt;"",ISNUMBER(O2659),O2659&gt;0,O2659&gt;=TODAY()-90),1,0),0)</f>
        <v/>
      </c>
      <c r="R2659" s="17" t="str">
        <f t="shared" si="126"/>
        <v/>
      </c>
      <c r="S2659" s="17" t="str">
        <f>IF(INDEX(Listado!A:A,ROW())="","",INDEX(Listado!A:A,ROW()))</f>
        <v/>
      </c>
      <c r="T2659" s="17" t="str">
        <f ca="1">IF(INDEX(Listado!G:G,ROW())="","",INDEX(Listado!G:G,ROW()))</f>
        <v/>
      </c>
      <c r="U2659" s="17" t="str">
        <f>IF(INDEX(Listado!F:F,ROW())="","",INDEX(Listado!F:F,ROW()))</f>
        <v/>
      </c>
      <c r="V2659" s="17">
        <f>IF(COUNTA(INDEX(Listado!B:B,ROW()):INDEX(Listado!F:F,ROW()))&gt;0,1,0)</f>
        <v/>
      </c>
      <c r="W2659" s="17" t="str">
        <f>IF(INDEX(Listado!L:L,ROW())="","",INDEX(Listado!L:L,ROW()))</f>
        <v/>
      </c>
      <c r="X2659" s="17">
        <f>IF(N2659="","",IF(INDEX(Listado!$M:$M,N2659)="No","No","Sí"))</f>
        <v/>
      </c>
    </row>
    <row r="2660" spans="2:24" ht="14.25">
      <c r="N2660" s="17" t="str">
        <f>IF(V2660=0,"",IFERROR(LOOKUP(2,1/(INDEX(Listado!A:A,2):INDEX(Listado!A:A,ROW())&lt;&gt;""),ROW(INDEX(Listado!A:A,2):INDEX(Listado!A:A,ROW()))),""))</f>
        <v/>
      </c>
      <c r="O2660" s="17" t="str">
        <f>IFERROR(IF(N2660="","",IF(INDEX(Listado!M:M,N2660)="No",IF(INDEX(Listado!N:N,N2660)=0,"",INDEX(Listado!N:N,N2660)),IF(INDEX(Listado!I:I,N2660)=0,"",INDEX(Listado!I:I,N2660)))),"")</f>
        <v/>
      </c>
      <c r="P2660" s="17">
        <f t="shared" ca="1" si="124"/>
        <v/>
      </c>
      <c r="Q2660" s="17">
        <f>IFERROR(IF(AND(N2660&lt;&gt;"",ISNUMBER(O2660),O2660&gt;0,O2660&gt;=TODAY()-90),1,0),0)</f>
        <v/>
      </c>
      <c r="R2660" s="17" t="str">
        <f t="shared" si="126"/>
        <v/>
      </c>
      <c r="S2660" s="17" t="str">
        <f>IF(INDEX(Listado!A:A,ROW())="","",INDEX(Listado!A:A,ROW()))</f>
        <v/>
      </c>
      <c r="T2660" s="17" t="str">
        <f ca="1">IF(INDEX(Listado!G:G,ROW())="","",INDEX(Listado!G:G,ROW()))</f>
        <v/>
      </c>
      <c r="U2660" s="17" t="str">
        <f>IF(INDEX(Listado!F:F,ROW())="","",INDEX(Listado!F:F,ROW()))</f>
        <v/>
      </c>
      <c r="V2660" s="17">
        <f>IF(COUNTA(INDEX(Listado!B:B,ROW()):INDEX(Listado!F:F,ROW()))&gt;0,1,0)</f>
        <v/>
      </c>
      <c r="W2660" s="17" t="str">
        <f>IF(INDEX(Listado!L:L,ROW())="","",INDEX(Listado!L:L,ROW()))</f>
        <v/>
      </c>
      <c r="X2660" s="17">
        <f>IF(N2660="","",IF(INDEX(Listado!$M:$M,N2660)="No","No","Sí"))</f>
        <v/>
      </c>
    </row>
    <row r="2661" spans="2:24" ht="14.25">
      <c r="N2661" s="17" t="str">
        <f>IF(V2661=0,"",IFERROR(LOOKUP(2,1/(INDEX(Listado!A:A,2):INDEX(Listado!A:A,ROW())&lt;&gt;""),ROW(INDEX(Listado!A:A,2):INDEX(Listado!A:A,ROW()))),""))</f>
        <v/>
      </c>
      <c r="O2661" s="17" t="str">
        <f>IFERROR(IF(N2661="","",IF(INDEX(Listado!M:M,N2661)="No",IF(INDEX(Listado!N:N,N2661)=0,"",INDEX(Listado!N:N,N2661)),IF(INDEX(Listado!I:I,N2661)=0,"",INDEX(Listado!I:I,N2661)))),"")</f>
        <v/>
      </c>
      <c r="P2661" s="17">
        <f t="shared" ca="1" si="124"/>
        <v/>
      </c>
      <c r="Q2661" s="17">
        <f>IFERROR(IF(AND(N2661&lt;&gt;"",ISNUMBER(O2661),O2661&gt;0,O2661&gt;=TODAY()-90),1,0),0)</f>
        <v/>
      </c>
      <c r="R2661" s="17" t="str">
        <f t="shared" si="126"/>
        <v/>
      </c>
      <c r="S2661" s="17" t="str">
        <f>IF(INDEX(Listado!A:A,ROW())="","",INDEX(Listado!A:A,ROW()))</f>
        <v/>
      </c>
      <c r="T2661" s="17" t="str">
        <f ca="1">IF(INDEX(Listado!G:G,ROW())="","",INDEX(Listado!G:G,ROW()))</f>
        <v/>
      </c>
      <c r="U2661" s="17" t="str">
        <f>IF(INDEX(Listado!F:F,ROW())="","",INDEX(Listado!F:F,ROW()))</f>
        <v/>
      </c>
      <c r="V2661" s="17">
        <f>IF(COUNTA(INDEX(Listado!B:B,ROW()):INDEX(Listado!F:F,ROW()))&gt;0,1,0)</f>
        <v/>
      </c>
      <c r="W2661" s="17" t="str">
        <f>IF(INDEX(Listado!L:L,ROW())="","",INDEX(Listado!L:L,ROW()))</f>
        <v/>
      </c>
      <c r="X2661" s="17">
        <f>IF(N2661="","",IF(INDEX(Listado!$M:$M,N2661)="No","No","Sí"))</f>
        <v/>
      </c>
    </row>
    <row r="2662" spans="2:24" ht="14.25">
      <c r="N2662" s="17" t="str">
        <f>IF(V2662=0,"",IFERROR(LOOKUP(2,1/(INDEX(Listado!A:A,2):INDEX(Listado!A:A,ROW())&lt;&gt;""),ROW(INDEX(Listado!A:A,2):INDEX(Listado!A:A,ROW()))),""))</f>
        <v/>
      </c>
      <c r="O2662" s="17" t="str">
        <f>IFERROR(IF(N2662="","",IF(INDEX(Listado!M:M,N2662)="No",IF(INDEX(Listado!N:N,N2662)=0,"",INDEX(Listado!N:N,N2662)),IF(INDEX(Listado!I:I,N2662)=0,"",INDEX(Listado!I:I,N2662)))),"")</f>
        <v/>
      </c>
      <c r="P2662" s="17">
        <f t="shared" ca="1" si="124"/>
        <v/>
      </c>
      <c r="Q2662" s="17">
        <f>IFERROR(IF(AND(N2662&lt;&gt;"",ISNUMBER(O2662),O2662&gt;0,O2662&gt;=TODAY()-90),1,0),0)</f>
        <v/>
      </c>
      <c r="R2662" s="17" t="str">
        <f t="shared" si="126"/>
        <v/>
      </c>
      <c r="S2662" s="17" t="str">
        <f>IF(INDEX(Listado!A:A,ROW())="","",INDEX(Listado!A:A,ROW()))</f>
        <v/>
      </c>
      <c r="T2662" s="17" t="str">
        <f ca="1">IF(INDEX(Listado!G:G,ROW())="","",INDEX(Listado!G:G,ROW()))</f>
        <v/>
      </c>
      <c r="U2662" s="17" t="str">
        <f>IF(INDEX(Listado!F:F,ROW())="","",INDEX(Listado!F:F,ROW()))</f>
        <v/>
      </c>
      <c r="V2662" s="17">
        <f>IF(COUNTA(INDEX(Listado!B:B,ROW()):INDEX(Listado!F:F,ROW()))&gt;0,1,0)</f>
        <v/>
      </c>
      <c r="W2662" s="17" t="str">
        <f>IF(INDEX(Listado!L:L,ROW())="","",INDEX(Listado!L:L,ROW()))</f>
        <v/>
      </c>
      <c r="X2662" s="17">
        <f>IF(N2662="","",IF(INDEX(Listado!$M:$M,N2662)="No","No","Sí"))</f>
        <v/>
      </c>
    </row>
    <row r="2663" spans="2:24" ht="14.25">
      <c r="N2663" s="17" t="str">
        <f>IF(V2663=0,"",IFERROR(LOOKUP(2,1/(INDEX(Listado!A:A,2):INDEX(Listado!A:A,ROW())&lt;&gt;""),ROW(INDEX(Listado!A:A,2):INDEX(Listado!A:A,ROW()))),""))</f>
        <v/>
      </c>
      <c r="O2663" s="17" t="str">
        <f>IFERROR(IF(N2663="","",IF(INDEX(Listado!M:M,N2663)="No",IF(INDEX(Listado!N:N,N2663)=0,"",INDEX(Listado!N:N,N2663)),IF(INDEX(Listado!I:I,N2663)=0,"",INDEX(Listado!I:I,N2663)))),"")</f>
        <v/>
      </c>
      <c r="P2663" s="17">
        <f t="shared" ca="1" si="124"/>
        <v/>
      </c>
      <c r="Q2663" s="17">
        <f>IFERROR(IF(AND(N2663&lt;&gt;"",ISNUMBER(O2663),O2663&gt;0,O2663&gt;=TODAY()-90),1,0),0)</f>
        <v/>
      </c>
      <c r="R2663" s="17" t="str">
        <f t="shared" si="126"/>
        <v/>
      </c>
      <c r="S2663" s="17" t="str">
        <f>IF(INDEX(Listado!A:A,ROW())="","",INDEX(Listado!A:A,ROW()))</f>
        <v/>
      </c>
      <c r="T2663" s="17" t="str">
        <f ca="1">IF(INDEX(Listado!G:G,ROW())="","",INDEX(Listado!G:G,ROW()))</f>
        <v/>
      </c>
      <c r="U2663" s="17" t="str">
        <f>IF(INDEX(Listado!F:F,ROW())="","",INDEX(Listado!F:F,ROW()))</f>
        <v/>
      </c>
      <c r="V2663" s="17">
        <f>IF(COUNTA(INDEX(Listado!B:B,ROW()):INDEX(Listado!F:F,ROW()))&gt;0,1,0)</f>
        <v/>
      </c>
      <c r="W2663" s="17" t="str">
        <f>IF(INDEX(Listado!L:L,ROW())="","",INDEX(Listado!L:L,ROW()))</f>
        <v/>
      </c>
      <c r="X2663" s="17">
        <f>IF(N2663="","",IF(INDEX(Listado!$M:$M,N2663)="No","No","Sí"))</f>
        <v/>
      </c>
    </row>
    <row r="2664" spans="2:24" ht="14.25">
      <c r="N2664" s="17" t="str">
        <f>IF(V2664=0,"",IFERROR(LOOKUP(2,1/(INDEX(Listado!A:A,2):INDEX(Listado!A:A,ROW())&lt;&gt;""),ROW(INDEX(Listado!A:A,2):INDEX(Listado!A:A,ROW()))),""))</f>
        <v/>
      </c>
      <c r="O2664" s="17" t="str">
        <f>IFERROR(IF(N2664="","",IF(INDEX(Listado!M:M,N2664)="No",IF(INDEX(Listado!N:N,N2664)=0,"",INDEX(Listado!N:N,N2664)),IF(INDEX(Listado!I:I,N2664)=0,"",INDEX(Listado!I:I,N2664)))),"")</f>
        <v/>
      </c>
      <c r="P2664" s="17">
        <f t="shared" ca="1" si="124"/>
        <v/>
      </c>
      <c r="Q2664" s="17">
        <f>IFERROR(IF(AND(N2664&lt;&gt;"",ISNUMBER(O2664),O2664&gt;0,O2664&gt;=TODAY()-90),1,0),0)</f>
        <v/>
      </c>
      <c r="R2664" s="17" t="str">
        <f t="shared" si="126"/>
        <v/>
      </c>
      <c r="S2664" s="17" t="str">
        <f>IF(INDEX(Listado!A:A,ROW())="","",INDEX(Listado!A:A,ROW()))</f>
        <v/>
      </c>
      <c r="T2664" s="17" t="str">
        <f ca="1">IF(INDEX(Listado!G:G,ROW())="","",INDEX(Listado!G:G,ROW()))</f>
        <v/>
      </c>
      <c r="U2664" s="17" t="str">
        <f>IF(INDEX(Listado!F:F,ROW())="","",INDEX(Listado!F:F,ROW()))</f>
        <v/>
      </c>
      <c r="V2664" s="17">
        <f>IF(COUNTA(INDEX(Listado!B:B,ROW()):INDEX(Listado!F:F,ROW()))&gt;0,1,0)</f>
        <v/>
      </c>
      <c r="W2664" s="17" t="str">
        <f>IF(INDEX(Listado!L:L,ROW())="","",INDEX(Listado!L:L,ROW()))</f>
        <v/>
      </c>
      <c r="X2664" s="17">
        <f>IF(N2664="","",IF(INDEX(Listado!$M:$M,N2664)="No","No","Sí"))</f>
        <v/>
      </c>
    </row>
    <row r="2665" spans="2:24" ht="14.25">
      <c r="N2665" s="17" t="str">
        <f>IF(V2665=0,"",IFERROR(LOOKUP(2,1/(INDEX(Listado!A:A,2):INDEX(Listado!A:A,ROW())&lt;&gt;""),ROW(INDEX(Listado!A:A,2):INDEX(Listado!A:A,ROW()))),""))</f>
        <v/>
      </c>
      <c r="O2665" s="17" t="str">
        <f>IFERROR(IF(N2665="","",IF(INDEX(Listado!M:M,N2665)="No",IF(INDEX(Listado!N:N,N2665)=0,"",INDEX(Listado!N:N,N2665)),IF(INDEX(Listado!I:I,N2665)=0,"",INDEX(Listado!I:I,N2665)))),"")</f>
        <v/>
      </c>
      <c r="P2665" s="17">
        <f t="shared" ca="1" si="124"/>
        <v/>
      </c>
      <c r="Q2665" s="17">
        <f>IFERROR(IF(AND(N2665&lt;&gt;"",ISNUMBER(O2665),O2665&gt;0,O2665&gt;=TODAY()-90),1,0),0)</f>
        <v/>
      </c>
      <c r="R2665" s="17" t="str">
        <f t="shared" si="126"/>
        <v/>
      </c>
      <c r="S2665" s="17" t="str">
        <f>IF(INDEX(Listado!A:A,ROW())="","",INDEX(Listado!A:A,ROW()))</f>
        <v/>
      </c>
      <c r="T2665" s="17" t="str">
        <f ca="1">IF(INDEX(Listado!G:G,ROW())="","",INDEX(Listado!G:G,ROW()))</f>
        <v/>
      </c>
      <c r="U2665" s="17" t="str">
        <f>IF(INDEX(Listado!F:F,ROW())="","",INDEX(Listado!F:F,ROW()))</f>
        <v/>
      </c>
      <c r="V2665" s="17">
        <f>IF(COUNTA(INDEX(Listado!B:B,ROW()):INDEX(Listado!F:F,ROW()))&gt;0,1,0)</f>
        <v/>
      </c>
      <c r="W2665" s="17" t="str">
        <f>IF(INDEX(Listado!L:L,ROW())="","",INDEX(Listado!L:L,ROW()))</f>
        <v/>
      </c>
      <c r="X2665" s="17">
        <f>IF(N2665="","",IF(INDEX(Listado!$M:$M,N2665)="No","No","Sí"))</f>
        <v/>
      </c>
    </row>
    <row r="2666" spans="2:24" ht="14.25">
      <c r="N2666" s="17" t="str">
        <f>IF(V2666=0,"",IFERROR(LOOKUP(2,1/(INDEX(Listado!A:A,2):INDEX(Listado!A:A,ROW())&lt;&gt;""),ROW(INDEX(Listado!A:A,2):INDEX(Listado!A:A,ROW()))),""))</f>
        <v/>
      </c>
      <c r="O2666" s="17" t="str">
        <f>IFERROR(IF(N2666="","",IF(INDEX(Listado!M:M,N2666)="No",IF(INDEX(Listado!N:N,N2666)=0,"",INDEX(Listado!N:N,N2666)),IF(INDEX(Listado!I:I,N2666)=0,"",INDEX(Listado!I:I,N2666)))),"")</f>
        <v/>
      </c>
      <c r="P2666" s="17">
        <f t="shared" ca="1" si="124"/>
        <v/>
      </c>
      <c r="Q2666" s="17">
        <f>IFERROR(IF(AND(N2666&lt;&gt;"",ISNUMBER(O2666),O2666&gt;0,O2666&gt;=TODAY()-90),1,0),0)</f>
        <v/>
      </c>
      <c r="R2666" s="17" t="str">
        <f t="shared" si="126"/>
        <v/>
      </c>
      <c r="S2666" s="17" t="str">
        <f>IF(INDEX(Listado!A:A,ROW())="","",INDEX(Listado!A:A,ROW()))</f>
        <v/>
      </c>
      <c r="T2666" s="17" t="str">
        <f ca="1">IF(INDEX(Listado!G:G,ROW())="","",INDEX(Listado!G:G,ROW()))</f>
        <v/>
      </c>
      <c r="U2666" s="17" t="str">
        <f>IF(INDEX(Listado!F:F,ROW())="","",INDEX(Listado!F:F,ROW()))</f>
        <v/>
      </c>
      <c r="V2666" s="17">
        <f>IF(COUNTA(INDEX(Listado!B:B,ROW()):INDEX(Listado!F:F,ROW()))&gt;0,1,0)</f>
        <v/>
      </c>
      <c r="W2666" s="17" t="str">
        <f>IF(INDEX(Listado!L:L,ROW())="","",INDEX(Listado!L:L,ROW()))</f>
        <v/>
      </c>
      <c r="X2666" s="17">
        <f>IF(N2666="","",IF(INDEX(Listado!$M:$M,N2666)="No","No","Sí"))</f>
        <v/>
      </c>
    </row>
    <row r="2667" spans="2:24" ht="14.25">
      <c r="N2667" s="17" t="str">
        <f>IF(V2667=0,"",IFERROR(LOOKUP(2,1/(INDEX(Listado!A:A,2):INDEX(Listado!A:A,ROW())&lt;&gt;""),ROW(INDEX(Listado!A:A,2):INDEX(Listado!A:A,ROW()))),""))</f>
        <v/>
      </c>
      <c r="O2667" s="17" t="str">
        <f>IFERROR(IF(N2667="","",IF(INDEX(Listado!M:M,N2667)="No",IF(INDEX(Listado!N:N,N2667)=0,"",INDEX(Listado!N:N,N2667)),IF(INDEX(Listado!I:I,N2667)=0,"",INDEX(Listado!I:I,N2667)))),"")</f>
        <v/>
      </c>
      <c r="P2667" s="17">
        <f t="shared" ca="1" si="124"/>
        <v/>
      </c>
      <c r="Q2667" s="17">
        <f>IFERROR(IF(AND(N2667&lt;&gt;"",ISNUMBER(O2667),O2667&gt;0,O2667&gt;=TODAY()-90),1,0),0)</f>
        <v/>
      </c>
      <c r="R2667" s="17" t="str">
        <f t="shared" si="126"/>
        <v/>
      </c>
      <c r="S2667" s="17" t="str">
        <f>IF(INDEX(Listado!A:A,ROW())="","",INDEX(Listado!A:A,ROW()))</f>
        <v/>
      </c>
      <c r="T2667" s="17" t="str">
        <f ca="1">IF(INDEX(Listado!G:G,ROW())="","",INDEX(Listado!G:G,ROW()))</f>
        <v/>
      </c>
      <c r="U2667" s="17" t="str">
        <f>IF(INDEX(Listado!F:F,ROW())="","",INDEX(Listado!F:F,ROW()))</f>
        <v/>
      </c>
      <c r="V2667" s="17">
        <f>IF(COUNTA(INDEX(Listado!B:B,ROW()):INDEX(Listado!F:F,ROW()))&gt;0,1,0)</f>
        <v/>
      </c>
      <c r="W2667" s="17" t="str">
        <f>IF(INDEX(Listado!L:L,ROW())="","",INDEX(Listado!L:L,ROW()))</f>
        <v/>
      </c>
      <c r="X2667" s="17">
        <f>IF(N2667="","",IF(INDEX(Listado!$M:$M,N2667)="No","No","Sí"))</f>
        <v/>
      </c>
    </row>
    <row r="2668" spans="2:24" ht="14.25">
      <c r="N2668" s="17" t="str">
        <f>IF(V2668=0,"",IFERROR(LOOKUP(2,1/(INDEX(Listado!A:A,2):INDEX(Listado!A:A,ROW())&lt;&gt;""),ROW(INDEX(Listado!A:A,2):INDEX(Listado!A:A,ROW()))),""))</f>
        <v/>
      </c>
      <c r="O2668" s="17" t="str">
        <f>IFERROR(IF(N2668="","",IF(INDEX(Listado!M:M,N2668)="No",IF(INDEX(Listado!N:N,N2668)=0,"",INDEX(Listado!N:N,N2668)),IF(INDEX(Listado!I:I,N2668)=0,"",INDEX(Listado!I:I,N2668)))),"")</f>
        <v/>
      </c>
      <c r="P2668" s="17">
        <f t="shared" ca="1" si="124"/>
        <v/>
      </c>
      <c r="Q2668" s="17">
        <f>IFERROR(IF(AND(N2668&lt;&gt;"",ISNUMBER(O2668),O2668&gt;0,O2668&gt;=TODAY()-90),1,0),0)</f>
        <v/>
      </c>
      <c r="R2668" s="17" t="str">
        <f t="shared" si="126"/>
        <v/>
      </c>
      <c r="S2668" s="17" t="str">
        <f>IF(INDEX(Listado!A:A,ROW())="","",INDEX(Listado!A:A,ROW()))</f>
        <v/>
      </c>
      <c r="T2668" s="17" t="str">
        <f ca="1">IF(INDEX(Listado!G:G,ROW())="","",INDEX(Listado!G:G,ROW()))</f>
        <v/>
      </c>
      <c r="U2668" s="17" t="str">
        <f>IF(INDEX(Listado!F:F,ROW())="","",INDEX(Listado!F:F,ROW()))</f>
        <v/>
      </c>
      <c r="V2668" s="17">
        <f>IF(COUNTA(INDEX(Listado!B:B,ROW()):INDEX(Listado!F:F,ROW()))&gt;0,1,0)</f>
        <v/>
      </c>
      <c r="W2668" s="17" t="str">
        <f>IF(INDEX(Listado!L:L,ROW())="","",INDEX(Listado!L:L,ROW()))</f>
        <v/>
      </c>
      <c r="X2668" s="17">
        <f>IF(N2668="","",IF(INDEX(Listado!$M:$M,N2668)="No","No","Sí"))</f>
        <v/>
      </c>
    </row>
    <row r="2669" spans="2:24" ht="14.25">
      <c r="N2669" s="17" t="str">
        <f>IF(V2669=0,"",IFERROR(LOOKUP(2,1/(INDEX(Listado!A:A,2):INDEX(Listado!A:A,ROW())&lt;&gt;""),ROW(INDEX(Listado!A:A,2):INDEX(Listado!A:A,ROW()))),""))</f>
        <v/>
      </c>
      <c r="O2669" s="17" t="str">
        <f>IFERROR(IF(N2669="","",IF(INDEX(Listado!M:M,N2669)="No",IF(INDEX(Listado!N:N,N2669)=0,"",INDEX(Listado!N:N,N2669)),IF(INDEX(Listado!I:I,N2669)=0,"",INDEX(Listado!I:I,N2669)))),"")</f>
        <v/>
      </c>
      <c r="P2669" s="17">
        <f t="shared" ca="1" si="124"/>
        <v/>
      </c>
      <c r="Q2669" s="17">
        <f>IFERROR(IF(AND(N2669&lt;&gt;"",ISNUMBER(O2669),O2669&gt;0,O2669&gt;=TODAY()-90),1,0),0)</f>
        <v/>
      </c>
      <c r="R2669" s="17" t="str">
        <f t="shared" si="126"/>
        <v/>
      </c>
      <c r="S2669" s="17" t="str">
        <f>IF(INDEX(Listado!A:A,ROW())="","",INDEX(Listado!A:A,ROW()))</f>
        <v/>
      </c>
      <c r="T2669" s="17" t="str">
        <f ca="1">IF(INDEX(Listado!G:G,ROW())="","",INDEX(Listado!G:G,ROW()))</f>
        <v/>
      </c>
      <c r="U2669" s="17" t="str">
        <f>IF(INDEX(Listado!F:F,ROW())="","",INDEX(Listado!F:F,ROW()))</f>
        <v/>
      </c>
      <c r="V2669" s="17">
        <f>IF(COUNTA(INDEX(Listado!B:B,ROW()):INDEX(Listado!F:F,ROW()))&gt;0,1,0)</f>
        <v/>
      </c>
      <c r="W2669" s="17" t="str">
        <f>IF(INDEX(Listado!L:L,ROW())="","",INDEX(Listado!L:L,ROW()))</f>
        <v/>
      </c>
      <c r="X2669" s="17">
        <f>IF(N2669="","",IF(INDEX(Listado!$M:$M,N2669)="No","No","Sí"))</f>
        <v/>
      </c>
    </row>
    <row r="2670" spans="2:24" ht="14.25">
      <c r="N2670" s="17" t="str">
        <f>IF(V2670=0,"",IFERROR(LOOKUP(2,1/(INDEX(Listado!A:A,2):INDEX(Listado!A:A,ROW())&lt;&gt;""),ROW(INDEX(Listado!A:A,2):INDEX(Listado!A:A,ROW()))),""))</f>
        <v/>
      </c>
      <c r="O2670" s="17" t="str">
        <f>IFERROR(IF(N2670="","",IF(INDEX(Listado!M:M,N2670)="No",IF(INDEX(Listado!N:N,N2670)=0,"",INDEX(Listado!N:N,N2670)),IF(INDEX(Listado!I:I,N2670)=0,"",INDEX(Listado!I:I,N2670)))),"")</f>
        <v/>
      </c>
      <c r="P2670" s="17">
        <f t="shared" ca="1" si="124"/>
        <v/>
      </c>
      <c r="Q2670" s="17">
        <f>IFERROR(IF(AND(N2670&lt;&gt;"",ISNUMBER(O2670),O2670&gt;0,O2670&gt;=TODAY()-90),1,0),0)</f>
        <v/>
      </c>
      <c r="R2670" s="17" t="str">
        <f t="shared" si="126"/>
        <v/>
      </c>
      <c r="S2670" s="17" t="str">
        <f>IF(INDEX(Listado!A:A,ROW())="","",INDEX(Listado!A:A,ROW()))</f>
        <v/>
      </c>
      <c r="T2670" s="17" t="str">
        <f ca="1">IF(INDEX(Listado!G:G,ROW())="","",INDEX(Listado!G:G,ROW()))</f>
        <v/>
      </c>
      <c r="U2670" s="17" t="str">
        <f>IF(INDEX(Listado!F:F,ROW())="","",INDEX(Listado!F:F,ROW()))</f>
        <v/>
      </c>
      <c r="V2670" s="17">
        <f>IF(COUNTA(INDEX(Listado!B:B,ROW()):INDEX(Listado!F:F,ROW()))&gt;0,1,0)</f>
        <v/>
      </c>
      <c r="W2670" s="17" t="str">
        <f>IF(INDEX(Listado!L:L,ROW())="","",INDEX(Listado!L:L,ROW()))</f>
        <v/>
      </c>
      <c r="X2670" s="17">
        <f>IF(N2670="","",IF(INDEX(Listado!$M:$M,N2670)="No","No","Sí"))</f>
        <v/>
      </c>
    </row>
    <row r="2671" spans="2:24" ht="14.25">
      <c r="N2671" s="17" t="str">
        <f>IF(V2671=0,"",IFERROR(LOOKUP(2,1/(INDEX(Listado!A:A,2):INDEX(Listado!A:A,ROW())&lt;&gt;""),ROW(INDEX(Listado!A:A,2):INDEX(Listado!A:A,ROW()))),""))</f>
        <v/>
      </c>
      <c r="O2671" s="17" t="str">
        <f>IFERROR(IF(N2671="","",IF(INDEX(Listado!M:M,N2671)="No",IF(INDEX(Listado!N:N,N2671)=0,"",INDEX(Listado!N:N,N2671)),IF(INDEX(Listado!I:I,N2671)=0,"",INDEX(Listado!I:I,N2671)))),"")</f>
        <v/>
      </c>
      <c r="P2671" s="17">
        <f t="shared" ca="1" si="124"/>
        <v/>
      </c>
      <c r="Q2671" s="17">
        <f>IFERROR(IF(AND(N2671&lt;&gt;"",ISNUMBER(O2671),O2671&gt;0,O2671&gt;=TODAY()-90),1,0),0)</f>
        <v/>
      </c>
      <c r="R2671" s="17" t="str">
        <f t="shared" si="126"/>
        <v/>
      </c>
      <c r="S2671" s="17" t="str">
        <f>IF(INDEX(Listado!A:A,ROW())="","",INDEX(Listado!A:A,ROW()))</f>
        <v/>
      </c>
      <c r="T2671" s="17" t="str">
        <f ca="1">IF(INDEX(Listado!G:G,ROW())="","",INDEX(Listado!G:G,ROW()))</f>
        <v/>
      </c>
      <c r="U2671" s="17" t="str">
        <f>IF(INDEX(Listado!F:F,ROW())="","",INDEX(Listado!F:F,ROW()))</f>
        <v/>
      </c>
      <c r="V2671" s="17">
        <f>IF(COUNTA(INDEX(Listado!B:B,ROW()):INDEX(Listado!F:F,ROW()))&gt;0,1,0)</f>
        <v/>
      </c>
      <c r="W2671" s="17" t="str">
        <f>IF(INDEX(Listado!L:L,ROW())="","",INDEX(Listado!L:L,ROW()))</f>
        <v/>
      </c>
      <c r="X2671" s="17">
        <f>IF(N2671="","",IF(INDEX(Listado!$M:$M,N2671)="No","No","Sí"))</f>
        <v/>
      </c>
    </row>
    <row r="2672" spans="2:24" ht="14.25">
      <c r="N2672" s="17" t="str">
        <f>IF(V2672=0,"",IFERROR(LOOKUP(2,1/(INDEX(Listado!A:A,2):INDEX(Listado!A:A,ROW())&lt;&gt;""),ROW(INDEX(Listado!A:A,2):INDEX(Listado!A:A,ROW()))),""))</f>
        <v/>
      </c>
      <c r="O2672" s="17" t="str">
        <f>IFERROR(IF(N2672="","",IF(INDEX(Listado!M:M,N2672)="No",IF(INDEX(Listado!N:N,N2672)=0,"",INDEX(Listado!N:N,N2672)),IF(INDEX(Listado!I:I,N2672)=0,"",INDEX(Listado!I:I,N2672)))),"")</f>
        <v/>
      </c>
      <c r="P2672" s="17">
        <f t="shared" ca="1" si="124"/>
        <v/>
      </c>
      <c r="Q2672" s="17">
        <f>IFERROR(IF(AND(N2672&lt;&gt;"",ISNUMBER(O2672),O2672&gt;0,O2672&gt;=TODAY()-90),1,0),0)</f>
        <v/>
      </c>
      <c r="R2672" s="17" t="str">
        <f t="shared" si="126"/>
        <v/>
      </c>
      <c r="S2672" s="17" t="str">
        <f>IF(INDEX(Listado!A:A,ROW())="","",INDEX(Listado!A:A,ROW()))</f>
        <v/>
      </c>
      <c r="T2672" s="17" t="str">
        <f ca="1">IF(INDEX(Listado!G:G,ROW())="","",INDEX(Listado!G:G,ROW()))</f>
        <v/>
      </c>
      <c r="U2672" s="17" t="str">
        <f>IF(INDEX(Listado!F:F,ROW())="","",INDEX(Listado!F:F,ROW()))</f>
        <v/>
      </c>
      <c r="V2672" s="17">
        <f>IF(COUNTA(INDEX(Listado!B:B,ROW()):INDEX(Listado!F:F,ROW()))&gt;0,1,0)</f>
        <v/>
      </c>
      <c r="W2672" s="17" t="str">
        <f>IF(INDEX(Listado!L:L,ROW())="","",INDEX(Listado!L:L,ROW()))</f>
        <v/>
      </c>
      <c r="X2672" s="17">
        <f>IF(N2672="","",IF(INDEX(Listado!$M:$M,N2672)="No","No","Sí"))</f>
        <v/>
      </c>
    </row>
    <row r="2673" spans="2:24" ht="14.25">
      <c r="N2673" s="17" t="str">
        <f>IF(V2673=0,"",IFERROR(LOOKUP(2,1/(INDEX(Listado!A:A,2):INDEX(Listado!A:A,ROW())&lt;&gt;""),ROW(INDEX(Listado!A:A,2):INDEX(Listado!A:A,ROW()))),""))</f>
        <v/>
      </c>
      <c r="O2673" s="17" t="str">
        <f>IFERROR(IF(N2673="","",IF(INDEX(Listado!M:M,N2673)="No",IF(INDEX(Listado!N:N,N2673)=0,"",INDEX(Listado!N:N,N2673)),IF(INDEX(Listado!I:I,N2673)=0,"",INDEX(Listado!I:I,N2673)))),"")</f>
        <v/>
      </c>
      <c r="P2673" s="17">
        <f t="shared" ca="1" si="124"/>
        <v/>
      </c>
      <c r="Q2673" s="17">
        <f>IFERROR(IF(AND(N2673&lt;&gt;"",ISNUMBER(O2673),O2673&gt;0,O2673&gt;=TODAY()-90),1,0),0)</f>
        <v/>
      </c>
      <c r="R2673" s="17" t="str">
        <f t="shared" si="126"/>
        <v/>
      </c>
      <c r="S2673" s="17" t="str">
        <f>IF(INDEX(Listado!A:A,ROW())="","",INDEX(Listado!A:A,ROW()))</f>
        <v/>
      </c>
      <c r="T2673" s="17" t="str">
        <f ca="1">IF(INDEX(Listado!G:G,ROW())="","",INDEX(Listado!G:G,ROW()))</f>
        <v/>
      </c>
      <c r="U2673" s="17" t="str">
        <f>IF(INDEX(Listado!F:F,ROW())="","",INDEX(Listado!F:F,ROW()))</f>
        <v/>
      </c>
      <c r="V2673" s="17">
        <f>IF(COUNTA(INDEX(Listado!B:B,ROW()):INDEX(Listado!F:F,ROW()))&gt;0,1,0)</f>
        <v/>
      </c>
      <c r="W2673" s="17" t="str">
        <f>IF(INDEX(Listado!L:L,ROW())="","",INDEX(Listado!L:L,ROW()))</f>
        <v/>
      </c>
      <c r="X2673" s="17">
        <f>IF(N2673="","",IF(INDEX(Listado!$M:$M,N2673)="No","No","Sí"))</f>
        <v/>
      </c>
    </row>
    <row r="2674" spans="2:24" ht="14.25">
      <c r="N2674" s="17" t="str">
        <f>IF(V2674=0,"",IFERROR(LOOKUP(2,1/(INDEX(Listado!A:A,2):INDEX(Listado!A:A,ROW())&lt;&gt;""),ROW(INDEX(Listado!A:A,2):INDEX(Listado!A:A,ROW()))),""))</f>
        <v/>
      </c>
      <c r="O2674" s="17" t="str">
        <f>IFERROR(IF(N2674="","",IF(INDEX(Listado!M:M,N2674)="No",IF(INDEX(Listado!N:N,N2674)=0,"",INDEX(Listado!N:N,N2674)),IF(INDEX(Listado!I:I,N2674)=0,"",INDEX(Listado!I:I,N2674)))),"")</f>
        <v/>
      </c>
      <c r="P2674" s="17">
        <f t="shared" ca="1" si="124"/>
        <v/>
      </c>
      <c r="Q2674" s="17">
        <f>IFERROR(IF(AND(N2674&lt;&gt;"",ISNUMBER(O2674),O2674&gt;0,O2674&gt;=TODAY()-90),1,0),0)</f>
        <v/>
      </c>
      <c r="R2674" s="17" t="str">
        <f t="shared" si="126"/>
        <v/>
      </c>
      <c r="S2674" s="17" t="str">
        <f>IF(INDEX(Listado!A:A,ROW())="","",INDEX(Listado!A:A,ROW()))</f>
        <v/>
      </c>
      <c r="T2674" s="17" t="str">
        <f ca="1">IF(INDEX(Listado!G:G,ROW())="","",INDEX(Listado!G:G,ROW()))</f>
        <v/>
      </c>
      <c r="U2674" s="17" t="str">
        <f>IF(INDEX(Listado!F:F,ROW())="","",INDEX(Listado!F:F,ROW()))</f>
        <v/>
      </c>
      <c r="V2674" s="17">
        <f>IF(COUNTA(INDEX(Listado!B:B,ROW()):INDEX(Listado!F:F,ROW()))&gt;0,1,0)</f>
        <v/>
      </c>
      <c r="W2674" s="17" t="str">
        <f>IF(INDEX(Listado!L:L,ROW())="","",INDEX(Listado!L:L,ROW()))</f>
        <v/>
      </c>
      <c r="X2674" s="17">
        <f>IF(N2674="","",IF(INDEX(Listado!$M:$M,N2674)="No","No","Sí"))</f>
        <v/>
      </c>
    </row>
    <row r="2675" spans="2:24" ht="14.25">
      <c r="N2675" s="17" t="str">
        <f>IF(V2675=0,"",IFERROR(LOOKUP(2,1/(INDEX(Listado!A:A,2):INDEX(Listado!A:A,ROW())&lt;&gt;""),ROW(INDEX(Listado!A:A,2):INDEX(Listado!A:A,ROW()))),""))</f>
        <v/>
      </c>
      <c r="O2675" s="17" t="str">
        <f>IFERROR(IF(N2675="","",IF(INDEX(Listado!M:M,N2675)="No",IF(INDEX(Listado!N:N,N2675)=0,"",INDEX(Listado!N:N,N2675)),IF(INDEX(Listado!I:I,N2675)=0,"",INDEX(Listado!I:I,N2675)))),"")</f>
        <v/>
      </c>
      <c r="P2675" s="17">
        <f t="shared" ca="1" si="124"/>
        <v/>
      </c>
      <c r="Q2675" s="17">
        <f>IFERROR(IF(AND(N2675&lt;&gt;"",ISNUMBER(O2675),O2675&gt;0,O2675&gt;=TODAY()-90),1,0),0)</f>
        <v/>
      </c>
      <c r="R2675" s="17" t="str">
        <f t="shared" si="126"/>
        <v/>
      </c>
      <c r="S2675" s="17" t="str">
        <f>IF(INDEX(Listado!A:A,ROW())="","",INDEX(Listado!A:A,ROW()))</f>
        <v/>
      </c>
      <c r="T2675" s="17" t="str">
        <f ca="1">IF(INDEX(Listado!G:G,ROW())="","",INDEX(Listado!G:G,ROW()))</f>
        <v/>
      </c>
      <c r="U2675" s="17" t="str">
        <f>IF(INDEX(Listado!F:F,ROW())="","",INDEX(Listado!F:F,ROW()))</f>
        <v/>
      </c>
      <c r="V2675" s="17">
        <f>IF(COUNTA(INDEX(Listado!B:B,ROW()):INDEX(Listado!F:F,ROW()))&gt;0,1,0)</f>
        <v/>
      </c>
      <c r="W2675" s="17" t="str">
        <f>IF(INDEX(Listado!L:L,ROW())="","",INDEX(Listado!L:L,ROW()))</f>
        <v/>
      </c>
      <c r="X2675" s="17">
        <f>IF(N2675="","",IF(INDEX(Listado!$M:$M,N2675)="No","No","Sí"))</f>
        <v/>
      </c>
    </row>
    <row r="2676" spans="2:24" ht="14.25">
      <c r="N2676" s="17" t="str">
        <f>IF(V2676=0,"",IFERROR(LOOKUP(2,1/(INDEX(Listado!A:A,2):INDEX(Listado!A:A,ROW())&lt;&gt;""),ROW(INDEX(Listado!A:A,2):INDEX(Listado!A:A,ROW()))),""))</f>
        <v/>
      </c>
      <c r="O2676" s="17" t="str">
        <f>IFERROR(IF(N2676="","",IF(INDEX(Listado!M:M,N2676)="No",IF(INDEX(Listado!N:N,N2676)=0,"",INDEX(Listado!N:N,N2676)),IF(INDEX(Listado!I:I,N2676)=0,"",INDEX(Listado!I:I,N2676)))),"")</f>
        <v/>
      </c>
      <c r="P2676" s="17">
        <f t="shared" ca="1" si="124"/>
        <v/>
      </c>
      <c r="Q2676" s="17">
        <f>IFERROR(IF(AND(N2676&lt;&gt;"",ISNUMBER(O2676),O2676&gt;0,O2676&gt;=TODAY()-90),1,0),0)</f>
        <v/>
      </c>
      <c r="R2676" s="17" t="str">
        <f t="shared" si="126"/>
        <v/>
      </c>
      <c r="S2676" s="17" t="str">
        <f>IF(INDEX(Listado!A:A,ROW())="","",INDEX(Listado!A:A,ROW()))</f>
        <v/>
      </c>
      <c r="T2676" s="17" t="str">
        <f ca="1">IF(INDEX(Listado!G:G,ROW())="","",INDEX(Listado!G:G,ROW()))</f>
        <v/>
      </c>
      <c r="U2676" s="17" t="str">
        <f>IF(INDEX(Listado!F:F,ROW())="","",INDEX(Listado!F:F,ROW()))</f>
        <v/>
      </c>
      <c r="V2676" s="17">
        <f>IF(COUNTA(INDEX(Listado!B:B,ROW()):INDEX(Listado!F:F,ROW()))&gt;0,1,0)</f>
        <v/>
      </c>
      <c r="W2676" s="17" t="str">
        <f>IF(INDEX(Listado!L:L,ROW())="","",INDEX(Listado!L:L,ROW()))</f>
        <v/>
      </c>
      <c r="X2676" s="17">
        <f>IF(N2676="","",IF(INDEX(Listado!$M:$M,N2676)="No","No","Sí"))</f>
        <v/>
      </c>
    </row>
    <row r="2677" spans="2:24" ht="14.25">
      <c r="N2677" s="17" t="str">
        <f>IF(V2677=0,"",IFERROR(LOOKUP(2,1/(INDEX(Listado!A:A,2):INDEX(Listado!A:A,ROW())&lt;&gt;""),ROW(INDEX(Listado!A:A,2):INDEX(Listado!A:A,ROW()))),""))</f>
        <v/>
      </c>
      <c r="O2677" s="17" t="str">
        <f>IFERROR(IF(N2677="","",IF(INDEX(Listado!M:M,N2677)="No",IF(INDEX(Listado!N:N,N2677)=0,"",INDEX(Listado!N:N,N2677)),IF(INDEX(Listado!I:I,N2677)=0,"",INDEX(Listado!I:I,N2677)))),"")</f>
        <v/>
      </c>
      <c r="P2677" s="17">
        <f t="shared" ca="1" si="124"/>
        <v/>
      </c>
      <c r="Q2677" s="17">
        <f>IFERROR(IF(AND(N2677&lt;&gt;"",ISNUMBER(O2677),O2677&gt;0,O2677&gt;=TODAY()-90),1,0),0)</f>
        <v/>
      </c>
      <c r="R2677" s="17" t="str">
        <f t="shared" si="126"/>
        <v/>
      </c>
      <c r="S2677" s="17" t="str">
        <f>IF(INDEX(Listado!A:A,ROW())="","",INDEX(Listado!A:A,ROW()))</f>
        <v/>
      </c>
      <c r="T2677" s="17" t="str">
        <f ca="1">IF(INDEX(Listado!G:G,ROW())="","",INDEX(Listado!G:G,ROW()))</f>
        <v/>
      </c>
      <c r="U2677" s="17" t="str">
        <f>IF(INDEX(Listado!F:F,ROW())="","",INDEX(Listado!F:F,ROW()))</f>
        <v/>
      </c>
      <c r="V2677" s="17">
        <f>IF(COUNTA(INDEX(Listado!B:B,ROW()):INDEX(Listado!F:F,ROW()))&gt;0,1,0)</f>
        <v/>
      </c>
      <c r="W2677" s="17" t="str">
        <f>IF(INDEX(Listado!L:L,ROW())="","",INDEX(Listado!L:L,ROW()))</f>
        <v/>
      </c>
      <c r="X2677" s="17">
        <f>IF(N2677="","",IF(INDEX(Listado!$M:$M,N2677)="No","No","Sí"))</f>
        <v/>
      </c>
    </row>
    <row r="2678" spans="2:24" ht="14.25">
      <c r="N2678" s="17" t="str">
        <f>IF(V2678=0,"",IFERROR(LOOKUP(2,1/(INDEX(Listado!A:A,2):INDEX(Listado!A:A,ROW())&lt;&gt;""),ROW(INDEX(Listado!A:A,2):INDEX(Listado!A:A,ROW()))),""))</f>
        <v/>
      </c>
      <c r="O2678" s="17" t="str">
        <f>IFERROR(IF(N2678="","",IF(INDEX(Listado!M:M,N2678)="No",IF(INDEX(Listado!N:N,N2678)=0,"",INDEX(Listado!N:N,N2678)),IF(INDEX(Listado!I:I,N2678)=0,"",INDEX(Listado!I:I,N2678)))),"")</f>
        <v/>
      </c>
      <c r="P2678" s="17">
        <f t="shared" ca="1" si="124"/>
        <v/>
      </c>
      <c r="Q2678" s="17">
        <f>IFERROR(IF(AND(N2678&lt;&gt;"",ISNUMBER(O2678),O2678&gt;0,O2678&gt;=TODAY()-90),1,0),0)</f>
        <v/>
      </c>
      <c r="R2678" s="17" t="str">
        <f t="shared" si="126"/>
        <v/>
      </c>
      <c r="S2678" s="17" t="str">
        <f>IF(INDEX(Listado!A:A,ROW())="","",INDEX(Listado!A:A,ROW()))</f>
        <v/>
      </c>
      <c r="T2678" s="17" t="str">
        <f ca="1">IF(INDEX(Listado!G:G,ROW())="","",INDEX(Listado!G:G,ROW()))</f>
        <v/>
      </c>
      <c r="U2678" s="17" t="str">
        <f>IF(INDEX(Listado!F:F,ROW())="","",INDEX(Listado!F:F,ROW()))</f>
        <v/>
      </c>
      <c r="V2678" s="17">
        <f>IF(COUNTA(INDEX(Listado!B:B,ROW()):INDEX(Listado!F:F,ROW()))&gt;0,1,0)</f>
        <v/>
      </c>
      <c r="W2678" s="17" t="str">
        <f>IF(INDEX(Listado!L:L,ROW())="","",INDEX(Listado!L:L,ROW()))</f>
        <v/>
      </c>
      <c r="X2678" s="17">
        <f>IF(N2678="","",IF(INDEX(Listado!$M:$M,N2678)="No","No","Sí"))</f>
        <v/>
      </c>
    </row>
    <row r="2679" spans="2:24" ht="14.25">
      <c r="N2679" s="17" t="str">
        <f>IF(V2679=0,"",IFERROR(LOOKUP(2,1/(INDEX(Listado!A:A,2):INDEX(Listado!A:A,ROW())&lt;&gt;""),ROW(INDEX(Listado!A:A,2):INDEX(Listado!A:A,ROW()))),""))</f>
        <v/>
      </c>
      <c r="O2679" s="17" t="str">
        <f>IFERROR(IF(N2679="","",IF(INDEX(Listado!M:M,N2679)="No",IF(INDEX(Listado!N:N,N2679)=0,"",INDEX(Listado!N:N,N2679)),IF(INDEX(Listado!I:I,N2679)=0,"",INDEX(Listado!I:I,N2679)))),"")</f>
        <v/>
      </c>
      <c r="P2679" s="17">
        <f t="shared" ca="1" si="124"/>
        <v/>
      </c>
      <c r="Q2679" s="17">
        <f>IFERROR(IF(AND(N2679&lt;&gt;"",ISNUMBER(O2679),O2679&gt;0,O2679&gt;=TODAY()-90),1,0),0)</f>
        <v/>
      </c>
      <c r="R2679" s="17" t="str">
        <f t="shared" si="126"/>
        <v/>
      </c>
      <c r="S2679" s="17" t="str">
        <f>IF(INDEX(Listado!A:A,ROW())="","",INDEX(Listado!A:A,ROW()))</f>
        <v/>
      </c>
      <c r="T2679" s="17" t="str">
        <f ca="1">IF(INDEX(Listado!G:G,ROW())="","",INDEX(Listado!G:G,ROW()))</f>
        <v/>
      </c>
      <c r="U2679" s="17" t="str">
        <f>IF(INDEX(Listado!F:F,ROW())="","",INDEX(Listado!F:F,ROW()))</f>
        <v/>
      </c>
      <c r="V2679" s="17">
        <f>IF(COUNTA(INDEX(Listado!B:B,ROW()):INDEX(Listado!F:F,ROW()))&gt;0,1,0)</f>
        <v/>
      </c>
      <c r="W2679" s="17" t="str">
        <f>IF(INDEX(Listado!L:L,ROW())="","",INDEX(Listado!L:L,ROW()))</f>
        <v/>
      </c>
      <c r="X2679" s="17">
        <f>IF(N2679="","",IF(INDEX(Listado!$M:$M,N2679)="No","No","Sí"))</f>
        <v/>
      </c>
    </row>
    <row r="2680" spans="2:24" ht="14.25">
      <c r="N2680" s="17" t="str">
        <f>IF(V2680=0,"",IFERROR(LOOKUP(2,1/(INDEX(Listado!A:A,2):INDEX(Listado!A:A,ROW())&lt;&gt;""),ROW(INDEX(Listado!A:A,2):INDEX(Listado!A:A,ROW()))),""))</f>
        <v/>
      </c>
      <c r="O2680" s="17" t="str">
        <f>IFERROR(IF(N2680="","",IF(INDEX(Listado!M:M,N2680)="No",IF(INDEX(Listado!N:N,N2680)=0,"",INDEX(Listado!N:N,N2680)),IF(INDEX(Listado!I:I,N2680)=0,"",INDEX(Listado!I:I,N2680)))),"")</f>
        <v/>
      </c>
      <c r="P2680" s="17">
        <f t="shared" ca="1" si="124"/>
        <v/>
      </c>
      <c r="Q2680" s="17">
        <f>IFERROR(IF(AND(N2680&lt;&gt;"",ISNUMBER(O2680),O2680&gt;0,O2680&gt;=TODAY()-90),1,0),0)</f>
        <v/>
      </c>
      <c r="R2680" s="17" t="str">
        <f t="shared" si="126"/>
        <v/>
      </c>
      <c r="S2680" s="17" t="str">
        <f>IF(INDEX(Listado!A:A,ROW())="","",INDEX(Listado!A:A,ROW()))</f>
        <v/>
      </c>
      <c r="T2680" s="17" t="str">
        <f ca="1">IF(INDEX(Listado!G:G,ROW())="","",INDEX(Listado!G:G,ROW()))</f>
        <v/>
      </c>
      <c r="U2680" s="17" t="str">
        <f>IF(INDEX(Listado!F:F,ROW())="","",INDEX(Listado!F:F,ROW()))</f>
        <v/>
      </c>
      <c r="V2680" s="17">
        <f>IF(COUNTA(INDEX(Listado!B:B,ROW()):INDEX(Listado!F:F,ROW()))&gt;0,1,0)</f>
        <v/>
      </c>
      <c r="W2680" s="17" t="str">
        <f>IF(INDEX(Listado!L:L,ROW())="","",INDEX(Listado!L:L,ROW()))</f>
        <v/>
      </c>
      <c r="X2680" s="17">
        <f>IF(N2680="","",IF(INDEX(Listado!$M:$M,N2680)="No","No","Sí"))</f>
        <v/>
      </c>
    </row>
    <row r="2681" spans="2:24" ht="14.25">
      <c r="N2681" s="17" t="str">
        <f>IF(V2681=0,"",IFERROR(LOOKUP(2,1/(INDEX(Listado!A:A,2):INDEX(Listado!A:A,ROW())&lt;&gt;""),ROW(INDEX(Listado!A:A,2):INDEX(Listado!A:A,ROW()))),""))</f>
        <v/>
      </c>
      <c r="O2681" s="17" t="str">
        <f>IFERROR(IF(N2681="","",IF(INDEX(Listado!M:M,N2681)="No",IF(INDEX(Listado!N:N,N2681)=0,"",INDEX(Listado!N:N,N2681)),IF(INDEX(Listado!I:I,N2681)=0,"",INDEX(Listado!I:I,N2681)))),"")</f>
        <v/>
      </c>
      <c r="P2681" s="17">
        <f t="shared" ca="1" si="124"/>
        <v/>
      </c>
      <c r="Q2681" s="17">
        <f>IFERROR(IF(AND(N2681&lt;&gt;"",ISNUMBER(O2681),O2681&gt;0,O2681&gt;=TODAY()-90),1,0),0)</f>
        <v/>
      </c>
      <c r="R2681" s="17" t="str">
        <f t="shared" si="126"/>
        <v/>
      </c>
      <c r="S2681" s="17" t="str">
        <f>IF(INDEX(Listado!A:A,ROW())="","",INDEX(Listado!A:A,ROW()))</f>
        <v/>
      </c>
      <c r="T2681" s="17" t="str">
        <f ca="1">IF(INDEX(Listado!G:G,ROW())="","",INDEX(Listado!G:G,ROW()))</f>
        <v/>
      </c>
      <c r="U2681" s="17" t="str">
        <f>IF(INDEX(Listado!F:F,ROW())="","",INDEX(Listado!F:F,ROW()))</f>
        <v/>
      </c>
      <c r="V2681" s="17">
        <f>IF(COUNTA(INDEX(Listado!B:B,ROW()):INDEX(Listado!F:F,ROW()))&gt;0,1,0)</f>
        <v/>
      </c>
      <c r="W2681" s="17" t="str">
        <f>IF(INDEX(Listado!L:L,ROW())="","",INDEX(Listado!L:L,ROW()))</f>
        <v/>
      </c>
      <c r="X2681" s="17">
        <f>IF(N2681="","",IF(INDEX(Listado!$M:$M,N2681)="No","No","Sí"))</f>
        <v/>
      </c>
    </row>
    <row r="2682" spans="2:24" ht="14.25">
      <c r="N2682" s="17" t="str">
        <f>IF(V2682=0,"",IFERROR(LOOKUP(2,1/(INDEX(Listado!A:A,2):INDEX(Listado!A:A,ROW())&lt;&gt;""),ROW(INDEX(Listado!A:A,2):INDEX(Listado!A:A,ROW()))),""))</f>
        <v/>
      </c>
      <c r="O2682" s="17" t="str">
        <f>IFERROR(IF(N2682="","",IF(INDEX(Listado!M:M,N2682)="No",IF(INDEX(Listado!N:N,N2682)=0,"",INDEX(Listado!N:N,N2682)),IF(INDEX(Listado!I:I,N2682)=0,"",INDEX(Listado!I:I,N2682)))),"")</f>
        <v/>
      </c>
      <c r="P2682" s="17">
        <f t="shared" ca="1" si="124"/>
        <v/>
      </c>
      <c r="Q2682" s="17">
        <f>IFERROR(IF(AND(N2682&lt;&gt;"",ISNUMBER(O2682),O2682&gt;0,O2682&gt;=TODAY()-90),1,0),0)</f>
        <v/>
      </c>
      <c r="R2682" s="17" t="str">
        <f t="shared" si="126"/>
        <v/>
      </c>
      <c r="S2682" s="17" t="str">
        <f>IF(INDEX(Listado!A:A,ROW())="","",INDEX(Listado!A:A,ROW()))</f>
        <v/>
      </c>
      <c r="T2682" s="17" t="str">
        <f ca="1">IF(INDEX(Listado!G:G,ROW())="","",INDEX(Listado!G:G,ROW()))</f>
        <v/>
      </c>
      <c r="U2682" s="17" t="str">
        <f>IF(INDEX(Listado!F:F,ROW())="","",INDEX(Listado!F:F,ROW()))</f>
        <v/>
      </c>
      <c r="V2682" s="17">
        <f>IF(COUNTA(INDEX(Listado!B:B,ROW()):INDEX(Listado!F:F,ROW()))&gt;0,1,0)</f>
        <v/>
      </c>
      <c r="W2682" s="17" t="str">
        <f>IF(INDEX(Listado!L:L,ROW())="","",INDEX(Listado!L:L,ROW()))</f>
        <v/>
      </c>
      <c r="X2682" s="17">
        <f>IF(N2682="","",IF(INDEX(Listado!$M:$M,N2682)="No","No","Sí"))</f>
        <v/>
      </c>
    </row>
    <row r="2683" spans="2:24" ht="14.25">
      <c r="N2683" s="17" t="str">
        <f>IF(V2683=0,"",IFERROR(LOOKUP(2,1/(INDEX(Listado!A:A,2):INDEX(Listado!A:A,ROW())&lt;&gt;""),ROW(INDEX(Listado!A:A,2):INDEX(Listado!A:A,ROW()))),""))</f>
        <v/>
      </c>
      <c r="O2683" s="17" t="str">
        <f>IFERROR(IF(N2683="","",IF(INDEX(Listado!M:M,N2683)="No",IF(INDEX(Listado!N:N,N2683)=0,"",INDEX(Listado!N:N,N2683)),IF(INDEX(Listado!I:I,N2683)=0,"",INDEX(Listado!I:I,N2683)))),"")</f>
        <v/>
      </c>
      <c r="P2683" s="17">
        <f t="shared" ca="1" si="124"/>
        <v/>
      </c>
      <c r="Q2683" s="17">
        <f>IFERROR(IF(AND(N2683&lt;&gt;"",ISNUMBER(O2683),O2683&gt;0,O2683&gt;=TODAY()-90),1,0),0)</f>
        <v/>
      </c>
      <c r="R2683" s="17" t="str">
        <f t="shared" si="126"/>
        <v/>
      </c>
      <c r="S2683" s="17" t="str">
        <f>IF(INDEX(Listado!A:A,ROW())="","",INDEX(Listado!A:A,ROW()))</f>
        <v/>
      </c>
      <c r="T2683" s="17" t="str">
        <f ca="1">IF(INDEX(Listado!G:G,ROW())="","",INDEX(Listado!G:G,ROW()))</f>
        <v/>
      </c>
      <c r="U2683" s="17" t="str">
        <f>IF(INDEX(Listado!F:F,ROW())="","",INDEX(Listado!F:F,ROW()))</f>
        <v/>
      </c>
      <c r="V2683" s="17">
        <f>IF(COUNTA(INDEX(Listado!B:B,ROW()):INDEX(Listado!F:F,ROW()))&gt;0,1,0)</f>
        <v/>
      </c>
      <c r="W2683" s="17" t="str">
        <f>IF(INDEX(Listado!L:L,ROW())="","",INDEX(Listado!L:L,ROW()))</f>
        <v/>
      </c>
      <c r="X2683" s="17">
        <f>IF(N2683="","",IF(INDEX(Listado!$M:$M,N2683)="No","No","Sí"))</f>
        <v/>
      </c>
    </row>
    <row r="2684" spans="2:24" ht="14.25">
      <c r="N2684" s="17" t="str">
        <f>IF(V2684=0,"",IFERROR(LOOKUP(2,1/(INDEX(Listado!A:A,2):INDEX(Listado!A:A,ROW())&lt;&gt;""),ROW(INDEX(Listado!A:A,2):INDEX(Listado!A:A,ROW()))),""))</f>
        <v/>
      </c>
      <c r="O2684" s="17" t="str">
        <f>IFERROR(IF(N2684="","",IF(INDEX(Listado!M:M,N2684)="No",IF(INDEX(Listado!N:N,N2684)=0,"",INDEX(Listado!N:N,N2684)),IF(INDEX(Listado!I:I,N2684)=0,"",INDEX(Listado!I:I,N2684)))),"")</f>
        <v/>
      </c>
      <c r="P2684" s="17">
        <f t="shared" ca="1" si="124"/>
        <v/>
      </c>
      <c r="Q2684" s="17">
        <f>IFERROR(IF(AND(N2684&lt;&gt;"",ISNUMBER(O2684),O2684&gt;0,O2684&gt;=TODAY()-90),1,0),0)</f>
        <v/>
      </c>
      <c r="R2684" s="17" t="str">
        <f t="shared" si="126"/>
        <v/>
      </c>
      <c r="S2684" s="17" t="str">
        <f>IF(INDEX(Listado!A:A,ROW())="","",INDEX(Listado!A:A,ROW()))</f>
        <v/>
      </c>
      <c r="T2684" s="17" t="str">
        <f ca="1">IF(INDEX(Listado!G:G,ROW())="","",INDEX(Listado!G:G,ROW()))</f>
        <v/>
      </c>
      <c r="U2684" s="17" t="str">
        <f>IF(INDEX(Listado!F:F,ROW())="","",INDEX(Listado!F:F,ROW()))</f>
        <v/>
      </c>
      <c r="V2684" s="17">
        <f>IF(COUNTA(INDEX(Listado!B:B,ROW()):INDEX(Listado!F:F,ROW()))&gt;0,1,0)</f>
        <v/>
      </c>
      <c r="W2684" s="17" t="str">
        <f>IF(INDEX(Listado!L:L,ROW())="","",INDEX(Listado!L:L,ROW()))</f>
        <v/>
      </c>
      <c r="X2684" s="17">
        <f>IF(N2684="","",IF(INDEX(Listado!$M:$M,N2684)="No","No","Sí"))</f>
        <v/>
      </c>
    </row>
    <row r="2685" spans="2:24" ht="14.25">
      <c r="N2685" s="17" t="str">
        <f>IF(V2685=0,"",IFERROR(LOOKUP(2,1/(INDEX(Listado!A:A,2):INDEX(Listado!A:A,ROW())&lt;&gt;""),ROW(INDEX(Listado!A:A,2):INDEX(Listado!A:A,ROW()))),""))</f>
        <v/>
      </c>
      <c r="O2685" s="17" t="str">
        <f>IFERROR(IF(N2685="","",IF(INDEX(Listado!M:M,N2685)="No",IF(INDEX(Listado!N:N,N2685)=0,"",INDEX(Listado!N:N,N2685)),IF(INDEX(Listado!I:I,N2685)=0,"",INDEX(Listado!I:I,N2685)))),"")</f>
        <v/>
      </c>
      <c r="P2685" s="17">
        <f t="shared" ca="1" si="124"/>
        <v/>
      </c>
      <c r="Q2685" s="17">
        <f>IFERROR(IF(AND(N2685&lt;&gt;"",ISNUMBER(O2685),O2685&gt;0,O2685&gt;=TODAY()-90),1,0),0)</f>
        <v/>
      </c>
      <c r="R2685" s="17" t="str">
        <f t="shared" si="126"/>
        <v/>
      </c>
      <c r="S2685" s="17" t="str">
        <f>IF(INDEX(Listado!A:A,ROW())="","",INDEX(Listado!A:A,ROW()))</f>
        <v/>
      </c>
      <c r="T2685" s="17" t="str">
        <f ca="1">IF(INDEX(Listado!G:G,ROW())="","",INDEX(Listado!G:G,ROW()))</f>
        <v/>
      </c>
      <c r="U2685" s="17" t="str">
        <f>IF(INDEX(Listado!F:F,ROW())="","",INDEX(Listado!F:F,ROW()))</f>
        <v/>
      </c>
      <c r="V2685" s="17">
        <f>IF(COUNTA(INDEX(Listado!B:B,ROW()):INDEX(Listado!F:F,ROW()))&gt;0,1,0)</f>
        <v/>
      </c>
      <c r="W2685" s="17" t="str">
        <f>IF(INDEX(Listado!L:L,ROW())="","",INDEX(Listado!L:L,ROW()))</f>
        <v/>
      </c>
      <c r="X2685" s="17">
        <f>IF(N2685="","",IF(INDEX(Listado!$M:$M,N2685)="No","No","Sí"))</f>
        <v/>
      </c>
    </row>
    <row r="2686" spans="2:24" ht="14.25">
      <c r="N2686" s="17" t="str">
        <f>IF(V2686=0,"",IFERROR(LOOKUP(2,1/(INDEX(Listado!A:A,2):INDEX(Listado!A:A,ROW())&lt;&gt;""),ROW(INDEX(Listado!A:A,2):INDEX(Listado!A:A,ROW()))),""))</f>
        <v/>
      </c>
      <c r="O2686" s="17" t="str">
        <f>IFERROR(IF(N2686="","",IF(INDEX(Listado!M:M,N2686)="No",IF(INDEX(Listado!N:N,N2686)=0,"",INDEX(Listado!N:N,N2686)),IF(INDEX(Listado!I:I,N2686)=0,"",INDEX(Listado!I:I,N2686)))),"")</f>
        <v/>
      </c>
      <c r="P2686" s="17">
        <f t="shared" ca="1" si="124"/>
        <v/>
      </c>
      <c r="Q2686" s="17">
        <f>IFERROR(IF(AND(N2686&lt;&gt;"",ISNUMBER(O2686),O2686&gt;0,O2686&gt;=TODAY()-90),1,0),0)</f>
        <v/>
      </c>
      <c r="R2686" s="17" t="str">
        <f t="shared" si="126"/>
        <v/>
      </c>
      <c r="S2686" s="17" t="str">
        <f>IF(INDEX(Listado!A:A,ROW())="","",INDEX(Listado!A:A,ROW()))</f>
        <v/>
      </c>
      <c r="T2686" s="17" t="str">
        <f ca="1">IF(INDEX(Listado!G:G,ROW())="","",INDEX(Listado!G:G,ROW()))</f>
        <v/>
      </c>
      <c r="U2686" s="17" t="str">
        <f>IF(INDEX(Listado!F:F,ROW())="","",INDEX(Listado!F:F,ROW()))</f>
        <v/>
      </c>
      <c r="V2686" s="17">
        <f>IF(COUNTA(INDEX(Listado!B:B,ROW()):INDEX(Listado!F:F,ROW()))&gt;0,1,0)</f>
        <v/>
      </c>
      <c r="W2686" s="17" t="str">
        <f>IF(INDEX(Listado!L:L,ROW())="","",INDEX(Listado!L:L,ROW()))</f>
        <v/>
      </c>
      <c r="X2686" s="17">
        <f>IF(N2686="","",IF(INDEX(Listado!$M:$M,N2686)="No","No","Sí"))</f>
        <v/>
      </c>
    </row>
    <row r="2687" spans="2:24" ht="14.25">
      <c r="N2687" s="17" t="str">
        <f>IF(V2687=0,"",IFERROR(LOOKUP(2,1/(INDEX(Listado!A:A,2):INDEX(Listado!A:A,ROW())&lt;&gt;""),ROW(INDEX(Listado!A:A,2):INDEX(Listado!A:A,ROW()))),""))</f>
        <v/>
      </c>
      <c r="O2687" s="17" t="str">
        <f>IFERROR(IF(N2687="","",IF(INDEX(Listado!M:M,N2687)="No",IF(INDEX(Listado!N:N,N2687)=0,"",INDEX(Listado!N:N,N2687)),IF(INDEX(Listado!I:I,N2687)=0,"",INDEX(Listado!I:I,N2687)))),"")</f>
        <v/>
      </c>
      <c r="P2687" s="17">
        <f t="shared" ca="1" si="124"/>
        <v/>
      </c>
      <c r="Q2687" s="17">
        <f>IFERROR(IF(AND(N2687&lt;&gt;"",ISNUMBER(O2687),O2687&gt;0,O2687&gt;=TODAY()-90),1,0),0)</f>
        <v/>
      </c>
      <c r="R2687" s="17" t="str">
        <f t="shared" si="126"/>
        <v/>
      </c>
      <c r="S2687" s="17" t="str">
        <f>IF(INDEX(Listado!A:A,ROW())="","",INDEX(Listado!A:A,ROW()))</f>
        <v/>
      </c>
      <c r="T2687" s="17" t="str">
        <f ca="1">IF(INDEX(Listado!G:G,ROW())="","",INDEX(Listado!G:G,ROW()))</f>
        <v/>
      </c>
      <c r="U2687" s="17" t="str">
        <f>IF(INDEX(Listado!F:F,ROW())="","",INDEX(Listado!F:F,ROW()))</f>
        <v/>
      </c>
      <c r="V2687" s="17">
        <f>IF(COUNTA(INDEX(Listado!B:B,ROW()):INDEX(Listado!F:F,ROW()))&gt;0,1,0)</f>
        <v/>
      </c>
      <c r="W2687" s="17" t="str">
        <f>IF(INDEX(Listado!L:L,ROW())="","",INDEX(Listado!L:L,ROW()))</f>
        <v/>
      </c>
      <c r="X2687" s="17">
        <f>IF(N2687="","",IF(INDEX(Listado!$M:$M,N2687)="No","No","Sí"))</f>
        <v/>
      </c>
    </row>
    <row r="2688" spans="2:24" ht="14.25">
      <c r="N2688" s="17" t="str">
        <f>IF(V2688=0,"",IFERROR(LOOKUP(2,1/(INDEX(Listado!A:A,2):INDEX(Listado!A:A,ROW())&lt;&gt;""),ROW(INDEX(Listado!A:A,2):INDEX(Listado!A:A,ROW()))),""))</f>
        <v/>
      </c>
      <c r="O2688" s="17" t="str">
        <f>IFERROR(IF(N2688="","",IF(INDEX(Listado!M:M,N2688)="No",IF(INDEX(Listado!N:N,N2688)=0,"",INDEX(Listado!N:N,N2688)),IF(INDEX(Listado!I:I,N2688)=0,"",INDEX(Listado!I:I,N2688)))),"")</f>
        <v/>
      </c>
      <c r="P2688" s="17">
        <f t="shared" ca="1" si="124"/>
        <v/>
      </c>
      <c r="Q2688" s="17">
        <f>IFERROR(IF(AND(N2688&lt;&gt;"",ISNUMBER(O2688),O2688&gt;0,O2688&gt;=TODAY()-90),1,0),0)</f>
        <v/>
      </c>
      <c r="R2688" s="17" t="str">
        <f t="shared" si="126"/>
        <v/>
      </c>
      <c r="S2688" s="17" t="str">
        <f>IF(INDEX(Listado!A:A,ROW())="","",INDEX(Listado!A:A,ROW()))</f>
        <v/>
      </c>
      <c r="T2688" s="17" t="str">
        <f ca="1">IF(INDEX(Listado!G:G,ROW())="","",INDEX(Listado!G:G,ROW()))</f>
        <v/>
      </c>
      <c r="U2688" s="17" t="str">
        <f>IF(INDEX(Listado!F:F,ROW())="","",INDEX(Listado!F:F,ROW()))</f>
        <v/>
      </c>
      <c r="V2688" s="17">
        <f>IF(COUNTA(INDEX(Listado!B:B,ROW()):INDEX(Listado!F:F,ROW()))&gt;0,1,0)</f>
        <v/>
      </c>
      <c r="W2688" s="17" t="str">
        <f>IF(INDEX(Listado!L:L,ROW())="","",INDEX(Listado!L:L,ROW()))</f>
        <v/>
      </c>
      <c r="X2688" s="17">
        <f>IF(N2688="","",IF(INDEX(Listado!$M:$M,N2688)="No","No","Sí"))</f>
        <v/>
      </c>
    </row>
    <row r="2689" spans="2:24" ht="14.25">
      <c r="N2689" s="17" t="str">
        <f>IF(V2689=0,"",IFERROR(LOOKUP(2,1/(INDEX(Listado!A:A,2):INDEX(Listado!A:A,ROW())&lt;&gt;""),ROW(INDEX(Listado!A:A,2):INDEX(Listado!A:A,ROW()))),""))</f>
        <v/>
      </c>
      <c r="O2689" s="17" t="str">
        <f>IFERROR(IF(N2689="","",IF(INDEX(Listado!M:M,N2689)="No",IF(INDEX(Listado!N:N,N2689)=0,"",INDEX(Listado!N:N,N2689)),IF(INDEX(Listado!I:I,N2689)=0,"",INDEX(Listado!I:I,N2689)))),"")</f>
        <v/>
      </c>
      <c r="P2689" s="17">
        <f t="shared" ca="1" si="124"/>
        <v/>
      </c>
      <c r="Q2689" s="17">
        <f>IFERROR(IF(AND(N2689&lt;&gt;"",ISNUMBER(O2689),O2689&gt;0,O2689&gt;=TODAY()-90),1,0),0)</f>
        <v/>
      </c>
      <c r="R2689" s="17" t="str">
        <f t="shared" si="126"/>
        <v/>
      </c>
      <c r="S2689" s="17" t="str">
        <f>IF(INDEX(Listado!A:A,ROW())="","",INDEX(Listado!A:A,ROW()))</f>
        <v/>
      </c>
      <c r="T2689" s="17" t="str">
        <f ca="1">IF(INDEX(Listado!G:G,ROW())="","",INDEX(Listado!G:G,ROW()))</f>
        <v/>
      </c>
      <c r="U2689" s="17" t="str">
        <f>IF(INDEX(Listado!F:F,ROW())="","",INDEX(Listado!F:F,ROW()))</f>
        <v/>
      </c>
      <c r="V2689" s="17">
        <f>IF(COUNTA(INDEX(Listado!B:B,ROW()):INDEX(Listado!F:F,ROW()))&gt;0,1,0)</f>
        <v/>
      </c>
      <c r="W2689" s="17" t="str">
        <f>IF(INDEX(Listado!L:L,ROW())="","",INDEX(Listado!L:L,ROW()))</f>
        <v/>
      </c>
      <c r="X2689" s="17">
        <f>IF(N2689="","",IF(INDEX(Listado!$M:$M,N2689)="No","No","Sí"))</f>
        <v/>
      </c>
    </row>
    <row r="2690" spans="2:24" ht="14.25">
      <c r="N2690" s="17" t="str">
        <f>IF(V2690=0,"",IFERROR(LOOKUP(2,1/(INDEX(Listado!A:A,2):INDEX(Listado!A:A,ROW())&lt;&gt;""),ROW(INDEX(Listado!A:A,2):INDEX(Listado!A:A,ROW()))),""))</f>
        <v/>
      </c>
      <c r="O2690" s="17" t="str">
        <f>IFERROR(IF(N2690="","",IF(INDEX(Listado!M:M,N2690)="No",IF(INDEX(Listado!N:N,N2690)=0,"",INDEX(Listado!N:N,N2690)),IF(INDEX(Listado!I:I,N2690)=0,"",INDEX(Listado!I:I,N2690)))),"")</f>
        <v/>
      </c>
      <c r="P2690" s="17">
        <f t="shared" ref="P2690:P2753" ca="1" si="127">IF(W2690="",0,IFERROR(IF(AND(ISNUMBER(W2690),W2690=INT(W2690),ISNUMBER(O2690),O2690&gt;0,W2690&gt;=TODAY(),W2690&lt;=O2690+90),0,1),1))</f>
        <v/>
      </c>
      <c r="Q2690" s="17">
        <f>IFERROR(IF(AND(N2690&lt;&gt;"",ISNUMBER(O2690),O2690&gt;0,O2690&gt;=TODAY()-90),1,0),0)</f>
        <v/>
      </c>
      <c r="R2690" s="17" t="str">
        <f t="shared" ref="R2690:R2753" si="129">IF(S2690="","",COUNTIFS($N$2:$N$2999,ROW(),$Q$2:$Q$2999,1))</f>
        <v/>
      </c>
      <c r="S2690" s="17" t="str">
        <f>IF(INDEX(Listado!A:A,ROW())="","",INDEX(Listado!A:A,ROW()))</f>
        <v/>
      </c>
      <c r="T2690" s="17" t="str">
        <f ca="1">IF(INDEX(Listado!G:G,ROW())="","",INDEX(Listado!G:G,ROW()))</f>
        <v/>
      </c>
      <c r="U2690" s="17" t="str">
        <f>IF(INDEX(Listado!F:F,ROW())="","",INDEX(Listado!F:F,ROW()))</f>
        <v/>
      </c>
      <c r="V2690" s="17">
        <f>IF(COUNTA(INDEX(Listado!B:B,ROW()):INDEX(Listado!F:F,ROW()))&gt;0,1,0)</f>
        <v/>
      </c>
      <c r="W2690" s="17" t="str">
        <f>IF(INDEX(Listado!L:L,ROW())="","",INDEX(Listado!L:L,ROW()))</f>
        <v/>
      </c>
      <c r="X2690" s="17">
        <f>IF(N2690="","",IF(INDEX(Listado!$M:$M,N2690)="No","No","Sí"))</f>
        <v/>
      </c>
    </row>
    <row r="2691" spans="2:24" ht="14.25">
      <c r="N2691" s="17" t="str">
        <f>IF(V2691=0,"",IFERROR(LOOKUP(2,1/(INDEX(Listado!A:A,2):INDEX(Listado!A:A,ROW())&lt;&gt;""),ROW(INDEX(Listado!A:A,2):INDEX(Listado!A:A,ROW()))),""))</f>
        <v/>
      </c>
      <c r="O2691" s="17" t="str">
        <f>IFERROR(IF(N2691="","",IF(INDEX(Listado!M:M,N2691)="No",IF(INDEX(Listado!N:N,N2691)=0,"",INDEX(Listado!N:N,N2691)),IF(INDEX(Listado!I:I,N2691)=0,"",INDEX(Listado!I:I,N2691)))),"")</f>
        <v/>
      </c>
      <c r="P2691" s="17">
        <f t="shared" ca="1" si="127"/>
        <v/>
      </c>
      <c r="Q2691" s="17">
        <f>IFERROR(IF(AND(N2691&lt;&gt;"",ISNUMBER(O2691),O2691&gt;0,O2691&gt;=TODAY()-90),1,0),0)</f>
        <v/>
      </c>
      <c r="R2691" s="17" t="str">
        <f t="shared" si="129"/>
        <v/>
      </c>
      <c r="S2691" s="17" t="str">
        <f>IF(INDEX(Listado!A:A,ROW())="","",INDEX(Listado!A:A,ROW()))</f>
        <v/>
      </c>
      <c r="T2691" s="17" t="str">
        <f ca="1">IF(INDEX(Listado!G:G,ROW())="","",INDEX(Listado!G:G,ROW()))</f>
        <v/>
      </c>
      <c r="U2691" s="17" t="str">
        <f>IF(INDEX(Listado!F:F,ROW())="","",INDEX(Listado!F:F,ROW()))</f>
        <v/>
      </c>
      <c r="V2691" s="17">
        <f>IF(COUNTA(INDEX(Listado!B:B,ROW()):INDEX(Listado!F:F,ROW()))&gt;0,1,0)</f>
        <v/>
      </c>
      <c r="W2691" s="17" t="str">
        <f>IF(INDEX(Listado!L:L,ROW())="","",INDEX(Listado!L:L,ROW()))</f>
        <v/>
      </c>
      <c r="X2691" s="17">
        <f>IF(N2691="","",IF(INDEX(Listado!$M:$M,N2691)="No","No","Sí"))</f>
        <v/>
      </c>
    </row>
    <row r="2692" spans="2:24" ht="14.25">
      <c r="N2692" s="17" t="str">
        <f>IF(V2692=0,"",IFERROR(LOOKUP(2,1/(INDEX(Listado!A:A,2):INDEX(Listado!A:A,ROW())&lt;&gt;""),ROW(INDEX(Listado!A:A,2):INDEX(Listado!A:A,ROW()))),""))</f>
        <v/>
      </c>
      <c r="O2692" s="17" t="str">
        <f>IFERROR(IF(N2692="","",IF(INDEX(Listado!M:M,N2692)="No",IF(INDEX(Listado!N:N,N2692)=0,"",INDEX(Listado!N:N,N2692)),IF(INDEX(Listado!I:I,N2692)=0,"",INDEX(Listado!I:I,N2692)))),"")</f>
        <v/>
      </c>
      <c r="P2692" s="17">
        <f t="shared" ca="1" si="127"/>
        <v/>
      </c>
      <c r="Q2692" s="17">
        <f>IFERROR(IF(AND(N2692&lt;&gt;"",ISNUMBER(O2692),O2692&gt;0,O2692&gt;=TODAY()-90),1,0),0)</f>
        <v/>
      </c>
      <c r="R2692" s="17" t="str">
        <f t="shared" si="129"/>
        <v/>
      </c>
      <c r="S2692" s="17" t="str">
        <f>IF(INDEX(Listado!A:A,ROW())="","",INDEX(Listado!A:A,ROW()))</f>
        <v/>
      </c>
      <c r="T2692" s="17" t="str">
        <f ca="1">IF(INDEX(Listado!G:G,ROW())="","",INDEX(Listado!G:G,ROW()))</f>
        <v/>
      </c>
      <c r="U2692" s="17" t="str">
        <f>IF(INDEX(Listado!F:F,ROW())="","",INDEX(Listado!F:F,ROW()))</f>
        <v/>
      </c>
      <c r="V2692" s="17">
        <f>IF(COUNTA(INDEX(Listado!B:B,ROW()):INDEX(Listado!F:F,ROW()))&gt;0,1,0)</f>
        <v/>
      </c>
      <c r="W2692" s="17" t="str">
        <f>IF(INDEX(Listado!L:L,ROW())="","",INDEX(Listado!L:L,ROW()))</f>
        <v/>
      </c>
      <c r="X2692" s="17">
        <f>IF(N2692="","",IF(INDEX(Listado!$M:$M,N2692)="No","No","Sí"))</f>
        <v/>
      </c>
    </row>
    <row r="2693" spans="2:24" ht="14.25">
      <c r="N2693" s="17" t="str">
        <f>IF(V2693=0,"",IFERROR(LOOKUP(2,1/(INDEX(Listado!A:A,2):INDEX(Listado!A:A,ROW())&lt;&gt;""),ROW(INDEX(Listado!A:A,2):INDEX(Listado!A:A,ROW()))),""))</f>
        <v/>
      </c>
      <c r="O2693" s="17" t="str">
        <f>IFERROR(IF(N2693="","",IF(INDEX(Listado!M:M,N2693)="No",IF(INDEX(Listado!N:N,N2693)=0,"",INDEX(Listado!N:N,N2693)),IF(INDEX(Listado!I:I,N2693)=0,"",INDEX(Listado!I:I,N2693)))),"")</f>
        <v/>
      </c>
      <c r="P2693" s="17">
        <f t="shared" ca="1" si="127"/>
        <v/>
      </c>
      <c r="Q2693" s="17">
        <f>IFERROR(IF(AND(N2693&lt;&gt;"",ISNUMBER(O2693),O2693&gt;0,O2693&gt;=TODAY()-90),1,0),0)</f>
        <v/>
      </c>
      <c r="R2693" s="17" t="str">
        <f t="shared" si="129"/>
        <v/>
      </c>
      <c r="S2693" s="17" t="str">
        <f>IF(INDEX(Listado!A:A,ROW())="","",INDEX(Listado!A:A,ROW()))</f>
        <v/>
      </c>
      <c r="T2693" s="17" t="str">
        <f ca="1">IF(INDEX(Listado!G:G,ROW())="","",INDEX(Listado!G:G,ROW()))</f>
        <v/>
      </c>
      <c r="U2693" s="17" t="str">
        <f>IF(INDEX(Listado!F:F,ROW())="","",INDEX(Listado!F:F,ROW()))</f>
        <v/>
      </c>
      <c r="V2693" s="17">
        <f>IF(COUNTA(INDEX(Listado!B:B,ROW()):INDEX(Listado!F:F,ROW()))&gt;0,1,0)</f>
        <v/>
      </c>
      <c r="W2693" s="17" t="str">
        <f>IF(INDEX(Listado!L:L,ROW())="","",INDEX(Listado!L:L,ROW()))</f>
        <v/>
      </c>
      <c r="X2693" s="17">
        <f>IF(N2693="","",IF(INDEX(Listado!$M:$M,N2693)="No","No","Sí"))</f>
        <v/>
      </c>
    </row>
    <row r="2694" spans="2:24" ht="14.25">
      <c r="N2694" s="17" t="str">
        <f>IF(V2694=0,"",IFERROR(LOOKUP(2,1/(INDEX(Listado!A:A,2):INDEX(Listado!A:A,ROW())&lt;&gt;""),ROW(INDEX(Listado!A:A,2):INDEX(Listado!A:A,ROW()))),""))</f>
        <v/>
      </c>
      <c r="O2694" s="17" t="str">
        <f>IFERROR(IF(N2694="","",IF(INDEX(Listado!M:M,N2694)="No",IF(INDEX(Listado!N:N,N2694)=0,"",INDEX(Listado!N:N,N2694)),IF(INDEX(Listado!I:I,N2694)=0,"",INDEX(Listado!I:I,N2694)))),"")</f>
        <v/>
      </c>
      <c r="P2694" s="17">
        <f t="shared" ca="1" si="127"/>
        <v/>
      </c>
      <c r="Q2694" s="17">
        <f>IFERROR(IF(AND(N2694&lt;&gt;"",ISNUMBER(O2694),O2694&gt;0,O2694&gt;=TODAY()-90),1,0),0)</f>
        <v/>
      </c>
      <c r="R2694" s="17" t="str">
        <f t="shared" si="129"/>
        <v/>
      </c>
      <c r="S2694" s="17" t="str">
        <f>IF(INDEX(Listado!A:A,ROW())="","",INDEX(Listado!A:A,ROW()))</f>
        <v/>
      </c>
      <c r="T2694" s="17" t="str">
        <f ca="1">IF(INDEX(Listado!G:G,ROW())="","",INDEX(Listado!G:G,ROW()))</f>
        <v/>
      </c>
      <c r="U2694" s="17" t="str">
        <f>IF(INDEX(Listado!F:F,ROW())="","",INDEX(Listado!F:F,ROW()))</f>
        <v/>
      </c>
      <c r="V2694" s="17">
        <f>IF(COUNTA(INDEX(Listado!B:B,ROW()):INDEX(Listado!F:F,ROW()))&gt;0,1,0)</f>
        <v/>
      </c>
      <c r="W2694" s="17" t="str">
        <f>IF(INDEX(Listado!L:L,ROW())="","",INDEX(Listado!L:L,ROW()))</f>
        <v/>
      </c>
      <c r="X2694" s="17">
        <f>IF(N2694="","",IF(INDEX(Listado!$M:$M,N2694)="No","No","Sí"))</f>
        <v/>
      </c>
    </row>
    <row r="2695" spans="2:24" ht="14.25">
      <c r="N2695" s="17" t="str">
        <f>IF(V2695=0,"",IFERROR(LOOKUP(2,1/(INDEX(Listado!A:A,2):INDEX(Listado!A:A,ROW())&lt;&gt;""),ROW(INDEX(Listado!A:A,2):INDEX(Listado!A:A,ROW()))),""))</f>
        <v/>
      </c>
      <c r="O2695" s="17" t="str">
        <f>IFERROR(IF(N2695="","",IF(INDEX(Listado!M:M,N2695)="No",IF(INDEX(Listado!N:N,N2695)=0,"",INDEX(Listado!N:N,N2695)),IF(INDEX(Listado!I:I,N2695)=0,"",INDEX(Listado!I:I,N2695)))),"")</f>
        <v/>
      </c>
      <c r="P2695" s="17">
        <f t="shared" ca="1" si="127"/>
        <v/>
      </c>
      <c r="Q2695" s="17">
        <f>IFERROR(IF(AND(N2695&lt;&gt;"",ISNUMBER(O2695),O2695&gt;0,O2695&gt;=TODAY()-90),1,0),0)</f>
        <v/>
      </c>
      <c r="R2695" s="17" t="str">
        <f t="shared" si="129"/>
        <v/>
      </c>
      <c r="S2695" s="17" t="str">
        <f>IF(INDEX(Listado!A:A,ROW())="","",INDEX(Listado!A:A,ROW()))</f>
        <v/>
      </c>
      <c r="T2695" s="17" t="str">
        <f ca="1">IF(INDEX(Listado!G:G,ROW())="","",INDEX(Listado!G:G,ROW()))</f>
        <v/>
      </c>
      <c r="U2695" s="17" t="str">
        <f>IF(INDEX(Listado!F:F,ROW())="","",INDEX(Listado!F:F,ROW()))</f>
        <v/>
      </c>
      <c r="V2695" s="17">
        <f>IF(COUNTA(INDEX(Listado!B:B,ROW()):INDEX(Listado!F:F,ROW()))&gt;0,1,0)</f>
        <v/>
      </c>
      <c r="W2695" s="17" t="str">
        <f>IF(INDEX(Listado!L:L,ROW())="","",INDEX(Listado!L:L,ROW()))</f>
        <v/>
      </c>
      <c r="X2695" s="17">
        <f>IF(N2695="","",IF(INDEX(Listado!$M:$M,N2695)="No","No","Sí"))</f>
        <v/>
      </c>
    </row>
    <row r="2696" spans="2:24" ht="14.25">
      <c r="N2696" s="17" t="str">
        <f>IF(V2696=0,"",IFERROR(LOOKUP(2,1/(INDEX(Listado!A:A,2):INDEX(Listado!A:A,ROW())&lt;&gt;""),ROW(INDEX(Listado!A:A,2):INDEX(Listado!A:A,ROW()))),""))</f>
        <v/>
      </c>
      <c r="O2696" s="17" t="str">
        <f>IFERROR(IF(N2696="","",IF(INDEX(Listado!M:M,N2696)="No",IF(INDEX(Listado!N:N,N2696)=0,"",INDEX(Listado!N:N,N2696)),IF(INDEX(Listado!I:I,N2696)=0,"",INDEX(Listado!I:I,N2696)))),"")</f>
        <v/>
      </c>
      <c r="P2696" s="17">
        <f t="shared" ca="1" si="127"/>
        <v/>
      </c>
      <c r="Q2696" s="17">
        <f>IFERROR(IF(AND(N2696&lt;&gt;"",ISNUMBER(O2696),O2696&gt;0,O2696&gt;=TODAY()-90),1,0),0)</f>
        <v/>
      </c>
      <c r="R2696" s="17" t="str">
        <f t="shared" si="129"/>
        <v/>
      </c>
      <c r="S2696" s="17" t="str">
        <f>IF(INDEX(Listado!A:A,ROW())="","",INDEX(Listado!A:A,ROW()))</f>
        <v/>
      </c>
      <c r="T2696" s="17" t="str">
        <f ca="1">IF(INDEX(Listado!G:G,ROW())="","",INDEX(Listado!G:G,ROW()))</f>
        <v/>
      </c>
      <c r="U2696" s="17" t="str">
        <f>IF(INDEX(Listado!F:F,ROW())="","",INDEX(Listado!F:F,ROW()))</f>
        <v/>
      </c>
      <c r="V2696" s="17">
        <f>IF(COUNTA(INDEX(Listado!B:B,ROW()):INDEX(Listado!F:F,ROW()))&gt;0,1,0)</f>
        <v/>
      </c>
      <c r="W2696" s="17" t="str">
        <f>IF(INDEX(Listado!L:L,ROW())="","",INDEX(Listado!L:L,ROW()))</f>
        <v/>
      </c>
      <c r="X2696" s="17">
        <f>IF(N2696="","",IF(INDEX(Listado!$M:$M,N2696)="No","No","Sí"))</f>
        <v/>
      </c>
    </row>
    <row r="2697" spans="2:24" ht="14.25">
      <c r="N2697" s="17" t="str">
        <f>IF(V2697=0,"",IFERROR(LOOKUP(2,1/(INDEX(Listado!A:A,2):INDEX(Listado!A:A,ROW())&lt;&gt;""),ROW(INDEX(Listado!A:A,2):INDEX(Listado!A:A,ROW()))),""))</f>
        <v/>
      </c>
      <c r="O2697" s="17" t="str">
        <f>IFERROR(IF(N2697="","",IF(INDEX(Listado!M:M,N2697)="No",IF(INDEX(Listado!N:N,N2697)=0,"",INDEX(Listado!N:N,N2697)),IF(INDEX(Listado!I:I,N2697)=0,"",INDEX(Listado!I:I,N2697)))),"")</f>
        <v/>
      </c>
      <c r="P2697" s="17">
        <f t="shared" ca="1" si="127"/>
        <v/>
      </c>
      <c r="Q2697" s="17">
        <f>IFERROR(IF(AND(N2697&lt;&gt;"",ISNUMBER(O2697),O2697&gt;0,O2697&gt;=TODAY()-90),1,0),0)</f>
        <v/>
      </c>
      <c r="R2697" s="17" t="str">
        <f t="shared" si="129"/>
        <v/>
      </c>
      <c r="S2697" s="17" t="str">
        <f>IF(INDEX(Listado!A:A,ROW())="","",INDEX(Listado!A:A,ROW()))</f>
        <v/>
      </c>
      <c r="T2697" s="17" t="str">
        <f ca="1">IF(INDEX(Listado!G:G,ROW())="","",INDEX(Listado!G:G,ROW()))</f>
        <v/>
      </c>
      <c r="U2697" s="17" t="str">
        <f>IF(INDEX(Listado!F:F,ROW())="","",INDEX(Listado!F:F,ROW()))</f>
        <v/>
      </c>
      <c r="V2697" s="17">
        <f>IF(COUNTA(INDEX(Listado!B:B,ROW()):INDEX(Listado!F:F,ROW()))&gt;0,1,0)</f>
        <v/>
      </c>
      <c r="W2697" s="17" t="str">
        <f>IF(INDEX(Listado!L:L,ROW())="","",INDEX(Listado!L:L,ROW()))</f>
        <v/>
      </c>
      <c r="X2697" s="17">
        <f>IF(N2697="","",IF(INDEX(Listado!$M:$M,N2697)="No","No","Sí"))</f>
        <v/>
      </c>
    </row>
    <row r="2698" spans="2:24" ht="14.25">
      <c r="N2698" s="17" t="str">
        <f>IF(V2698=0,"",IFERROR(LOOKUP(2,1/(INDEX(Listado!A:A,2):INDEX(Listado!A:A,ROW())&lt;&gt;""),ROW(INDEX(Listado!A:A,2):INDEX(Listado!A:A,ROW()))),""))</f>
        <v/>
      </c>
      <c r="O2698" s="17" t="str">
        <f>IFERROR(IF(N2698="","",IF(INDEX(Listado!M:M,N2698)="No",IF(INDEX(Listado!N:N,N2698)=0,"",INDEX(Listado!N:N,N2698)),IF(INDEX(Listado!I:I,N2698)=0,"",INDEX(Listado!I:I,N2698)))),"")</f>
        <v/>
      </c>
      <c r="P2698" s="17">
        <f t="shared" ca="1" si="127"/>
        <v/>
      </c>
      <c r="Q2698" s="17">
        <f>IFERROR(IF(AND(N2698&lt;&gt;"",ISNUMBER(O2698),O2698&gt;0,O2698&gt;=TODAY()-90),1,0),0)</f>
        <v/>
      </c>
      <c r="R2698" s="17" t="str">
        <f t="shared" si="129"/>
        <v/>
      </c>
      <c r="S2698" s="17" t="str">
        <f>IF(INDEX(Listado!A:A,ROW())="","",INDEX(Listado!A:A,ROW()))</f>
        <v/>
      </c>
      <c r="T2698" s="17" t="str">
        <f ca="1">IF(INDEX(Listado!G:G,ROW())="","",INDEX(Listado!G:G,ROW()))</f>
        <v/>
      </c>
      <c r="U2698" s="17" t="str">
        <f>IF(INDEX(Listado!F:F,ROW())="","",INDEX(Listado!F:F,ROW()))</f>
        <v/>
      </c>
      <c r="V2698" s="17">
        <f>IF(COUNTA(INDEX(Listado!B:B,ROW()):INDEX(Listado!F:F,ROW()))&gt;0,1,0)</f>
        <v/>
      </c>
      <c r="W2698" s="17" t="str">
        <f>IF(INDEX(Listado!L:L,ROW())="","",INDEX(Listado!L:L,ROW()))</f>
        <v/>
      </c>
      <c r="X2698" s="17">
        <f>IF(N2698="","",IF(INDEX(Listado!$M:$M,N2698)="No","No","Sí"))</f>
        <v/>
      </c>
    </row>
    <row r="2699" spans="2:24" ht="14.25">
      <c r="N2699" s="17" t="str">
        <f>IF(V2699=0,"",IFERROR(LOOKUP(2,1/(INDEX(Listado!A:A,2):INDEX(Listado!A:A,ROW())&lt;&gt;""),ROW(INDEX(Listado!A:A,2):INDEX(Listado!A:A,ROW()))),""))</f>
        <v/>
      </c>
      <c r="O2699" s="17" t="str">
        <f>IFERROR(IF(N2699="","",IF(INDEX(Listado!M:M,N2699)="No",IF(INDEX(Listado!N:N,N2699)=0,"",INDEX(Listado!N:N,N2699)),IF(INDEX(Listado!I:I,N2699)=0,"",INDEX(Listado!I:I,N2699)))),"")</f>
        <v/>
      </c>
      <c r="P2699" s="17">
        <f t="shared" ca="1" si="127"/>
        <v/>
      </c>
      <c r="Q2699" s="17">
        <f>IFERROR(IF(AND(N2699&lt;&gt;"",ISNUMBER(O2699),O2699&gt;0,O2699&gt;=TODAY()-90),1,0),0)</f>
        <v/>
      </c>
      <c r="R2699" s="17" t="str">
        <f t="shared" si="129"/>
        <v/>
      </c>
      <c r="S2699" s="17" t="str">
        <f>IF(INDEX(Listado!A:A,ROW())="","",INDEX(Listado!A:A,ROW()))</f>
        <v/>
      </c>
      <c r="T2699" s="17" t="str">
        <f ca="1">IF(INDEX(Listado!G:G,ROW())="","",INDEX(Listado!G:G,ROW()))</f>
        <v/>
      </c>
      <c r="U2699" s="17" t="str">
        <f>IF(INDEX(Listado!F:F,ROW())="","",INDEX(Listado!F:F,ROW()))</f>
        <v/>
      </c>
      <c r="V2699" s="17">
        <f>IF(COUNTA(INDEX(Listado!B:B,ROW()):INDEX(Listado!F:F,ROW()))&gt;0,1,0)</f>
        <v/>
      </c>
      <c r="W2699" s="17" t="str">
        <f>IF(INDEX(Listado!L:L,ROW())="","",INDEX(Listado!L:L,ROW()))</f>
        <v/>
      </c>
      <c r="X2699" s="17">
        <f>IF(N2699="","",IF(INDEX(Listado!$M:$M,N2699)="No","No","Sí"))</f>
        <v/>
      </c>
    </row>
    <row r="2700" spans="2:24" ht="14.25">
      <c r="N2700" s="17" t="str">
        <f>IF(V2700=0,"",IFERROR(LOOKUP(2,1/(INDEX(Listado!A:A,2):INDEX(Listado!A:A,ROW())&lt;&gt;""),ROW(INDEX(Listado!A:A,2):INDEX(Listado!A:A,ROW()))),""))</f>
        <v/>
      </c>
      <c r="O2700" s="17" t="str">
        <f>IFERROR(IF(N2700="","",IF(INDEX(Listado!M:M,N2700)="No",IF(INDEX(Listado!N:N,N2700)=0,"",INDEX(Listado!N:N,N2700)),IF(INDEX(Listado!I:I,N2700)=0,"",INDEX(Listado!I:I,N2700)))),"")</f>
        <v/>
      </c>
      <c r="P2700" s="17">
        <f t="shared" ca="1" si="127"/>
        <v/>
      </c>
      <c r="Q2700" s="17">
        <f>IFERROR(IF(AND(N2700&lt;&gt;"",ISNUMBER(O2700),O2700&gt;0,O2700&gt;=TODAY()-90),1,0),0)</f>
        <v/>
      </c>
      <c r="R2700" s="17" t="str">
        <f t="shared" si="129"/>
        <v/>
      </c>
      <c r="S2700" s="17" t="str">
        <f>IF(INDEX(Listado!A:A,ROW())="","",INDEX(Listado!A:A,ROW()))</f>
        <v/>
      </c>
      <c r="T2700" s="17" t="str">
        <f ca="1">IF(INDEX(Listado!G:G,ROW())="","",INDEX(Listado!G:G,ROW()))</f>
        <v/>
      </c>
      <c r="U2700" s="17" t="str">
        <f>IF(INDEX(Listado!F:F,ROW())="","",INDEX(Listado!F:F,ROW()))</f>
        <v/>
      </c>
      <c r="V2700" s="17">
        <f>IF(COUNTA(INDEX(Listado!B:B,ROW()):INDEX(Listado!F:F,ROW()))&gt;0,1,0)</f>
        <v/>
      </c>
      <c r="W2700" s="17" t="str">
        <f>IF(INDEX(Listado!L:L,ROW())="","",INDEX(Listado!L:L,ROW()))</f>
        <v/>
      </c>
      <c r="X2700" s="17">
        <f>IF(N2700="","",IF(INDEX(Listado!$M:$M,N2700)="No","No","Sí"))</f>
        <v/>
      </c>
    </row>
    <row r="2701" spans="2:24" ht="14.25">
      <c r="N2701" s="17" t="str">
        <f>IF(V2701=0,"",IFERROR(LOOKUP(2,1/(INDEX(Listado!A:A,2):INDEX(Listado!A:A,ROW())&lt;&gt;""),ROW(INDEX(Listado!A:A,2):INDEX(Listado!A:A,ROW()))),""))</f>
        <v/>
      </c>
      <c r="O2701" s="17" t="str">
        <f>IFERROR(IF(N2701="","",IF(INDEX(Listado!M:M,N2701)="No",IF(INDEX(Listado!N:N,N2701)=0,"",INDEX(Listado!N:N,N2701)),IF(INDEX(Listado!I:I,N2701)=0,"",INDEX(Listado!I:I,N2701)))),"")</f>
        <v/>
      </c>
      <c r="P2701" s="17">
        <f t="shared" ca="1" si="127"/>
        <v/>
      </c>
      <c r="Q2701" s="17">
        <f>IFERROR(IF(AND(N2701&lt;&gt;"",ISNUMBER(O2701),O2701&gt;0,O2701&gt;=TODAY()-90),1,0),0)</f>
        <v/>
      </c>
      <c r="R2701" s="17" t="str">
        <f t="shared" si="129"/>
        <v/>
      </c>
      <c r="S2701" s="17" t="str">
        <f>IF(INDEX(Listado!A:A,ROW())="","",INDEX(Listado!A:A,ROW()))</f>
        <v/>
      </c>
      <c r="T2701" s="17" t="str">
        <f ca="1">IF(INDEX(Listado!G:G,ROW())="","",INDEX(Listado!G:G,ROW()))</f>
        <v/>
      </c>
      <c r="U2701" s="17" t="str">
        <f>IF(INDEX(Listado!F:F,ROW())="","",INDEX(Listado!F:F,ROW()))</f>
        <v/>
      </c>
      <c r="V2701" s="17">
        <f>IF(COUNTA(INDEX(Listado!B:B,ROW()):INDEX(Listado!F:F,ROW()))&gt;0,1,0)</f>
        <v/>
      </c>
      <c r="W2701" s="17" t="str">
        <f>IF(INDEX(Listado!L:L,ROW())="","",INDEX(Listado!L:L,ROW()))</f>
        <v/>
      </c>
      <c r="X2701" s="17">
        <f>IF(N2701="","",IF(INDEX(Listado!$M:$M,N2701)="No","No","Sí"))</f>
        <v/>
      </c>
    </row>
    <row r="2702" spans="2:24" ht="14.25">
      <c r="N2702" s="17" t="str">
        <f>IF(V2702=0,"",IFERROR(LOOKUP(2,1/(INDEX(Listado!A:A,2):INDEX(Listado!A:A,ROW())&lt;&gt;""),ROW(INDEX(Listado!A:A,2):INDEX(Listado!A:A,ROW()))),""))</f>
        <v/>
      </c>
      <c r="O2702" s="17" t="str">
        <f>IFERROR(IF(N2702="","",IF(INDEX(Listado!M:M,N2702)="No",IF(INDEX(Listado!N:N,N2702)=0,"",INDEX(Listado!N:N,N2702)),IF(INDEX(Listado!I:I,N2702)=0,"",INDEX(Listado!I:I,N2702)))),"")</f>
        <v/>
      </c>
      <c r="P2702" s="17">
        <f t="shared" ca="1" si="127"/>
        <v/>
      </c>
      <c r="Q2702" s="17">
        <f>IFERROR(IF(AND(N2702&lt;&gt;"",ISNUMBER(O2702),O2702&gt;0,O2702&gt;=TODAY()-90),1,0),0)</f>
        <v/>
      </c>
      <c r="R2702" s="17" t="str">
        <f t="shared" si="129"/>
        <v/>
      </c>
      <c r="S2702" s="17" t="str">
        <f>IF(INDEX(Listado!A:A,ROW())="","",INDEX(Listado!A:A,ROW()))</f>
        <v/>
      </c>
      <c r="T2702" s="17" t="str">
        <f ca="1">IF(INDEX(Listado!G:G,ROW())="","",INDEX(Listado!G:G,ROW()))</f>
        <v/>
      </c>
      <c r="U2702" s="17" t="str">
        <f>IF(INDEX(Listado!F:F,ROW())="","",INDEX(Listado!F:F,ROW()))</f>
        <v/>
      </c>
      <c r="V2702" s="17">
        <f>IF(COUNTA(INDEX(Listado!B:B,ROW()):INDEX(Listado!F:F,ROW()))&gt;0,1,0)</f>
        <v/>
      </c>
      <c r="W2702" s="17" t="str">
        <f>IF(INDEX(Listado!L:L,ROW())="","",INDEX(Listado!L:L,ROW()))</f>
        <v/>
      </c>
      <c r="X2702" s="17">
        <f>IF(N2702="","",IF(INDEX(Listado!$M:$M,N2702)="No","No","Sí"))</f>
        <v/>
      </c>
    </row>
    <row r="2703" spans="2:24" ht="14.25">
      <c r="N2703" s="17" t="str">
        <f>IF(V2703=0,"",IFERROR(LOOKUP(2,1/(INDEX(Listado!A:A,2):INDEX(Listado!A:A,ROW())&lt;&gt;""),ROW(INDEX(Listado!A:A,2):INDEX(Listado!A:A,ROW()))),""))</f>
        <v/>
      </c>
      <c r="O2703" s="17" t="str">
        <f>IFERROR(IF(N2703="","",IF(INDEX(Listado!M:M,N2703)="No",IF(INDEX(Listado!N:N,N2703)=0,"",INDEX(Listado!N:N,N2703)),IF(INDEX(Listado!I:I,N2703)=0,"",INDEX(Listado!I:I,N2703)))),"")</f>
        <v/>
      </c>
      <c r="P2703" s="17">
        <f t="shared" ca="1" si="127"/>
        <v/>
      </c>
      <c r="Q2703" s="17">
        <f>IFERROR(IF(AND(N2703&lt;&gt;"",ISNUMBER(O2703),O2703&gt;0,O2703&gt;=TODAY()-90),1,0),0)</f>
        <v/>
      </c>
      <c r="R2703" s="17" t="str">
        <f t="shared" si="129"/>
        <v/>
      </c>
      <c r="S2703" s="17" t="str">
        <f>IF(INDEX(Listado!A:A,ROW())="","",INDEX(Listado!A:A,ROW()))</f>
        <v/>
      </c>
      <c r="T2703" s="17" t="str">
        <f ca="1">IF(INDEX(Listado!G:G,ROW())="","",INDEX(Listado!G:G,ROW()))</f>
        <v/>
      </c>
      <c r="U2703" s="17" t="str">
        <f>IF(INDEX(Listado!F:F,ROW())="","",INDEX(Listado!F:F,ROW()))</f>
        <v/>
      </c>
      <c r="V2703" s="17">
        <f>IF(COUNTA(INDEX(Listado!B:B,ROW()):INDEX(Listado!F:F,ROW()))&gt;0,1,0)</f>
        <v/>
      </c>
      <c r="W2703" s="17" t="str">
        <f>IF(INDEX(Listado!L:L,ROW())="","",INDEX(Listado!L:L,ROW()))</f>
        <v/>
      </c>
      <c r="X2703" s="17">
        <f>IF(N2703="","",IF(INDEX(Listado!$M:$M,N2703)="No","No","Sí"))</f>
        <v/>
      </c>
    </row>
    <row r="2704" spans="2:24" ht="14.25">
      <c r="N2704" s="17" t="str">
        <f>IF(V2704=0,"",IFERROR(LOOKUP(2,1/(INDEX(Listado!A:A,2):INDEX(Listado!A:A,ROW())&lt;&gt;""),ROW(INDEX(Listado!A:A,2):INDEX(Listado!A:A,ROW()))),""))</f>
        <v/>
      </c>
      <c r="O2704" s="17" t="str">
        <f>IFERROR(IF(N2704="","",IF(INDEX(Listado!M:M,N2704)="No",IF(INDEX(Listado!N:N,N2704)=0,"",INDEX(Listado!N:N,N2704)),IF(INDEX(Listado!I:I,N2704)=0,"",INDEX(Listado!I:I,N2704)))),"")</f>
        <v/>
      </c>
      <c r="P2704" s="17">
        <f t="shared" ca="1" si="127"/>
        <v/>
      </c>
      <c r="Q2704" s="17">
        <f>IFERROR(IF(AND(N2704&lt;&gt;"",ISNUMBER(O2704),O2704&gt;0,O2704&gt;=TODAY()-90),1,0),0)</f>
        <v/>
      </c>
      <c r="R2704" s="17" t="str">
        <f t="shared" si="129"/>
        <v/>
      </c>
      <c r="S2704" s="17" t="str">
        <f>IF(INDEX(Listado!A:A,ROW())="","",INDEX(Listado!A:A,ROW()))</f>
        <v/>
      </c>
      <c r="T2704" s="17" t="str">
        <f ca="1">IF(INDEX(Listado!G:G,ROW())="","",INDEX(Listado!G:G,ROW()))</f>
        <v/>
      </c>
      <c r="U2704" s="17" t="str">
        <f>IF(INDEX(Listado!F:F,ROW())="","",INDEX(Listado!F:F,ROW()))</f>
        <v/>
      </c>
      <c r="V2704" s="17">
        <f>IF(COUNTA(INDEX(Listado!B:B,ROW()):INDEX(Listado!F:F,ROW()))&gt;0,1,0)</f>
        <v/>
      </c>
      <c r="W2704" s="17" t="str">
        <f>IF(INDEX(Listado!L:L,ROW())="","",INDEX(Listado!L:L,ROW()))</f>
        <v/>
      </c>
      <c r="X2704" s="17">
        <f>IF(N2704="","",IF(INDEX(Listado!$M:$M,N2704)="No","No","Sí"))</f>
        <v/>
      </c>
    </row>
    <row r="2705" spans="2:24" ht="14.25">
      <c r="N2705" s="17" t="str">
        <f>IF(V2705=0,"",IFERROR(LOOKUP(2,1/(INDEX(Listado!A:A,2):INDEX(Listado!A:A,ROW())&lt;&gt;""),ROW(INDEX(Listado!A:A,2):INDEX(Listado!A:A,ROW()))),""))</f>
        <v/>
      </c>
      <c r="O2705" s="17" t="str">
        <f>IFERROR(IF(N2705="","",IF(INDEX(Listado!M:M,N2705)="No",IF(INDEX(Listado!N:N,N2705)=0,"",INDEX(Listado!N:N,N2705)),IF(INDEX(Listado!I:I,N2705)=0,"",INDEX(Listado!I:I,N2705)))),"")</f>
        <v/>
      </c>
      <c r="P2705" s="17">
        <f t="shared" ca="1" si="127"/>
        <v/>
      </c>
      <c r="Q2705" s="17">
        <f>IFERROR(IF(AND(N2705&lt;&gt;"",ISNUMBER(O2705),O2705&gt;0,O2705&gt;=TODAY()-90),1,0),0)</f>
        <v/>
      </c>
      <c r="R2705" s="17" t="str">
        <f t="shared" si="129"/>
        <v/>
      </c>
      <c r="S2705" s="17" t="str">
        <f>IF(INDEX(Listado!A:A,ROW())="","",INDEX(Listado!A:A,ROW()))</f>
        <v/>
      </c>
      <c r="T2705" s="17" t="str">
        <f ca="1">IF(INDEX(Listado!G:G,ROW())="","",INDEX(Listado!G:G,ROW()))</f>
        <v/>
      </c>
      <c r="U2705" s="17" t="str">
        <f>IF(INDEX(Listado!F:F,ROW())="","",INDEX(Listado!F:F,ROW()))</f>
        <v/>
      </c>
      <c r="V2705" s="17">
        <f>IF(COUNTA(INDEX(Listado!B:B,ROW()):INDEX(Listado!F:F,ROW()))&gt;0,1,0)</f>
        <v/>
      </c>
      <c r="W2705" s="17" t="str">
        <f>IF(INDEX(Listado!L:L,ROW())="","",INDEX(Listado!L:L,ROW()))</f>
        <v/>
      </c>
      <c r="X2705" s="17">
        <f>IF(N2705="","",IF(INDEX(Listado!$M:$M,N2705)="No","No","Sí"))</f>
        <v/>
      </c>
    </row>
    <row r="2706" spans="2:24" ht="14.25">
      <c r="N2706" s="17" t="str">
        <f>IF(V2706=0,"",IFERROR(LOOKUP(2,1/(INDEX(Listado!A:A,2):INDEX(Listado!A:A,ROW())&lt;&gt;""),ROW(INDEX(Listado!A:A,2):INDEX(Listado!A:A,ROW()))),""))</f>
        <v/>
      </c>
      <c r="O2706" s="17" t="str">
        <f>IFERROR(IF(N2706="","",IF(INDEX(Listado!M:M,N2706)="No",IF(INDEX(Listado!N:N,N2706)=0,"",INDEX(Listado!N:N,N2706)),IF(INDEX(Listado!I:I,N2706)=0,"",INDEX(Listado!I:I,N2706)))),"")</f>
        <v/>
      </c>
      <c r="P2706" s="17">
        <f t="shared" ca="1" si="127"/>
        <v/>
      </c>
      <c r="Q2706" s="17">
        <f>IFERROR(IF(AND(N2706&lt;&gt;"",ISNUMBER(O2706),O2706&gt;0,O2706&gt;=TODAY()-90),1,0),0)</f>
        <v/>
      </c>
      <c r="R2706" s="17" t="str">
        <f t="shared" si="129"/>
        <v/>
      </c>
      <c r="S2706" s="17" t="str">
        <f>IF(INDEX(Listado!A:A,ROW())="","",INDEX(Listado!A:A,ROW()))</f>
        <v/>
      </c>
      <c r="T2706" s="17" t="str">
        <f ca="1">IF(INDEX(Listado!G:G,ROW())="","",INDEX(Listado!G:G,ROW()))</f>
        <v/>
      </c>
      <c r="U2706" s="17" t="str">
        <f>IF(INDEX(Listado!F:F,ROW())="","",INDEX(Listado!F:F,ROW()))</f>
        <v/>
      </c>
      <c r="V2706" s="17">
        <f>IF(COUNTA(INDEX(Listado!B:B,ROW()):INDEX(Listado!F:F,ROW()))&gt;0,1,0)</f>
        <v/>
      </c>
      <c r="W2706" s="17" t="str">
        <f>IF(INDEX(Listado!L:L,ROW())="","",INDEX(Listado!L:L,ROW()))</f>
        <v/>
      </c>
      <c r="X2706" s="17">
        <f>IF(N2706="","",IF(INDEX(Listado!$M:$M,N2706)="No","No","Sí"))</f>
        <v/>
      </c>
    </row>
    <row r="2707" spans="2:24" ht="14.25">
      <c r="N2707" s="17" t="str">
        <f>IF(V2707=0,"",IFERROR(LOOKUP(2,1/(INDEX(Listado!A:A,2):INDEX(Listado!A:A,ROW())&lt;&gt;""),ROW(INDEX(Listado!A:A,2):INDEX(Listado!A:A,ROW()))),""))</f>
        <v/>
      </c>
      <c r="O2707" s="17" t="str">
        <f>IFERROR(IF(N2707="","",IF(INDEX(Listado!M:M,N2707)="No",IF(INDEX(Listado!N:N,N2707)=0,"",INDEX(Listado!N:N,N2707)),IF(INDEX(Listado!I:I,N2707)=0,"",INDEX(Listado!I:I,N2707)))),"")</f>
        <v/>
      </c>
      <c r="P2707" s="17">
        <f t="shared" ca="1" si="127"/>
        <v/>
      </c>
      <c r="Q2707" s="17">
        <f>IFERROR(IF(AND(N2707&lt;&gt;"",ISNUMBER(O2707),O2707&gt;0,O2707&gt;=TODAY()-90),1,0),0)</f>
        <v/>
      </c>
      <c r="R2707" s="17" t="str">
        <f t="shared" si="129"/>
        <v/>
      </c>
      <c r="S2707" s="17" t="str">
        <f>IF(INDEX(Listado!A:A,ROW())="","",INDEX(Listado!A:A,ROW()))</f>
        <v/>
      </c>
      <c r="T2707" s="17" t="str">
        <f ca="1">IF(INDEX(Listado!G:G,ROW())="","",INDEX(Listado!G:G,ROW()))</f>
        <v/>
      </c>
      <c r="U2707" s="17" t="str">
        <f>IF(INDEX(Listado!F:F,ROW())="","",INDEX(Listado!F:F,ROW()))</f>
        <v/>
      </c>
      <c r="V2707" s="17">
        <f>IF(COUNTA(INDEX(Listado!B:B,ROW()):INDEX(Listado!F:F,ROW()))&gt;0,1,0)</f>
        <v/>
      </c>
      <c r="W2707" s="17" t="str">
        <f>IF(INDEX(Listado!L:L,ROW())="","",INDEX(Listado!L:L,ROW()))</f>
        <v/>
      </c>
      <c r="X2707" s="17">
        <f>IF(N2707="","",IF(INDEX(Listado!$M:$M,N2707)="No","No","Sí"))</f>
        <v/>
      </c>
    </row>
    <row r="2708" spans="2:24" ht="14.25">
      <c r="N2708" s="17" t="str">
        <f>IF(V2708=0,"",IFERROR(LOOKUP(2,1/(INDEX(Listado!A:A,2):INDEX(Listado!A:A,ROW())&lt;&gt;""),ROW(INDEX(Listado!A:A,2):INDEX(Listado!A:A,ROW()))),""))</f>
        <v/>
      </c>
      <c r="O2708" s="17" t="str">
        <f>IFERROR(IF(N2708="","",IF(INDEX(Listado!M:M,N2708)="No",IF(INDEX(Listado!N:N,N2708)=0,"",INDEX(Listado!N:N,N2708)),IF(INDEX(Listado!I:I,N2708)=0,"",INDEX(Listado!I:I,N2708)))),"")</f>
        <v/>
      </c>
      <c r="P2708" s="17">
        <f t="shared" ca="1" si="127"/>
        <v/>
      </c>
      <c r="Q2708" s="17">
        <f>IFERROR(IF(AND(N2708&lt;&gt;"",ISNUMBER(O2708),O2708&gt;0,O2708&gt;=TODAY()-90),1,0),0)</f>
        <v/>
      </c>
      <c r="R2708" s="17" t="str">
        <f t="shared" si="129"/>
        <v/>
      </c>
      <c r="S2708" s="17" t="str">
        <f>IF(INDEX(Listado!A:A,ROW())="","",INDEX(Listado!A:A,ROW()))</f>
        <v/>
      </c>
      <c r="T2708" s="17" t="str">
        <f ca="1">IF(INDEX(Listado!G:G,ROW())="","",INDEX(Listado!G:G,ROW()))</f>
        <v/>
      </c>
      <c r="U2708" s="17" t="str">
        <f>IF(INDEX(Listado!F:F,ROW())="","",INDEX(Listado!F:F,ROW()))</f>
        <v/>
      </c>
      <c r="V2708" s="17">
        <f>IF(COUNTA(INDEX(Listado!B:B,ROW()):INDEX(Listado!F:F,ROW()))&gt;0,1,0)</f>
        <v/>
      </c>
      <c r="W2708" s="17" t="str">
        <f>IF(INDEX(Listado!L:L,ROW())="","",INDEX(Listado!L:L,ROW()))</f>
        <v/>
      </c>
      <c r="X2708" s="17">
        <f>IF(N2708="","",IF(INDEX(Listado!$M:$M,N2708)="No","No","Sí"))</f>
        <v/>
      </c>
    </row>
    <row r="2709" spans="2:24" ht="14.25">
      <c r="N2709" s="17" t="str">
        <f>IF(V2709=0,"",IFERROR(LOOKUP(2,1/(INDEX(Listado!A:A,2):INDEX(Listado!A:A,ROW())&lt;&gt;""),ROW(INDEX(Listado!A:A,2):INDEX(Listado!A:A,ROW()))),""))</f>
        <v/>
      </c>
      <c r="O2709" s="17" t="str">
        <f>IFERROR(IF(N2709="","",IF(INDEX(Listado!M:M,N2709)="No",IF(INDEX(Listado!N:N,N2709)=0,"",INDEX(Listado!N:N,N2709)),IF(INDEX(Listado!I:I,N2709)=0,"",INDEX(Listado!I:I,N2709)))),"")</f>
        <v/>
      </c>
      <c r="P2709" s="17">
        <f t="shared" ca="1" si="127"/>
        <v/>
      </c>
      <c r="Q2709" s="17">
        <f>IFERROR(IF(AND(N2709&lt;&gt;"",ISNUMBER(O2709),O2709&gt;0,O2709&gt;=TODAY()-90),1,0),0)</f>
        <v/>
      </c>
      <c r="R2709" s="17" t="str">
        <f t="shared" si="129"/>
        <v/>
      </c>
      <c r="S2709" s="17" t="str">
        <f>IF(INDEX(Listado!A:A,ROW())="","",INDEX(Listado!A:A,ROW()))</f>
        <v/>
      </c>
      <c r="T2709" s="17" t="str">
        <f ca="1">IF(INDEX(Listado!G:G,ROW())="","",INDEX(Listado!G:G,ROW()))</f>
        <v/>
      </c>
      <c r="U2709" s="17" t="str">
        <f>IF(INDEX(Listado!F:F,ROW())="","",INDEX(Listado!F:F,ROW()))</f>
        <v/>
      </c>
      <c r="V2709" s="17">
        <f>IF(COUNTA(INDEX(Listado!B:B,ROW()):INDEX(Listado!F:F,ROW()))&gt;0,1,0)</f>
        <v/>
      </c>
      <c r="W2709" s="17" t="str">
        <f>IF(INDEX(Listado!L:L,ROW())="","",INDEX(Listado!L:L,ROW()))</f>
        <v/>
      </c>
      <c r="X2709" s="17">
        <f>IF(N2709="","",IF(INDEX(Listado!$M:$M,N2709)="No","No","Sí"))</f>
        <v/>
      </c>
    </row>
    <row r="2710" spans="2:24" ht="14.25">
      <c r="N2710" s="17" t="str">
        <f>IF(V2710=0,"",IFERROR(LOOKUP(2,1/(INDEX(Listado!A:A,2):INDEX(Listado!A:A,ROW())&lt;&gt;""),ROW(INDEX(Listado!A:A,2):INDEX(Listado!A:A,ROW()))),""))</f>
        <v/>
      </c>
      <c r="O2710" s="17" t="str">
        <f>IFERROR(IF(N2710="","",IF(INDEX(Listado!M:M,N2710)="No",IF(INDEX(Listado!N:N,N2710)=0,"",INDEX(Listado!N:N,N2710)),IF(INDEX(Listado!I:I,N2710)=0,"",INDEX(Listado!I:I,N2710)))),"")</f>
        <v/>
      </c>
      <c r="P2710" s="17">
        <f t="shared" ca="1" si="127"/>
        <v/>
      </c>
      <c r="Q2710" s="17">
        <f>IFERROR(IF(AND(N2710&lt;&gt;"",ISNUMBER(O2710),O2710&gt;0,O2710&gt;=TODAY()-90),1,0),0)</f>
        <v/>
      </c>
      <c r="R2710" s="17" t="str">
        <f t="shared" si="129"/>
        <v/>
      </c>
      <c r="S2710" s="17" t="str">
        <f>IF(INDEX(Listado!A:A,ROW())="","",INDEX(Listado!A:A,ROW()))</f>
        <v/>
      </c>
      <c r="T2710" s="17" t="str">
        <f ca="1">IF(INDEX(Listado!G:G,ROW())="","",INDEX(Listado!G:G,ROW()))</f>
        <v/>
      </c>
      <c r="U2710" s="17" t="str">
        <f>IF(INDEX(Listado!F:F,ROW())="","",INDEX(Listado!F:F,ROW()))</f>
        <v/>
      </c>
      <c r="V2710" s="17">
        <f>IF(COUNTA(INDEX(Listado!B:B,ROW()):INDEX(Listado!F:F,ROW()))&gt;0,1,0)</f>
        <v/>
      </c>
      <c r="W2710" s="17" t="str">
        <f>IF(INDEX(Listado!L:L,ROW())="","",INDEX(Listado!L:L,ROW()))</f>
        <v/>
      </c>
      <c r="X2710" s="17">
        <f>IF(N2710="","",IF(INDEX(Listado!$M:$M,N2710)="No","No","Sí"))</f>
        <v/>
      </c>
    </row>
    <row r="2711" spans="2:24" ht="14.25">
      <c r="N2711" s="17" t="str">
        <f>IF(V2711=0,"",IFERROR(LOOKUP(2,1/(INDEX(Listado!A:A,2):INDEX(Listado!A:A,ROW())&lt;&gt;""),ROW(INDEX(Listado!A:A,2):INDEX(Listado!A:A,ROW()))),""))</f>
        <v/>
      </c>
      <c r="O2711" s="17" t="str">
        <f>IFERROR(IF(N2711="","",IF(INDEX(Listado!M:M,N2711)="No",IF(INDEX(Listado!N:N,N2711)=0,"",INDEX(Listado!N:N,N2711)),IF(INDEX(Listado!I:I,N2711)=0,"",INDEX(Listado!I:I,N2711)))),"")</f>
        <v/>
      </c>
      <c r="P2711" s="17">
        <f t="shared" ca="1" si="127"/>
        <v/>
      </c>
      <c r="Q2711" s="17">
        <f>IFERROR(IF(AND(N2711&lt;&gt;"",ISNUMBER(O2711),O2711&gt;0,O2711&gt;=TODAY()-90),1,0),0)</f>
        <v/>
      </c>
      <c r="R2711" s="17" t="str">
        <f t="shared" si="129"/>
        <v/>
      </c>
      <c r="S2711" s="17" t="str">
        <f>IF(INDEX(Listado!A:A,ROW())="","",INDEX(Listado!A:A,ROW()))</f>
        <v/>
      </c>
      <c r="T2711" s="17" t="str">
        <f ca="1">IF(INDEX(Listado!G:G,ROW())="","",INDEX(Listado!G:G,ROW()))</f>
        <v/>
      </c>
      <c r="U2711" s="17" t="str">
        <f>IF(INDEX(Listado!F:F,ROW())="","",INDEX(Listado!F:F,ROW()))</f>
        <v/>
      </c>
      <c r="V2711" s="17">
        <f>IF(COUNTA(INDEX(Listado!B:B,ROW()):INDEX(Listado!F:F,ROW()))&gt;0,1,0)</f>
        <v/>
      </c>
      <c r="W2711" s="17" t="str">
        <f>IF(INDEX(Listado!L:L,ROW())="","",INDEX(Listado!L:L,ROW()))</f>
        <v/>
      </c>
      <c r="X2711" s="17">
        <f>IF(N2711="","",IF(INDEX(Listado!$M:$M,N2711)="No","No","Sí"))</f>
        <v/>
      </c>
    </row>
    <row r="2712" spans="2:24" ht="14.25">
      <c r="N2712" s="17" t="str">
        <f>IF(V2712=0,"",IFERROR(LOOKUP(2,1/(INDEX(Listado!A:A,2):INDEX(Listado!A:A,ROW())&lt;&gt;""),ROW(INDEX(Listado!A:A,2):INDEX(Listado!A:A,ROW()))),""))</f>
        <v/>
      </c>
      <c r="O2712" s="17" t="str">
        <f>IFERROR(IF(N2712="","",IF(INDEX(Listado!M:M,N2712)="No",IF(INDEX(Listado!N:N,N2712)=0,"",INDEX(Listado!N:N,N2712)),IF(INDEX(Listado!I:I,N2712)=0,"",INDEX(Listado!I:I,N2712)))),"")</f>
        <v/>
      </c>
      <c r="P2712" s="17">
        <f t="shared" ca="1" si="127"/>
        <v/>
      </c>
      <c r="Q2712" s="17">
        <f>IFERROR(IF(AND(N2712&lt;&gt;"",ISNUMBER(O2712),O2712&gt;0,O2712&gt;=TODAY()-90),1,0),0)</f>
        <v/>
      </c>
      <c r="R2712" s="17" t="str">
        <f t="shared" si="129"/>
        <v/>
      </c>
      <c r="S2712" s="17" t="str">
        <f>IF(INDEX(Listado!A:A,ROW())="","",INDEX(Listado!A:A,ROW()))</f>
        <v/>
      </c>
      <c r="T2712" s="17" t="str">
        <f ca="1">IF(INDEX(Listado!G:G,ROW())="","",INDEX(Listado!G:G,ROW()))</f>
        <v/>
      </c>
      <c r="U2712" s="17" t="str">
        <f>IF(INDEX(Listado!F:F,ROW())="","",INDEX(Listado!F:F,ROW()))</f>
        <v/>
      </c>
      <c r="V2712" s="17">
        <f>IF(COUNTA(INDEX(Listado!B:B,ROW()):INDEX(Listado!F:F,ROW()))&gt;0,1,0)</f>
        <v/>
      </c>
      <c r="W2712" s="17" t="str">
        <f>IF(INDEX(Listado!L:L,ROW())="","",INDEX(Listado!L:L,ROW()))</f>
        <v/>
      </c>
      <c r="X2712" s="17">
        <f>IF(N2712="","",IF(INDEX(Listado!$M:$M,N2712)="No","No","Sí"))</f>
        <v/>
      </c>
    </row>
    <row r="2713" spans="2:24" ht="14.25">
      <c r="N2713" s="17" t="str">
        <f>IF(V2713=0,"",IFERROR(LOOKUP(2,1/(INDEX(Listado!A:A,2):INDEX(Listado!A:A,ROW())&lt;&gt;""),ROW(INDEX(Listado!A:A,2):INDEX(Listado!A:A,ROW()))),""))</f>
        <v/>
      </c>
      <c r="O2713" s="17" t="str">
        <f>IFERROR(IF(N2713="","",IF(INDEX(Listado!M:M,N2713)="No",IF(INDEX(Listado!N:N,N2713)=0,"",INDEX(Listado!N:N,N2713)),IF(INDEX(Listado!I:I,N2713)=0,"",INDEX(Listado!I:I,N2713)))),"")</f>
        <v/>
      </c>
      <c r="P2713" s="17">
        <f t="shared" ca="1" si="127"/>
        <v/>
      </c>
      <c r="Q2713" s="17">
        <f>IFERROR(IF(AND(N2713&lt;&gt;"",ISNUMBER(O2713),O2713&gt;0,O2713&gt;=TODAY()-90),1,0),0)</f>
        <v/>
      </c>
      <c r="R2713" s="17" t="str">
        <f t="shared" si="129"/>
        <v/>
      </c>
      <c r="S2713" s="17" t="str">
        <f>IF(INDEX(Listado!A:A,ROW())="","",INDEX(Listado!A:A,ROW()))</f>
        <v/>
      </c>
      <c r="T2713" s="17" t="str">
        <f ca="1">IF(INDEX(Listado!G:G,ROW())="","",INDEX(Listado!G:G,ROW()))</f>
        <v/>
      </c>
      <c r="U2713" s="17" t="str">
        <f>IF(INDEX(Listado!F:F,ROW())="","",INDEX(Listado!F:F,ROW()))</f>
        <v/>
      </c>
      <c r="V2713" s="17">
        <f>IF(COUNTA(INDEX(Listado!B:B,ROW()):INDEX(Listado!F:F,ROW()))&gt;0,1,0)</f>
        <v/>
      </c>
      <c r="W2713" s="17" t="str">
        <f>IF(INDEX(Listado!L:L,ROW())="","",INDEX(Listado!L:L,ROW()))</f>
        <v/>
      </c>
      <c r="X2713" s="17">
        <f>IF(N2713="","",IF(INDEX(Listado!$M:$M,N2713)="No","No","Sí"))</f>
        <v/>
      </c>
    </row>
    <row r="2714" spans="2:24" ht="14.25">
      <c r="N2714" s="17" t="str">
        <f>IF(V2714=0,"",IFERROR(LOOKUP(2,1/(INDEX(Listado!A:A,2):INDEX(Listado!A:A,ROW())&lt;&gt;""),ROW(INDEX(Listado!A:A,2):INDEX(Listado!A:A,ROW()))),""))</f>
        <v/>
      </c>
      <c r="O2714" s="17" t="str">
        <f>IFERROR(IF(N2714="","",IF(INDEX(Listado!M:M,N2714)="No",IF(INDEX(Listado!N:N,N2714)=0,"",INDEX(Listado!N:N,N2714)),IF(INDEX(Listado!I:I,N2714)=0,"",INDEX(Listado!I:I,N2714)))),"")</f>
        <v/>
      </c>
      <c r="P2714" s="17">
        <f t="shared" ca="1" si="127"/>
        <v/>
      </c>
      <c r="Q2714" s="17">
        <f>IFERROR(IF(AND(N2714&lt;&gt;"",ISNUMBER(O2714),O2714&gt;0,O2714&gt;=TODAY()-90),1,0),0)</f>
        <v/>
      </c>
      <c r="R2714" s="17" t="str">
        <f t="shared" si="129"/>
        <v/>
      </c>
      <c r="S2714" s="17" t="str">
        <f>IF(INDEX(Listado!A:A,ROW())="","",INDEX(Listado!A:A,ROW()))</f>
        <v/>
      </c>
      <c r="T2714" s="17" t="str">
        <f ca="1">IF(INDEX(Listado!G:G,ROW())="","",INDEX(Listado!G:G,ROW()))</f>
        <v/>
      </c>
      <c r="U2714" s="17" t="str">
        <f>IF(INDEX(Listado!F:F,ROW())="","",INDEX(Listado!F:F,ROW()))</f>
        <v/>
      </c>
      <c r="V2714" s="17">
        <f>IF(COUNTA(INDEX(Listado!B:B,ROW()):INDEX(Listado!F:F,ROW()))&gt;0,1,0)</f>
        <v/>
      </c>
      <c r="W2714" s="17" t="str">
        <f>IF(INDEX(Listado!L:L,ROW())="","",INDEX(Listado!L:L,ROW()))</f>
        <v/>
      </c>
      <c r="X2714" s="17">
        <f>IF(N2714="","",IF(INDEX(Listado!$M:$M,N2714)="No","No","Sí"))</f>
        <v/>
      </c>
    </row>
    <row r="2715" spans="2:24" ht="14.25">
      <c r="N2715" s="17" t="str">
        <f>IF(V2715=0,"",IFERROR(LOOKUP(2,1/(INDEX(Listado!A:A,2):INDEX(Listado!A:A,ROW())&lt;&gt;""),ROW(INDEX(Listado!A:A,2):INDEX(Listado!A:A,ROW()))),""))</f>
        <v/>
      </c>
      <c r="O2715" s="17" t="str">
        <f>IFERROR(IF(N2715="","",IF(INDEX(Listado!M:M,N2715)="No",IF(INDEX(Listado!N:N,N2715)=0,"",INDEX(Listado!N:N,N2715)),IF(INDEX(Listado!I:I,N2715)=0,"",INDEX(Listado!I:I,N2715)))),"")</f>
        <v/>
      </c>
      <c r="P2715" s="17">
        <f t="shared" ca="1" si="127"/>
        <v/>
      </c>
      <c r="Q2715" s="17">
        <f>IFERROR(IF(AND(N2715&lt;&gt;"",ISNUMBER(O2715),O2715&gt;0,O2715&gt;=TODAY()-90),1,0),0)</f>
        <v/>
      </c>
      <c r="R2715" s="17" t="str">
        <f t="shared" si="129"/>
        <v/>
      </c>
      <c r="S2715" s="17" t="str">
        <f>IF(INDEX(Listado!A:A,ROW())="","",INDEX(Listado!A:A,ROW()))</f>
        <v/>
      </c>
      <c r="T2715" s="17" t="str">
        <f ca="1">IF(INDEX(Listado!G:G,ROW())="","",INDEX(Listado!G:G,ROW()))</f>
        <v/>
      </c>
      <c r="U2715" s="17" t="str">
        <f>IF(INDEX(Listado!F:F,ROW())="","",INDEX(Listado!F:F,ROW()))</f>
        <v/>
      </c>
      <c r="V2715" s="17">
        <f>IF(COUNTA(INDEX(Listado!B:B,ROW()):INDEX(Listado!F:F,ROW()))&gt;0,1,0)</f>
        <v/>
      </c>
      <c r="W2715" s="17" t="str">
        <f>IF(INDEX(Listado!L:L,ROW())="","",INDEX(Listado!L:L,ROW()))</f>
        <v/>
      </c>
      <c r="X2715" s="17">
        <f>IF(N2715="","",IF(INDEX(Listado!$M:$M,N2715)="No","No","Sí"))</f>
        <v/>
      </c>
    </row>
    <row r="2716" spans="2:24" ht="14.25">
      <c r="N2716" s="17" t="str">
        <f>IF(V2716=0,"",IFERROR(LOOKUP(2,1/(INDEX(Listado!A:A,2):INDEX(Listado!A:A,ROW())&lt;&gt;""),ROW(INDEX(Listado!A:A,2):INDEX(Listado!A:A,ROW()))),""))</f>
        <v/>
      </c>
      <c r="O2716" s="17" t="str">
        <f>IFERROR(IF(N2716="","",IF(INDEX(Listado!M:M,N2716)="No",IF(INDEX(Listado!N:N,N2716)=0,"",INDEX(Listado!N:N,N2716)),IF(INDEX(Listado!I:I,N2716)=0,"",INDEX(Listado!I:I,N2716)))),"")</f>
        <v/>
      </c>
      <c r="P2716" s="17">
        <f t="shared" ca="1" si="127"/>
        <v/>
      </c>
      <c r="Q2716" s="17">
        <f>IFERROR(IF(AND(N2716&lt;&gt;"",ISNUMBER(O2716),O2716&gt;0,O2716&gt;=TODAY()-90),1,0),0)</f>
        <v/>
      </c>
      <c r="R2716" s="17" t="str">
        <f t="shared" si="129"/>
        <v/>
      </c>
      <c r="S2716" s="17" t="str">
        <f>IF(INDEX(Listado!A:A,ROW())="","",INDEX(Listado!A:A,ROW()))</f>
        <v/>
      </c>
      <c r="T2716" s="17" t="str">
        <f ca="1">IF(INDEX(Listado!G:G,ROW())="","",INDEX(Listado!G:G,ROW()))</f>
        <v/>
      </c>
      <c r="U2716" s="17" t="str">
        <f>IF(INDEX(Listado!F:F,ROW())="","",INDEX(Listado!F:F,ROW()))</f>
        <v/>
      </c>
      <c r="V2716" s="17">
        <f>IF(COUNTA(INDEX(Listado!B:B,ROW()):INDEX(Listado!F:F,ROW()))&gt;0,1,0)</f>
        <v/>
      </c>
      <c r="W2716" s="17" t="str">
        <f>IF(INDEX(Listado!L:L,ROW())="","",INDEX(Listado!L:L,ROW()))</f>
        <v/>
      </c>
      <c r="X2716" s="17">
        <f>IF(N2716="","",IF(INDEX(Listado!$M:$M,N2716)="No","No","Sí"))</f>
        <v/>
      </c>
    </row>
    <row r="2717" spans="2:24" ht="14.25">
      <c r="N2717" s="17" t="str">
        <f>IF(V2717=0,"",IFERROR(LOOKUP(2,1/(INDEX(Listado!A:A,2):INDEX(Listado!A:A,ROW())&lt;&gt;""),ROW(INDEX(Listado!A:A,2):INDEX(Listado!A:A,ROW()))),""))</f>
        <v/>
      </c>
      <c r="O2717" s="17" t="str">
        <f>IFERROR(IF(N2717="","",IF(INDEX(Listado!M:M,N2717)="No",IF(INDEX(Listado!N:N,N2717)=0,"",INDEX(Listado!N:N,N2717)),IF(INDEX(Listado!I:I,N2717)=0,"",INDEX(Listado!I:I,N2717)))),"")</f>
        <v/>
      </c>
      <c r="P2717" s="17">
        <f t="shared" ca="1" si="127"/>
        <v/>
      </c>
      <c r="Q2717" s="17">
        <f>IFERROR(IF(AND(N2717&lt;&gt;"",ISNUMBER(O2717),O2717&gt;0,O2717&gt;=TODAY()-90),1,0),0)</f>
        <v/>
      </c>
      <c r="R2717" s="17" t="str">
        <f t="shared" si="129"/>
        <v/>
      </c>
      <c r="S2717" s="17" t="str">
        <f>IF(INDEX(Listado!A:A,ROW())="","",INDEX(Listado!A:A,ROW()))</f>
        <v/>
      </c>
      <c r="T2717" s="17" t="str">
        <f ca="1">IF(INDEX(Listado!G:G,ROW())="","",INDEX(Listado!G:G,ROW()))</f>
        <v/>
      </c>
      <c r="U2717" s="17" t="str">
        <f>IF(INDEX(Listado!F:F,ROW())="","",INDEX(Listado!F:F,ROW()))</f>
        <v/>
      </c>
      <c r="V2717" s="17">
        <f>IF(COUNTA(INDEX(Listado!B:B,ROW()):INDEX(Listado!F:F,ROW()))&gt;0,1,0)</f>
        <v/>
      </c>
      <c r="W2717" s="17" t="str">
        <f>IF(INDEX(Listado!L:L,ROW())="","",INDEX(Listado!L:L,ROW()))</f>
        <v/>
      </c>
      <c r="X2717" s="17">
        <f>IF(N2717="","",IF(INDEX(Listado!$M:$M,N2717)="No","No","Sí"))</f>
        <v/>
      </c>
    </row>
    <row r="2718" spans="2:24" ht="14.25">
      <c r="N2718" s="17" t="str">
        <f>IF(V2718=0,"",IFERROR(LOOKUP(2,1/(INDEX(Listado!A:A,2):INDEX(Listado!A:A,ROW())&lt;&gt;""),ROW(INDEX(Listado!A:A,2):INDEX(Listado!A:A,ROW()))),""))</f>
        <v/>
      </c>
      <c r="O2718" s="17" t="str">
        <f>IFERROR(IF(N2718="","",IF(INDEX(Listado!M:M,N2718)="No",IF(INDEX(Listado!N:N,N2718)=0,"",INDEX(Listado!N:N,N2718)),IF(INDEX(Listado!I:I,N2718)=0,"",INDEX(Listado!I:I,N2718)))),"")</f>
        <v/>
      </c>
      <c r="P2718" s="17">
        <f t="shared" ca="1" si="127"/>
        <v/>
      </c>
      <c r="Q2718" s="17">
        <f>IFERROR(IF(AND(N2718&lt;&gt;"",ISNUMBER(O2718),O2718&gt;0,O2718&gt;=TODAY()-90),1,0),0)</f>
        <v/>
      </c>
      <c r="R2718" s="17" t="str">
        <f t="shared" si="129"/>
        <v/>
      </c>
      <c r="S2718" s="17" t="str">
        <f>IF(INDEX(Listado!A:A,ROW())="","",INDEX(Listado!A:A,ROW()))</f>
        <v/>
      </c>
      <c r="T2718" s="17" t="str">
        <f ca="1">IF(INDEX(Listado!G:G,ROW())="","",INDEX(Listado!G:G,ROW()))</f>
        <v/>
      </c>
      <c r="U2718" s="17" t="str">
        <f>IF(INDEX(Listado!F:F,ROW())="","",INDEX(Listado!F:F,ROW()))</f>
        <v/>
      </c>
      <c r="V2718" s="17">
        <f>IF(COUNTA(INDEX(Listado!B:B,ROW()):INDEX(Listado!F:F,ROW()))&gt;0,1,0)</f>
        <v/>
      </c>
      <c r="W2718" s="17" t="str">
        <f>IF(INDEX(Listado!L:L,ROW())="","",INDEX(Listado!L:L,ROW()))</f>
        <v/>
      </c>
      <c r="X2718" s="17">
        <f>IF(N2718="","",IF(INDEX(Listado!$M:$M,N2718)="No","No","Sí"))</f>
        <v/>
      </c>
    </row>
    <row r="2719" spans="2:24" ht="14.25">
      <c r="N2719" s="17" t="str">
        <f>IF(V2719=0,"",IFERROR(LOOKUP(2,1/(INDEX(Listado!A:A,2):INDEX(Listado!A:A,ROW())&lt;&gt;""),ROW(INDEX(Listado!A:A,2):INDEX(Listado!A:A,ROW()))),""))</f>
        <v/>
      </c>
      <c r="O2719" s="17" t="str">
        <f>IFERROR(IF(N2719="","",IF(INDEX(Listado!M:M,N2719)="No",IF(INDEX(Listado!N:N,N2719)=0,"",INDEX(Listado!N:N,N2719)),IF(INDEX(Listado!I:I,N2719)=0,"",INDEX(Listado!I:I,N2719)))),"")</f>
        <v/>
      </c>
      <c r="P2719" s="17">
        <f t="shared" ca="1" si="127"/>
        <v/>
      </c>
      <c r="Q2719" s="17">
        <f>IFERROR(IF(AND(N2719&lt;&gt;"",ISNUMBER(O2719),O2719&gt;0,O2719&gt;=TODAY()-90),1,0),0)</f>
        <v/>
      </c>
      <c r="R2719" s="17" t="str">
        <f t="shared" si="129"/>
        <v/>
      </c>
      <c r="S2719" s="17" t="str">
        <f>IF(INDEX(Listado!A:A,ROW())="","",INDEX(Listado!A:A,ROW()))</f>
        <v/>
      </c>
      <c r="T2719" s="17" t="str">
        <f ca="1">IF(INDEX(Listado!G:G,ROW())="","",INDEX(Listado!G:G,ROW()))</f>
        <v/>
      </c>
      <c r="U2719" s="17" t="str">
        <f>IF(INDEX(Listado!F:F,ROW())="","",INDEX(Listado!F:F,ROW()))</f>
        <v/>
      </c>
      <c r="V2719" s="17">
        <f>IF(COUNTA(INDEX(Listado!B:B,ROW()):INDEX(Listado!F:F,ROW()))&gt;0,1,0)</f>
        <v/>
      </c>
      <c r="W2719" s="17" t="str">
        <f>IF(INDEX(Listado!L:L,ROW())="","",INDEX(Listado!L:L,ROW()))</f>
        <v/>
      </c>
      <c r="X2719" s="17">
        <f>IF(N2719="","",IF(INDEX(Listado!$M:$M,N2719)="No","No","Sí"))</f>
        <v/>
      </c>
    </row>
    <row r="2720" spans="2:24" ht="14.25">
      <c r="N2720" s="17" t="str">
        <f>IF(V2720=0,"",IFERROR(LOOKUP(2,1/(INDEX(Listado!A:A,2):INDEX(Listado!A:A,ROW())&lt;&gt;""),ROW(INDEX(Listado!A:A,2):INDEX(Listado!A:A,ROW()))),""))</f>
        <v/>
      </c>
      <c r="O2720" s="17" t="str">
        <f>IFERROR(IF(N2720="","",IF(INDEX(Listado!M:M,N2720)="No",IF(INDEX(Listado!N:N,N2720)=0,"",INDEX(Listado!N:N,N2720)),IF(INDEX(Listado!I:I,N2720)=0,"",INDEX(Listado!I:I,N2720)))),"")</f>
        <v/>
      </c>
      <c r="P2720" s="17">
        <f t="shared" ca="1" si="127"/>
        <v/>
      </c>
      <c r="Q2720" s="17">
        <f>IFERROR(IF(AND(N2720&lt;&gt;"",ISNUMBER(O2720),O2720&gt;0,O2720&gt;=TODAY()-90),1,0),0)</f>
        <v/>
      </c>
      <c r="R2720" s="17" t="str">
        <f t="shared" si="129"/>
        <v/>
      </c>
      <c r="S2720" s="17" t="str">
        <f>IF(INDEX(Listado!A:A,ROW())="","",INDEX(Listado!A:A,ROW()))</f>
        <v/>
      </c>
      <c r="T2720" s="17" t="str">
        <f ca="1">IF(INDEX(Listado!G:G,ROW())="","",INDEX(Listado!G:G,ROW()))</f>
        <v/>
      </c>
      <c r="U2720" s="17" t="str">
        <f>IF(INDEX(Listado!F:F,ROW())="","",INDEX(Listado!F:F,ROW()))</f>
        <v/>
      </c>
      <c r="V2720" s="17">
        <f>IF(COUNTA(INDEX(Listado!B:B,ROW()):INDEX(Listado!F:F,ROW()))&gt;0,1,0)</f>
        <v/>
      </c>
      <c r="W2720" s="17" t="str">
        <f>IF(INDEX(Listado!L:L,ROW())="","",INDEX(Listado!L:L,ROW()))</f>
        <v/>
      </c>
      <c r="X2720" s="17">
        <f>IF(N2720="","",IF(INDEX(Listado!$M:$M,N2720)="No","No","Sí"))</f>
        <v/>
      </c>
    </row>
    <row r="2721" spans="2:24" ht="14.25">
      <c r="N2721" s="17" t="str">
        <f>IF(V2721=0,"",IFERROR(LOOKUP(2,1/(INDEX(Listado!A:A,2):INDEX(Listado!A:A,ROW())&lt;&gt;""),ROW(INDEX(Listado!A:A,2):INDEX(Listado!A:A,ROW()))),""))</f>
        <v/>
      </c>
      <c r="O2721" s="17" t="str">
        <f>IFERROR(IF(N2721="","",IF(INDEX(Listado!M:M,N2721)="No",IF(INDEX(Listado!N:N,N2721)=0,"",INDEX(Listado!N:N,N2721)),IF(INDEX(Listado!I:I,N2721)=0,"",INDEX(Listado!I:I,N2721)))),"")</f>
        <v/>
      </c>
      <c r="P2721" s="17">
        <f t="shared" ca="1" si="127"/>
        <v/>
      </c>
      <c r="Q2721" s="17">
        <f>IFERROR(IF(AND(N2721&lt;&gt;"",ISNUMBER(O2721),O2721&gt;0,O2721&gt;=TODAY()-90),1,0),0)</f>
        <v/>
      </c>
      <c r="R2721" s="17" t="str">
        <f t="shared" si="129"/>
        <v/>
      </c>
      <c r="S2721" s="17" t="str">
        <f>IF(INDEX(Listado!A:A,ROW())="","",INDEX(Listado!A:A,ROW()))</f>
        <v/>
      </c>
      <c r="T2721" s="17" t="str">
        <f ca="1">IF(INDEX(Listado!G:G,ROW())="","",INDEX(Listado!G:G,ROW()))</f>
        <v/>
      </c>
      <c r="U2721" s="17" t="str">
        <f>IF(INDEX(Listado!F:F,ROW())="","",INDEX(Listado!F:F,ROW()))</f>
        <v/>
      </c>
      <c r="V2721" s="17">
        <f>IF(COUNTA(INDEX(Listado!B:B,ROW()):INDEX(Listado!F:F,ROW()))&gt;0,1,0)</f>
        <v/>
      </c>
      <c r="W2721" s="17" t="str">
        <f>IF(INDEX(Listado!L:L,ROW())="","",INDEX(Listado!L:L,ROW()))</f>
        <v/>
      </c>
      <c r="X2721" s="17">
        <f>IF(N2721="","",IF(INDEX(Listado!$M:$M,N2721)="No","No","Sí"))</f>
        <v/>
      </c>
    </row>
    <row r="2722" spans="2:24" ht="14.25">
      <c r="N2722" s="17" t="str">
        <f>IF(V2722=0,"",IFERROR(LOOKUP(2,1/(INDEX(Listado!A:A,2):INDEX(Listado!A:A,ROW())&lt;&gt;""),ROW(INDEX(Listado!A:A,2):INDEX(Listado!A:A,ROW()))),""))</f>
        <v/>
      </c>
      <c r="O2722" s="17" t="str">
        <f>IFERROR(IF(N2722="","",IF(INDEX(Listado!M:M,N2722)="No",IF(INDEX(Listado!N:N,N2722)=0,"",INDEX(Listado!N:N,N2722)),IF(INDEX(Listado!I:I,N2722)=0,"",INDEX(Listado!I:I,N2722)))),"")</f>
        <v/>
      </c>
      <c r="P2722" s="17">
        <f t="shared" ca="1" si="127"/>
        <v/>
      </c>
      <c r="Q2722" s="17">
        <f>IFERROR(IF(AND(N2722&lt;&gt;"",ISNUMBER(O2722),O2722&gt;0,O2722&gt;=TODAY()-90),1,0),0)</f>
        <v/>
      </c>
      <c r="R2722" s="17" t="str">
        <f t="shared" si="129"/>
        <v/>
      </c>
      <c r="S2722" s="17" t="str">
        <f>IF(INDEX(Listado!A:A,ROW())="","",INDEX(Listado!A:A,ROW()))</f>
        <v/>
      </c>
      <c r="T2722" s="17" t="str">
        <f ca="1">IF(INDEX(Listado!G:G,ROW())="","",INDEX(Listado!G:G,ROW()))</f>
        <v/>
      </c>
      <c r="U2722" s="17" t="str">
        <f>IF(INDEX(Listado!F:F,ROW())="","",INDEX(Listado!F:F,ROW()))</f>
        <v/>
      </c>
      <c r="V2722" s="17">
        <f>IF(COUNTA(INDEX(Listado!B:B,ROW()):INDEX(Listado!F:F,ROW()))&gt;0,1,0)</f>
        <v/>
      </c>
      <c r="W2722" s="17" t="str">
        <f>IF(INDEX(Listado!L:L,ROW())="","",INDEX(Listado!L:L,ROW()))</f>
        <v/>
      </c>
      <c r="X2722" s="17">
        <f>IF(N2722="","",IF(INDEX(Listado!$M:$M,N2722)="No","No","Sí"))</f>
        <v/>
      </c>
    </row>
    <row r="2723" spans="2:24" ht="14.25">
      <c r="N2723" s="17" t="str">
        <f>IF(V2723=0,"",IFERROR(LOOKUP(2,1/(INDEX(Listado!A:A,2):INDEX(Listado!A:A,ROW())&lt;&gt;""),ROW(INDEX(Listado!A:A,2):INDEX(Listado!A:A,ROW()))),""))</f>
        <v/>
      </c>
      <c r="O2723" s="17" t="str">
        <f>IFERROR(IF(N2723="","",IF(INDEX(Listado!M:M,N2723)="No",IF(INDEX(Listado!N:N,N2723)=0,"",INDEX(Listado!N:N,N2723)),IF(INDEX(Listado!I:I,N2723)=0,"",INDEX(Listado!I:I,N2723)))),"")</f>
        <v/>
      </c>
      <c r="P2723" s="17">
        <f t="shared" ca="1" si="127"/>
        <v/>
      </c>
      <c r="Q2723" s="17">
        <f>IFERROR(IF(AND(N2723&lt;&gt;"",ISNUMBER(O2723),O2723&gt;0,O2723&gt;=TODAY()-90),1,0),0)</f>
        <v/>
      </c>
      <c r="R2723" s="17" t="str">
        <f t="shared" si="129"/>
        <v/>
      </c>
      <c r="S2723" s="17" t="str">
        <f>IF(INDEX(Listado!A:A,ROW())="","",INDEX(Listado!A:A,ROW()))</f>
        <v/>
      </c>
      <c r="T2723" s="17" t="str">
        <f ca="1">IF(INDEX(Listado!G:G,ROW())="","",INDEX(Listado!G:G,ROW()))</f>
        <v/>
      </c>
      <c r="U2723" s="17" t="str">
        <f>IF(INDEX(Listado!F:F,ROW())="","",INDEX(Listado!F:F,ROW()))</f>
        <v/>
      </c>
      <c r="V2723" s="17">
        <f>IF(COUNTA(INDEX(Listado!B:B,ROW()):INDEX(Listado!F:F,ROW()))&gt;0,1,0)</f>
        <v/>
      </c>
      <c r="W2723" s="17" t="str">
        <f>IF(INDEX(Listado!L:L,ROW())="","",INDEX(Listado!L:L,ROW()))</f>
        <v/>
      </c>
      <c r="X2723" s="17">
        <f>IF(N2723="","",IF(INDEX(Listado!$M:$M,N2723)="No","No","Sí"))</f>
        <v/>
      </c>
    </row>
    <row r="2724" spans="2:24" ht="14.25">
      <c r="N2724" s="17" t="str">
        <f>IF(V2724=0,"",IFERROR(LOOKUP(2,1/(INDEX(Listado!A:A,2):INDEX(Listado!A:A,ROW())&lt;&gt;""),ROW(INDEX(Listado!A:A,2):INDEX(Listado!A:A,ROW()))),""))</f>
        <v/>
      </c>
      <c r="O2724" s="17" t="str">
        <f>IFERROR(IF(N2724="","",IF(INDEX(Listado!M:M,N2724)="No",IF(INDEX(Listado!N:N,N2724)=0,"",INDEX(Listado!N:N,N2724)),IF(INDEX(Listado!I:I,N2724)=0,"",INDEX(Listado!I:I,N2724)))),"")</f>
        <v/>
      </c>
      <c r="P2724" s="17">
        <f t="shared" ca="1" si="127"/>
        <v/>
      </c>
      <c r="Q2724" s="17">
        <f>IFERROR(IF(AND(N2724&lt;&gt;"",ISNUMBER(O2724),O2724&gt;0,O2724&gt;=TODAY()-90),1,0),0)</f>
        <v/>
      </c>
      <c r="R2724" s="17" t="str">
        <f t="shared" si="129"/>
        <v/>
      </c>
      <c r="S2724" s="17" t="str">
        <f>IF(INDEX(Listado!A:A,ROW())="","",INDEX(Listado!A:A,ROW()))</f>
        <v/>
      </c>
      <c r="T2724" s="17" t="str">
        <f ca="1">IF(INDEX(Listado!G:G,ROW())="","",INDEX(Listado!G:G,ROW()))</f>
        <v/>
      </c>
      <c r="U2724" s="17" t="str">
        <f>IF(INDEX(Listado!F:F,ROW())="","",INDEX(Listado!F:F,ROW()))</f>
        <v/>
      </c>
      <c r="V2724" s="17">
        <f>IF(COUNTA(INDEX(Listado!B:B,ROW()):INDEX(Listado!F:F,ROW()))&gt;0,1,0)</f>
        <v/>
      </c>
      <c r="W2724" s="17" t="str">
        <f>IF(INDEX(Listado!L:L,ROW())="","",INDEX(Listado!L:L,ROW()))</f>
        <v/>
      </c>
      <c r="X2724" s="17">
        <f>IF(N2724="","",IF(INDEX(Listado!$M:$M,N2724)="No","No","Sí"))</f>
        <v/>
      </c>
    </row>
    <row r="2725" spans="2:24" ht="14.25">
      <c r="N2725" s="17" t="str">
        <f>IF(V2725=0,"",IFERROR(LOOKUP(2,1/(INDEX(Listado!A:A,2):INDEX(Listado!A:A,ROW())&lt;&gt;""),ROW(INDEX(Listado!A:A,2):INDEX(Listado!A:A,ROW()))),""))</f>
        <v/>
      </c>
      <c r="O2725" s="17" t="str">
        <f>IFERROR(IF(N2725="","",IF(INDEX(Listado!M:M,N2725)="No",IF(INDEX(Listado!N:N,N2725)=0,"",INDEX(Listado!N:N,N2725)),IF(INDEX(Listado!I:I,N2725)=0,"",INDEX(Listado!I:I,N2725)))),"")</f>
        <v/>
      </c>
      <c r="P2725" s="17">
        <f t="shared" ca="1" si="127"/>
        <v/>
      </c>
      <c r="Q2725" s="17">
        <f>IFERROR(IF(AND(N2725&lt;&gt;"",ISNUMBER(O2725),O2725&gt;0,O2725&gt;=TODAY()-90),1,0),0)</f>
        <v/>
      </c>
      <c r="R2725" s="17" t="str">
        <f t="shared" si="129"/>
        <v/>
      </c>
      <c r="S2725" s="17" t="str">
        <f>IF(INDEX(Listado!A:A,ROW())="","",INDEX(Listado!A:A,ROW()))</f>
        <v/>
      </c>
      <c r="T2725" s="17" t="str">
        <f ca="1">IF(INDEX(Listado!G:G,ROW())="","",INDEX(Listado!G:G,ROW()))</f>
        <v/>
      </c>
      <c r="U2725" s="17" t="str">
        <f>IF(INDEX(Listado!F:F,ROW())="","",INDEX(Listado!F:F,ROW()))</f>
        <v/>
      </c>
      <c r="V2725" s="17">
        <f>IF(COUNTA(INDEX(Listado!B:B,ROW()):INDEX(Listado!F:F,ROW()))&gt;0,1,0)</f>
        <v/>
      </c>
      <c r="W2725" s="17" t="str">
        <f>IF(INDEX(Listado!L:L,ROW())="","",INDEX(Listado!L:L,ROW()))</f>
        <v/>
      </c>
      <c r="X2725" s="17">
        <f>IF(N2725="","",IF(INDEX(Listado!$M:$M,N2725)="No","No","Sí"))</f>
        <v/>
      </c>
    </row>
    <row r="2726" spans="2:24" ht="14.25">
      <c r="N2726" s="17" t="str">
        <f>IF(V2726=0,"",IFERROR(LOOKUP(2,1/(INDEX(Listado!A:A,2):INDEX(Listado!A:A,ROW())&lt;&gt;""),ROW(INDEX(Listado!A:A,2):INDEX(Listado!A:A,ROW()))),""))</f>
        <v/>
      </c>
      <c r="O2726" s="17" t="str">
        <f>IFERROR(IF(N2726="","",IF(INDEX(Listado!M:M,N2726)="No",IF(INDEX(Listado!N:N,N2726)=0,"",INDEX(Listado!N:N,N2726)),IF(INDEX(Listado!I:I,N2726)=0,"",INDEX(Listado!I:I,N2726)))),"")</f>
        <v/>
      </c>
      <c r="P2726" s="17">
        <f t="shared" ca="1" si="127"/>
        <v/>
      </c>
      <c r="Q2726" s="17">
        <f>IFERROR(IF(AND(N2726&lt;&gt;"",ISNUMBER(O2726),O2726&gt;0,O2726&gt;=TODAY()-90),1,0),0)</f>
        <v/>
      </c>
      <c r="R2726" s="17" t="str">
        <f t="shared" si="129"/>
        <v/>
      </c>
      <c r="S2726" s="17" t="str">
        <f>IF(INDEX(Listado!A:A,ROW())="","",INDEX(Listado!A:A,ROW()))</f>
        <v/>
      </c>
      <c r="T2726" s="17" t="str">
        <f ca="1">IF(INDEX(Listado!G:G,ROW())="","",INDEX(Listado!G:G,ROW()))</f>
        <v/>
      </c>
      <c r="U2726" s="17" t="str">
        <f>IF(INDEX(Listado!F:F,ROW())="","",INDEX(Listado!F:F,ROW()))</f>
        <v/>
      </c>
      <c r="V2726" s="17">
        <f>IF(COUNTA(INDEX(Listado!B:B,ROW()):INDEX(Listado!F:F,ROW()))&gt;0,1,0)</f>
        <v/>
      </c>
      <c r="W2726" s="17" t="str">
        <f>IF(INDEX(Listado!L:L,ROW())="","",INDEX(Listado!L:L,ROW()))</f>
        <v/>
      </c>
      <c r="X2726" s="17">
        <f>IF(N2726="","",IF(INDEX(Listado!$M:$M,N2726)="No","No","Sí"))</f>
        <v/>
      </c>
    </row>
    <row r="2727" spans="2:24" ht="14.25">
      <c r="N2727" s="17" t="str">
        <f>IF(V2727=0,"",IFERROR(LOOKUP(2,1/(INDEX(Listado!A:A,2):INDEX(Listado!A:A,ROW())&lt;&gt;""),ROW(INDEX(Listado!A:A,2):INDEX(Listado!A:A,ROW()))),""))</f>
        <v/>
      </c>
      <c r="O2727" s="17" t="str">
        <f>IFERROR(IF(N2727="","",IF(INDEX(Listado!M:M,N2727)="No",IF(INDEX(Listado!N:N,N2727)=0,"",INDEX(Listado!N:N,N2727)),IF(INDEX(Listado!I:I,N2727)=0,"",INDEX(Listado!I:I,N2727)))),"")</f>
        <v/>
      </c>
      <c r="P2727" s="17">
        <f t="shared" ca="1" si="127"/>
        <v/>
      </c>
      <c r="Q2727" s="17">
        <f>IFERROR(IF(AND(N2727&lt;&gt;"",ISNUMBER(O2727),O2727&gt;0,O2727&gt;=TODAY()-90),1,0),0)</f>
        <v/>
      </c>
      <c r="R2727" s="17" t="str">
        <f t="shared" si="129"/>
        <v/>
      </c>
      <c r="S2727" s="17" t="str">
        <f>IF(INDEX(Listado!A:A,ROW())="","",INDEX(Listado!A:A,ROW()))</f>
        <v/>
      </c>
      <c r="T2727" s="17" t="str">
        <f ca="1">IF(INDEX(Listado!G:G,ROW())="","",INDEX(Listado!G:G,ROW()))</f>
        <v/>
      </c>
      <c r="U2727" s="17" t="str">
        <f>IF(INDEX(Listado!F:F,ROW())="","",INDEX(Listado!F:F,ROW()))</f>
        <v/>
      </c>
      <c r="V2727" s="17">
        <f>IF(COUNTA(INDEX(Listado!B:B,ROW()):INDEX(Listado!F:F,ROW()))&gt;0,1,0)</f>
        <v/>
      </c>
      <c r="W2727" s="17" t="str">
        <f>IF(INDEX(Listado!L:L,ROW())="","",INDEX(Listado!L:L,ROW()))</f>
        <v/>
      </c>
      <c r="X2727" s="17">
        <f>IF(N2727="","",IF(INDEX(Listado!$M:$M,N2727)="No","No","Sí"))</f>
        <v/>
      </c>
    </row>
    <row r="2728" spans="2:24" ht="14.25">
      <c r="N2728" s="17" t="str">
        <f>IF(V2728=0,"",IFERROR(LOOKUP(2,1/(INDEX(Listado!A:A,2):INDEX(Listado!A:A,ROW())&lt;&gt;""),ROW(INDEX(Listado!A:A,2):INDEX(Listado!A:A,ROW()))),""))</f>
        <v/>
      </c>
      <c r="O2728" s="17" t="str">
        <f>IFERROR(IF(N2728="","",IF(INDEX(Listado!M:M,N2728)="No",IF(INDEX(Listado!N:N,N2728)=0,"",INDEX(Listado!N:N,N2728)),IF(INDEX(Listado!I:I,N2728)=0,"",INDEX(Listado!I:I,N2728)))),"")</f>
        <v/>
      </c>
      <c r="P2728" s="17">
        <f t="shared" ca="1" si="127"/>
        <v/>
      </c>
      <c r="Q2728" s="17">
        <f>IFERROR(IF(AND(N2728&lt;&gt;"",ISNUMBER(O2728),O2728&gt;0,O2728&gt;=TODAY()-90),1,0),0)</f>
        <v/>
      </c>
      <c r="R2728" s="17" t="str">
        <f t="shared" si="129"/>
        <v/>
      </c>
      <c r="S2728" s="17" t="str">
        <f>IF(INDEX(Listado!A:A,ROW())="","",INDEX(Listado!A:A,ROW()))</f>
        <v/>
      </c>
      <c r="T2728" s="17" t="str">
        <f ca="1">IF(INDEX(Listado!G:G,ROW())="","",INDEX(Listado!G:G,ROW()))</f>
        <v/>
      </c>
      <c r="U2728" s="17" t="str">
        <f>IF(INDEX(Listado!F:F,ROW())="","",INDEX(Listado!F:F,ROW()))</f>
        <v/>
      </c>
      <c r="V2728" s="17">
        <f>IF(COUNTA(INDEX(Listado!B:B,ROW()):INDEX(Listado!F:F,ROW()))&gt;0,1,0)</f>
        <v/>
      </c>
      <c r="W2728" s="17" t="str">
        <f>IF(INDEX(Listado!L:L,ROW())="","",INDEX(Listado!L:L,ROW()))</f>
        <v/>
      </c>
      <c r="X2728" s="17">
        <f>IF(N2728="","",IF(INDEX(Listado!$M:$M,N2728)="No","No","Sí"))</f>
        <v/>
      </c>
    </row>
    <row r="2729" spans="2:24" ht="14.25">
      <c r="N2729" s="17" t="str">
        <f>IF(V2729=0,"",IFERROR(LOOKUP(2,1/(INDEX(Listado!A:A,2):INDEX(Listado!A:A,ROW())&lt;&gt;""),ROW(INDEX(Listado!A:A,2):INDEX(Listado!A:A,ROW()))),""))</f>
        <v/>
      </c>
      <c r="O2729" s="17" t="str">
        <f>IFERROR(IF(N2729="","",IF(INDEX(Listado!M:M,N2729)="No",IF(INDEX(Listado!N:N,N2729)=0,"",INDEX(Listado!N:N,N2729)),IF(INDEX(Listado!I:I,N2729)=0,"",INDEX(Listado!I:I,N2729)))),"")</f>
        <v/>
      </c>
      <c r="P2729" s="17">
        <f t="shared" ca="1" si="127"/>
        <v/>
      </c>
      <c r="Q2729" s="17">
        <f>IFERROR(IF(AND(N2729&lt;&gt;"",ISNUMBER(O2729),O2729&gt;0,O2729&gt;=TODAY()-90),1,0),0)</f>
        <v/>
      </c>
      <c r="R2729" s="17" t="str">
        <f t="shared" si="129"/>
        <v/>
      </c>
      <c r="S2729" s="17" t="str">
        <f>IF(INDEX(Listado!A:A,ROW())="","",INDEX(Listado!A:A,ROW()))</f>
        <v/>
      </c>
      <c r="T2729" s="17" t="str">
        <f ca="1">IF(INDEX(Listado!G:G,ROW())="","",INDEX(Listado!G:G,ROW()))</f>
        <v/>
      </c>
      <c r="U2729" s="17" t="str">
        <f>IF(INDEX(Listado!F:F,ROW())="","",INDEX(Listado!F:F,ROW()))</f>
        <v/>
      </c>
      <c r="V2729" s="17">
        <f>IF(COUNTA(INDEX(Listado!B:B,ROW()):INDEX(Listado!F:F,ROW()))&gt;0,1,0)</f>
        <v/>
      </c>
      <c r="W2729" s="17" t="str">
        <f>IF(INDEX(Listado!L:L,ROW())="","",INDEX(Listado!L:L,ROW()))</f>
        <v/>
      </c>
      <c r="X2729" s="17">
        <f>IF(N2729="","",IF(INDEX(Listado!$M:$M,N2729)="No","No","Sí"))</f>
        <v/>
      </c>
    </row>
    <row r="2730" spans="2:24" ht="14.25">
      <c r="N2730" s="17" t="str">
        <f>IF(V2730=0,"",IFERROR(LOOKUP(2,1/(INDEX(Listado!A:A,2):INDEX(Listado!A:A,ROW())&lt;&gt;""),ROW(INDEX(Listado!A:A,2):INDEX(Listado!A:A,ROW()))),""))</f>
        <v/>
      </c>
      <c r="O2730" s="17" t="str">
        <f>IFERROR(IF(N2730="","",IF(INDEX(Listado!M:M,N2730)="No",IF(INDEX(Listado!N:N,N2730)=0,"",INDEX(Listado!N:N,N2730)),IF(INDEX(Listado!I:I,N2730)=0,"",INDEX(Listado!I:I,N2730)))),"")</f>
        <v/>
      </c>
      <c r="P2730" s="17">
        <f t="shared" ca="1" si="127"/>
        <v/>
      </c>
      <c r="Q2730" s="17">
        <f>IFERROR(IF(AND(N2730&lt;&gt;"",ISNUMBER(O2730),O2730&gt;0,O2730&gt;=TODAY()-90),1,0),0)</f>
        <v/>
      </c>
      <c r="R2730" s="17" t="str">
        <f t="shared" si="129"/>
        <v/>
      </c>
      <c r="S2730" s="17" t="str">
        <f>IF(INDEX(Listado!A:A,ROW())="","",INDEX(Listado!A:A,ROW()))</f>
        <v/>
      </c>
      <c r="T2730" s="17" t="str">
        <f ca="1">IF(INDEX(Listado!G:G,ROW())="","",INDEX(Listado!G:G,ROW()))</f>
        <v/>
      </c>
      <c r="U2730" s="17" t="str">
        <f>IF(INDEX(Listado!F:F,ROW())="","",INDEX(Listado!F:F,ROW()))</f>
        <v/>
      </c>
      <c r="V2730" s="17">
        <f>IF(COUNTA(INDEX(Listado!B:B,ROW()):INDEX(Listado!F:F,ROW()))&gt;0,1,0)</f>
        <v/>
      </c>
      <c r="W2730" s="17" t="str">
        <f>IF(INDEX(Listado!L:L,ROW())="","",INDEX(Listado!L:L,ROW()))</f>
        <v/>
      </c>
      <c r="X2730" s="17">
        <f>IF(N2730="","",IF(INDEX(Listado!$M:$M,N2730)="No","No","Sí"))</f>
        <v/>
      </c>
    </row>
    <row r="2731" spans="2:24" ht="14.25">
      <c r="N2731" s="17" t="str">
        <f>IF(V2731=0,"",IFERROR(LOOKUP(2,1/(INDEX(Listado!A:A,2):INDEX(Listado!A:A,ROW())&lt;&gt;""),ROW(INDEX(Listado!A:A,2):INDEX(Listado!A:A,ROW()))),""))</f>
        <v/>
      </c>
      <c r="O2731" s="17" t="str">
        <f>IFERROR(IF(N2731="","",IF(INDEX(Listado!M:M,N2731)="No",IF(INDEX(Listado!N:N,N2731)=0,"",INDEX(Listado!N:N,N2731)),IF(INDEX(Listado!I:I,N2731)=0,"",INDEX(Listado!I:I,N2731)))),"")</f>
        <v/>
      </c>
      <c r="P2731" s="17">
        <f t="shared" ca="1" si="127"/>
        <v/>
      </c>
      <c r="Q2731" s="17">
        <f>IFERROR(IF(AND(N2731&lt;&gt;"",ISNUMBER(O2731),O2731&gt;0,O2731&gt;=TODAY()-90),1,0),0)</f>
        <v/>
      </c>
      <c r="R2731" s="17" t="str">
        <f t="shared" si="129"/>
        <v/>
      </c>
      <c r="S2731" s="17" t="str">
        <f>IF(INDEX(Listado!A:A,ROW())="","",INDEX(Listado!A:A,ROW()))</f>
        <v/>
      </c>
      <c r="T2731" s="17" t="str">
        <f ca="1">IF(INDEX(Listado!G:G,ROW())="","",INDEX(Listado!G:G,ROW()))</f>
        <v/>
      </c>
      <c r="U2731" s="17" t="str">
        <f>IF(INDEX(Listado!F:F,ROW())="","",INDEX(Listado!F:F,ROW()))</f>
        <v/>
      </c>
      <c r="V2731" s="17">
        <f>IF(COUNTA(INDEX(Listado!B:B,ROW()):INDEX(Listado!F:F,ROW()))&gt;0,1,0)</f>
        <v/>
      </c>
      <c r="W2731" s="17" t="str">
        <f>IF(INDEX(Listado!L:L,ROW())="","",INDEX(Listado!L:L,ROW()))</f>
        <v/>
      </c>
      <c r="X2731" s="17">
        <f>IF(N2731="","",IF(INDEX(Listado!$M:$M,N2731)="No","No","Sí"))</f>
        <v/>
      </c>
    </row>
    <row r="2732" spans="2:24" ht="14.25">
      <c r="N2732" s="17" t="str">
        <f>IF(V2732=0,"",IFERROR(LOOKUP(2,1/(INDEX(Listado!A:A,2):INDEX(Listado!A:A,ROW())&lt;&gt;""),ROW(INDEX(Listado!A:A,2):INDEX(Listado!A:A,ROW()))),""))</f>
        <v/>
      </c>
      <c r="O2732" s="17" t="str">
        <f>IFERROR(IF(N2732="","",IF(INDEX(Listado!M:M,N2732)="No",IF(INDEX(Listado!N:N,N2732)=0,"",INDEX(Listado!N:N,N2732)),IF(INDEX(Listado!I:I,N2732)=0,"",INDEX(Listado!I:I,N2732)))),"")</f>
        <v/>
      </c>
      <c r="P2732" s="17">
        <f t="shared" ca="1" si="127"/>
        <v/>
      </c>
      <c r="Q2732" s="17">
        <f>IFERROR(IF(AND(N2732&lt;&gt;"",ISNUMBER(O2732),O2732&gt;0,O2732&gt;=TODAY()-90),1,0),0)</f>
        <v/>
      </c>
      <c r="R2732" s="17" t="str">
        <f t="shared" si="129"/>
        <v/>
      </c>
      <c r="S2732" s="17" t="str">
        <f>IF(INDEX(Listado!A:A,ROW())="","",INDEX(Listado!A:A,ROW()))</f>
        <v/>
      </c>
      <c r="T2732" s="17" t="str">
        <f ca="1">IF(INDEX(Listado!G:G,ROW())="","",INDEX(Listado!G:G,ROW()))</f>
        <v/>
      </c>
      <c r="U2732" s="17" t="str">
        <f>IF(INDEX(Listado!F:F,ROW())="","",INDEX(Listado!F:F,ROW()))</f>
        <v/>
      </c>
      <c r="V2732" s="17">
        <f>IF(COUNTA(INDEX(Listado!B:B,ROW()):INDEX(Listado!F:F,ROW()))&gt;0,1,0)</f>
        <v/>
      </c>
      <c r="W2732" s="17" t="str">
        <f>IF(INDEX(Listado!L:L,ROW())="","",INDEX(Listado!L:L,ROW()))</f>
        <v/>
      </c>
      <c r="X2732" s="17">
        <f>IF(N2732="","",IF(INDEX(Listado!$M:$M,N2732)="No","No","Sí"))</f>
        <v/>
      </c>
    </row>
    <row r="2733" spans="2:24" ht="14.25">
      <c r="N2733" s="17" t="str">
        <f>IF(V2733=0,"",IFERROR(LOOKUP(2,1/(INDEX(Listado!A:A,2):INDEX(Listado!A:A,ROW())&lt;&gt;""),ROW(INDEX(Listado!A:A,2):INDEX(Listado!A:A,ROW()))),""))</f>
        <v/>
      </c>
      <c r="O2733" s="17" t="str">
        <f>IFERROR(IF(N2733="","",IF(INDEX(Listado!M:M,N2733)="No",IF(INDEX(Listado!N:N,N2733)=0,"",INDEX(Listado!N:N,N2733)),IF(INDEX(Listado!I:I,N2733)=0,"",INDEX(Listado!I:I,N2733)))),"")</f>
        <v/>
      </c>
      <c r="P2733" s="17">
        <f t="shared" ca="1" si="127"/>
        <v/>
      </c>
      <c r="Q2733" s="17">
        <f>IFERROR(IF(AND(N2733&lt;&gt;"",ISNUMBER(O2733),O2733&gt;0,O2733&gt;=TODAY()-90),1,0),0)</f>
        <v/>
      </c>
      <c r="R2733" s="17" t="str">
        <f t="shared" si="129"/>
        <v/>
      </c>
      <c r="S2733" s="17" t="str">
        <f>IF(INDEX(Listado!A:A,ROW())="","",INDEX(Listado!A:A,ROW()))</f>
        <v/>
      </c>
      <c r="T2733" s="17" t="str">
        <f ca="1">IF(INDEX(Listado!G:G,ROW())="","",INDEX(Listado!G:G,ROW()))</f>
        <v/>
      </c>
      <c r="U2733" s="17" t="str">
        <f>IF(INDEX(Listado!F:F,ROW())="","",INDEX(Listado!F:F,ROW()))</f>
        <v/>
      </c>
      <c r="V2733" s="17">
        <f>IF(COUNTA(INDEX(Listado!B:B,ROW()):INDEX(Listado!F:F,ROW()))&gt;0,1,0)</f>
        <v/>
      </c>
      <c r="W2733" s="17" t="str">
        <f>IF(INDEX(Listado!L:L,ROW())="","",INDEX(Listado!L:L,ROW()))</f>
        <v/>
      </c>
      <c r="X2733" s="17">
        <f>IF(N2733="","",IF(INDEX(Listado!$M:$M,N2733)="No","No","Sí"))</f>
        <v/>
      </c>
    </row>
    <row r="2734" spans="2:24" ht="14.25">
      <c r="N2734" s="17" t="str">
        <f>IF(V2734=0,"",IFERROR(LOOKUP(2,1/(INDEX(Listado!A:A,2):INDEX(Listado!A:A,ROW())&lt;&gt;""),ROW(INDEX(Listado!A:A,2):INDEX(Listado!A:A,ROW()))),""))</f>
        <v/>
      </c>
      <c r="O2734" s="17" t="str">
        <f>IFERROR(IF(N2734="","",IF(INDEX(Listado!M:M,N2734)="No",IF(INDEX(Listado!N:N,N2734)=0,"",INDEX(Listado!N:N,N2734)),IF(INDEX(Listado!I:I,N2734)=0,"",INDEX(Listado!I:I,N2734)))),"")</f>
        <v/>
      </c>
      <c r="P2734" s="17">
        <f t="shared" ca="1" si="127"/>
        <v/>
      </c>
      <c r="Q2734" s="17">
        <f>IFERROR(IF(AND(N2734&lt;&gt;"",ISNUMBER(O2734),O2734&gt;0,O2734&gt;=TODAY()-90),1,0),0)</f>
        <v/>
      </c>
      <c r="R2734" s="17" t="str">
        <f t="shared" si="129"/>
        <v/>
      </c>
      <c r="S2734" s="17" t="str">
        <f>IF(INDEX(Listado!A:A,ROW())="","",INDEX(Listado!A:A,ROW()))</f>
        <v/>
      </c>
      <c r="T2734" s="17" t="str">
        <f ca="1">IF(INDEX(Listado!G:G,ROW())="","",INDEX(Listado!G:G,ROW()))</f>
        <v/>
      </c>
      <c r="U2734" s="17" t="str">
        <f>IF(INDEX(Listado!F:F,ROW())="","",INDEX(Listado!F:F,ROW()))</f>
        <v/>
      </c>
      <c r="V2734" s="17">
        <f>IF(COUNTA(INDEX(Listado!B:B,ROW()):INDEX(Listado!F:F,ROW()))&gt;0,1,0)</f>
        <v/>
      </c>
      <c r="W2734" s="17" t="str">
        <f>IF(INDEX(Listado!L:L,ROW())="","",INDEX(Listado!L:L,ROW()))</f>
        <v/>
      </c>
      <c r="X2734" s="17">
        <f>IF(N2734="","",IF(INDEX(Listado!$M:$M,N2734)="No","No","Sí"))</f>
        <v/>
      </c>
    </row>
    <row r="2735" spans="2:24" ht="14.25">
      <c r="N2735" s="17" t="str">
        <f>IF(V2735=0,"",IFERROR(LOOKUP(2,1/(INDEX(Listado!A:A,2):INDEX(Listado!A:A,ROW())&lt;&gt;""),ROW(INDEX(Listado!A:A,2):INDEX(Listado!A:A,ROW()))),""))</f>
        <v/>
      </c>
      <c r="O2735" s="17" t="str">
        <f>IFERROR(IF(N2735="","",IF(INDEX(Listado!M:M,N2735)="No",IF(INDEX(Listado!N:N,N2735)=0,"",INDEX(Listado!N:N,N2735)),IF(INDEX(Listado!I:I,N2735)=0,"",INDEX(Listado!I:I,N2735)))),"")</f>
        <v/>
      </c>
      <c r="P2735" s="17">
        <f t="shared" ca="1" si="127"/>
        <v/>
      </c>
      <c r="Q2735" s="17">
        <f>IFERROR(IF(AND(N2735&lt;&gt;"",ISNUMBER(O2735),O2735&gt;0,O2735&gt;=TODAY()-90),1,0),0)</f>
        <v/>
      </c>
      <c r="R2735" s="17" t="str">
        <f t="shared" si="129"/>
        <v/>
      </c>
      <c r="S2735" s="17" t="str">
        <f>IF(INDEX(Listado!A:A,ROW())="","",INDEX(Listado!A:A,ROW()))</f>
        <v/>
      </c>
      <c r="T2735" s="17" t="str">
        <f ca="1">IF(INDEX(Listado!G:G,ROW())="","",INDEX(Listado!G:G,ROW()))</f>
        <v/>
      </c>
      <c r="U2735" s="17" t="str">
        <f>IF(INDEX(Listado!F:F,ROW())="","",INDEX(Listado!F:F,ROW()))</f>
        <v/>
      </c>
      <c r="V2735" s="17">
        <f>IF(COUNTA(INDEX(Listado!B:B,ROW()):INDEX(Listado!F:F,ROW()))&gt;0,1,0)</f>
        <v/>
      </c>
      <c r="W2735" s="17" t="str">
        <f>IF(INDEX(Listado!L:L,ROW())="","",INDEX(Listado!L:L,ROW()))</f>
        <v/>
      </c>
      <c r="X2735" s="17">
        <f>IF(N2735="","",IF(INDEX(Listado!$M:$M,N2735)="No","No","Sí"))</f>
        <v/>
      </c>
    </row>
    <row r="2736" spans="2:24" ht="14.25">
      <c r="N2736" s="17" t="str">
        <f>IF(V2736=0,"",IFERROR(LOOKUP(2,1/(INDEX(Listado!A:A,2):INDEX(Listado!A:A,ROW())&lt;&gt;""),ROW(INDEX(Listado!A:A,2):INDEX(Listado!A:A,ROW()))),""))</f>
        <v/>
      </c>
      <c r="O2736" s="17" t="str">
        <f>IFERROR(IF(N2736="","",IF(INDEX(Listado!M:M,N2736)="No",IF(INDEX(Listado!N:N,N2736)=0,"",INDEX(Listado!N:N,N2736)),IF(INDEX(Listado!I:I,N2736)=0,"",INDEX(Listado!I:I,N2736)))),"")</f>
        <v/>
      </c>
      <c r="P2736" s="17">
        <f t="shared" ca="1" si="127"/>
        <v/>
      </c>
      <c r="Q2736" s="17">
        <f>IFERROR(IF(AND(N2736&lt;&gt;"",ISNUMBER(O2736),O2736&gt;0,O2736&gt;=TODAY()-90),1,0),0)</f>
        <v/>
      </c>
      <c r="R2736" s="17" t="str">
        <f t="shared" si="129"/>
        <v/>
      </c>
      <c r="S2736" s="17" t="str">
        <f>IF(INDEX(Listado!A:A,ROW())="","",INDEX(Listado!A:A,ROW()))</f>
        <v/>
      </c>
      <c r="T2736" s="17" t="str">
        <f ca="1">IF(INDEX(Listado!G:G,ROW())="","",INDEX(Listado!G:G,ROW()))</f>
        <v/>
      </c>
      <c r="U2736" s="17" t="str">
        <f>IF(INDEX(Listado!F:F,ROW())="","",INDEX(Listado!F:F,ROW()))</f>
        <v/>
      </c>
      <c r="V2736" s="17">
        <f>IF(COUNTA(INDEX(Listado!B:B,ROW()):INDEX(Listado!F:F,ROW()))&gt;0,1,0)</f>
        <v/>
      </c>
      <c r="W2736" s="17" t="str">
        <f>IF(INDEX(Listado!L:L,ROW())="","",INDEX(Listado!L:L,ROW()))</f>
        <v/>
      </c>
      <c r="X2736" s="17">
        <f>IF(N2736="","",IF(INDEX(Listado!$M:$M,N2736)="No","No","Sí"))</f>
        <v/>
      </c>
    </row>
    <row r="2737" spans="2:24" ht="14.25">
      <c r="N2737" s="17" t="str">
        <f>IF(V2737=0,"",IFERROR(LOOKUP(2,1/(INDEX(Listado!A:A,2):INDEX(Listado!A:A,ROW())&lt;&gt;""),ROW(INDEX(Listado!A:A,2):INDEX(Listado!A:A,ROW()))),""))</f>
        <v/>
      </c>
      <c r="O2737" s="17" t="str">
        <f>IFERROR(IF(N2737="","",IF(INDEX(Listado!M:M,N2737)="No",IF(INDEX(Listado!N:N,N2737)=0,"",INDEX(Listado!N:N,N2737)),IF(INDEX(Listado!I:I,N2737)=0,"",INDEX(Listado!I:I,N2737)))),"")</f>
        <v/>
      </c>
      <c r="P2737" s="17">
        <f t="shared" ca="1" si="127"/>
        <v/>
      </c>
      <c r="Q2737" s="17">
        <f>IFERROR(IF(AND(N2737&lt;&gt;"",ISNUMBER(O2737),O2737&gt;0,O2737&gt;=TODAY()-90),1,0),0)</f>
        <v/>
      </c>
      <c r="R2737" s="17" t="str">
        <f t="shared" si="129"/>
        <v/>
      </c>
      <c r="S2737" s="17" t="str">
        <f>IF(INDEX(Listado!A:A,ROW())="","",INDEX(Listado!A:A,ROW()))</f>
        <v/>
      </c>
      <c r="T2737" s="17" t="str">
        <f ca="1">IF(INDEX(Listado!G:G,ROW())="","",INDEX(Listado!G:G,ROW()))</f>
        <v/>
      </c>
      <c r="U2737" s="17" t="str">
        <f>IF(INDEX(Listado!F:F,ROW())="","",INDEX(Listado!F:F,ROW()))</f>
        <v/>
      </c>
      <c r="V2737" s="17">
        <f>IF(COUNTA(INDEX(Listado!B:B,ROW()):INDEX(Listado!F:F,ROW()))&gt;0,1,0)</f>
        <v/>
      </c>
      <c r="W2737" s="17" t="str">
        <f>IF(INDEX(Listado!L:L,ROW())="","",INDEX(Listado!L:L,ROW()))</f>
        <v/>
      </c>
      <c r="X2737" s="17">
        <f>IF(N2737="","",IF(INDEX(Listado!$M:$M,N2737)="No","No","Sí"))</f>
        <v/>
      </c>
    </row>
    <row r="2738" spans="2:24" ht="14.25">
      <c r="N2738" s="17" t="str">
        <f>IF(V2738=0,"",IFERROR(LOOKUP(2,1/(INDEX(Listado!A:A,2):INDEX(Listado!A:A,ROW())&lt;&gt;""),ROW(INDEX(Listado!A:A,2):INDEX(Listado!A:A,ROW()))),""))</f>
        <v/>
      </c>
      <c r="O2738" s="17" t="str">
        <f>IFERROR(IF(N2738="","",IF(INDEX(Listado!M:M,N2738)="No",IF(INDEX(Listado!N:N,N2738)=0,"",INDEX(Listado!N:N,N2738)),IF(INDEX(Listado!I:I,N2738)=0,"",INDEX(Listado!I:I,N2738)))),"")</f>
        <v/>
      </c>
      <c r="P2738" s="17">
        <f t="shared" ca="1" si="127"/>
        <v/>
      </c>
      <c r="Q2738" s="17">
        <f>IFERROR(IF(AND(N2738&lt;&gt;"",ISNUMBER(O2738),O2738&gt;0,O2738&gt;=TODAY()-90),1,0),0)</f>
        <v/>
      </c>
      <c r="R2738" s="17" t="str">
        <f t="shared" si="129"/>
        <v/>
      </c>
      <c r="S2738" s="17" t="str">
        <f>IF(INDEX(Listado!A:A,ROW())="","",INDEX(Listado!A:A,ROW()))</f>
        <v/>
      </c>
      <c r="T2738" s="17" t="str">
        <f ca="1">IF(INDEX(Listado!G:G,ROW())="","",INDEX(Listado!G:G,ROW()))</f>
        <v/>
      </c>
      <c r="U2738" s="17" t="str">
        <f>IF(INDEX(Listado!F:F,ROW())="","",INDEX(Listado!F:F,ROW()))</f>
        <v/>
      </c>
      <c r="V2738" s="17">
        <f>IF(COUNTA(INDEX(Listado!B:B,ROW()):INDEX(Listado!F:F,ROW()))&gt;0,1,0)</f>
        <v/>
      </c>
      <c r="W2738" s="17" t="str">
        <f>IF(INDEX(Listado!L:L,ROW())="","",INDEX(Listado!L:L,ROW()))</f>
        <v/>
      </c>
      <c r="X2738" s="17">
        <f>IF(N2738="","",IF(INDEX(Listado!$M:$M,N2738)="No","No","Sí"))</f>
        <v/>
      </c>
    </row>
    <row r="2739" spans="2:24" ht="14.25">
      <c r="N2739" s="17" t="str">
        <f>IF(V2739=0,"",IFERROR(LOOKUP(2,1/(INDEX(Listado!A:A,2):INDEX(Listado!A:A,ROW())&lt;&gt;""),ROW(INDEX(Listado!A:A,2):INDEX(Listado!A:A,ROW()))),""))</f>
        <v/>
      </c>
      <c r="O2739" s="17" t="str">
        <f>IFERROR(IF(N2739="","",IF(INDEX(Listado!M:M,N2739)="No",IF(INDEX(Listado!N:N,N2739)=0,"",INDEX(Listado!N:N,N2739)),IF(INDEX(Listado!I:I,N2739)=0,"",INDEX(Listado!I:I,N2739)))),"")</f>
        <v/>
      </c>
      <c r="P2739" s="17">
        <f t="shared" ca="1" si="127"/>
        <v/>
      </c>
      <c r="Q2739" s="17">
        <f>IFERROR(IF(AND(N2739&lt;&gt;"",ISNUMBER(O2739),O2739&gt;0,O2739&gt;=TODAY()-90),1,0),0)</f>
        <v/>
      </c>
      <c r="R2739" s="17" t="str">
        <f t="shared" si="129"/>
        <v/>
      </c>
      <c r="S2739" s="17" t="str">
        <f>IF(INDEX(Listado!A:A,ROW())="","",INDEX(Listado!A:A,ROW()))</f>
        <v/>
      </c>
      <c r="T2739" s="17" t="str">
        <f ca="1">IF(INDEX(Listado!G:G,ROW())="","",INDEX(Listado!G:G,ROW()))</f>
        <v/>
      </c>
      <c r="U2739" s="17" t="str">
        <f>IF(INDEX(Listado!F:F,ROW())="","",INDEX(Listado!F:F,ROW()))</f>
        <v/>
      </c>
      <c r="V2739" s="17">
        <f>IF(COUNTA(INDEX(Listado!B:B,ROW()):INDEX(Listado!F:F,ROW()))&gt;0,1,0)</f>
        <v/>
      </c>
      <c r="W2739" s="17" t="str">
        <f>IF(INDEX(Listado!L:L,ROW())="","",INDEX(Listado!L:L,ROW()))</f>
        <v/>
      </c>
      <c r="X2739" s="17">
        <f>IF(N2739="","",IF(INDEX(Listado!$M:$M,N2739)="No","No","Sí"))</f>
        <v/>
      </c>
    </row>
    <row r="2740" spans="2:24" ht="14.25">
      <c r="N2740" s="17" t="str">
        <f>IF(V2740=0,"",IFERROR(LOOKUP(2,1/(INDEX(Listado!A:A,2):INDEX(Listado!A:A,ROW())&lt;&gt;""),ROW(INDEX(Listado!A:A,2):INDEX(Listado!A:A,ROW()))),""))</f>
        <v/>
      </c>
      <c r="O2740" s="17" t="str">
        <f>IFERROR(IF(N2740="","",IF(INDEX(Listado!M:M,N2740)="No",IF(INDEX(Listado!N:N,N2740)=0,"",INDEX(Listado!N:N,N2740)),IF(INDEX(Listado!I:I,N2740)=0,"",INDEX(Listado!I:I,N2740)))),"")</f>
        <v/>
      </c>
      <c r="P2740" s="17">
        <f t="shared" ca="1" si="127"/>
        <v/>
      </c>
      <c r="Q2740" s="17">
        <f>IFERROR(IF(AND(N2740&lt;&gt;"",ISNUMBER(O2740),O2740&gt;0,O2740&gt;=TODAY()-90),1,0),0)</f>
        <v/>
      </c>
      <c r="R2740" s="17" t="str">
        <f t="shared" si="129"/>
        <v/>
      </c>
      <c r="S2740" s="17" t="str">
        <f>IF(INDEX(Listado!A:A,ROW())="","",INDEX(Listado!A:A,ROW()))</f>
        <v/>
      </c>
      <c r="T2740" s="17" t="str">
        <f ca="1">IF(INDEX(Listado!G:G,ROW())="","",INDEX(Listado!G:G,ROW()))</f>
        <v/>
      </c>
      <c r="U2740" s="17" t="str">
        <f>IF(INDEX(Listado!F:F,ROW())="","",INDEX(Listado!F:F,ROW()))</f>
        <v/>
      </c>
      <c r="V2740" s="17">
        <f>IF(COUNTA(INDEX(Listado!B:B,ROW()):INDEX(Listado!F:F,ROW()))&gt;0,1,0)</f>
        <v/>
      </c>
      <c r="W2740" s="17" t="str">
        <f>IF(INDEX(Listado!L:L,ROW())="","",INDEX(Listado!L:L,ROW()))</f>
        <v/>
      </c>
      <c r="X2740" s="17">
        <f>IF(N2740="","",IF(INDEX(Listado!$M:$M,N2740)="No","No","Sí"))</f>
        <v/>
      </c>
    </row>
    <row r="2741" spans="2:24" ht="14.25">
      <c r="N2741" s="17" t="str">
        <f>IF(V2741=0,"",IFERROR(LOOKUP(2,1/(INDEX(Listado!A:A,2):INDEX(Listado!A:A,ROW())&lt;&gt;""),ROW(INDEX(Listado!A:A,2):INDEX(Listado!A:A,ROW()))),""))</f>
        <v/>
      </c>
      <c r="O2741" s="17" t="str">
        <f>IFERROR(IF(N2741="","",IF(INDEX(Listado!M:M,N2741)="No",IF(INDEX(Listado!N:N,N2741)=0,"",INDEX(Listado!N:N,N2741)),IF(INDEX(Listado!I:I,N2741)=0,"",INDEX(Listado!I:I,N2741)))),"")</f>
        <v/>
      </c>
      <c r="P2741" s="17">
        <f t="shared" ca="1" si="127"/>
        <v/>
      </c>
      <c r="Q2741" s="17">
        <f>IFERROR(IF(AND(N2741&lt;&gt;"",ISNUMBER(O2741),O2741&gt;0,O2741&gt;=TODAY()-90),1,0),0)</f>
        <v/>
      </c>
      <c r="R2741" s="17" t="str">
        <f t="shared" si="129"/>
        <v/>
      </c>
      <c r="S2741" s="17" t="str">
        <f>IF(INDEX(Listado!A:A,ROW())="","",INDEX(Listado!A:A,ROW()))</f>
        <v/>
      </c>
      <c r="T2741" s="17" t="str">
        <f ca="1">IF(INDEX(Listado!G:G,ROW())="","",INDEX(Listado!G:G,ROW()))</f>
        <v/>
      </c>
      <c r="U2741" s="17" t="str">
        <f>IF(INDEX(Listado!F:F,ROW())="","",INDEX(Listado!F:F,ROW()))</f>
        <v/>
      </c>
      <c r="V2741" s="17">
        <f>IF(COUNTA(INDEX(Listado!B:B,ROW()):INDEX(Listado!F:F,ROW()))&gt;0,1,0)</f>
        <v/>
      </c>
      <c r="W2741" s="17" t="str">
        <f>IF(INDEX(Listado!L:L,ROW())="","",INDEX(Listado!L:L,ROW()))</f>
        <v/>
      </c>
      <c r="X2741" s="17">
        <f>IF(N2741="","",IF(INDEX(Listado!$M:$M,N2741)="No","No","Sí"))</f>
        <v/>
      </c>
    </row>
    <row r="2742" spans="2:24" ht="14.25">
      <c r="N2742" s="17" t="str">
        <f>IF(V2742=0,"",IFERROR(LOOKUP(2,1/(INDEX(Listado!A:A,2):INDEX(Listado!A:A,ROW())&lt;&gt;""),ROW(INDEX(Listado!A:A,2):INDEX(Listado!A:A,ROW()))),""))</f>
        <v/>
      </c>
      <c r="O2742" s="17" t="str">
        <f>IFERROR(IF(N2742="","",IF(INDEX(Listado!M:M,N2742)="No",IF(INDEX(Listado!N:N,N2742)=0,"",INDEX(Listado!N:N,N2742)),IF(INDEX(Listado!I:I,N2742)=0,"",INDEX(Listado!I:I,N2742)))),"")</f>
        <v/>
      </c>
      <c r="P2742" s="17">
        <f t="shared" ca="1" si="127"/>
        <v/>
      </c>
      <c r="Q2742" s="17">
        <f>IFERROR(IF(AND(N2742&lt;&gt;"",ISNUMBER(O2742),O2742&gt;0,O2742&gt;=TODAY()-90),1,0),0)</f>
        <v/>
      </c>
      <c r="R2742" s="17" t="str">
        <f t="shared" si="129"/>
        <v/>
      </c>
      <c r="S2742" s="17" t="str">
        <f>IF(INDEX(Listado!A:A,ROW())="","",INDEX(Listado!A:A,ROW()))</f>
        <v/>
      </c>
      <c r="T2742" s="17" t="str">
        <f ca="1">IF(INDEX(Listado!G:G,ROW())="","",INDEX(Listado!G:G,ROW()))</f>
        <v/>
      </c>
      <c r="U2742" s="17" t="str">
        <f>IF(INDEX(Listado!F:F,ROW())="","",INDEX(Listado!F:F,ROW()))</f>
        <v/>
      </c>
      <c r="V2742" s="17">
        <f>IF(COUNTA(INDEX(Listado!B:B,ROW()):INDEX(Listado!F:F,ROW()))&gt;0,1,0)</f>
        <v/>
      </c>
      <c r="W2742" s="17" t="str">
        <f>IF(INDEX(Listado!L:L,ROW())="","",INDEX(Listado!L:L,ROW()))</f>
        <v/>
      </c>
      <c r="X2742" s="17">
        <f>IF(N2742="","",IF(INDEX(Listado!$M:$M,N2742)="No","No","Sí"))</f>
        <v/>
      </c>
    </row>
    <row r="2743" spans="2:24" ht="14.25">
      <c r="N2743" s="17" t="str">
        <f>IF(V2743=0,"",IFERROR(LOOKUP(2,1/(INDEX(Listado!A:A,2):INDEX(Listado!A:A,ROW())&lt;&gt;""),ROW(INDEX(Listado!A:A,2):INDEX(Listado!A:A,ROW()))),""))</f>
        <v/>
      </c>
      <c r="O2743" s="17" t="str">
        <f>IFERROR(IF(N2743="","",IF(INDEX(Listado!M:M,N2743)="No",IF(INDEX(Listado!N:N,N2743)=0,"",INDEX(Listado!N:N,N2743)),IF(INDEX(Listado!I:I,N2743)=0,"",INDEX(Listado!I:I,N2743)))),"")</f>
        <v/>
      </c>
      <c r="P2743" s="17">
        <f t="shared" ca="1" si="127"/>
        <v/>
      </c>
      <c r="Q2743" s="17">
        <f>IFERROR(IF(AND(N2743&lt;&gt;"",ISNUMBER(O2743),O2743&gt;0,O2743&gt;=TODAY()-90),1,0),0)</f>
        <v/>
      </c>
      <c r="R2743" s="17" t="str">
        <f t="shared" si="129"/>
        <v/>
      </c>
      <c r="S2743" s="17" t="str">
        <f>IF(INDEX(Listado!A:A,ROW())="","",INDEX(Listado!A:A,ROW()))</f>
        <v/>
      </c>
      <c r="T2743" s="17" t="str">
        <f ca="1">IF(INDEX(Listado!G:G,ROW())="","",INDEX(Listado!G:G,ROW()))</f>
        <v/>
      </c>
      <c r="U2743" s="17" t="str">
        <f>IF(INDEX(Listado!F:F,ROW())="","",INDEX(Listado!F:F,ROW()))</f>
        <v/>
      </c>
      <c r="V2743" s="17">
        <f>IF(COUNTA(INDEX(Listado!B:B,ROW()):INDEX(Listado!F:F,ROW()))&gt;0,1,0)</f>
        <v/>
      </c>
      <c r="W2743" s="17" t="str">
        <f>IF(INDEX(Listado!L:L,ROW())="","",INDEX(Listado!L:L,ROW()))</f>
        <v/>
      </c>
      <c r="X2743" s="17">
        <f>IF(N2743="","",IF(INDEX(Listado!$M:$M,N2743)="No","No","Sí"))</f>
        <v/>
      </c>
    </row>
    <row r="2744" spans="2:24" ht="14.25">
      <c r="N2744" s="17" t="str">
        <f>IF(V2744=0,"",IFERROR(LOOKUP(2,1/(INDEX(Listado!A:A,2):INDEX(Listado!A:A,ROW())&lt;&gt;""),ROW(INDEX(Listado!A:A,2):INDEX(Listado!A:A,ROW()))),""))</f>
        <v/>
      </c>
      <c r="O2744" s="17" t="str">
        <f>IFERROR(IF(N2744="","",IF(INDEX(Listado!M:M,N2744)="No",IF(INDEX(Listado!N:N,N2744)=0,"",INDEX(Listado!N:N,N2744)),IF(INDEX(Listado!I:I,N2744)=0,"",INDEX(Listado!I:I,N2744)))),"")</f>
        <v/>
      </c>
      <c r="P2744" s="17">
        <f t="shared" ca="1" si="127"/>
        <v/>
      </c>
      <c r="Q2744" s="17">
        <f>IFERROR(IF(AND(N2744&lt;&gt;"",ISNUMBER(O2744),O2744&gt;0,O2744&gt;=TODAY()-90),1,0),0)</f>
        <v/>
      </c>
      <c r="R2744" s="17" t="str">
        <f t="shared" si="129"/>
        <v/>
      </c>
      <c r="S2744" s="17" t="str">
        <f>IF(INDEX(Listado!A:A,ROW())="","",INDEX(Listado!A:A,ROW()))</f>
        <v/>
      </c>
      <c r="T2744" s="17" t="str">
        <f ca="1">IF(INDEX(Listado!G:G,ROW())="","",INDEX(Listado!G:G,ROW()))</f>
        <v/>
      </c>
      <c r="U2744" s="17" t="str">
        <f>IF(INDEX(Listado!F:F,ROW())="","",INDEX(Listado!F:F,ROW()))</f>
        <v/>
      </c>
      <c r="V2744" s="17">
        <f>IF(COUNTA(INDEX(Listado!B:B,ROW()):INDEX(Listado!F:F,ROW()))&gt;0,1,0)</f>
        <v/>
      </c>
      <c r="W2744" s="17" t="str">
        <f>IF(INDEX(Listado!L:L,ROW())="","",INDEX(Listado!L:L,ROW()))</f>
        <v/>
      </c>
      <c r="X2744" s="17">
        <f>IF(N2744="","",IF(INDEX(Listado!$M:$M,N2744)="No","No","Sí"))</f>
        <v/>
      </c>
    </row>
    <row r="2745" spans="2:24" ht="14.25">
      <c r="N2745" s="17" t="str">
        <f>IF(V2745=0,"",IFERROR(LOOKUP(2,1/(INDEX(Listado!A:A,2):INDEX(Listado!A:A,ROW())&lt;&gt;""),ROW(INDEX(Listado!A:A,2):INDEX(Listado!A:A,ROW()))),""))</f>
        <v/>
      </c>
      <c r="O2745" s="17" t="str">
        <f>IFERROR(IF(N2745="","",IF(INDEX(Listado!M:M,N2745)="No",IF(INDEX(Listado!N:N,N2745)=0,"",INDEX(Listado!N:N,N2745)),IF(INDEX(Listado!I:I,N2745)=0,"",INDEX(Listado!I:I,N2745)))),"")</f>
        <v/>
      </c>
      <c r="P2745" s="17">
        <f t="shared" ca="1" si="127"/>
        <v/>
      </c>
      <c r="Q2745" s="17">
        <f>IFERROR(IF(AND(N2745&lt;&gt;"",ISNUMBER(O2745),O2745&gt;0,O2745&gt;=TODAY()-90),1,0),0)</f>
        <v/>
      </c>
      <c r="R2745" s="17" t="str">
        <f t="shared" si="129"/>
        <v/>
      </c>
      <c r="S2745" s="17" t="str">
        <f>IF(INDEX(Listado!A:A,ROW())="","",INDEX(Listado!A:A,ROW()))</f>
        <v/>
      </c>
      <c r="T2745" s="17" t="str">
        <f ca="1">IF(INDEX(Listado!G:G,ROW())="","",INDEX(Listado!G:G,ROW()))</f>
        <v/>
      </c>
      <c r="U2745" s="17" t="str">
        <f>IF(INDEX(Listado!F:F,ROW())="","",INDEX(Listado!F:F,ROW()))</f>
        <v/>
      </c>
      <c r="V2745" s="17">
        <f>IF(COUNTA(INDEX(Listado!B:B,ROW()):INDEX(Listado!F:F,ROW()))&gt;0,1,0)</f>
        <v/>
      </c>
      <c r="W2745" s="17" t="str">
        <f>IF(INDEX(Listado!L:L,ROW())="","",INDEX(Listado!L:L,ROW()))</f>
        <v/>
      </c>
      <c r="X2745" s="17">
        <f>IF(N2745="","",IF(INDEX(Listado!$M:$M,N2745)="No","No","Sí"))</f>
        <v/>
      </c>
    </row>
    <row r="2746" spans="2:24" ht="14.25">
      <c r="N2746" s="17" t="str">
        <f>IF(V2746=0,"",IFERROR(LOOKUP(2,1/(INDEX(Listado!A:A,2):INDEX(Listado!A:A,ROW())&lt;&gt;""),ROW(INDEX(Listado!A:A,2):INDEX(Listado!A:A,ROW()))),""))</f>
        <v/>
      </c>
      <c r="O2746" s="17" t="str">
        <f>IFERROR(IF(N2746="","",IF(INDEX(Listado!M:M,N2746)="No",IF(INDEX(Listado!N:N,N2746)=0,"",INDEX(Listado!N:N,N2746)),IF(INDEX(Listado!I:I,N2746)=0,"",INDEX(Listado!I:I,N2746)))),"")</f>
        <v/>
      </c>
      <c r="P2746" s="17">
        <f t="shared" ca="1" si="127"/>
        <v/>
      </c>
      <c r="Q2746" s="17">
        <f>IFERROR(IF(AND(N2746&lt;&gt;"",ISNUMBER(O2746),O2746&gt;0,O2746&gt;=TODAY()-90),1,0),0)</f>
        <v/>
      </c>
      <c r="R2746" s="17" t="str">
        <f t="shared" si="129"/>
        <v/>
      </c>
      <c r="S2746" s="17" t="str">
        <f>IF(INDEX(Listado!A:A,ROW())="","",INDEX(Listado!A:A,ROW()))</f>
        <v/>
      </c>
      <c r="T2746" s="17" t="str">
        <f ca="1">IF(INDEX(Listado!G:G,ROW())="","",INDEX(Listado!G:G,ROW()))</f>
        <v/>
      </c>
      <c r="U2746" s="17" t="str">
        <f>IF(INDEX(Listado!F:F,ROW())="","",INDEX(Listado!F:F,ROW()))</f>
        <v/>
      </c>
      <c r="V2746" s="17">
        <f>IF(COUNTA(INDEX(Listado!B:B,ROW()):INDEX(Listado!F:F,ROW()))&gt;0,1,0)</f>
        <v/>
      </c>
      <c r="W2746" s="17" t="str">
        <f>IF(INDEX(Listado!L:L,ROW())="","",INDEX(Listado!L:L,ROW()))</f>
        <v/>
      </c>
      <c r="X2746" s="17">
        <f>IF(N2746="","",IF(INDEX(Listado!$M:$M,N2746)="No","No","Sí"))</f>
        <v/>
      </c>
    </row>
    <row r="2747" spans="2:24" ht="14.25">
      <c r="N2747" s="17" t="str">
        <f>IF(V2747=0,"",IFERROR(LOOKUP(2,1/(INDEX(Listado!A:A,2):INDEX(Listado!A:A,ROW())&lt;&gt;""),ROW(INDEX(Listado!A:A,2):INDEX(Listado!A:A,ROW()))),""))</f>
        <v/>
      </c>
      <c r="O2747" s="17" t="str">
        <f>IFERROR(IF(N2747="","",IF(INDEX(Listado!M:M,N2747)="No",IF(INDEX(Listado!N:N,N2747)=0,"",INDEX(Listado!N:N,N2747)),IF(INDEX(Listado!I:I,N2747)=0,"",INDEX(Listado!I:I,N2747)))),"")</f>
        <v/>
      </c>
      <c r="P2747" s="17">
        <f t="shared" ca="1" si="127"/>
        <v/>
      </c>
      <c r="Q2747" s="17">
        <f>IFERROR(IF(AND(N2747&lt;&gt;"",ISNUMBER(O2747),O2747&gt;0,O2747&gt;=TODAY()-90),1,0),0)</f>
        <v/>
      </c>
      <c r="R2747" s="17" t="str">
        <f t="shared" si="129"/>
        <v/>
      </c>
      <c r="S2747" s="17" t="str">
        <f>IF(INDEX(Listado!A:A,ROW())="","",INDEX(Listado!A:A,ROW()))</f>
        <v/>
      </c>
      <c r="T2747" s="17" t="str">
        <f ca="1">IF(INDEX(Listado!G:G,ROW())="","",INDEX(Listado!G:G,ROW()))</f>
        <v/>
      </c>
      <c r="U2747" s="17" t="str">
        <f>IF(INDEX(Listado!F:F,ROW())="","",INDEX(Listado!F:F,ROW()))</f>
        <v/>
      </c>
      <c r="V2747" s="17">
        <f>IF(COUNTA(INDEX(Listado!B:B,ROW()):INDEX(Listado!F:F,ROW()))&gt;0,1,0)</f>
        <v/>
      </c>
      <c r="W2747" s="17" t="str">
        <f>IF(INDEX(Listado!L:L,ROW())="","",INDEX(Listado!L:L,ROW()))</f>
        <v/>
      </c>
      <c r="X2747" s="17">
        <f>IF(N2747="","",IF(INDEX(Listado!$M:$M,N2747)="No","No","Sí"))</f>
        <v/>
      </c>
    </row>
    <row r="2748" spans="2:24" ht="14.25">
      <c r="N2748" s="17" t="str">
        <f>IF(V2748=0,"",IFERROR(LOOKUP(2,1/(INDEX(Listado!A:A,2):INDEX(Listado!A:A,ROW())&lt;&gt;""),ROW(INDEX(Listado!A:A,2):INDEX(Listado!A:A,ROW()))),""))</f>
        <v/>
      </c>
      <c r="O2748" s="17" t="str">
        <f>IFERROR(IF(N2748="","",IF(INDEX(Listado!M:M,N2748)="No",IF(INDEX(Listado!N:N,N2748)=0,"",INDEX(Listado!N:N,N2748)),IF(INDEX(Listado!I:I,N2748)=0,"",INDEX(Listado!I:I,N2748)))),"")</f>
        <v/>
      </c>
      <c r="P2748" s="17">
        <f t="shared" ca="1" si="127"/>
        <v/>
      </c>
      <c r="Q2748" s="17">
        <f>IFERROR(IF(AND(N2748&lt;&gt;"",ISNUMBER(O2748),O2748&gt;0,O2748&gt;=TODAY()-90),1,0),0)</f>
        <v/>
      </c>
      <c r="R2748" s="17" t="str">
        <f t="shared" si="129"/>
        <v/>
      </c>
      <c r="S2748" s="17" t="str">
        <f>IF(INDEX(Listado!A:A,ROW())="","",INDEX(Listado!A:A,ROW()))</f>
        <v/>
      </c>
      <c r="T2748" s="17" t="str">
        <f ca="1">IF(INDEX(Listado!G:G,ROW())="","",INDEX(Listado!G:G,ROW()))</f>
        <v/>
      </c>
      <c r="U2748" s="17" t="str">
        <f>IF(INDEX(Listado!F:F,ROW())="","",INDEX(Listado!F:F,ROW()))</f>
        <v/>
      </c>
      <c r="V2748" s="17">
        <f>IF(COUNTA(INDEX(Listado!B:B,ROW()):INDEX(Listado!F:F,ROW()))&gt;0,1,0)</f>
        <v/>
      </c>
      <c r="W2748" s="17" t="str">
        <f>IF(INDEX(Listado!L:L,ROW())="","",INDEX(Listado!L:L,ROW()))</f>
        <v/>
      </c>
      <c r="X2748" s="17">
        <f>IF(N2748="","",IF(INDEX(Listado!$M:$M,N2748)="No","No","Sí"))</f>
        <v/>
      </c>
    </row>
    <row r="2749" spans="2:24" ht="14.25">
      <c r="N2749" s="17" t="str">
        <f>IF(V2749=0,"",IFERROR(LOOKUP(2,1/(INDEX(Listado!A:A,2):INDEX(Listado!A:A,ROW())&lt;&gt;""),ROW(INDEX(Listado!A:A,2):INDEX(Listado!A:A,ROW()))),""))</f>
        <v/>
      </c>
      <c r="O2749" s="17" t="str">
        <f>IFERROR(IF(N2749="","",IF(INDEX(Listado!M:M,N2749)="No",IF(INDEX(Listado!N:N,N2749)=0,"",INDEX(Listado!N:N,N2749)),IF(INDEX(Listado!I:I,N2749)=0,"",INDEX(Listado!I:I,N2749)))),"")</f>
        <v/>
      </c>
      <c r="P2749" s="17">
        <f t="shared" ca="1" si="127"/>
        <v/>
      </c>
      <c r="Q2749" s="17">
        <f>IFERROR(IF(AND(N2749&lt;&gt;"",ISNUMBER(O2749),O2749&gt;0,O2749&gt;=TODAY()-90),1,0),0)</f>
        <v/>
      </c>
      <c r="R2749" s="17" t="str">
        <f t="shared" si="129"/>
        <v/>
      </c>
      <c r="S2749" s="17" t="str">
        <f>IF(INDEX(Listado!A:A,ROW())="","",INDEX(Listado!A:A,ROW()))</f>
        <v/>
      </c>
      <c r="T2749" s="17" t="str">
        <f ca="1">IF(INDEX(Listado!G:G,ROW())="","",INDEX(Listado!G:G,ROW()))</f>
        <v/>
      </c>
      <c r="U2749" s="17" t="str">
        <f>IF(INDEX(Listado!F:F,ROW())="","",INDEX(Listado!F:F,ROW()))</f>
        <v/>
      </c>
      <c r="V2749" s="17">
        <f>IF(COUNTA(INDEX(Listado!B:B,ROW()):INDEX(Listado!F:F,ROW()))&gt;0,1,0)</f>
        <v/>
      </c>
      <c r="W2749" s="17" t="str">
        <f>IF(INDEX(Listado!L:L,ROW())="","",INDEX(Listado!L:L,ROW()))</f>
        <v/>
      </c>
      <c r="X2749" s="17">
        <f>IF(N2749="","",IF(INDEX(Listado!$M:$M,N2749)="No","No","Sí"))</f>
        <v/>
      </c>
    </row>
    <row r="2750" spans="2:24" ht="14.25">
      <c r="N2750" s="17" t="str">
        <f>IF(V2750=0,"",IFERROR(LOOKUP(2,1/(INDEX(Listado!A:A,2):INDEX(Listado!A:A,ROW())&lt;&gt;""),ROW(INDEX(Listado!A:A,2):INDEX(Listado!A:A,ROW()))),""))</f>
        <v/>
      </c>
      <c r="O2750" s="17" t="str">
        <f>IFERROR(IF(N2750="","",IF(INDEX(Listado!M:M,N2750)="No",IF(INDEX(Listado!N:N,N2750)=0,"",INDEX(Listado!N:N,N2750)),IF(INDEX(Listado!I:I,N2750)=0,"",INDEX(Listado!I:I,N2750)))),"")</f>
        <v/>
      </c>
      <c r="P2750" s="17">
        <f t="shared" ca="1" si="127"/>
        <v/>
      </c>
      <c r="Q2750" s="17">
        <f>IFERROR(IF(AND(N2750&lt;&gt;"",ISNUMBER(O2750),O2750&gt;0,O2750&gt;=TODAY()-90),1,0),0)</f>
        <v/>
      </c>
      <c r="R2750" s="17" t="str">
        <f t="shared" si="129"/>
        <v/>
      </c>
      <c r="S2750" s="17" t="str">
        <f>IF(INDEX(Listado!A:A,ROW())="","",INDEX(Listado!A:A,ROW()))</f>
        <v/>
      </c>
      <c r="T2750" s="17" t="str">
        <f ca="1">IF(INDEX(Listado!G:G,ROW())="","",INDEX(Listado!G:G,ROW()))</f>
        <v/>
      </c>
      <c r="U2750" s="17" t="str">
        <f>IF(INDEX(Listado!F:F,ROW())="","",INDEX(Listado!F:F,ROW()))</f>
        <v/>
      </c>
      <c r="V2750" s="17">
        <f>IF(COUNTA(INDEX(Listado!B:B,ROW()):INDEX(Listado!F:F,ROW()))&gt;0,1,0)</f>
        <v/>
      </c>
      <c r="W2750" s="17" t="str">
        <f>IF(INDEX(Listado!L:L,ROW())="","",INDEX(Listado!L:L,ROW()))</f>
        <v/>
      </c>
      <c r="X2750" s="17">
        <f>IF(N2750="","",IF(INDEX(Listado!$M:$M,N2750)="No","No","Sí"))</f>
        <v/>
      </c>
    </row>
    <row r="2751" spans="2:24" ht="14.25">
      <c r="N2751" s="17" t="str">
        <f>IF(V2751=0,"",IFERROR(LOOKUP(2,1/(INDEX(Listado!A:A,2):INDEX(Listado!A:A,ROW())&lt;&gt;""),ROW(INDEX(Listado!A:A,2):INDEX(Listado!A:A,ROW()))),""))</f>
        <v/>
      </c>
      <c r="O2751" s="17" t="str">
        <f>IFERROR(IF(N2751="","",IF(INDEX(Listado!M:M,N2751)="No",IF(INDEX(Listado!N:N,N2751)=0,"",INDEX(Listado!N:N,N2751)),IF(INDEX(Listado!I:I,N2751)=0,"",INDEX(Listado!I:I,N2751)))),"")</f>
        <v/>
      </c>
      <c r="P2751" s="17">
        <f t="shared" ca="1" si="127"/>
        <v/>
      </c>
      <c r="Q2751" s="17">
        <f>IFERROR(IF(AND(N2751&lt;&gt;"",ISNUMBER(O2751),O2751&gt;0,O2751&gt;=TODAY()-90),1,0),0)</f>
        <v/>
      </c>
      <c r="R2751" s="17" t="str">
        <f t="shared" si="129"/>
        <v/>
      </c>
      <c r="S2751" s="17" t="str">
        <f>IF(INDEX(Listado!A:A,ROW())="","",INDEX(Listado!A:A,ROW()))</f>
        <v/>
      </c>
      <c r="T2751" s="17" t="str">
        <f ca="1">IF(INDEX(Listado!G:G,ROW())="","",INDEX(Listado!G:G,ROW()))</f>
        <v/>
      </c>
      <c r="U2751" s="17" t="str">
        <f>IF(INDEX(Listado!F:F,ROW())="","",INDEX(Listado!F:F,ROW()))</f>
        <v/>
      </c>
      <c r="V2751" s="17">
        <f>IF(COUNTA(INDEX(Listado!B:B,ROW()):INDEX(Listado!F:F,ROW()))&gt;0,1,0)</f>
        <v/>
      </c>
      <c r="W2751" s="17" t="str">
        <f>IF(INDEX(Listado!L:L,ROW())="","",INDEX(Listado!L:L,ROW()))</f>
        <v/>
      </c>
      <c r="X2751" s="17">
        <f>IF(N2751="","",IF(INDEX(Listado!$M:$M,N2751)="No","No","Sí"))</f>
        <v/>
      </c>
    </row>
    <row r="2752" spans="2:24" ht="14.25">
      <c r="N2752" s="17" t="str">
        <f>IF(V2752=0,"",IFERROR(LOOKUP(2,1/(INDEX(Listado!A:A,2):INDEX(Listado!A:A,ROW())&lt;&gt;""),ROW(INDEX(Listado!A:A,2):INDEX(Listado!A:A,ROW()))),""))</f>
        <v/>
      </c>
      <c r="O2752" s="17" t="str">
        <f>IFERROR(IF(N2752="","",IF(INDEX(Listado!M:M,N2752)="No",IF(INDEX(Listado!N:N,N2752)=0,"",INDEX(Listado!N:N,N2752)),IF(INDEX(Listado!I:I,N2752)=0,"",INDEX(Listado!I:I,N2752)))),"")</f>
        <v/>
      </c>
      <c r="P2752" s="17">
        <f t="shared" ca="1" si="127"/>
        <v/>
      </c>
      <c r="Q2752" s="17">
        <f>IFERROR(IF(AND(N2752&lt;&gt;"",ISNUMBER(O2752),O2752&gt;0,O2752&gt;=TODAY()-90),1,0),0)</f>
        <v/>
      </c>
      <c r="R2752" s="17" t="str">
        <f t="shared" si="129"/>
        <v/>
      </c>
      <c r="S2752" s="17" t="str">
        <f>IF(INDEX(Listado!A:A,ROW())="","",INDEX(Listado!A:A,ROW()))</f>
        <v/>
      </c>
      <c r="T2752" s="17" t="str">
        <f ca="1">IF(INDEX(Listado!G:G,ROW())="","",INDEX(Listado!G:G,ROW()))</f>
        <v/>
      </c>
      <c r="U2752" s="17" t="str">
        <f>IF(INDEX(Listado!F:F,ROW())="","",INDEX(Listado!F:F,ROW()))</f>
        <v/>
      </c>
      <c r="V2752" s="17">
        <f>IF(COUNTA(INDEX(Listado!B:B,ROW()):INDEX(Listado!F:F,ROW()))&gt;0,1,0)</f>
        <v/>
      </c>
      <c r="W2752" s="17" t="str">
        <f>IF(INDEX(Listado!L:L,ROW())="","",INDEX(Listado!L:L,ROW()))</f>
        <v/>
      </c>
      <c r="X2752" s="17">
        <f>IF(N2752="","",IF(INDEX(Listado!$M:$M,N2752)="No","No","Sí"))</f>
        <v/>
      </c>
    </row>
    <row r="2753" spans="2:24" ht="14.25">
      <c r="N2753" s="17" t="str">
        <f>IF(V2753=0,"",IFERROR(LOOKUP(2,1/(INDEX(Listado!A:A,2):INDEX(Listado!A:A,ROW())&lt;&gt;""),ROW(INDEX(Listado!A:A,2):INDEX(Listado!A:A,ROW()))),""))</f>
        <v/>
      </c>
      <c r="O2753" s="17" t="str">
        <f>IFERROR(IF(N2753="","",IF(INDEX(Listado!M:M,N2753)="No",IF(INDEX(Listado!N:N,N2753)=0,"",INDEX(Listado!N:N,N2753)),IF(INDEX(Listado!I:I,N2753)=0,"",INDEX(Listado!I:I,N2753)))),"")</f>
        <v/>
      </c>
      <c r="P2753" s="17">
        <f t="shared" ca="1" si="127"/>
        <v/>
      </c>
      <c r="Q2753" s="17">
        <f>IFERROR(IF(AND(N2753&lt;&gt;"",ISNUMBER(O2753),O2753&gt;0,O2753&gt;=TODAY()-90),1,0),0)</f>
        <v/>
      </c>
      <c r="R2753" s="17" t="str">
        <f t="shared" si="129"/>
        <v/>
      </c>
      <c r="S2753" s="17" t="str">
        <f>IF(INDEX(Listado!A:A,ROW())="","",INDEX(Listado!A:A,ROW()))</f>
        <v/>
      </c>
      <c r="T2753" s="17" t="str">
        <f ca="1">IF(INDEX(Listado!G:G,ROW())="","",INDEX(Listado!G:G,ROW()))</f>
        <v/>
      </c>
      <c r="U2753" s="17" t="str">
        <f>IF(INDEX(Listado!F:F,ROW())="","",INDEX(Listado!F:F,ROW()))</f>
        <v/>
      </c>
      <c r="V2753" s="17">
        <f>IF(COUNTA(INDEX(Listado!B:B,ROW()):INDEX(Listado!F:F,ROW()))&gt;0,1,0)</f>
        <v/>
      </c>
      <c r="W2753" s="17" t="str">
        <f>IF(INDEX(Listado!L:L,ROW())="","",INDEX(Listado!L:L,ROW()))</f>
        <v/>
      </c>
      <c r="X2753" s="17">
        <f>IF(N2753="","",IF(INDEX(Listado!$M:$M,N2753)="No","No","Sí"))</f>
        <v/>
      </c>
    </row>
    <row r="2754" spans="2:24" ht="14.25">
      <c r="N2754" s="17" t="str">
        <f>IF(V2754=0,"",IFERROR(LOOKUP(2,1/(INDEX(Listado!A:A,2):INDEX(Listado!A:A,ROW())&lt;&gt;""),ROW(INDEX(Listado!A:A,2):INDEX(Listado!A:A,ROW()))),""))</f>
        <v/>
      </c>
      <c r="O2754" s="17" t="str">
        <f>IFERROR(IF(N2754="","",IF(INDEX(Listado!M:M,N2754)="No",IF(INDEX(Listado!N:N,N2754)=0,"",INDEX(Listado!N:N,N2754)),IF(INDEX(Listado!I:I,N2754)=0,"",INDEX(Listado!I:I,N2754)))),"")</f>
        <v/>
      </c>
      <c r="P2754" s="17">
        <f t="shared" ref="P2754:P2817" ca="1" si="130">IF(W2754="",0,IFERROR(IF(AND(ISNUMBER(W2754),W2754=INT(W2754),ISNUMBER(O2754),O2754&gt;0,W2754&gt;=TODAY(),W2754&lt;=O2754+90),0,1),1))</f>
        <v/>
      </c>
      <c r="Q2754" s="17">
        <f>IFERROR(IF(AND(N2754&lt;&gt;"",ISNUMBER(O2754),O2754&gt;0,O2754&gt;=TODAY()-90),1,0),0)</f>
        <v/>
      </c>
      <c r="R2754" s="17" t="str">
        <f t="shared" ref="R2754:R2817" si="132">IF(S2754="","",COUNTIFS($N$2:$N$2999,ROW(),$Q$2:$Q$2999,1))</f>
        <v/>
      </c>
      <c r="S2754" s="17" t="str">
        <f>IF(INDEX(Listado!A:A,ROW())="","",INDEX(Listado!A:A,ROW()))</f>
        <v/>
      </c>
      <c r="T2754" s="17" t="str">
        <f ca="1">IF(INDEX(Listado!G:G,ROW())="","",INDEX(Listado!G:G,ROW()))</f>
        <v/>
      </c>
      <c r="U2754" s="17" t="str">
        <f>IF(INDEX(Listado!F:F,ROW())="","",INDEX(Listado!F:F,ROW()))</f>
        <v/>
      </c>
      <c r="V2754" s="17">
        <f>IF(COUNTA(INDEX(Listado!B:B,ROW()):INDEX(Listado!F:F,ROW()))&gt;0,1,0)</f>
        <v/>
      </c>
      <c r="W2754" s="17" t="str">
        <f>IF(INDEX(Listado!L:L,ROW())="","",INDEX(Listado!L:L,ROW()))</f>
        <v/>
      </c>
      <c r="X2754" s="17">
        <f>IF(N2754="","",IF(INDEX(Listado!$M:$M,N2754)="No","No","Sí"))</f>
        <v/>
      </c>
    </row>
    <row r="2755" spans="2:24" ht="14.25">
      <c r="N2755" s="17" t="str">
        <f>IF(V2755=0,"",IFERROR(LOOKUP(2,1/(INDEX(Listado!A:A,2):INDEX(Listado!A:A,ROW())&lt;&gt;""),ROW(INDEX(Listado!A:A,2):INDEX(Listado!A:A,ROW()))),""))</f>
        <v/>
      </c>
      <c r="O2755" s="17" t="str">
        <f>IFERROR(IF(N2755="","",IF(INDEX(Listado!M:M,N2755)="No",IF(INDEX(Listado!N:N,N2755)=0,"",INDEX(Listado!N:N,N2755)),IF(INDEX(Listado!I:I,N2755)=0,"",INDEX(Listado!I:I,N2755)))),"")</f>
        <v/>
      </c>
      <c r="P2755" s="17">
        <f t="shared" ca="1" si="130"/>
        <v/>
      </c>
      <c r="Q2755" s="17">
        <f>IFERROR(IF(AND(N2755&lt;&gt;"",ISNUMBER(O2755),O2755&gt;0,O2755&gt;=TODAY()-90),1,0),0)</f>
        <v/>
      </c>
      <c r="R2755" s="17" t="str">
        <f t="shared" si="132"/>
        <v/>
      </c>
      <c r="S2755" s="17" t="str">
        <f>IF(INDEX(Listado!A:A,ROW())="","",INDEX(Listado!A:A,ROW()))</f>
        <v/>
      </c>
      <c r="T2755" s="17" t="str">
        <f ca="1">IF(INDEX(Listado!G:G,ROW())="","",INDEX(Listado!G:G,ROW()))</f>
        <v/>
      </c>
      <c r="U2755" s="17" t="str">
        <f>IF(INDEX(Listado!F:F,ROW())="","",INDEX(Listado!F:F,ROW()))</f>
        <v/>
      </c>
      <c r="V2755" s="17">
        <f>IF(COUNTA(INDEX(Listado!B:B,ROW()):INDEX(Listado!F:F,ROW()))&gt;0,1,0)</f>
        <v/>
      </c>
      <c r="W2755" s="17" t="str">
        <f>IF(INDEX(Listado!L:L,ROW())="","",INDEX(Listado!L:L,ROW()))</f>
        <v/>
      </c>
      <c r="X2755" s="17">
        <f>IF(N2755="","",IF(INDEX(Listado!$M:$M,N2755)="No","No","Sí"))</f>
        <v/>
      </c>
    </row>
    <row r="2756" spans="2:24" ht="14.25">
      <c r="N2756" s="17" t="str">
        <f>IF(V2756=0,"",IFERROR(LOOKUP(2,1/(INDEX(Listado!A:A,2):INDEX(Listado!A:A,ROW())&lt;&gt;""),ROW(INDEX(Listado!A:A,2):INDEX(Listado!A:A,ROW()))),""))</f>
        <v/>
      </c>
      <c r="O2756" s="17" t="str">
        <f>IFERROR(IF(N2756="","",IF(INDEX(Listado!M:M,N2756)="No",IF(INDEX(Listado!N:N,N2756)=0,"",INDEX(Listado!N:N,N2756)),IF(INDEX(Listado!I:I,N2756)=0,"",INDEX(Listado!I:I,N2756)))),"")</f>
        <v/>
      </c>
      <c r="P2756" s="17">
        <f t="shared" ca="1" si="130"/>
        <v/>
      </c>
      <c r="Q2756" s="17">
        <f>IFERROR(IF(AND(N2756&lt;&gt;"",ISNUMBER(O2756),O2756&gt;0,O2756&gt;=TODAY()-90),1,0),0)</f>
        <v/>
      </c>
      <c r="R2756" s="17" t="str">
        <f t="shared" si="132"/>
        <v/>
      </c>
      <c r="S2756" s="17" t="str">
        <f>IF(INDEX(Listado!A:A,ROW())="","",INDEX(Listado!A:A,ROW()))</f>
        <v/>
      </c>
      <c r="T2756" s="17" t="str">
        <f ca="1">IF(INDEX(Listado!G:G,ROW())="","",INDEX(Listado!G:G,ROW()))</f>
        <v/>
      </c>
      <c r="U2756" s="17" t="str">
        <f>IF(INDEX(Listado!F:F,ROW())="","",INDEX(Listado!F:F,ROW()))</f>
        <v/>
      </c>
      <c r="V2756" s="17">
        <f>IF(COUNTA(INDEX(Listado!B:B,ROW()):INDEX(Listado!F:F,ROW()))&gt;0,1,0)</f>
        <v/>
      </c>
      <c r="W2756" s="17" t="str">
        <f>IF(INDEX(Listado!L:L,ROW())="","",INDEX(Listado!L:L,ROW()))</f>
        <v/>
      </c>
      <c r="X2756" s="17">
        <f>IF(N2756="","",IF(INDEX(Listado!$M:$M,N2756)="No","No","Sí"))</f>
        <v/>
      </c>
    </row>
    <row r="2757" spans="2:24" ht="14.25">
      <c r="N2757" s="17" t="str">
        <f>IF(V2757=0,"",IFERROR(LOOKUP(2,1/(INDEX(Listado!A:A,2):INDEX(Listado!A:A,ROW())&lt;&gt;""),ROW(INDEX(Listado!A:A,2):INDEX(Listado!A:A,ROW()))),""))</f>
        <v/>
      </c>
      <c r="O2757" s="17" t="str">
        <f>IFERROR(IF(N2757="","",IF(INDEX(Listado!M:M,N2757)="No",IF(INDEX(Listado!N:N,N2757)=0,"",INDEX(Listado!N:N,N2757)),IF(INDEX(Listado!I:I,N2757)=0,"",INDEX(Listado!I:I,N2757)))),"")</f>
        <v/>
      </c>
      <c r="P2757" s="17">
        <f t="shared" ca="1" si="130"/>
        <v/>
      </c>
      <c r="Q2757" s="17">
        <f>IFERROR(IF(AND(N2757&lt;&gt;"",ISNUMBER(O2757),O2757&gt;0,O2757&gt;=TODAY()-90),1,0),0)</f>
        <v/>
      </c>
      <c r="R2757" s="17" t="str">
        <f t="shared" si="132"/>
        <v/>
      </c>
      <c r="S2757" s="17" t="str">
        <f>IF(INDEX(Listado!A:A,ROW())="","",INDEX(Listado!A:A,ROW()))</f>
        <v/>
      </c>
      <c r="T2757" s="17" t="str">
        <f ca="1">IF(INDEX(Listado!G:G,ROW())="","",INDEX(Listado!G:G,ROW()))</f>
        <v/>
      </c>
      <c r="U2757" s="17" t="str">
        <f>IF(INDEX(Listado!F:F,ROW())="","",INDEX(Listado!F:F,ROW()))</f>
        <v/>
      </c>
      <c r="V2757" s="17">
        <f>IF(COUNTA(INDEX(Listado!B:B,ROW()):INDEX(Listado!F:F,ROW()))&gt;0,1,0)</f>
        <v/>
      </c>
      <c r="W2757" s="17" t="str">
        <f>IF(INDEX(Listado!L:L,ROW())="","",INDEX(Listado!L:L,ROW()))</f>
        <v/>
      </c>
      <c r="X2757" s="17">
        <f>IF(N2757="","",IF(INDEX(Listado!$M:$M,N2757)="No","No","Sí"))</f>
        <v/>
      </c>
    </row>
    <row r="2758" spans="2:24" ht="14.25">
      <c r="N2758" s="17" t="str">
        <f>IF(V2758=0,"",IFERROR(LOOKUP(2,1/(INDEX(Listado!A:A,2):INDEX(Listado!A:A,ROW())&lt;&gt;""),ROW(INDEX(Listado!A:A,2):INDEX(Listado!A:A,ROW()))),""))</f>
        <v/>
      </c>
      <c r="O2758" s="17" t="str">
        <f>IFERROR(IF(N2758="","",IF(INDEX(Listado!M:M,N2758)="No",IF(INDEX(Listado!N:N,N2758)=0,"",INDEX(Listado!N:N,N2758)),IF(INDEX(Listado!I:I,N2758)=0,"",INDEX(Listado!I:I,N2758)))),"")</f>
        <v/>
      </c>
      <c r="P2758" s="17">
        <f t="shared" ca="1" si="130"/>
        <v/>
      </c>
      <c r="Q2758" s="17">
        <f>IFERROR(IF(AND(N2758&lt;&gt;"",ISNUMBER(O2758),O2758&gt;0,O2758&gt;=TODAY()-90),1,0),0)</f>
        <v/>
      </c>
      <c r="R2758" s="17" t="str">
        <f t="shared" si="132"/>
        <v/>
      </c>
      <c r="S2758" s="17" t="str">
        <f>IF(INDEX(Listado!A:A,ROW())="","",INDEX(Listado!A:A,ROW()))</f>
        <v/>
      </c>
      <c r="T2758" s="17" t="str">
        <f ca="1">IF(INDEX(Listado!G:G,ROW())="","",INDEX(Listado!G:G,ROW()))</f>
        <v/>
      </c>
      <c r="U2758" s="17" t="str">
        <f>IF(INDEX(Listado!F:F,ROW())="","",INDEX(Listado!F:F,ROW()))</f>
        <v/>
      </c>
      <c r="V2758" s="17">
        <f>IF(COUNTA(INDEX(Listado!B:B,ROW()):INDEX(Listado!F:F,ROW()))&gt;0,1,0)</f>
        <v/>
      </c>
      <c r="W2758" s="17" t="str">
        <f>IF(INDEX(Listado!L:L,ROW())="","",INDEX(Listado!L:L,ROW()))</f>
        <v/>
      </c>
      <c r="X2758" s="17">
        <f>IF(N2758="","",IF(INDEX(Listado!$M:$M,N2758)="No","No","Sí"))</f>
        <v/>
      </c>
    </row>
    <row r="2759" spans="2:24" ht="14.25">
      <c r="N2759" s="17" t="str">
        <f>IF(V2759=0,"",IFERROR(LOOKUP(2,1/(INDEX(Listado!A:A,2):INDEX(Listado!A:A,ROW())&lt;&gt;""),ROW(INDEX(Listado!A:A,2):INDEX(Listado!A:A,ROW()))),""))</f>
        <v/>
      </c>
      <c r="O2759" s="17" t="str">
        <f>IFERROR(IF(N2759="","",IF(INDEX(Listado!M:M,N2759)="No",IF(INDEX(Listado!N:N,N2759)=0,"",INDEX(Listado!N:N,N2759)),IF(INDEX(Listado!I:I,N2759)=0,"",INDEX(Listado!I:I,N2759)))),"")</f>
        <v/>
      </c>
      <c r="P2759" s="17">
        <f t="shared" ca="1" si="130"/>
        <v/>
      </c>
      <c r="Q2759" s="17">
        <f>IFERROR(IF(AND(N2759&lt;&gt;"",ISNUMBER(O2759),O2759&gt;0,O2759&gt;=TODAY()-90),1,0),0)</f>
        <v/>
      </c>
      <c r="R2759" s="17" t="str">
        <f t="shared" si="132"/>
        <v/>
      </c>
      <c r="S2759" s="17" t="str">
        <f>IF(INDEX(Listado!A:A,ROW())="","",INDEX(Listado!A:A,ROW()))</f>
        <v/>
      </c>
      <c r="T2759" s="17" t="str">
        <f ca="1">IF(INDEX(Listado!G:G,ROW())="","",INDEX(Listado!G:G,ROW()))</f>
        <v/>
      </c>
      <c r="U2759" s="17" t="str">
        <f>IF(INDEX(Listado!F:F,ROW())="","",INDEX(Listado!F:F,ROW()))</f>
        <v/>
      </c>
      <c r="V2759" s="17">
        <f>IF(COUNTA(INDEX(Listado!B:B,ROW()):INDEX(Listado!F:F,ROW()))&gt;0,1,0)</f>
        <v/>
      </c>
      <c r="W2759" s="17" t="str">
        <f>IF(INDEX(Listado!L:L,ROW())="","",INDEX(Listado!L:L,ROW()))</f>
        <v/>
      </c>
      <c r="X2759" s="17">
        <f>IF(N2759="","",IF(INDEX(Listado!$M:$M,N2759)="No","No","Sí"))</f>
        <v/>
      </c>
    </row>
    <row r="2760" spans="2:24" ht="14.25">
      <c r="N2760" s="17" t="str">
        <f>IF(V2760=0,"",IFERROR(LOOKUP(2,1/(INDEX(Listado!A:A,2):INDEX(Listado!A:A,ROW())&lt;&gt;""),ROW(INDEX(Listado!A:A,2):INDEX(Listado!A:A,ROW()))),""))</f>
        <v/>
      </c>
      <c r="O2760" s="17" t="str">
        <f>IFERROR(IF(N2760="","",IF(INDEX(Listado!M:M,N2760)="No",IF(INDEX(Listado!N:N,N2760)=0,"",INDEX(Listado!N:N,N2760)),IF(INDEX(Listado!I:I,N2760)=0,"",INDEX(Listado!I:I,N2760)))),"")</f>
        <v/>
      </c>
      <c r="P2760" s="17">
        <f t="shared" ca="1" si="130"/>
        <v/>
      </c>
      <c r="Q2760" s="17">
        <f>IFERROR(IF(AND(N2760&lt;&gt;"",ISNUMBER(O2760),O2760&gt;0,O2760&gt;=TODAY()-90),1,0),0)</f>
        <v/>
      </c>
      <c r="R2760" s="17" t="str">
        <f t="shared" si="132"/>
        <v/>
      </c>
      <c r="S2760" s="17" t="str">
        <f>IF(INDEX(Listado!A:A,ROW())="","",INDEX(Listado!A:A,ROW()))</f>
        <v/>
      </c>
      <c r="T2760" s="17" t="str">
        <f ca="1">IF(INDEX(Listado!G:G,ROW())="","",INDEX(Listado!G:G,ROW()))</f>
        <v/>
      </c>
      <c r="U2760" s="17" t="str">
        <f>IF(INDEX(Listado!F:F,ROW())="","",INDEX(Listado!F:F,ROW()))</f>
        <v/>
      </c>
      <c r="V2760" s="17">
        <f>IF(COUNTA(INDEX(Listado!B:B,ROW()):INDEX(Listado!F:F,ROW()))&gt;0,1,0)</f>
        <v/>
      </c>
      <c r="W2760" s="17" t="str">
        <f>IF(INDEX(Listado!L:L,ROW())="","",INDEX(Listado!L:L,ROW()))</f>
        <v/>
      </c>
      <c r="X2760" s="17">
        <f>IF(N2760="","",IF(INDEX(Listado!$M:$M,N2760)="No","No","Sí"))</f>
        <v/>
      </c>
    </row>
    <row r="2761" spans="2:24" ht="14.25">
      <c r="N2761" s="17" t="str">
        <f>IF(V2761=0,"",IFERROR(LOOKUP(2,1/(INDEX(Listado!A:A,2):INDEX(Listado!A:A,ROW())&lt;&gt;""),ROW(INDEX(Listado!A:A,2):INDEX(Listado!A:A,ROW()))),""))</f>
        <v/>
      </c>
      <c r="O2761" s="17" t="str">
        <f>IFERROR(IF(N2761="","",IF(INDEX(Listado!M:M,N2761)="No",IF(INDEX(Listado!N:N,N2761)=0,"",INDEX(Listado!N:N,N2761)),IF(INDEX(Listado!I:I,N2761)=0,"",INDEX(Listado!I:I,N2761)))),"")</f>
        <v/>
      </c>
      <c r="P2761" s="17">
        <f t="shared" ca="1" si="130"/>
        <v/>
      </c>
      <c r="Q2761" s="17">
        <f>IFERROR(IF(AND(N2761&lt;&gt;"",ISNUMBER(O2761),O2761&gt;0,O2761&gt;=TODAY()-90),1,0),0)</f>
        <v/>
      </c>
      <c r="R2761" s="17" t="str">
        <f t="shared" si="132"/>
        <v/>
      </c>
      <c r="S2761" s="17" t="str">
        <f>IF(INDEX(Listado!A:A,ROW())="","",INDEX(Listado!A:A,ROW()))</f>
        <v/>
      </c>
      <c r="T2761" s="17" t="str">
        <f ca="1">IF(INDEX(Listado!G:G,ROW())="","",INDEX(Listado!G:G,ROW()))</f>
        <v/>
      </c>
      <c r="U2761" s="17" t="str">
        <f>IF(INDEX(Listado!F:F,ROW())="","",INDEX(Listado!F:F,ROW()))</f>
        <v/>
      </c>
      <c r="V2761" s="17">
        <f>IF(COUNTA(INDEX(Listado!B:B,ROW()):INDEX(Listado!F:F,ROW()))&gt;0,1,0)</f>
        <v/>
      </c>
      <c r="W2761" s="17" t="str">
        <f>IF(INDEX(Listado!L:L,ROW())="","",INDEX(Listado!L:L,ROW()))</f>
        <v/>
      </c>
      <c r="X2761" s="17">
        <f>IF(N2761="","",IF(INDEX(Listado!$M:$M,N2761)="No","No","Sí"))</f>
        <v/>
      </c>
    </row>
    <row r="2762" spans="2:24" ht="14.25">
      <c r="N2762" s="17" t="str">
        <f>IF(V2762=0,"",IFERROR(LOOKUP(2,1/(INDEX(Listado!A:A,2):INDEX(Listado!A:A,ROW())&lt;&gt;""),ROW(INDEX(Listado!A:A,2):INDEX(Listado!A:A,ROW()))),""))</f>
        <v/>
      </c>
      <c r="O2762" s="17" t="str">
        <f>IFERROR(IF(N2762="","",IF(INDEX(Listado!M:M,N2762)="No",IF(INDEX(Listado!N:N,N2762)=0,"",INDEX(Listado!N:N,N2762)),IF(INDEX(Listado!I:I,N2762)=0,"",INDEX(Listado!I:I,N2762)))),"")</f>
        <v/>
      </c>
      <c r="P2762" s="17">
        <f t="shared" ca="1" si="130"/>
        <v/>
      </c>
      <c r="Q2762" s="17">
        <f>IFERROR(IF(AND(N2762&lt;&gt;"",ISNUMBER(O2762),O2762&gt;0,O2762&gt;=TODAY()-90),1,0),0)</f>
        <v/>
      </c>
      <c r="R2762" s="17" t="str">
        <f t="shared" si="132"/>
        <v/>
      </c>
      <c r="S2762" s="17" t="str">
        <f>IF(INDEX(Listado!A:A,ROW())="","",INDEX(Listado!A:A,ROW()))</f>
        <v/>
      </c>
      <c r="T2762" s="17" t="str">
        <f ca="1">IF(INDEX(Listado!G:G,ROW())="","",INDEX(Listado!G:G,ROW()))</f>
        <v/>
      </c>
      <c r="U2762" s="17" t="str">
        <f>IF(INDEX(Listado!F:F,ROW())="","",INDEX(Listado!F:F,ROW()))</f>
        <v/>
      </c>
      <c r="V2762" s="17">
        <f>IF(COUNTA(INDEX(Listado!B:B,ROW()):INDEX(Listado!F:F,ROW()))&gt;0,1,0)</f>
        <v/>
      </c>
      <c r="W2762" s="17" t="str">
        <f>IF(INDEX(Listado!L:L,ROW())="","",INDEX(Listado!L:L,ROW()))</f>
        <v/>
      </c>
      <c r="X2762" s="17">
        <f>IF(N2762="","",IF(INDEX(Listado!$M:$M,N2762)="No","No","Sí"))</f>
        <v/>
      </c>
    </row>
    <row r="2763" spans="2:24" ht="14.25">
      <c r="N2763" s="17" t="str">
        <f>IF(V2763=0,"",IFERROR(LOOKUP(2,1/(INDEX(Listado!A:A,2):INDEX(Listado!A:A,ROW())&lt;&gt;""),ROW(INDEX(Listado!A:A,2):INDEX(Listado!A:A,ROW()))),""))</f>
        <v/>
      </c>
      <c r="O2763" s="17" t="str">
        <f>IFERROR(IF(N2763="","",IF(INDEX(Listado!M:M,N2763)="No",IF(INDEX(Listado!N:N,N2763)=0,"",INDEX(Listado!N:N,N2763)),IF(INDEX(Listado!I:I,N2763)=0,"",INDEX(Listado!I:I,N2763)))),"")</f>
        <v/>
      </c>
      <c r="P2763" s="17">
        <f t="shared" ca="1" si="130"/>
        <v/>
      </c>
      <c r="Q2763" s="17">
        <f>IFERROR(IF(AND(N2763&lt;&gt;"",ISNUMBER(O2763),O2763&gt;0,O2763&gt;=TODAY()-90),1,0),0)</f>
        <v/>
      </c>
      <c r="R2763" s="17" t="str">
        <f t="shared" si="132"/>
        <v/>
      </c>
      <c r="S2763" s="17" t="str">
        <f>IF(INDEX(Listado!A:A,ROW())="","",INDEX(Listado!A:A,ROW()))</f>
        <v/>
      </c>
      <c r="T2763" s="17" t="str">
        <f ca="1">IF(INDEX(Listado!G:G,ROW())="","",INDEX(Listado!G:G,ROW()))</f>
        <v/>
      </c>
      <c r="U2763" s="17" t="str">
        <f>IF(INDEX(Listado!F:F,ROW())="","",INDEX(Listado!F:F,ROW()))</f>
        <v/>
      </c>
      <c r="V2763" s="17">
        <f>IF(COUNTA(INDEX(Listado!B:B,ROW()):INDEX(Listado!F:F,ROW()))&gt;0,1,0)</f>
        <v/>
      </c>
      <c r="W2763" s="17" t="str">
        <f>IF(INDEX(Listado!L:L,ROW())="","",INDEX(Listado!L:L,ROW()))</f>
        <v/>
      </c>
      <c r="X2763" s="17">
        <f>IF(N2763="","",IF(INDEX(Listado!$M:$M,N2763)="No","No","Sí"))</f>
        <v/>
      </c>
    </row>
    <row r="2764" spans="2:24" ht="14.25">
      <c r="N2764" s="17" t="str">
        <f>IF(V2764=0,"",IFERROR(LOOKUP(2,1/(INDEX(Listado!A:A,2):INDEX(Listado!A:A,ROW())&lt;&gt;""),ROW(INDEX(Listado!A:A,2):INDEX(Listado!A:A,ROW()))),""))</f>
        <v/>
      </c>
      <c r="O2764" s="17" t="str">
        <f>IFERROR(IF(N2764="","",IF(INDEX(Listado!M:M,N2764)="No",IF(INDEX(Listado!N:N,N2764)=0,"",INDEX(Listado!N:N,N2764)),IF(INDEX(Listado!I:I,N2764)=0,"",INDEX(Listado!I:I,N2764)))),"")</f>
        <v/>
      </c>
      <c r="P2764" s="17">
        <f t="shared" ca="1" si="130"/>
        <v/>
      </c>
      <c r="Q2764" s="17">
        <f>IFERROR(IF(AND(N2764&lt;&gt;"",ISNUMBER(O2764),O2764&gt;0,O2764&gt;=TODAY()-90),1,0),0)</f>
        <v/>
      </c>
      <c r="R2764" s="17" t="str">
        <f t="shared" si="132"/>
        <v/>
      </c>
      <c r="S2764" s="17" t="str">
        <f>IF(INDEX(Listado!A:A,ROW())="","",INDEX(Listado!A:A,ROW()))</f>
        <v/>
      </c>
      <c r="T2764" s="17" t="str">
        <f ca="1">IF(INDEX(Listado!G:G,ROW())="","",INDEX(Listado!G:G,ROW()))</f>
        <v/>
      </c>
      <c r="U2764" s="17" t="str">
        <f>IF(INDEX(Listado!F:F,ROW())="","",INDEX(Listado!F:F,ROW()))</f>
        <v/>
      </c>
      <c r="V2764" s="17">
        <f>IF(COUNTA(INDEX(Listado!B:B,ROW()):INDEX(Listado!F:F,ROW()))&gt;0,1,0)</f>
        <v/>
      </c>
      <c r="W2764" s="17" t="str">
        <f>IF(INDEX(Listado!L:L,ROW())="","",INDEX(Listado!L:L,ROW()))</f>
        <v/>
      </c>
      <c r="X2764" s="17">
        <f>IF(N2764="","",IF(INDEX(Listado!$M:$M,N2764)="No","No","Sí"))</f>
        <v/>
      </c>
    </row>
    <row r="2765" spans="2:24" ht="14.25">
      <c r="N2765" s="17" t="str">
        <f>IF(V2765=0,"",IFERROR(LOOKUP(2,1/(INDEX(Listado!A:A,2):INDEX(Listado!A:A,ROW())&lt;&gt;""),ROW(INDEX(Listado!A:A,2):INDEX(Listado!A:A,ROW()))),""))</f>
        <v/>
      </c>
      <c r="O2765" s="17" t="str">
        <f>IFERROR(IF(N2765="","",IF(INDEX(Listado!M:M,N2765)="No",IF(INDEX(Listado!N:N,N2765)=0,"",INDEX(Listado!N:N,N2765)),IF(INDEX(Listado!I:I,N2765)=0,"",INDEX(Listado!I:I,N2765)))),"")</f>
        <v/>
      </c>
      <c r="P2765" s="17">
        <f t="shared" ca="1" si="130"/>
        <v/>
      </c>
      <c r="Q2765" s="17">
        <f>IFERROR(IF(AND(N2765&lt;&gt;"",ISNUMBER(O2765),O2765&gt;0,O2765&gt;=TODAY()-90),1,0),0)</f>
        <v/>
      </c>
      <c r="R2765" s="17" t="str">
        <f t="shared" si="132"/>
        <v/>
      </c>
      <c r="S2765" s="17" t="str">
        <f>IF(INDEX(Listado!A:A,ROW())="","",INDEX(Listado!A:A,ROW()))</f>
        <v/>
      </c>
      <c r="T2765" s="17" t="str">
        <f ca="1">IF(INDEX(Listado!G:G,ROW())="","",INDEX(Listado!G:G,ROW()))</f>
        <v/>
      </c>
      <c r="U2765" s="17" t="str">
        <f>IF(INDEX(Listado!F:F,ROW())="","",INDEX(Listado!F:F,ROW()))</f>
        <v/>
      </c>
      <c r="V2765" s="17">
        <f>IF(COUNTA(INDEX(Listado!B:B,ROW()):INDEX(Listado!F:F,ROW()))&gt;0,1,0)</f>
        <v/>
      </c>
      <c r="W2765" s="17" t="str">
        <f>IF(INDEX(Listado!L:L,ROW())="","",INDEX(Listado!L:L,ROW()))</f>
        <v/>
      </c>
      <c r="X2765" s="17">
        <f>IF(N2765="","",IF(INDEX(Listado!$M:$M,N2765)="No","No","Sí"))</f>
        <v/>
      </c>
    </row>
    <row r="2766" spans="2:24" ht="14.25">
      <c r="N2766" s="17" t="str">
        <f>IF(V2766=0,"",IFERROR(LOOKUP(2,1/(INDEX(Listado!A:A,2):INDEX(Listado!A:A,ROW())&lt;&gt;""),ROW(INDEX(Listado!A:A,2):INDEX(Listado!A:A,ROW()))),""))</f>
        <v/>
      </c>
      <c r="O2766" s="17" t="str">
        <f>IFERROR(IF(N2766="","",IF(INDEX(Listado!M:M,N2766)="No",IF(INDEX(Listado!N:N,N2766)=0,"",INDEX(Listado!N:N,N2766)),IF(INDEX(Listado!I:I,N2766)=0,"",INDEX(Listado!I:I,N2766)))),"")</f>
        <v/>
      </c>
      <c r="P2766" s="17">
        <f t="shared" ca="1" si="130"/>
        <v/>
      </c>
      <c r="Q2766" s="17">
        <f>IFERROR(IF(AND(N2766&lt;&gt;"",ISNUMBER(O2766),O2766&gt;0,O2766&gt;=TODAY()-90),1,0),0)</f>
        <v/>
      </c>
      <c r="R2766" s="17" t="str">
        <f t="shared" si="132"/>
        <v/>
      </c>
      <c r="S2766" s="17" t="str">
        <f>IF(INDEX(Listado!A:A,ROW())="","",INDEX(Listado!A:A,ROW()))</f>
        <v/>
      </c>
      <c r="T2766" s="17" t="str">
        <f ca="1">IF(INDEX(Listado!G:G,ROW())="","",INDEX(Listado!G:G,ROW()))</f>
        <v/>
      </c>
      <c r="U2766" s="17" t="str">
        <f>IF(INDEX(Listado!F:F,ROW())="","",INDEX(Listado!F:F,ROW()))</f>
        <v/>
      </c>
      <c r="V2766" s="17">
        <f>IF(COUNTA(INDEX(Listado!B:B,ROW()):INDEX(Listado!F:F,ROW()))&gt;0,1,0)</f>
        <v/>
      </c>
      <c r="W2766" s="17" t="str">
        <f>IF(INDEX(Listado!L:L,ROW())="","",INDEX(Listado!L:L,ROW()))</f>
        <v/>
      </c>
      <c r="X2766" s="17">
        <f>IF(N2766="","",IF(INDEX(Listado!$M:$M,N2766)="No","No","Sí"))</f>
        <v/>
      </c>
    </row>
    <row r="2767" spans="2:24" ht="14.25">
      <c r="N2767" s="17" t="str">
        <f>IF(V2767=0,"",IFERROR(LOOKUP(2,1/(INDEX(Listado!A:A,2):INDEX(Listado!A:A,ROW())&lt;&gt;""),ROW(INDEX(Listado!A:A,2):INDEX(Listado!A:A,ROW()))),""))</f>
        <v/>
      </c>
      <c r="O2767" s="17" t="str">
        <f>IFERROR(IF(N2767="","",IF(INDEX(Listado!M:M,N2767)="No",IF(INDEX(Listado!N:N,N2767)=0,"",INDEX(Listado!N:N,N2767)),IF(INDEX(Listado!I:I,N2767)=0,"",INDEX(Listado!I:I,N2767)))),"")</f>
        <v/>
      </c>
      <c r="P2767" s="17">
        <f t="shared" ca="1" si="130"/>
        <v/>
      </c>
      <c r="Q2767" s="17">
        <f>IFERROR(IF(AND(N2767&lt;&gt;"",ISNUMBER(O2767),O2767&gt;0,O2767&gt;=TODAY()-90),1,0),0)</f>
        <v/>
      </c>
      <c r="R2767" s="17" t="str">
        <f t="shared" si="132"/>
        <v/>
      </c>
      <c r="S2767" s="17" t="str">
        <f>IF(INDEX(Listado!A:A,ROW())="","",INDEX(Listado!A:A,ROW()))</f>
        <v/>
      </c>
      <c r="T2767" s="17" t="str">
        <f ca="1">IF(INDEX(Listado!G:G,ROW())="","",INDEX(Listado!G:G,ROW()))</f>
        <v/>
      </c>
      <c r="U2767" s="17" t="str">
        <f>IF(INDEX(Listado!F:F,ROW())="","",INDEX(Listado!F:F,ROW()))</f>
        <v/>
      </c>
      <c r="V2767" s="17">
        <f>IF(COUNTA(INDEX(Listado!B:B,ROW()):INDEX(Listado!F:F,ROW()))&gt;0,1,0)</f>
        <v/>
      </c>
      <c r="W2767" s="17" t="str">
        <f>IF(INDEX(Listado!L:L,ROW())="","",INDEX(Listado!L:L,ROW()))</f>
        <v/>
      </c>
      <c r="X2767" s="17">
        <f>IF(N2767="","",IF(INDEX(Listado!$M:$M,N2767)="No","No","Sí"))</f>
        <v/>
      </c>
    </row>
    <row r="2768" spans="2:24" ht="14.25">
      <c r="N2768" s="17" t="str">
        <f>IF(V2768=0,"",IFERROR(LOOKUP(2,1/(INDEX(Listado!A:A,2):INDEX(Listado!A:A,ROW())&lt;&gt;""),ROW(INDEX(Listado!A:A,2):INDEX(Listado!A:A,ROW()))),""))</f>
        <v/>
      </c>
      <c r="O2768" s="17" t="str">
        <f>IFERROR(IF(N2768="","",IF(INDEX(Listado!M:M,N2768)="No",IF(INDEX(Listado!N:N,N2768)=0,"",INDEX(Listado!N:N,N2768)),IF(INDEX(Listado!I:I,N2768)=0,"",INDEX(Listado!I:I,N2768)))),"")</f>
        <v/>
      </c>
      <c r="P2768" s="17">
        <f t="shared" ca="1" si="130"/>
        <v/>
      </c>
      <c r="Q2768" s="17">
        <f>IFERROR(IF(AND(N2768&lt;&gt;"",ISNUMBER(O2768),O2768&gt;0,O2768&gt;=TODAY()-90),1,0),0)</f>
        <v/>
      </c>
      <c r="R2768" s="17" t="str">
        <f t="shared" si="132"/>
        <v/>
      </c>
      <c r="S2768" s="17" t="str">
        <f>IF(INDEX(Listado!A:A,ROW())="","",INDEX(Listado!A:A,ROW()))</f>
        <v/>
      </c>
      <c r="T2768" s="17" t="str">
        <f ca="1">IF(INDEX(Listado!G:G,ROW())="","",INDEX(Listado!G:G,ROW()))</f>
        <v/>
      </c>
      <c r="U2768" s="17" t="str">
        <f>IF(INDEX(Listado!F:F,ROW())="","",INDEX(Listado!F:F,ROW()))</f>
        <v/>
      </c>
      <c r="V2768" s="17">
        <f>IF(COUNTA(INDEX(Listado!B:B,ROW()):INDEX(Listado!F:F,ROW()))&gt;0,1,0)</f>
        <v/>
      </c>
      <c r="W2768" s="17" t="str">
        <f>IF(INDEX(Listado!L:L,ROW())="","",INDEX(Listado!L:L,ROW()))</f>
        <v/>
      </c>
      <c r="X2768" s="17">
        <f>IF(N2768="","",IF(INDEX(Listado!$M:$M,N2768)="No","No","Sí"))</f>
        <v/>
      </c>
    </row>
    <row r="2769" spans="2:24" ht="14.25">
      <c r="N2769" s="17" t="str">
        <f>IF(V2769=0,"",IFERROR(LOOKUP(2,1/(INDEX(Listado!A:A,2):INDEX(Listado!A:A,ROW())&lt;&gt;""),ROW(INDEX(Listado!A:A,2):INDEX(Listado!A:A,ROW()))),""))</f>
        <v/>
      </c>
      <c r="O2769" s="17" t="str">
        <f>IFERROR(IF(N2769="","",IF(INDEX(Listado!M:M,N2769)="No",IF(INDEX(Listado!N:N,N2769)=0,"",INDEX(Listado!N:N,N2769)),IF(INDEX(Listado!I:I,N2769)=0,"",INDEX(Listado!I:I,N2769)))),"")</f>
        <v/>
      </c>
      <c r="P2769" s="17">
        <f t="shared" ca="1" si="130"/>
        <v/>
      </c>
      <c r="Q2769" s="17">
        <f>IFERROR(IF(AND(N2769&lt;&gt;"",ISNUMBER(O2769),O2769&gt;0,O2769&gt;=TODAY()-90),1,0),0)</f>
        <v/>
      </c>
      <c r="R2769" s="17" t="str">
        <f t="shared" si="132"/>
        <v/>
      </c>
      <c r="S2769" s="17" t="str">
        <f>IF(INDEX(Listado!A:A,ROW())="","",INDEX(Listado!A:A,ROW()))</f>
        <v/>
      </c>
      <c r="T2769" s="17" t="str">
        <f ca="1">IF(INDEX(Listado!G:G,ROW())="","",INDEX(Listado!G:G,ROW()))</f>
        <v/>
      </c>
      <c r="U2769" s="17" t="str">
        <f>IF(INDEX(Listado!F:F,ROW())="","",INDEX(Listado!F:F,ROW()))</f>
        <v/>
      </c>
      <c r="V2769" s="17">
        <f>IF(COUNTA(INDEX(Listado!B:B,ROW()):INDEX(Listado!F:F,ROW()))&gt;0,1,0)</f>
        <v/>
      </c>
      <c r="W2769" s="17" t="str">
        <f>IF(INDEX(Listado!L:L,ROW())="","",INDEX(Listado!L:L,ROW()))</f>
        <v/>
      </c>
      <c r="X2769" s="17">
        <f>IF(N2769="","",IF(INDEX(Listado!$M:$M,N2769)="No","No","Sí"))</f>
        <v/>
      </c>
    </row>
    <row r="2770" spans="2:24" ht="14.25">
      <c r="N2770" s="17" t="str">
        <f>IF(V2770=0,"",IFERROR(LOOKUP(2,1/(INDEX(Listado!A:A,2):INDEX(Listado!A:A,ROW())&lt;&gt;""),ROW(INDEX(Listado!A:A,2):INDEX(Listado!A:A,ROW()))),""))</f>
        <v/>
      </c>
      <c r="O2770" s="17" t="str">
        <f>IFERROR(IF(N2770="","",IF(INDEX(Listado!M:M,N2770)="No",IF(INDEX(Listado!N:N,N2770)=0,"",INDEX(Listado!N:N,N2770)),IF(INDEX(Listado!I:I,N2770)=0,"",INDEX(Listado!I:I,N2770)))),"")</f>
        <v/>
      </c>
      <c r="P2770" s="17">
        <f t="shared" ca="1" si="130"/>
        <v/>
      </c>
      <c r="Q2770" s="17">
        <f>IFERROR(IF(AND(N2770&lt;&gt;"",ISNUMBER(O2770),O2770&gt;0,O2770&gt;=TODAY()-90),1,0),0)</f>
        <v/>
      </c>
      <c r="R2770" s="17" t="str">
        <f t="shared" si="132"/>
        <v/>
      </c>
      <c r="S2770" s="17" t="str">
        <f>IF(INDEX(Listado!A:A,ROW())="","",INDEX(Listado!A:A,ROW()))</f>
        <v/>
      </c>
      <c r="T2770" s="17" t="str">
        <f ca="1">IF(INDEX(Listado!G:G,ROW())="","",INDEX(Listado!G:G,ROW()))</f>
        <v/>
      </c>
      <c r="U2770" s="17" t="str">
        <f>IF(INDEX(Listado!F:F,ROW())="","",INDEX(Listado!F:F,ROW()))</f>
        <v/>
      </c>
      <c r="V2770" s="17">
        <f>IF(COUNTA(INDEX(Listado!B:B,ROW()):INDEX(Listado!F:F,ROW()))&gt;0,1,0)</f>
        <v/>
      </c>
      <c r="W2770" s="17" t="str">
        <f>IF(INDEX(Listado!L:L,ROW())="","",INDEX(Listado!L:L,ROW()))</f>
        <v/>
      </c>
      <c r="X2770" s="17">
        <f>IF(N2770="","",IF(INDEX(Listado!$M:$M,N2770)="No","No","Sí"))</f>
        <v/>
      </c>
    </row>
    <row r="2771" spans="2:24" ht="14.25">
      <c r="N2771" s="17" t="str">
        <f>IF(V2771=0,"",IFERROR(LOOKUP(2,1/(INDEX(Listado!A:A,2):INDEX(Listado!A:A,ROW())&lt;&gt;""),ROW(INDEX(Listado!A:A,2):INDEX(Listado!A:A,ROW()))),""))</f>
        <v/>
      </c>
      <c r="O2771" s="17" t="str">
        <f>IFERROR(IF(N2771="","",IF(INDEX(Listado!M:M,N2771)="No",IF(INDEX(Listado!N:N,N2771)=0,"",INDEX(Listado!N:N,N2771)),IF(INDEX(Listado!I:I,N2771)=0,"",INDEX(Listado!I:I,N2771)))),"")</f>
        <v/>
      </c>
      <c r="P2771" s="17">
        <f t="shared" ca="1" si="130"/>
        <v/>
      </c>
      <c r="Q2771" s="17">
        <f>IFERROR(IF(AND(N2771&lt;&gt;"",ISNUMBER(O2771),O2771&gt;0,O2771&gt;=TODAY()-90),1,0),0)</f>
        <v/>
      </c>
      <c r="R2771" s="17" t="str">
        <f t="shared" si="132"/>
        <v/>
      </c>
      <c r="S2771" s="17" t="str">
        <f>IF(INDEX(Listado!A:A,ROW())="","",INDEX(Listado!A:A,ROW()))</f>
        <v/>
      </c>
      <c r="T2771" s="17" t="str">
        <f ca="1">IF(INDEX(Listado!G:G,ROW())="","",INDEX(Listado!G:G,ROW()))</f>
        <v/>
      </c>
      <c r="U2771" s="17" t="str">
        <f>IF(INDEX(Listado!F:F,ROW())="","",INDEX(Listado!F:F,ROW()))</f>
        <v/>
      </c>
      <c r="V2771" s="17">
        <f>IF(COUNTA(INDEX(Listado!B:B,ROW()):INDEX(Listado!F:F,ROW()))&gt;0,1,0)</f>
        <v/>
      </c>
      <c r="W2771" s="17" t="str">
        <f>IF(INDEX(Listado!L:L,ROW())="","",INDEX(Listado!L:L,ROW()))</f>
        <v/>
      </c>
      <c r="X2771" s="17">
        <f>IF(N2771="","",IF(INDEX(Listado!$M:$M,N2771)="No","No","Sí"))</f>
        <v/>
      </c>
    </row>
    <row r="2772" spans="2:24" ht="14.25">
      <c r="N2772" s="17" t="str">
        <f>IF(V2772=0,"",IFERROR(LOOKUP(2,1/(INDEX(Listado!A:A,2):INDEX(Listado!A:A,ROW())&lt;&gt;""),ROW(INDEX(Listado!A:A,2):INDEX(Listado!A:A,ROW()))),""))</f>
        <v/>
      </c>
      <c r="O2772" s="17" t="str">
        <f>IFERROR(IF(N2772="","",IF(INDEX(Listado!M:M,N2772)="No",IF(INDEX(Listado!N:N,N2772)=0,"",INDEX(Listado!N:N,N2772)),IF(INDEX(Listado!I:I,N2772)=0,"",INDEX(Listado!I:I,N2772)))),"")</f>
        <v/>
      </c>
      <c r="P2772" s="17">
        <f t="shared" ca="1" si="130"/>
        <v/>
      </c>
      <c r="Q2772" s="17">
        <f>IFERROR(IF(AND(N2772&lt;&gt;"",ISNUMBER(O2772),O2772&gt;0,O2772&gt;=TODAY()-90),1,0),0)</f>
        <v/>
      </c>
      <c r="R2772" s="17" t="str">
        <f t="shared" si="132"/>
        <v/>
      </c>
      <c r="S2772" s="17" t="str">
        <f>IF(INDEX(Listado!A:A,ROW())="","",INDEX(Listado!A:A,ROW()))</f>
        <v/>
      </c>
      <c r="T2772" s="17" t="str">
        <f ca="1">IF(INDEX(Listado!G:G,ROW())="","",INDEX(Listado!G:G,ROW()))</f>
        <v/>
      </c>
      <c r="U2772" s="17" t="str">
        <f>IF(INDEX(Listado!F:F,ROW())="","",INDEX(Listado!F:F,ROW()))</f>
        <v/>
      </c>
      <c r="V2772" s="17">
        <f>IF(COUNTA(INDEX(Listado!B:B,ROW()):INDEX(Listado!F:F,ROW()))&gt;0,1,0)</f>
        <v/>
      </c>
      <c r="W2772" s="17" t="str">
        <f>IF(INDEX(Listado!L:L,ROW())="","",INDEX(Listado!L:L,ROW()))</f>
        <v/>
      </c>
      <c r="X2772" s="17">
        <f>IF(N2772="","",IF(INDEX(Listado!$M:$M,N2772)="No","No","Sí"))</f>
        <v/>
      </c>
    </row>
    <row r="2773" spans="2:24" ht="14.25">
      <c r="N2773" s="17" t="str">
        <f>IF(V2773=0,"",IFERROR(LOOKUP(2,1/(INDEX(Listado!A:A,2):INDEX(Listado!A:A,ROW())&lt;&gt;""),ROW(INDEX(Listado!A:A,2):INDEX(Listado!A:A,ROW()))),""))</f>
        <v/>
      </c>
      <c r="O2773" s="17" t="str">
        <f>IFERROR(IF(N2773="","",IF(INDEX(Listado!M:M,N2773)="No",IF(INDEX(Listado!N:N,N2773)=0,"",INDEX(Listado!N:N,N2773)),IF(INDEX(Listado!I:I,N2773)=0,"",INDEX(Listado!I:I,N2773)))),"")</f>
        <v/>
      </c>
      <c r="P2773" s="17">
        <f t="shared" ca="1" si="130"/>
        <v/>
      </c>
      <c r="Q2773" s="17">
        <f>IFERROR(IF(AND(N2773&lt;&gt;"",ISNUMBER(O2773),O2773&gt;0,O2773&gt;=TODAY()-90),1,0),0)</f>
        <v/>
      </c>
      <c r="R2773" s="17" t="str">
        <f t="shared" si="132"/>
        <v/>
      </c>
      <c r="S2773" s="17" t="str">
        <f>IF(INDEX(Listado!A:A,ROW())="","",INDEX(Listado!A:A,ROW()))</f>
        <v/>
      </c>
      <c r="T2773" s="17" t="str">
        <f ca="1">IF(INDEX(Listado!G:G,ROW())="","",INDEX(Listado!G:G,ROW()))</f>
        <v/>
      </c>
      <c r="U2773" s="17" t="str">
        <f>IF(INDEX(Listado!F:F,ROW())="","",INDEX(Listado!F:F,ROW()))</f>
        <v/>
      </c>
      <c r="V2773" s="17">
        <f>IF(COUNTA(INDEX(Listado!B:B,ROW()):INDEX(Listado!F:F,ROW()))&gt;0,1,0)</f>
        <v/>
      </c>
      <c r="W2773" s="17" t="str">
        <f>IF(INDEX(Listado!L:L,ROW())="","",INDEX(Listado!L:L,ROW()))</f>
        <v/>
      </c>
      <c r="X2773" s="17">
        <f>IF(N2773="","",IF(INDEX(Listado!$M:$M,N2773)="No","No","Sí"))</f>
        <v/>
      </c>
    </row>
    <row r="2774" spans="2:24" ht="14.25">
      <c r="N2774" s="17" t="str">
        <f>IF(V2774=0,"",IFERROR(LOOKUP(2,1/(INDEX(Listado!A:A,2):INDEX(Listado!A:A,ROW())&lt;&gt;""),ROW(INDEX(Listado!A:A,2):INDEX(Listado!A:A,ROW()))),""))</f>
        <v/>
      </c>
      <c r="O2774" s="17" t="str">
        <f>IFERROR(IF(N2774="","",IF(INDEX(Listado!M:M,N2774)="No",IF(INDEX(Listado!N:N,N2774)=0,"",INDEX(Listado!N:N,N2774)),IF(INDEX(Listado!I:I,N2774)=0,"",INDEX(Listado!I:I,N2774)))),"")</f>
        <v/>
      </c>
      <c r="P2774" s="17">
        <f t="shared" ca="1" si="130"/>
        <v/>
      </c>
      <c r="Q2774" s="17">
        <f>IFERROR(IF(AND(N2774&lt;&gt;"",ISNUMBER(O2774),O2774&gt;0,O2774&gt;=TODAY()-90),1,0),0)</f>
        <v/>
      </c>
      <c r="R2774" s="17" t="str">
        <f t="shared" si="132"/>
        <v/>
      </c>
      <c r="S2774" s="17" t="str">
        <f>IF(INDEX(Listado!A:A,ROW())="","",INDEX(Listado!A:A,ROW()))</f>
        <v/>
      </c>
      <c r="T2774" s="17" t="str">
        <f ca="1">IF(INDEX(Listado!G:G,ROW())="","",INDEX(Listado!G:G,ROW()))</f>
        <v/>
      </c>
      <c r="U2774" s="17" t="str">
        <f>IF(INDEX(Listado!F:F,ROW())="","",INDEX(Listado!F:F,ROW()))</f>
        <v/>
      </c>
      <c r="V2774" s="17">
        <f>IF(COUNTA(INDEX(Listado!B:B,ROW()):INDEX(Listado!F:F,ROW()))&gt;0,1,0)</f>
        <v/>
      </c>
      <c r="W2774" s="17" t="str">
        <f>IF(INDEX(Listado!L:L,ROW())="","",INDEX(Listado!L:L,ROW()))</f>
        <v/>
      </c>
      <c r="X2774" s="17">
        <f>IF(N2774="","",IF(INDEX(Listado!$M:$M,N2774)="No","No","Sí"))</f>
        <v/>
      </c>
    </row>
    <row r="2775" spans="2:24" ht="14.25">
      <c r="N2775" s="17" t="str">
        <f>IF(V2775=0,"",IFERROR(LOOKUP(2,1/(INDEX(Listado!A:A,2):INDEX(Listado!A:A,ROW())&lt;&gt;""),ROW(INDEX(Listado!A:A,2):INDEX(Listado!A:A,ROW()))),""))</f>
        <v/>
      </c>
      <c r="O2775" s="17" t="str">
        <f>IFERROR(IF(N2775="","",IF(INDEX(Listado!M:M,N2775)="No",IF(INDEX(Listado!N:N,N2775)=0,"",INDEX(Listado!N:N,N2775)),IF(INDEX(Listado!I:I,N2775)=0,"",INDEX(Listado!I:I,N2775)))),"")</f>
        <v/>
      </c>
      <c r="P2775" s="17">
        <f t="shared" ca="1" si="130"/>
        <v/>
      </c>
      <c r="Q2775" s="17">
        <f>IFERROR(IF(AND(N2775&lt;&gt;"",ISNUMBER(O2775),O2775&gt;0,O2775&gt;=TODAY()-90),1,0),0)</f>
        <v/>
      </c>
      <c r="R2775" s="17" t="str">
        <f t="shared" si="132"/>
        <v/>
      </c>
      <c r="S2775" s="17" t="str">
        <f>IF(INDEX(Listado!A:A,ROW())="","",INDEX(Listado!A:A,ROW()))</f>
        <v/>
      </c>
      <c r="T2775" s="17" t="str">
        <f ca="1">IF(INDEX(Listado!G:G,ROW())="","",INDEX(Listado!G:G,ROW()))</f>
        <v/>
      </c>
      <c r="U2775" s="17" t="str">
        <f>IF(INDEX(Listado!F:F,ROW())="","",INDEX(Listado!F:F,ROW()))</f>
        <v/>
      </c>
      <c r="V2775" s="17">
        <f>IF(COUNTA(INDEX(Listado!B:B,ROW()):INDEX(Listado!F:F,ROW()))&gt;0,1,0)</f>
        <v/>
      </c>
      <c r="W2775" s="17" t="str">
        <f>IF(INDEX(Listado!L:L,ROW())="","",INDEX(Listado!L:L,ROW()))</f>
        <v/>
      </c>
      <c r="X2775" s="17">
        <f>IF(N2775="","",IF(INDEX(Listado!$M:$M,N2775)="No","No","Sí"))</f>
        <v/>
      </c>
    </row>
    <row r="2776" spans="2:24" ht="14.25">
      <c r="N2776" s="17" t="str">
        <f>IF(V2776=0,"",IFERROR(LOOKUP(2,1/(INDEX(Listado!A:A,2):INDEX(Listado!A:A,ROW())&lt;&gt;""),ROW(INDEX(Listado!A:A,2):INDEX(Listado!A:A,ROW()))),""))</f>
        <v/>
      </c>
      <c r="O2776" s="17" t="str">
        <f>IFERROR(IF(N2776="","",IF(INDEX(Listado!M:M,N2776)="No",IF(INDEX(Listado!N:N,N2776)=0,"",INDEX(Listado!N:N,N2776)),IF(INDEX(Listado!I:I,N2776)=0,"",INDEX(Listado!I:I,N2776)))),"")</f>
        <v/>
      </c>
      <c r="P2776" s="17">
        <f t="shared" ca="1" si="130"/>
        <v/>
      </c>
      <c r="Q2776" s="17">
        <f>IFERROR(IF(AND(N2776&lt;&gt;"",ISNUMBER(O2776),O2776&gt;0,O2776&gt;=TODAY()-90),1,0),0)</f>
        <v/>
      </c>
      <c r="R2776" s="17" t="str">
        <f t="shared" si="132"/>
        <v/>
      </c>
      <c r="S2776" s="17" t="str">
        <f>IF(INDEX(Listado!A:A,ROW())="","",INDEX(Listado!A:A,ROW()))</f>
        <v/>
      </c>
      <c r="T2776" s="17" t="str">
        <f ca="1">IF(INDEX(Listado!G:G,ROW())="","",INDEX(Listado!G:G,ROW()))</f>
        <v/>
      </c>
      <c r="U2776" s="17" t="str">
        <f>IF(INDEX(Listado!F:F,ROW())="","",INDEX(Listado!F:F,ROW()))</f>
        <v/>
      </c>
      <c r="V2776" s="17">
        <f>IF(COUNTA(INDEX(Listado!B:B,ROW()):INDEX(Listado!F:F,ROW()))&gt;0,1,0)</f>
        <v/>
      </c>
      <c r="W2776" s="17" t="str">
        <f>IF(INDEX(Listado!L:L,ROW())="","",INDEX(Listado!L:L,ROW()))</f>
        <v/>
      </c>
      <c r="X2776" s="17">
        <f>IF(N2776="","",IF(INDEX(Listado!$M:$M,N2776)="No","No","Sí"))</f>
        <v/>
      </c>
    </row>
    <row r="2777" spans="2:24" ht="14.25">
      <c r="N2777" s="17" t="str">
        <f>IF(V2777=0,"",IFERROR(LOOKUP(2,1/(INDEX(Listado!A:A,2):INDEX(Listado!A:A,ROW())&lt;&gt;""),ROW(INDEX(Listado!A:A,2):INDEX(Listado!A:A,ROW()))),""))</f>
        <v/>
      </c>
      <c r="O2777" s="17" t="str">
        <f>IFERROR(IF(N2777="","",IF(INDEX(Listado!M:M,N2777)="No",IF(INDEX(Listado!N:N,N2777)=0,"",INDEX(Listado!N:N,N2777)),IF(INDEX(Listado!I:I,N2777)=0,"",INDEX(Listado!I:I,N2777)))),"")</f>
        <v/>
      </c>
      <c r="P2777" s="17">
        <f t="shared" ca="1" si="130"/>
        <v/>
      </c>
      <c r="Q2777" s="17">
        <f>IFERROR(IF(AND(N2777&lt;&gt;"",ISNUMBER(O2777),O2777&gt;0,O2777&gt;=TODAY()-90),1,0),0)</f>
        <v/>
      </c>
      <c r="R2777" s="17" t="str">
        <f t="shared" si="132"/>
        <v/>
      </c>
      <c r="S2777" s="17" t="str">
        <f>IF(INDEX(Listado!A:A,ROW())="","",INDEX(Listado!A:A,ROW()))</f>
        <v/>
      </c>
      <c r="T2777" s="17" t="str">
        <f ca="1">IF(INDEX(Listado!G:G,ROW())="","",INDEX(Listado!G:G,ROW()))</f>
        <v/>
      </c>
      <c r="U2777" s="17" t="str">
        <f>IF(INDEX(Listado!F:F,ROW())="","",INDEX(Listado!F:F,ROW()))</f>
        <v/>
      </c>
      <c r="V2777" s="17">
        <f>IF(COUNTA(INDEX(Listado!B:B,ROW()):INDEX(Listado!F:F,ROW()))&gt;0,1,0)</f>
        <v/>
      </c>
      <c r="W2777" s="17" t="str">
        <f>IF(INDEX(Listado!L:L,ROW())="","",INDEX(Listado!L:L,ROW()))</f>
        <v/>
      </c>
      <c r="X2777" s="17">
        <f>IF(N2777="","",IF(INDEX(Listado!$M:$M,N2777)="No","No","Sí"))</f>
        <v/>
      </c>
    </row>
    <row r="2778" spans="2:24" ht="14.25">
      <c r="N2778" s="17" t="str">
        <f>IF(V2778=0,"",IFERROR(LOOKUP(2,1/(INDEX(Listado!A:A,2):INDEX(Listado!A:A,ROW())&lt;&gt;""),ROW(INDEX(Listado!A:A,2):INDEX(Listado!A:A,ROW()))),""))</f>
        <v/>
      </c>
      <c r="O2778" s="17" t="str">
        <f>IFERROR(IF(N2778="","",IF(INDEX(Listado!M:M,N2778)="No",IF(INDEX(Listado!N:N,N2778)=0,"",INDEX(Listado!N:N,N2778)),IF(INDEX(Listado!I:I,N2778)=0,"",INDEX(Listado!I:I,N2778)))),"")</f>
        <v/>
      </c>
      <c r="P2778" s="17">
        <f t="shared" ca="1" si="130"/>
        <v/>
      </c>
      <c r="Q2778" s="17">
        <f>IFERROR(IF(AND(N2778&lt;&gt;"",ISNUMBER(O2778),O2778&gt;0,O2778&gt;=TODAY()-90),1,0),0)</f>
        <v/>
      </c>
      <c r="R2778" s="17" t="str">
        <f t="shared" si="132"/>
        <v/>
      </c>
      <c r="S2778" s="17" t="str">
        <f>IF(INDEX(Listado!A:A,ROW())="","",INDEX(Listado!A:A,ROW()))</f>
        <v/>
      </c>
      <c r="T2778" s="17" t="str">
        <f ca="1">IF(INDEX(Listado!G:G,ROW())="","",INDEX(Listado!G:G,ROW()))</f>
        <v/>
      </c>
      <c r="U2778" s="17" t="str">
        <f>IF(INDEX(Listado!F:F,ROW())="","",INDEX(Listado!F:F,ROW()))</f>
        <v/>
      </c>
      <c r="V2778" s="17">
        <f>IF(COUNTA(INDEX(Listado!B:B,ROW()):INDEX(Listado!F:F,ROW()))&gt;0,1,0)</f>
        <v/>
      </c>
      <c r="W2778" s="17" t="str">
        <f>IF(INDEX(Listado!L:L,ROW())="","",INDEX(Listado!L:L,ROW()))</f>
        <v/>
      </c>
      <c r="X2778" s="17">
        <f>IF(N2778="","",IF(INDEX(Listado!$M:$M,N2778)="No","No","Sí"))</f>
        <v/>
      </c>
    </row>
    <row r="2779" spans="2:24" ht="14.25">
      <c r="N2779" s="17" t="str">
        <f>IF(V2779=0,"",IFERROR(LOOKUP(2,1/(INDEX(Listado!A:A,2):INDEX(Listado!A:A,ROW())&lt;&gt;""),ROW(INDEX(Listado!A:A,2):INDEX(Listado!A:A,ROW()))),""))</f>
        <v/>
      </c>
      <c r="O2779" s="17" t="str">
        <f>IFERROR(IF(N2779="","",IF(INDEX(Listado!M:M,N2779)="No",IF(INDEX(Listado!N:N,N2779)=0,"",INDEX(Listado!N:N,N2779)),IF(INDEX(Listado!I:I,N2779)=0,"",INDEX(Listado!I:I,N2779)))),"")</f>
        <v/>
      </c>
      <c r="P2779" s="17">
        <f t="shared" ca="1" si="130"/>
        <v/>
      </c>
      <c r="Q2779" s="17">
        <f>IFERROR(IF(AND(N2779&lt;&gt;"",ISNUMBER(O2779),O2779&gt;0,O2779&gt;=TODAY()-90),1,0),0)</f>
        <v/>
      </c>
      <c r="R2779" s="17" t="str">
        <f t="shared" si="132"/>
        <v/>
      </c>
      <c r="S2779" s="17" t="str">
        <f>IF(INDEX(Listado!A:A,ROW())="","",INDEX(Listado!A:A,ROW()))</f>
        <v/>
      </c>
      <c r="T2779" s="17" t="str">
        <f ca="1">IF(INDEX(Listado!G:G,ROW())="","",INDEX(Listado!G:G,ROW()))</f>
        <v/>
      </c>
      <c r="U2779" s="17" t="str">
        <f>IF(INDEX(Listado!F:F,ROW())="","",INDEX(Listado!F:F,ROW()))</f>
        <v/>
      </c>
      <c r="V2779" s="17">
        <f>IF(COUNTA(INDEX(Listado!B:B,ROW()):INDEX(Listado!F:F,ROW()))&gt;0,1,0)</f>
        <v/>
      </c>
      <c r="W2779" s="17" t="str">
        <f>IF(INDEX(Listado!L:L,ROW())="","",INDEX(Listado!L:L,ROW()))</f>
        <v/>
      </c>
      <c r="X2779" s="17">
        <f>IF(N2779="","",IF(INDEX(Listado!$M:$M,N2779)="No","No","Sí"))</f>
        <v/>
      </c>
    </row>
    <row r="2780" spans="2:24" ht="14.25">
      <c r="N2780" s="17" t="str">
        <f>IF(V2780=0,"",IFERROR(LOOKUP(2,1/(INDEX(Listado!A:A,2):INDEX(Listado!A:A,ROW())&lt;&gt;""),ROW(INDEX(Listado!A:A,2):INDEX(Listado!A:A,ROW()))),""))</f>
        <v/>
      </c>
      <c r="O2780" s="17" t="str">
        <f>IFERROR(IF(N2780="","",IF(INDEX(Listado!M:M,N2780)="No",IF(INDEX(Listado!N:N,N2780)=0,"",INDEX(Listado!N:N,N2780)),IF(INDEX(Listado!I:I,N2780)=0,"",INDEX(Listado!I:I,N2780)))),"")</f>
        <v/>
      </c>
      <c r="P2780" s="17">
        <f t="shared" ca="1" si="130"/>
        <v/>
      </c>
      <c r="Q2780" s="17">
        <f>IFERROR(IF(AND(N2780&lt;&gt;"",ISNUMBER(O2780),O2780&gt;0,O2780&gt;=TODAY()-90),1,0),0)</f>
        <v/>
      </c>
      <c r="R2780" s="17" t="str">
        <f t="shared" si="132"/>
        <v/>
      </c>
      <c r="S2780" s="17" t="str">
        <f>IF(INDEX(Listado!A:A,ROW())="","",INDEX(Listado!A:A,ROW()))</f>
        <v/>
      </c>
      <c r="T2780" s="17" t="str">
        <f ca="1">IF(INDEX(Listado!G:G,ROW())="","",INDEX(Listado!G:G,ROW()))</f>
        <v/>
      </c>
      <c r="U2780" s="17" t="str">
        <f>IF(INDEX(Listado!F:F,ROW())="","",INDEX(Listado!F:F,ROW()))</f>
        <v/>
      </c>
      <c r="V2780" s="17">
        <f>IF(COUNTA(INDEX(Listado!B:B,ROW()):INDEX(Listado!F:F,ROW()))&gt;0,1,0)</f>
        <v/>
      </c>
      <c r="W2780" s="17" t="str">
        <f>IF(INDEX(Listado!L:L,ROW())="","",INDEX(Listado!L:L,ROW()))</f>
        <v/>
      </c>
      <c r="X2780" s="17">
        <f>IF(N2780="","",IF(INDEX(Listado!$M:$M,N2780)="No","No","Sí"))</f>
        <v/>
      </c>
    </row>
    <row r="2781" spans="2:24" ht="14.25">
      <c r="N2781" s="17" t="str">
        <f>IF(V2781=0,"",IFERROR(LOOKUP(2,1/(INDEX(Listado!A:A,2):INDEX(Listado!A:A,ROW())&lt;&gt;""),ROW(INDEX(Listado!A:A,2):INDEX(Listado!A:A,ROW()))),""))</f>
        <v/>
      </c>
      <c r="O2781" s="17" t="str">
        <f>IFERROR(IF(N2781="","",IF(INDEX(Listado!M:M,N2781)="No",IF(INDEX(Listado!N:N,N2781)=0,"",INDEX(Listado!N:N,N2781)),IF(INDEX(Listado!I:I,N2781)=0,"",INDEX(Listado!I:I,N2781)))),"")</f>
        <v/>
      </c>
      <c r="P2781" s="17">
        <f t="shared" ca="1" si="130"/>
        <v/>
      </c>
      <c r="Q2781" s="17">
        <f>IFERROR(IF(AND(N2781&lt;&gt;"",ISNUMBER(O2781),O2781&gt;0,O2781&gt;=TODAY()-90),1,0),0)</f>
        <v/>
      </c>
      <c r="R2781" s="17" t="str">
        <f t="shared" si="132"/>
        <v/>
      </c>
      <c r="S2781" s="17" t="str">
        <f>IF(INDEX(Listado!A:A,ROW())="","",INDEX(Listado!A:A,ROW()))</f>
        <v/>
      </c>
      <c r="T2781" s="17" t="str">
        <f ca="1">IF(INDEX(Listado!G:G,ROW())="","",INDEX(Listado!G:G,ROW()))</f>
        <v/>
      </c>
      <c r="U2781" s="17" t="str">
        <f>IF(INDEX(Listado!F:F,ROW())="","",INDEX(Listado!F:F,ROW()))</f>
        <v/>
      </c>
      <c r="V2781" s="17">
        <f>IF(COUNTA(INDEX(Listado!B:B,ROW()):INDEX(Listado!F:F,ROW()))&gt;0,1,0)</f>
        <v/>
      </c>
      <c r="W2781" s="17" t="str">
        <f>IF(INDEX(Listado!L:L,ROW())="","",INDEX(Listado!L:L,ROW()))</f>
        <v/>
      </c>
      <c r="X2781" s="17">
        <f>IF(N2781="","",IF(INDEX(Listado!$M:$M,N2781)="No","No","Sí"))</f>
        <v/>
      </c>
    </row>
    <row r="2782" spans="2:24" ht="14.25">
      <c r="N2782" s="17" t="str">
        <f>IF(V2782=0,"",IFERROR(LOOKUP(2,1/(INDEX(Listado!A:A,2):INDEX(Listado!A:A,ROW())&lt;&gt;""),ROW(INDEX(Listado!A:A,2):INDEX(Listado!A:A,ROW()))),""))</f>
        <v/>
      </c>
      <c r="O2782" s="17" t="str">
        <f>IFERROR(IF(N2782="","",IF(INDEX(Listado!M:M,N2782)="No",IF(INDEX(Listado!N:N,N2782)=0,"",INDEX(Listado!N:N,N2782)),IF(INDEX(Listado!I:I,N2782)=0,"",INDEX(Listado!I:I,N2782)))),"")</f>
        <v/>
      </c>
      <c r="P2782" s="17">
        <f t="shared" ca="1" si="130"/>
        <v/>
      </c>
      <c r="Q2782" s="17">
        <f>IFERROR(IF(AND(N2782&lt;&gt;"",ISNUMBER(O2782),O2782&gt;0,O2782&gt;=TODAY()-90),1,0),0)</f>
        <v/>
      </c>
      <c r="R2782" s="17" t="str">
        <f t="shared" si="132"/>
        <v/>
      </c>
      <c r="S2782" s="17" t="str">
        <f>IF(INDEX(Listado!A:A,ROW())="","",INDEX(Listado!A:A,ROW()))</f>
        <v/>
      </c>
      <c r="T2782" s="17" t="str">
        <f ca="1">IF(INDEX(Listado!G:G,ROW())="","",INDEX(Listado!G:G,ROW()))</f>
        <v/>
      </c>
      <c r="U2782" s="17" t="str">
        <f>IF(INDEX(Listado!F:F,ROW())="","",INDEX(Listado!F:F,ROW()))</f>
        <v/>
      </c>
      <c r="V2782" s="17">
        <f>IF(COUNTA(INDEX(Listado!B:B,ROW()):INDEX(Listado!F:F,ROW()))&gt;0,1,0)</f>
        <v/>
      </c>
      <c r="W2782" s="17" t="str">
        <f>IF(INDEX(Listado!L:L,ROW())="","",INDEX(Listado!L:L,ROW()))</f>
        <v/>
      </c>
      <c r="X2782" s="17">
        <f>IF(N2782="","",IF(INDEX(Listado!$M:$M,N2782)="No","No","Sí"))</f>
        <v/>
      </c>
    </row>
    <row r="2783" spans="2:24" ht="14.25">
      <c r="N2783" s="17" t="str">
        <f>IF(V2783=0,"",IFERROR(LOOKUP(2,1/(INDEX(Listado!A:A,2):INDEX(Listado!A:A,ROW())&lt;&gt;""),ROW(INDEX(Listado!A:A,2):INDEX(Listado!A:A,ROW()))),""))</f>
        <v/>
      </c>
      <c r="O2783" s="17" t="str">
        <f>IFERROR(IF(N2783="","",IF(INDEX(Listado!M:M,N2783)="No",IF(INDEX(Listado!N:N,N2783)=0,"",INDEX(Listado!N:N,N2783)),IF(INDEX(Listado!I:I,N2783)=0,"",INDEX(Listado!I:I,N2783)))),"")</f>
        <v/>
      </c>
      <c r="P2783" s="17">
        <f t="shared" ca="1" si="130"/>
        <v/>
      </c>
      <c r="Q2783" s="17">
        <f>IFERROR(IF(AND(N2783&lt;&gt;"",ISNUMBER(O2783),O2783&gt;0,O2783&gt;=TODAY()-90),1,0),0)</f>
        <v/>
      </c>
      <c r="R2783" s="17" t="str">
        <f t="shared" si="132"/>
        <v/>
      </c>
      <c r="S2783" s="17" t="str">
        <f>IF(INDEX(Listado!A:A,ROW())="","",INDEX(Listado!A:A,ROW()))</f>
        <v/>
      </c>
      <c r="T2783" s="17" t="str">
        <f ca="1">IF(INDEX(Listado!G:G,ROW())="","",INDEX(Listado!G:G,ROW()))</f>
        <v/>
      </c>
      <c r="U2783" s="17" t="str">
        <f>IF(INDEX(Listado!F:F,ROW())="","",INDEX(Listado!F:F,ROW()))</f>
        <v/>
      </c>
      <c r="V2783" s="17">
        <f>IF(COUNTA(INDEX(Listado!B:B,ROW()):INDEX(Listado!F:F,ROW()))&gt;0,1,0)</f>
        <v/>
      </c>
      <c r="W2783" s="17" t="str">
        <f>IF(INDEX(Listado!L:L,ROW())="","",INDEX(Listado!L:L,ROW()))</f>
        <v/>
      </c>
      <c r="X2783" s="17">
        <f>IF(N2783="","",IF(INDEX(Listado!$M:$M,N2783)="No","No","Sí"))</f>
        <v/>
      </c>
    </row>
    <row r="2784" spans="2:24" ht="14.25">
      <c r="N2784" s="17" t="str">
        <f>IF(V2784=0,"",IFERROR(LOOKUP(2,1/(INDEX(Listado!A:A,2):INDEX(Listado!A:A,ROW())&lt;&gt;""),ROW(INDEX(Listado!A:A,2):INDEX(Listado!A:A,ROW()))),""))</f>
        <v/>
      </c>
      <c r="O2784" s="17" t="str">
        <f>IFERROR(IF(N2784="","",IF(INDEX(Listado!M:M,N2784)="No",IF(INDEX(Listado!N:N,N2784)=0,"",INDEX(Listado!N:N,N2784)),IF(INDEX(Listado!I:I,N2784)=0,"",INDEX(Listado!I:I,N2784)))),"")</f>
        <v/>
      </c>
      <c r="P2784" s="17">
        <f t="shared" ca="1" si="130"/>
        <v/>
      </c>
      <c r="Q2784" s="17">
        <f>IFERROR(IF(AND(N2784&lt;&gt;"",ISNUMBER(O2784),O2784&gt;0,O2784&gt;=TODAY()-90),1,0),0)</f>
        <v/>
      </c>
      <c r="R2784" s="17" t="str">
        <f t="shared" si="132"/>
        <v/>
      </c>
      <c r="S2784" s="17" t="str">
        <f>IF(INDEX(Listado!A:A,ROW())="","",INDEX(Listado!A:A,ROW()))</f>
        <v/>
      </c>
      <c r="T2784" s="17" t="str">
        <f ca="1">IF(INDEX(Listado!G:G,ROW())="","",INDEX(Listado!G:G,ROW()))</f>
        <v/>
      </c>
      <c r="U2784" s="17" t="str">
        <f>IF(INDEX(Listado!F:F,ROW())="","",INDEX(Listado!F:F,ROW()))</f>
        <v/>
      </c>
      <c r="V2784" s="17">
        <f>IF(COUNTA(INDEX(Listado!B:B,ROW()):INDEX(Listado!F:F,ROW()))&gt;0,1,0)</f>
        <v/>
      </c>
      <c r="W2784" s="17" t="str">
        <f>IF(INDEX(Listado!L:L,ROW())="","",INDEX(Listado!L:L,ROW()))</f>
        <v/>
      </c>
      <c r="X2784" s="17">
        <f>IF(N2784="","",IF(INDEX(Listado!$M:$M,N2784)="No","No","Sí"))</f>
        <v/>
      </c>
    </row>
    <row r="2785" spans="2:24" ht="14.25">
      <c r="N2785" s="17" t="str">
        <f>IF(V2785=0,"",IFERROR(LOOKUP(2,1/(INDEX(Listado!A:A,2):INDEX(Listado!A:A,ROW())&lt;&gt;""),ROW(INDEX(Listado!A:A,2):INDEX(Listado!A:A,ROW()))),""))</f>
        <v/>
      </c>
      <c r="O2785" s="17" t="str">
        <f>IFERROR(IF(N2785="","",IF(INDEX(Listado!M:M,N2785)="No",IF(INDEX(Listado!N:N,N2785)=0,"",INDEX(Listado!N:N,N2785)),IF(INDEX(Listado!I:I,N2785)=0,"",INDEX(Listado!I:I,N2785)))),"")</f>
        <v/>
      </c>
      <c r="P2785" s="17">
        <f t="shared" ca="1" si="130"/>
        <v/>
      </c>
      <c r="Q2785" s="17">
        <f>IFERROR(IF(AND(N2785&lt;&gt;"",ISNUMBER(O2785),O2785&gt;0,O2785&gt;=TODAY()-90),1,0),0)</f>
        <v/>
      </c>
      <c r="R2785" s="17" t="str">
        <f t="shared" si="132"/>
        <v/>
      </c>
      <c r="S2785" s="17" t="str">
        <f>IF(INDEX(Listado!A:A,ROW())="","",INDEX(Listado!A:A,ROW()))</f>
        <v/>
      </c>
      <c r="T2785" s="17" t="str">
        <f ca="1">IF(INDEX(Listado!G:G,ROW())="","",INDEX(Listado!G:G,ROW()))</f>
        <v/>
      </c>
      <c r="U2785" s="17" t="str">
        <f>IF(INDEX(Listado!F:F,ROW())="","",INDEX(Listado!F:F,ROW()))</f>
        <v/>
      </c>
      <c r="V2785" s="17">
        <f>IF(COUNTA(INDEX(Listado!B:B,ROW()):INDEX(Listado!F:F,ROW()))&gt;0,1,0)</f>
        <v/>
      </c>
      <c r="W2785" s="17" t="str">
        <f>IF(INDEX(Listado!L:L,ROW())="","",INDEX(Listado!L:L,ROW()))</f>
        <v/>
      </c>
      <c r="X2785" s="17">
        <f>IF(N2785="","",IF(INDEX(Listado!$M:$M,N2785)="No","No","Sí"))</f>
        <v/>
      </c>
    </row>
    <row r="2786" spans="2:24" ht="14.25">
      <c r="N2786" s="17" t="str">
        <f>IF(V2786=0,"",IFERROR(LOOKUP(2,1/(INDEX(Listado!A:A,2):INDEX(Listado!A:A,ROW())&lt;&gt;""),ROW(INDEX(Listado!A:A,2):INDEX(Listado!A:A,ROW()))),""))</f>
        <v/>
      </c>
      <c r="O2786" s="17" t="str">
        <f>IFERROR(IF(N2786="","",IF(INDEX(Listado!M:M,N2786)="No",IF(INDEX(Listado!N:N,N2786)=0,"",INDEX(Listado!N:N,N2786)),IF(INDEX(Listado!I:I,N2786)=0,"",INDEX(Listado!I:I,N2786)))),"")</f>
        <v/>
      </c>
      <c r="P2786" s="17">
        <f t="shared" ca="1" si="130"/>
        <v/>
      </c>
      <c r="Q2786" s="17">
        <f>IFERROR(IF(AND(N2786&lt;&gt;"",ISNUMBER(O2786),O2786&gt;0,O2786&gt;=TODAY()-90),1,0),0)</f>
        <v/>
      </c>
      <c r="R2786" s="17" t="str">
        <f t="shared" si="132"/>
        <v/>
      </c>
      <c r="S2786" s="17" t="str">
        <f>IF(INDEX(Listado!A:A,ROW())="","",INDEX(Listado!A:A,ROW()))</f>
        <v/>
      </c>
      <c r="T2786" s="17" t="str">
        <f ca="1">IF(INDEX(Listado!G:G,ROW())="","",INDEX(Listado!G:G,ROW()))</f>
        <v/>
      </c>
      <c r="U2786" s="17" t="str">
        <f>IF(INDEX(Listado!F:F,ROW())="","",INDEX(Listado!F:F,ROW()))</f>
        <v/>
      </c>
      <c r="V2786" s="17">
        <f>IF(COUNTA(INDEX(Listado!B:B,ROW()):INDEX(Listado!F:F,ROW()))&gt;0,1,0)</f>
        <v/>
      </c>
      <c r="W2786" s="17" t="str">
        <f>IF(INDEX(Listado!L:L,ROW())="","",INDEX(Listado!L:L,ROW()))</f>
        <v/>
      </c>
      <c r="X2786" s="17">
        <f>IF(N2786="","",IF(INDEX(Listado!$M:$M,N2786)="No","No","Sí"))</f>
        <v/>
      </c>
    </row>
    <row r="2787" spans="2:24" ht="14.25">
      <c r="N2787" s="17" t="str">
        <f>IF(V2787=0,"",IFERROR(LOOKUP(2,1/(INDEX(Listado!A:A,2):INDEX(Listado!A:A,ROW())&lt;&gt;""),ROW(INDEX(Listado!A:A,2):INDEX(Listado!A:A,ROW()))),""))</f>
        <v/>
      </c>
      <c r="O2787" s="17" t="str">
        <f>IFERROR(IF(N2787="","",IF(INDEX(Listado!M:M,N2787)="No",IF(INDEX(Listado!N:N,N2787)=0,"",INDEX(Listado!N:N,N2787)),IF(INDEX(Listado!I:I,N2787)=0,"",INDEX(Listado!I:I,N2787)))),"")</f>
        <v/>
      </c>
      <c r="P2787" s="17">
        <f t="shared" ca="1" si="130"/>
        <v/>
      </c>
      <c r="Q2787" s="17">
        <f>IFERROR(IF(AND(N2787&lt;&gt;"",ISNUMBER(O2787),O2787&gt;0,O2787&gt;=TODAY()-90),1,0),0)</f>
        <v/>
      </c>
      <c r="R2787" s="17" t="str">
        <f t="shared" si="132"/>
        <v/>
      </c>
      <c r="S2787" s="17" t="str">
        <f>IF(INDEX(Listado!A:A,ROW())="","",INDEX(Listado!A:A,ROW()))</f>
        <v/>
      </c>
      <c r="T2787" s="17" t="str">
        <f ca="1">IF(INDEX(Listado!G:G,ROW())="","",INDEX(Listado!G:G,ROW()))</f>
        <v/>
      </c>
      <c r="U2787" s="17" t="str">
        <f>IF(INDEX(Listado!F:F,ROW())="","",INDEX(Listado!F:F,ROW()))</f>
        <v/>
      </c>
      <c r="V2787" s="17">
        <f>IF(COUNTA(INDEX(Listado!B:B,ROW()):INDEX(Listado!F:F,ROW()))&gt;0,1,0)</f>
        <v/>
      </c>
      <c r="W2787" s="17" t="str">
        <f>IF(INDEX(Listado!L:L,ROW())="","",INDEX(Listado!L:L,ROW()))</f>
        <v/>
      </c>
      <c r="X2787" s="17">
        <f>IF(N2787="","",IF(INDEX(Listado!$M:$M,N2787)="No","No","Sí"))</f>
        <v/>
      </c>
    </row>
    <row r="2788" spans="2:24" ht="14.25">
      <c r="N2788" s="17" t="str">
        <f>IF(V2788=0,"",IFERROR(LOOKUP(2,1/(INDEX(Listado!A:A,2):INDEX(Listado!A:A,ROW())&lt;&gt;""),ROW(INDEX(Listado!A:A,2):INDEX(Listado!A:A,ROW()))),""))</f>
        <v/>
      </c>
      <c r="O2788" s="17" t="str">
        <f>IFERROR(IF(N2788="","",IF(INDEX(Listado!M:M,N2788)="No",IF(INDEX(Listado!N:N,N2788)=0,"",INDEX(Listado!N:N,N2788)),IF(INDEX(Listado!I:I,N2788)=0,"",INDEX(Listado!I:I,N2788)))),"")</f>
        <v/>
      </c>
      <c r="P2788" s="17">
        <f t="shared" ca="1" si="130"/>
        <v/>
      </c>
      <c r="Q2788" s="17">
        <f>IFERROR(IF(AND(N2788&lt;&gt;"",ISNUMBER(O2788),O2788&gt;0,O2788&gt;=TODAY()-90),1,0),0)</f>
        <v/>
      </c>
      <c r="R2788" s="17" t="str">
        <f t="shared" si="132"/>
        <v/>
      </c>
      <c r="S2788" s="17" t="str">
        <f>IF(INDEX(Listado!A:A,ROW())="","",INDEX(Listado!A:A,ROW()))</f>
        <v/>
      </c>
      <c r="T2788" s="17" t="str">
        <f ca="1">IF(INDEX(Listado!G:G,ROW())="","",INDEX(Listado!G:G,ROW()))</f>
        <v/>
      </c>
      <c r="U2788" s="17" t="str">
        <f>IF(INDEX(Listado!F:F,ROW())="","",INDEX(Listado!F:F,ROW()))</f>
        <v/>
      </c>
      <c r="V2788" s="17">
        <f>IF(COUNTA(INDEX(Listado!B:B,ROW()):INDEX(Listado!F:F,ROW()))&gt;0,1,0)</f>
        <v/>
      </c>
      <c r="W2788" s="17" t="str">
        <f>IF(INDEX(Listado!L:L,ROW())="","",INDEX(Listado!L:L,ROW()))</f>
        <v/>
      </c>
      <c r="X2788" s="17">
        <f>IF(N2788="","",IF(INDEX(Listado!$M:$M,N2788)="No","No","Sí"))</f>
        <v/>
      </c>
    </row>
    <row r="2789" spans="2:24" ht="14.25">
      <c r="N2789" s="17" t="str">
        <f>IF(V2789=0,"",IFERROR(LOOKUP(2,1/(INDEX(Listado!A:A,2):INDEX(Listado!A:A,ROW())&lt;&gt;""),ROW(INDEX(Listado!A:A,2):INDEX(Listado!A:A,ROW()))),""))</f>
        <v/>
      </c>
      <c r="O2789" s="17" t="str">
        <f>IFERROR(IF(N2789="","",IF(INDEX(Listado!M:M,N2789)="No",IF(INDEX(Listado!N:N,N2789)=0,"",INDEX(Listado!N:N,N2789)),IF(INDEX(Listado!I:I,N2789)=0,"",INDEX(Listado!I:I,N2789)))),"")</f>
        <v/>
      </c>
      <c r="P2789" s="17">
        <f t="shared" ca="1" si="130"/>
        <v/>
      </c>
      <c r="Q2789" s="17">
        <f>IFERROR(IF(AND(N2789&lt;&gt;"",ISNUMBER(O2789),O2789&gt;0,O2789&gt;=TODAY()-90),1,0),0)</f>
        <v/>
      </c>
      <c r="R2789" s="17" t="str">
        <f t="shared" si="132"/>
        <v/>
      </c>
      <c r="S2789" s="17" t="str">
        <f>IF(INDEX(Listado!A:A,ROW())="","",INDEX(Listado!A:A,ROW()))</f>
        <v/>
      </c>
      <c r="T2789" s="17" t="str">
        <f ca="1">IF(INDEX(Listado!G:G,ROW())="","",INDEX(Listado!G:G,ROW()))</f>
        <v/>
      </c>
      <c r="U2789" s="17" t="str">
        <f>IF(INDEX(Listado!F:F,ROW())="","",INDEX(Listado!F:F,ROW()))</f>
        <v/>
      </c>
      <c r="V2789" s="17">
        <f>IF(COUNTA(INDEX(Listado!B:B,ROW()):INDEX(Listado!F:F,ROW()))&gt;0,1,0)</f>
        <v/>
      </c>
      <c r="W2789" s="17" t="str">
        <f>IF(INDEX(Listado!L:L,ROW())="","",INDEX(Listado!L:L,ROW()))</f>
        <v/>
      </c>
      <c r="X2789" s="17">
        <f>IF(N2789="","",IF(INDEX(Listado!$M:$M,N2789)="No","No","Sí"))</f>
        <v/>
      </c>
    </row>
    <row r="2790" spans="2:24" ht="14.25">
      <c r="N2790" s="17" t="str">
        <f>IF(V2790=0,"",IFERROR(LOOKUP(2,1/(INDEX(Listado!A:A,2):INDEX(Listado!A:A,ROW())&lt;&gt;""),ROW(INDEX(Listado!A:A,2):INDEX(Listado!A:A,ROW()))),""))</f>
        <v/>
      </c>
      <c r="O2790" s="17" t="str">
        <f>IFERROR(IF(N2790="","",IF(INDEX(Listado!M:M,N2790)="No",IF(INDEX(Listado!N:N,N2790)=0,"",INDEX(Listado!N:N,N2790)),IF(INDEX(Listado!I:I,N2790)=0,"",INDEX(Listado!I:I,N2790)))),"")</f>
        <v/>
      </c>
      <c r="P2790" s="17">
        <f t="shared" ca="1" si="130"/>
        <v/>
      </c>
      <c r="Q2790" s="17">
        <f>IFERROR(IF(AND(N2790&lt;&gt;"",ISNUMBER(O2790),O2790&gt;0,O2790&gt;=TODAY()-90),1,0),0)</f>
        <v/>
      </c>
      <c r="R2790" s="17" t="str">
        <f t="shared" si="132"/>
        <v/>
      </c>
      <c r="S2790" s="17" t="str">
        <f>IF(INDEX(Listado!A:A,ROW())="","",INDEX(Listado!A:A,ROW()))</f>
        <v/>
      </c>
      <c r="T2790" s="17" t="str">
        <f ca="1">IF(INDEX(Listado!G:G,ROW())="","",INDEX(Listado!G:G,ROW()))</f>
        <v/>
      </c>
      <c r="U2790" s="17" t="str">
        <f>IF(INDEX(Listado!F:F,ROW())="","",INDEX(Listado!F:F,ROW()))</f>
        <v/>
      </c>
      <c r="V2790" s="17">
        <f>IF(COUNTA(INDEX(Listado!B:B,ROW()):INDEX(Listado!F:F,ROW()))&gt;0,1,0)</f>
        <v/>
      </c>
      <c r="W2790" s="17" t="str">
        <f>IF(INDEX(Listado!L:L,ROW())="","",INDEX(Listado!L:L,ROW()))</f>
        <v/>
      </c>
      <c r="X2790" s="17">
        <f>IF(N2790="","",IF(INDEX(Listado!$M:$M,N2790)="No","No","Sí"))</f>
        <v/>
      </c>
    </row>
    <row r="2791" spans="2:24" ht="14.25">
      <c r="N2791" s="17" t="str">
        <f>IF(V2791=0,"",IFERROR(LOOKUP(2,1/(INDEX(Listado!A:A,2):INDEX(Listado!A:A,ROW())&lt;&gt;""),ROW(INDEX(Listado!A:A,2):INDEX(Listado!A:A,ROW()))),""))</f>
        <v/>
      </c>
      <c r="O2791" s="17" t="str">
        <f>IFERROR(IF(N2791="","",IF(INDEX(Listado!M:M,N2791)="No",IF(INDEX(Listado!N:N,N2791)=0,"",INDEX(Listado!N:N,N2791)),IF(INDEX(Listado!I:I,N2791)=0,"",INDEX(Listado!I:I,N2791)))),"")</f>
        <v/>
      </c>
      <c r="P2791" s="17">
        <f t="shared" ca="1" si="130"/>
        <v/>
      </c>
      <c r="Q2791" s="17">
        <f>IFERROR(IF(AND(N2791&lt;&gt;"",ISNUMBER(O2791),O2791&gt;0,O2791&gt;=TODAY()-90),1,0),0)</f>
        <v/>
      </c>
      <c r="R2791" s="17" t="str">
        <f t="shared" si="132"/>
        <v/>
      </c>
      <c r="S2791" s="17" t="str">
        <f>IF(INDEX(Listado!A:A,ROW())="","",INDEX(Listado!A:A,ROW()))</f>
        <v/>
      </c>
      <c r="T2791" s="17" t="str">
        <f ca="1">IF(INDEX(Listado!G:G,ROW())="","",INDEX(Listado!G:G,ROW()))</f>
        <v/>
      </c>
      <c r="U2791" s="17" t="str">
        <f>IF(INDEX(Listado!F:F,ROW())="","",INDEX(Listado!F:F,ROW()))</f>
        <v/>
      </c>
      <c r="V2791" s="17">
        <f>IF(COUNTA(INDEX(Listado!B:B,ROW()):INDEX(Listado!F:F,ROW()))&gt;0,1,0)</f>
        <v/>
      </c>
      <c r="W2791" s="17" t="str">
        <f>IF(INDEX(Listado!L:L,ROW())="","",INDEX(Listado!L:L,ROW()))</f>
        <v/>
      </c>
      <c r="X2791" s="17">
        <f>IF(N2791="","",IF(INDEX(Listado!$M:$M,N2791)="No","No","Sí"))</f>
        <v/>
      </c>
    </row>
    <row r="2792" spans="2:24" ht="14.25">
      <c r="N2792" s="17" t="str">
        <f>IF(V2792=0,"",IFERROR(LOOKUP(2,1/(INDEX(Listado!A:A,2):INDEX(Listado!A:A,ROW())&lt;&gt;""),ROW(INDEX(Listado!A:A,2):INDEX(Listado!A:A,ROW()))),""))</f>
        <v/>
      </c>
      <c r="O2792" s="17" t="str">
        <f>IFERROR(IF(N2792="","",IF(INDEX(Listado!M:M,N2792)="No",IF(INDEX(Listado!N:N,N2792)=0,"",INDEX(Listado!N:N,N2792)),IF(INDEX(Listado!I:I,N2792)=0,"",INDEX(Listado!I:I,N2792)))),"")</f>
        <v/>
      </c>
      <c r="P2792" s="17">
        <f t="shared" ca="1" si="130"/>
        <v/>
      </c>
      <c r="Q2792" s="17">
        <f>IFERROR(IF(AND(N2792&lt;&gt;"",ISNUMBER(O2792),O2792&gt;0,O2792&gt;=TODAY()-90),1,0),0)</f>
        <v/>
      </c>
      <c r="R2792" s="17" t="str">
        <f t="shared" si="132"/>
        <v/>
      </c>
      <c r="S2792" s="17" t="str">
        <f>IF(INDEX(Listado!A:A,ROW())="","",INDEX(Listado!A:A,ROW()))</f>
        <v/>
      </c>
      <c r="T2792" s="17" t="str">
        <f ca="1">IF(INDEX(Listado!G:G,ROW())="","",INDEX(Listado!G:G,ROW()))</f>
        <v/>
      </c>
      <c r="U2792" s="17" t="str">
        <f>IF(INDEX(Listado!F:F,ROW())="","",INDEX(Listado!F:F,ROW()))</f>
        <v/>
      </c>
      <c r="V2792" s="17">
        <f>IF(COUNTA(INDEX(Listado!B:B,ROW()):INDEX(Listado!F:F,ROW()))&gt;0,1,0)</f>
        <v/>
      </c>
      <c r="W2792" s="17" t="str">
        <f>IF(INDEX(Listado!L:L,ROW())="","",INDEX(Listado!L:L,ROW()))</f>
        <v/>
      </c>
      <c r="X2792" s="17">
        <f>IF(N2792="","",IF(INDEX(Listado!$M:$M,N2792)="No","No","Sí"))</f>
        <v/>
      </c>
    </row>
    <row r="2793" spans="2:24" ht="14.25">
      <c r="N2793" s="17" t="str">
        <f>IF(V2793=0,"",IFERROR(LOOKUP(2,1/(INDEX(Listado!A:A,2):INDEX(Listado!A:A,ROW())&lt;&gt;""),ROW(INDEX(Listado!A:A,2):INDEX(Listado!A:A,ROW()))),""))</f>
        <v/>
      </c>
      <c r="O2793" s="17" t="str">
        <f>IFERROR(IF(N2793="","",IF(INDEX(Listado!M:M,N2793)="No",IF(INDEX(Listado!N:N,N2793)=0,"",INDEX(Listado!N:N,N2793)),IF(INDEX(Listado!I:I,N2793)=0,"",INDEX(Listado!I:I,N2793)))),"")</f>
        <v/>
      </c>
      <c r="P2793" s="17">
        <f t="shared" ca="1" si="130"/>
        <v/>
      </c>
      <c r="Q2793" s="17">
        <f>IFERROR(IF(AND(N2793&lt;&gt;"",ISNUMBER(O2793),O2793&gt;0,O2793&gt;=TODAY()-90),1,0),0)</f>
        <v/>
      </c>
      <c r="R2793" s="17" t="str">
        <f t="shared" si="132"/>
        <v/>
      </c>
      <c r="S2793" s="17" t="str">
        <f>IF(INDEX(Listado!A:A,ROW())="","",INDEX(Listado!A:A,ROW()))</f>
        <v/>
      </c>
      <c r="T2793" s="17" t="str">
        <f ca="1">IF(INDEX(Listado!G:G,ROW())="","",INDEX(Listado!G:G,ROW()))</f>
        <v/>
      </c>
      <c r="U2793" s="17" t="str">
        <f>IF(INDEX(Listado!F:F,ROW())="","",INDEX(Listado!F:F,ROW()))</f>
        <v/>
      </c>
      <c r="V2793" s="17">
        <f>IF(COUNTA(INDEX(Listado!B:B,ROW()):INDEX(Listado!F:F,ROW()))&gt;0,1,0)</f>
        <v/>
      </c>
      <c r="W2793" s="17" t="str">
        <f>IF(INDEX(Listado!L:L,ROW())="","",INDEX(Listado!L:L,ROW()))</f>
        <v/>
      </c>
      <c r="X2793" s="17">
        <f>IF(N2793="","",IF(INDEX(Listado!$M:$M,N2793)="No","No","Sí"))</f>
        <v/>
      </c>
    </row>
    <row r="2794" spans="2:24" ht="14.25">
      <c r="N2794" s="17" t="str">
        <f>IF(V2794=0,"",IFERROR(LOOKUP(2,1/(INDEX(Listado!A:A,2):INDEX(Listado!A:A,ROW())&lt;&gt;""),ROW(INDEX(Listado!A:A,2):INDEX(Listado!A:A,ROW()))),""))</f>
        <v/>
      </c>
      <c r="O2794" s="17" t="str">
        <f>IFERROR(IF(N2794="","",IF(INDEX(Listado!M:M,N2794)="No",IF(INDEX(Listado!N:N,N2794)=0,"",INDEX(Listado!N:N,N2794)),IF(INDEX(Listado!I:I,N2794)=0,"",INDEX(Listado!I:I,N2794)))),"")</f>
        <v/>
      </c>
      <c r="P2794" s="17">
        <f t="shared" ca="1" si="130"/>
        <v/>
      </c>
      <c r="Q2794" s="17">
        <f>IFERROR(IF(AND(N2794&lt;&gt;"",ISNUMBER(O2794),O2794&gt;0,O2794&gt;=TODAY()-90),1,0),0)</f>
        <v/>
      </c>
      <c r="R2794" s="17" t="str">
        <f t="shared" si="132"/>
        <v/>
      </c>
      <c r="S2794" s="17" t="str">
        <f>IF(INDEX(Listado!A:A,ROW())="","",INDEX(Listado!A:A,ROW()))</f>
        <v/>
      </c>
      <c r="T2794" s="17" t="str">
        <f ca="1">IF(INDEX(Listado!G:G,ROW())="","",INDEX(Listado!G:G,ROW()))</f>
        <v/>
      </c>
      <c r="U2794" s="17" t="str">
        <f>IF(INDEX(Listado!F:F,ROW())="","",INDEX(Listado!F:F,ROW()))</f>
        <v/>
      </c>
      <c r="V2794" s="17">
        <f>IF(COUNTA(INDEX(Listado!B:B,ROW()):INDEX(Listado!F:F,ROW()))&gt;0,1,0)</f>
        <v/>
      </c>
      <c r="W2794" s="17" t="str">
        <f>IF(INDEX(Listado!L:L,ROW())="","",INDEX(Listado!L:L,ROW()))</f>
        <v/>
      </c>
      <c r="X2794" s="17">
        <f>IF(N2794="","",IF(INDEX(Listado!$M:$M,N2794)="No","No","Sí"))</f>
        <v/>
      </c>
    </row>
    <row r="2795" spans="2:24" ht="14.25">
      <c r="N2795" s="17" t="str">
        <f>IF(V2795=0,"",IFERROR(LOOKUP(2,1/(INDEX(Listado!A:A,2):INDEX(Listado!A:A,ROW())&lt;&gt;""),ROW(INDEX(Listado!A:A,2):INDEX(Listado!A:A,ROW()))),""))</f>
        <v/>
      </c>
      <c r="O2795" s="17" t="str">
        <f>IFERROR(IF(N2795="","",IF(INDEX(Listado!M:M,N2795)="No",IF(INDEX(Listado!N:N,N2795)=0,"",INDEX(Listado!N:N,N2795)),IF(INDEX(Listado!I:I,N2795)=0,"",INDEX(Listado!I:I,N2795)))),"")</f>
        <v/>
      </c>
      <c r="P2795" s="17">
        <f t="shared" ca="1" si="130"/>
        <v/>
      </c>
      <c r="Q2795" s="17">
        <f>IFERROR(IF(AND(N2795&lt;&gt;"",ISNUMBER(O2795),O2795&gt;0,O2795&gt;=TODAY()-90),1,0),0)</f>
        <v/>
      </c>
      <c r="R2795" s="17" t="str">
        <f t="shared" si="132"/>
        <v/>
      </c>
      <c r="S2795" s="17" t="str">
        <f>IF(INDEX(Listado!A:A,ROW())="","",INDEX(Listado!A:A,ROW()))</f>
        <v/>
      </c>
      <c r="T2795" s="17" t="str">
        <f ca="1">IF(INDEX(Listado!G:G,ROW())="","",INDEX(Listado!G:G,ROW()))</f>
        <v/>
      </c>
      <c r="U2795" s="17" t="str">
        <f>IF(INDEX(Listado!F:F,ROW())="","",INDEX(Listado!F:F,ROW()))</f>
        <v/>
      </c>
      <c r="V2795" s="17">
        <f>IF(COUNTA(INDEX(Listado!B:B,ROW()):INDEX(Listado!F:F,ROW()))&gt;0,1,0)</f>
        <v/>
      </c>
      <c r="W2795" s="17" t="str">
        <f>IF(INDEX(Listado!L:L,ROW())="","",INDEX(Listado!L:L,ROW()))</f>
        <v/>
      </c>
      <c r="X2795" s="17">
        <f>IF(N2795="","",IF(INDEX(Listado!$M:$M,N2795)="No","No","Sí"))</f>
        <v/>
      </c>
    </row>
    <row r="2796" spans="2:24" ht="14.25">
      <c r="N2796" s="17" t="str">
        <f>IF(V2796=0,"",IFERROR(LOOKUP(2,1/(INDEX(Listado!A:A,2):INDEX(Listado!A:A,ROW())&lt;&gt;""),ROW(INDEX(Listado!A:A,2):INDEX(Listado!A:A,ROW()))),""))</f>
        <v/>
      </c>
      <c r="O2796" s="17" t="str">
        <f>IFERROR(IF(N2796="","",IF(INDEX(Listado!M:M,N2796)="No",IF(INDEX(Listado!N:N,N2796)=0,"",INDEX(Listado!N:N,N2796)),IF(INDEX(Listado!I:I,N2796)=0,"",INDEX(Listado!I:I,N2796)))),"")</f>
        <v/>
      </c>
      <c r="P2796" s="17">
        <f t="shared" ca="1" si="130"/>
        <v/>
      </c>
      <c r="Q2796" s="17">
        <f>IFERROR(IF(AND(N2796&lt;&gt;"",ISNUMBER(O2796),O2796&gt;0,O2796&gt;=TODAY()-90),1,0),0)</f>
        <v/>
      </c>
      <c r="R2796" s="17" t="str">
        <f t="shared" si="132"/>
        <v/>
      </c>
      <c r="S2796" s="17" t="str">
        <f>IF(INDEX(Listado!A:A,ROW())="","",INDEX(Listado!A:A,ROW()))</f>
        <v/>
      </c>
      <c r="T2796" s="17" t="str">
        <f ca="1">IF(INDEX(Listado!G:G,ROW())="","",INDEX(Listado!G:G,ROW()))</f>
        <v/>
      </c>
      <c r="U2796" s="17" t="str">
        <f>IF(INDEX(Listado!F:F,ROW())="","",INDEX(Listado!F:F,ROW()))</f>
        <v/>
      </c>
      <c r="V2796" s="17">
        <f>IF(COUNTA(INDEX(Listado!B:B,ROW()):INDEX(Listado!F:F,ROW()))&gt;0,1,0)</f>
        <v/>
      </c>
      <c r="W2796" s="17" t="str">
        <f>IF(INDEX(Listado!L:L,ROW())="","",INDEX(Listado!L:L,ROW()))</f>
        <v/>
      </c>
      <c r="X2796" s="17">
        <f>IF(N2796="","",IF(INDEX(Listado!$M:$M,N2796)="No","No","Sí"))</f>
        <v/>
      </c>
    </row>
    <row r="2797" spans="2:24" ht="14.25">
      <c r="N2797" s="17" t="str">
        <f>IF(V2797=0,"",IFERROR(LOOKUP(2,1/(INDEX(Listado!A:A,2):INDEX(Listado!A:A,ROW())&lt;&gt;""),ROW(INDEX(Listado!A:A,2):INDEX(Listado!A:A,ROW()))),""))</f>
        <v/>
      </c>
      <c r="O2797" s="17" t="str">
        <f>IFERROR(IF(N2797="","",IF(INDEX(Listado!M:M,N2797)="No",IF(INDEX(Listado!N:N,N2797)=0,"",INDEX(Listado!N:N,N2797)),IF(INDEX(Listado!I:I,N2797)=0,"",INDEX(Listado!I:I,N2797)))),"")</f>
        <v/>
      </c>
      <c r="P2797" s="17">
        <f t="shared" ca="1" si="130"/>
        <v/>
      </c>
      <c r="Q2797" s="17">
        <f>IFERROR(IF(AND(N2797&lt;&gt;"",ISNUMBER(O2797),O2797&gt;0,O2797&gt;=TODAY()-90),1,0),0)</f>
        <v/>
      </c>
      <c r="R2797" s="17" t="str">
        <f t="shared" si="132"/>
        <v/>
      </c>
      <c r="S2797" s="17" t="str">
        <f>IF(INDEX(Listado!A:A,ROW())="","",INDEX(Listado!A:A,ROW()))</f>
        <v/>
      </c>
      <c r="T2797" s="17" t="str">
        <f ca="1">IF(INDEX(Listado!G:G,ROW())="","",INDEX(Listado!G:G,ROW()))</f>
        <v/>
      </c>
      <c r="U2797" s="17" t="str">
        <f>IF(INDEX(Listado!F:F,ROW())="","",INDEX(Listado!F:F,ROW()))</f>
        <v/>
      </c>
      <c r="V2797" s="17">
        <f>IF(COUNTA(INDEX(Listado!B:B,ROW()):INDEX(Listado!F:F,ROW()))&gt;0,1,0)</f>
        <v/>
      </c>
      <c r="W2797" s="17" t="str">
        <f>IF(INDEX(Listado!L:L,ROW())="","",INDEX(Listado!L:L,ROW()))</f>
        <v/>
      </c>
      <c r="X2797" s="17">
        <f>IF(N2797="","",IF(INDEX(Listado!$M:$M,N2797)="No","No","Sí"))</f>
        <v/>
      </c>
    </row>
    <row r="2798" spans="2:24" ht="14.25">
      <c r="N2798" s="17" t="str">
        <f>IF(V2798=0,"",IFERROR(LOOKUP(2,1/(INDEX(Listado!A:A,2):INDEX(Listado!A:A,ROW())&lt;&gt;""),ROW(INDEX(Listado!A:A,2):INDEX(Listado!A:A,ROW()))),""))</f>
        <v/>
      </c>
      <c r="O2798" s="17" t="str">
        <f>IFERROR(IF(N2798="","",IF(INDEX(Listado!M:M,N2798)="No",IF(INDEX(Listado!N:N,N2798)=0,"",INDEX(Listado!N:N,N2798)),IF(INDEX(Listado!I:I,N2798)=0,"",INDEX(Listado!I:I,N2798)))),"")</f>
        <v/>
      </c>
      <c r="P2798" s="17">
        <f t="shared" ca="1" si="130"/>
        <v/>
      </c>
      <c r="Q2798" s="17">
        <f>IFERROR(IF(AND(N2798&lt;&gt;"",ISNUMBER(O2798),O2798&gt;0,O2798&gt;=TODAY()-90),1,0),0)</f>
        <v/>
      </c>
      <c r="R2798" s="17" t="str">
        <f t="shared" si="132"/>
        <v/>
      </c>
      <c r="S2798" s="17" t="str">
        <f>IF(INDEX(Listado!A:A,ROW())="","",INDEX(Listado!A:A,ROW()))</f>
        <v/>
      </c>
      <c r="T2798" s="17" t="str">
        <f ca="1">IF(INDEX(Listado!G:G,ROW())="","",INDEX(Listado!G:G,ROW()))</f>
        <v/>
      </c>
      <c r="U2798" s="17" t="str">
        <f>IF(INDEX(Listado!F:F,ROW())="","",INDEX(Listado!F:F,ROW()))</f>
        <v/>
      </c>
      <c r="V2798" s="17">
        <f>IF(COUNTA(INDEX(Listado!B:B,ROW()):INDEX(Listado!F:F,ROW()))&gt;0,1,0)</f>
        <v/>
      </c>
      <c r="W2798" s="17" t="str">
        <f>IF(INDEX(Listado!L:L,ROW())="","",INDEX(Listado!L:L,ROW()))</f>
        <v/>
      </c>
      <c r="X2798" s="17">
        <f>IF(N2798="","",IF(INDEX(Listado!$M:$M,N2798)="No","No","Sí"))</f>
        <v/>
      </c>
    </row>
    <row r="2799" spans="2:24" ht="14.25">
      <c r="N2799" s="17" t="str">
        <f>IF(V2799=0,"",IFERROR(LOOKUP(2,1/(INDEX(Listado!A:A,2):INDEX(Listado!A:A,ROW())&lt;&gt;""),ROW(INDEX(Listado!A:A,2):INDEX(Listado!A:A,ROW()))),""))</f>
        <v/>
      </c>
      <c r="O2799" s="17" t="str">
        <f>IFERROR(IF(N2799="","",IF(INDEX(Listado!M:M,N2799)="No",IF(INDEX(Listado!N:N,N2799)=0,"",INDEX(Listado!N:N,N2799)),IF(INDEX(Listado!I:I,N2799)=0,"",INDEX(Listado!I:I,N2799)))),"")</f>
        <v/>
      </c>
      <c r="P2799" s="17">
        <f t="shared" ca="1" si="130"/>
        <v/>
      </c>
      <c r="Q2799" s="17">
        <f>IFERROR(IF(AND(N2799&lt;&gt;"",ISNUMBER(O2799),O2799&gt;0,O2799&gt;=TODAY()-90),1,0),0)</f>
        <v/>
      </c>
      <c r="R2799" s="17" t="str">
        <f t="shared" si="132"/>
        <v/>
      </c>
      <c r="S2799" s="17" t="str">
        <f>IF(INDEX(Listado!A:A,ROW())="","",INDEX(Listado!A:A,ROW()))</f>
        <v/>
      </c>
      <c r="T2799" s="17" t="str">
        <f ca="1">IF(INDEX(Listado!G:G,ROW())="","",INDEX(Listado!G:G,ROW()))</f>
        <v/>
      </c>
      <c r="U2799" s="17" t="str">
        <f>IF(INDEX(Listado!F:F,ROW())="","",INDEX(Listado!F:F,ROW()))</f>
        <v/>
      </c>
      <c r="V2799" s="17">
        <f>IF(COUNTA(INDEX(Listado!B:B,ROW()):INDEX(Listado!F:F,ROW()))&gt;0,1,0)</f>
        <v/>
      </c>
      <c r="W2799" s="17" t="str">
        <f>IF(INDEX(Listado!L:L,ROW())="","",INDEX(Listado!L:L,ROW()))</f>
        <v/>
      </c>
      <c r="X2799" s="17">
        <f>IF(N2799="","",IF(INDEX(Listado!$M:$M,N2799)="No","No","Sí"))</f>
        <v/>
      </c>
    </row>
    <row r="2800" spans="2:24" ht="14.25">
      <c r="N2800" s="17" t="str">
        <f>IF(V2800=0,"",IFERROR(LOOKUP(2,1/(INDEX(Listado!A:A,2):INDEX(Listado!A:A,ROW())&lt;&gt;""),ROW(INDEX(Listado!A:A,2):INDEX(Listado!A:A,ROW()))),""))</f>
        <v/>
      </c>
      <c r="O2800" s="17" t="str">
        <f>IFERROR(IF(N2800="","",IF(INDEX(Listado!M:M,N2800)="No",IF(INDEX(Listado!N:N,N2800)=0,"",INDEX(Listado!N:N,N2800)),IF(INDEX(Listado!I:I,N2800)=0,"",INDEX(Listado!I:I,N2800)))),"")</f>
        <v/>
      </c>
      <c r="P2800" s="17">
        <f t="shared" ca="1" si="130"/>
        <v/>
      </c>
      <c r="Q2800" s="17">
        <f>IFERROR(IF(AND(N2800&lt;&gt;"",ISNUMBER(O2800),O2800&gt;0,O2800&gt;=TODAY()-90),1,0),0)</f>
        <v/>
      </c>
      <c r="R2800" s="17" t="str">
        <f t="shared" si="132"/>
        <v/>
      </c>
      <c r="S2800" s="17" t="str">
        <f>IF(INDEX(Listado!A:A,ROW())="","",INDEX(Listado!A:A,ROW()))</f>
        <v/>
      </c>
      <c r="T2800" s="17" t="str">
        <f ca="1">IF(INDEX(Listado!G:G,ROW())="","",INDEX(Listado!G:G,ROW()))</f>
        <v/>
      </c>
      <c r="U2800" s="17" t="str">
        <f>IF(INDEX(Listado!F:F,ROW())="","",INDEX(Listado!F:F,ROW()))</f>
        <v/>
      </c>
      <c r="V2800" s="17">
        <f>IF(COUNTA(INDEX(Listado!B:B,ROW()):INDEX(Listado!F:F,ROW()))&gt;0,1,0)</f>
        <v/>
      </c>
      <c r="W2800" s="17" t="str">
        <f>IF(INDEX(Listado!L:L,ROW())="","",INDEX(Listado!L:L,ROW()))</f>
        <v/>
      </c>
      <c r="X2800" s="17">
        <f>IF(N2800="","",IF(INDEX(Listado!$M:$M,N2800)="No","No","Sí"))</f>
        <v/>
      </c>
    </row>
    <row r="2801" spans="2:24" ht="14.25">
      <c r="N2801" s="17" t="str">
        <f>IF(V2801=0,"",IFERROR(LOOKUP(2,1/(INDEX(Listado!A:A,2):INDEX(Listado!A:A,ROW())&lt;&gt;""),ROW(INDEX(Listado!A:A,2):INDEX(Listado!A:A,ROW()))),""))</f>
        <v/>
      </c>
      <c r="O2801" s="17" t="str">
        <f>IFERROR(IF(N2801="","",IF(INDEX(Listado!M:M,N2801)="No",IF(INDEX(Listado!N:N,N2801)=0,"",INDEX(Listado!N:N,N2801)),IF(INDEX(Listado!I:I,N2801)=0,"",INDEX(Listado!I:I,N2801)))),"")</f>
        <v/>
      </c>
      <c r="P2801" s="17">
        <f t="shared" ca="1" si="130"/>
        <v/>
      </c>
      <c r="Q2801" s="17">
        <f>IFERROR(IF(AND(N2801&lt;&gt;"",ISNUMBER(O2801),O2801&gt;0,O2801&gt;=TODAY()-90),1,0),0)</f>
        <v/>
      </c>
      <c r="R2801" s="17" t="str">
        <f t="shared" si="132"/>
        <v/>
      </c>
      <c r="S2801" s="17" t="str">
        <f>IF(INDEX(Listado!A:A,ROW())="","",INDEX(Listado!A:A,ROW()))</f>
        <v/>
      </c>
      <c r="T2801" s="17" t="str">
        <f ca="1">IF(INDEX(Listado!G:G,ROW())="","",INDEX(Listado!G:G,ROW()))</f>
        <v/>
      </c>
      <c r="U2801" s="17" t="str">
        <f>IF(INDEX(Listado!F:F,ROW())="","",INDEX(Listado!F:F,ROW()))</f>
        <v/>
      </c>
      <c r="V2801" s="17">
        <f>IF(COUNTA(INDEX(Listado!B:B,ROW()):INDEX(Listado!F:F,ROW()))&gt;0,1,0)</f>
        <v/>
      </c>
      <c r="W2801" s="17" t="str">
        <f>IF(INDEX(Listado!L:L,ROW())="","",INDEX(Listado!L:L,ROW()))</f>
        <v/>
      </c>
      <c r="X2801" s="17">
        <f>IF(N2801="","",IF(INDEX(Listado!$M:$M,N2801)="No","No","Sí"))</f>
        <v/>
      </c>
    </row>
    <row r="2802" spans="2:24" ht="14.25">
      <c r="N2802" s="17" t="str">
        <f>IF(V2802=0,"",IFERROR(LOOKUP(2,1/(INDEX(Listado!A:A,2):INDEX(Listado!A:A,ROW())&lt;&gt;""),ROW(INDEX(Listado!A:A,2):INDEX(Listado!A:A,ROW()))),""))</f>
        <v/>
      </c>
      <c r="O2802" s="17" t="str">
        <f>IFERROR(IF(N2802="","",IF(INDEX(Listado!M:M,N2802)="No",IF(INDEX(Listado!N:N,N2802)=0,"",INDEX(Listado!N:N,N2802)),IF(INDEX(Listado!I:I,N2802)=0,"",INDEX(Listado!I:I,N2802)))),"")</f>
        <v/>
      </c>
      <c r="P2802" s="17">
        <f t="shared" ca="1" si="130"/>
        <v/>
      </c>
      <c r="Q2802" s="17">
        <f>IFERROR(IF(AND(N2802&lt;&gt;"",ISNUMBER(O2802),O2802&gt;0,O2802&gt;=TODAY()-90),1,0),0)</f>
        <v/>
      </c>
      <c r="R2802" s="17" t="str">
        <f t="shared" si="132"/>
        <v/>
      </c>
      <c r="S2802" s="17" t="str">
        <f>IF(INDEX(Listado!A:A,ROW())="","",INDEX(Listado!A:A,ROW()))</f>
        <v/>
      </c>
      <c r="T2802" s="17" t="str">
        <f ca="1">IF(INDEX(Listado!G:G,ROW())="","",INDEX(Listado!G:G,ROW()))</f>
        <v/>
      </c>
      <c r="U2802" s="17" t="str">
        <f>IF(INDEX(Listado!F:F,ROW())="","",INDEX(Listado!F:F,ROW()))</f>
        <v/>
      </c>
      <c r="V2802" s="17">
        <f>IF(COUNTA(INDEX(Listado!B:B,ROW()):INDEX(Listado!F:F,ROW()))&gt;0,1,0)</f>
        <v/>
      </c>
      <c r="W2802" s="17" t="str">
        <f>IF(INDEX(Listado!L:L,ROW())="","",INDEX(Listado!L:L,ROW()))</f>
        <v/>
      </c>
      <c r="X2802" s="17">
        <f>IF(N2802="","",IF(INDEX(Listado!$M:$M,N2802)="No","No","Sí"))</f>
        <v/>
      </c>
    </row>
    <row r="2803" spans="2:24" ht="14.25">
      <c r="N2803" s="17" t="str">
        <f>IF(V2803=0,"",IFERROR(LOOKUP(2,1/(INDEX(Listado!A:A,2):INDEX(Listado!A:A,ROW())&lt;&gt;""),ROW(INDEX(Listado!A:A,2):INDEX(Listado!A:A,ROW()))),""))</f>
        <v/>
      </c>
      <c r="O2803" s="17" t="str">
        <f>IFERROR(IF(N2803="","",IF(INDEX(Listado!M:M,N2803)="No",IF(INDEX(Listado!N:N,N2803)=0,"",INDEX(Listado!N:N,N2803)),IF(INDEX(Listado!I:I,N2803)=0,"",INDEX(Listado!I:I,N2803)))),"")</f>
        <v/>
      </c>
      <c r="P2803" s="17">
        <f t="shared" ca="1" si="130"/>
        <v/>
      </c>
      <c r="Q2803" s="17">
        <f>IFERROR(IF(AND(N2803&lt;&gt;"",ISNUMBER(O2803),O2803&gt;0,O2803&gt;=TODAY()-90),1,0),0)</f>
        <v/>
      </c>
      <c r="R2803" s="17" t="str">
        <f t="shared" si="132"/>
        <v/>
      </c>
      <c r="S2803" s="17" t="str">
        <f>IF(INDEX(Listado!A:A,ROW())="","",INDEX(Listado!A:A,ROW()))</f>
        <v/>
      </c>
      <c r="T2803" s="17" t="str">
        <f ca="1">IF(INDEX(Listado!G:G,ROW())="","",INDEX(Listado!G:G,ROW()))</f>
        <v/>
      </c>
      <c r="U2803" s="17" t="str">
        <f>IF(INDEX(Listado!F:F,ROW())="","",INDEX(Listado!F:F,ROW()))</f>
        <v/>
      </c>
      <c r="V2803" s="17">
        <f>IF(COUNTA(INDEX(Listado!B:B,ROW()):INDEX(Listado!F:F,ROW()))&gt;0,1,0)</f>
        <v/>
      </c>
      <c r="W2803" s="17" t="str">
        <f>IF(INDEX(Listado!L:L,ROW())="","",INDEX(Listado!L:L,ROW()))</f>
        <v/>
      </c>
      <c r="X2803" s="17">
        <f>IF(N2803="","",IF(INDEX(Listado!$M:$M,N2803)="No","No","Sí"))</f>
        <v/>
      </c>
    </row>
    <row r="2804" spans="2:24" ht="14.25">
      <c r="N2804" s="17" t="str">
        <f>IF(V2804=0,"",IFERROR(LOOKUP(2,1/(INDEX(Listado!A:A,2):INDEX(Listado!A:A,ROW())&lt;&gt;""),ROW(INDEX(Listado!A:A,2):INDEX(Listado!A:A,ROW()))),""))</f>
        <v/>
      </c>
      <c r="O2804" s="17" t="str">
        <f>IFERROR(IF(N2804="","",IF(INDEX(Listado!M:M,N2804)="No",IF(INDEX(Listado!N:N,N2804)=0,"",INDEX(Listado!N:N,N2804)),IF(INDEX(Listado!I:I,N2804)=0,"",INDEX(Listado!I:I,N2804)))),"")</f>
        <v/>
      </c>
      <c r="P2804" s="17">
        <f t="shared" ca="1" si="130"/>
        <v/>
      </c>
      <c r="Q2804" s="17">
        <f>IFERROR(IF(AND(N2804&lt;&gt;"",ISNUMBER(O2804),O2804&gt;0,O2804&gt;=TODAY()-90),1,0),0)</f>
        <v/>
      </c>
      <c r="R2804" s="17" t="str">
        <f t="shared" si="132"/>
        <v/>
      </c>
      <c r="S2804" s="17" t="str">
        <f>IF(INDEX(Listado!A:A,ROW())="","",INDEX(Listado!A:A,ROW()))</f>
        <v/>
      </c>
      <c r="T2804" s="17" t="str">
        <f ca="1">IF(INDEX(Listado!G:G,ROW())="","",INDEX(Listado!G:G,ROW()))</f>
        <v/>
      </c>
      <c r="U2804" s="17" t="str">
        <f>IF(INDEX(Listado!F:F,ROW())="","",INDEX(Listado!F:F,ROW()))</f>
        <v/>
      </c>
      <c r="V2804" s="17">
        <f>IF(COUNTA(INDEX(Listado!B:B,ROW()):INDEX(Listado!F:F,ROW()))&gt;0,1,0)</f>
        <v/>
      </c>
      <c r="W2804" s="17" t="str">
        <f>IF(INDEX(Listado!L:L,ROW())="","",INDEX(Listado!L:L,ROW()))</f>
        <v/>
      </c>
      <c r="X2804" s="17">
        <f>IF(N2804="","",IF(INDEX(Listado!$M:$M,N2804)="No","No","Sí"))</f>
        <v/>
      </c>
    </row>
    <row r="2805" spans="2:24" ht="14.25">
      <c r="N2805" s="17" t="str">
        <f>IF(V2805=0,"",IFERROR(LOOKUP(2,1/(INDEX(Listado!A:A,2):INDEX(Listado!A:A,ROW())&lt;&gt;""),ROW(INDEX(Listado!A:A,2):INDEX(Listado!A:A,ROW()))),""))</f>
        <v/>
      </c>
      <c r="O2805" s="17" t="str">
        <f>IFERROR(IF(N2805="","",IF(INDEX(Listado!M:M,N2805)="No",IF(INDEX(Listado!N:N,N2805)=0,"",INDEX(Listado!N:N,N2805)),IF(INDEX(Listado!I:I,N2805)=0,"",INDEX(Listado!I:I,N2805)))),"")</f>
        <v/>
      </c>
      <c r="P2805" s="17">
        <f t="shared" ca="1" si="130"/>
        <v/>
      </c>
      <c r="Q2805" s="17">
        <f>IFERROR(IF(AND(N2805&lt;&gt;"",ISNUMBER(O2805),O2805&gt;0,O2805&gt;=TODAY()-90),1,0),0)</f>
        <v/>
      </c>
      <c r="R2805" s="17" t="str">
        <f t="shared" si="132"/>
        <v/>
      </c>
      <c r="S2805" s="17" t="str">
        <f>IF(INDEX(Listado!A:A,ROW())="","",INDEX(Listado!A:A,ROW()))</f>
        <v/>
      </c>
      <c r="T2805" s="17" t="str">
        <f ca="1">IF(INDEX(Listado!G:G,ROW())="","",INDEX(Listado!G:G,ROW()))</f>
        <v/>
      </c>
      <c r="U2805" s="17" t="str">
        <f>IF(INDEX(Listado!F:F,ROW())="","",INDEX(Listado!F:F,ROW()))</f>
        <v/>
      </c>
      <c r="V2805" s="17">
        <f>IF(COUNTA(INDEX(Listado!B:B,ROW()):INDEX(Listado!F:F,ROW()))&gt;0,1,0)</f>
        <v/>
      </c>
      <c r="W2805" s="17" t="str">
        <f>IF(INDEX(Listado!L:L,ROW())="","",INDEX(Listado!L:L,ROW()))</f>
        <v/>
      </c>
      <c r="X2805" s="17">
        <f>IF(N2805="","",IF(INDEX(Listado!$M:$M,N2805)="No","No","Sí"))</f>
        <v/>
      </c>
    </row>
    <row r="2806" spans="2:24" ht="14.25">
      <c r="N2806" s="17" t="str">
        <f>IF(V2806=0,"",IFERROR(LOOKUP(2,1/(INDEX(Listado!A:A,2):INDEX(Listado!A:A,ROW())&lt;&gt;""),ROW(INDEX(Listado!A:A,2):INDEX(Listado!A:A,ROW()))),""))</f>
        <v/>
      </c>
      <c r="O2806" s="17" t="str">
        <f>IFERROR(IF(N2806="","",IF(INDEX(Listado!M:M,N2806)="No",IF(INDEX(Listado!N:N,N2806)=0,"",INDEX(Listado!N:N,N2806)),IF(INDEX(Listado!I:I,N2806)=0,"",INDEX(Listado!I:I,N2806)))),"")</f>
        <v/>
      </c>
      <c r="P2806" s="17">
        <f t="shared" ca="1" si="130"/>
        <v/>
      </c>
      <c r="Q2806" s="17">
        <f>IFERROR(IF(AND(N2806&lt;&gt;"",ISNUMBER(O2806),O2806&gt;0,O2806&gt;=TODAY()-90),1,0),0)</f>
        <v/>
      </c>
      <c r="R2806" s="17" t="str">
        <f t="shared" si="132"/>
        <v/>
      </c>
      <c r="S2806" s="17" t="str">
        <f>IF(INDEX(Listado!A:A,ROW())="","",INDEX(Listado!A:A,ROW()))</f>
        <v/>
      </c>
      <c r="T2806" s="17" t="str">
        <f ca="1">IF(INDEX(Listado!G:G,ROW())="","",INDEX(Listado!G:G,ROW()))</f>
        <v/>
      </c>
      <c r="U2806" s="17" t="str">
        <f>IF(INDEX(Listado!F:F,ROW())="","",INDEX(Listado!F:F,ROW()))</f>
        <v/>
      </c>
      <c r="V2806" s="17">
        <f>IF(COUNTA(INDEX(Listado!B:B,ROW()):INDEX(Listado!F:F,ROW()))&gt;0,1,0)</f>
        <v/>
      </c>
      <c r="W2806" s="17" t="str">
        <f>IF(INDEX(Listado!L:L,ROW())="","",INDEX(Listado!L:L,ROW()))</f>
        <v/>
      </c>
      <c r="X2806" s="17">
        <f>IF(N2806="","",IF(INDEX(Listado!$M:$M,N2806)="No","No","Sí"))</f>
        <v/>
      </c>
    </row>
    <row r="2807" spans="2:24" ht="14.25">
      <c r="N2807" s="17" t="str">
        <f>IF(V2807=0,"",IFERROR(LOOKUP(2,1/(INDEX(Listado!A:A,2):INDEX(Listado!A:A,ROW())&lt;&gt;""),ROW(INDEX(Listado!A:A,2):INDEX(Listado!A:A,ROW()))),""))</f>
        <v/>
      </c>
      <c r="O2807" s="17" t="str">
        <f>IFERROR(IF(N2807="","",IF(INDEX(Listado!M:M,N2807)="No",IF(INDEX(Listado!N:N,N2807)=0,"",INDEX(Listado!N:N,N2807)),IF(INDEX(Listado!I:I,N2807)=0,"",INDEX(Listado!I:I,N2807)))),"")</f>
        <v/>
      </c>
      <c r="P2807" s="17">
        <f t="shared" ca="1" si="130"/>
        <v/>
      </c>
      <c r="Q2807" s="17">
        <f>IFERROR(IF(AND(N2807&lt;&gt;"",ISNUMBER(O2807),O2807&gt;0,O2807&gt;=TODAY()-90),1,0),0)</f>
        <v/>
      </c>
      <c r="R2807" s="17" t="str">
        <f t="shared" si="132"/>
        <v/>
      </c>
      <c r="S2807" s="17" t="str">
        <f>IF(INDEX(Listado!A:A,ROW())="","",INDEX(Listado!A:A,ROW()))</f>
        <v/>
      </c>
      <c r="T2807" s="17" t="str">
        <f ca="1">IF(INDEX(Listado!G:G,ROW())="","",INDEX(Listado!G:G,ROW()))</f>
        <v/>
      </c>
      <c r="U2807" s="17" t="str">
        <f>IF(INDEX(Listado!F:F,ROW())="","",INDEX(Listado!F:F,ROW()))</f>
        <v/>
      </c>
      <c r="V2807" s="17">
        <f>IF(COUNTA(INDEX(Listado!B:B,ROW()):INDEX(Listado!F:F,ROW()))&gt;0,1,0)</f>
        <v/>
      </c>
      <c r="W2807" s="17" t="str">
        <f>IF(INDEX(Listado!L:L,ROW())="","",INDEX(Listado!L:L,ROW()))</f>
        <v/>
      </c>
      <c r="X2807" s="17">
        <f>IF(N2807="","",IF(INDEX(Listado!$M:$M,N2807)="No","No","Sí"))</f>
        <v/>
      </c>
    </row>
    <row r="2808" spans="2:24" ht="14.25">
      <c r="N2808" s="17" t="str">
        <f>IF(V2808=0,"",IFERROR(LOOKUP(2,1/(INDEX(Listado!A:A,2):INDEX(Listado!A:A,ROW())&lt;&gt;""),ROW(INDEX(Listado!A:A,2):INDEX(Listado!A:A,ROW()))),""))</f>
        <v/>
      </c>
      <c r="O2808" s="17" t="str">
        <f>IFERROR(IF(N2808="","",IF(INDEX(Listado!M:M,N2808)="No",IF(INDEX(Listado!N:N,N2808)=0,"",INDEX(Listado!N:N,N2808)),IF(INDEX(Listado!I:I,N2808)=0,"",INDEX(Listado!I:I,N2808)))),"")</f>
        <v/>
      </c>
      <c r="P2808" s="17">
        <f t="shared" ca="1" si="130"/>
        <v/>
      </c>
      <c r="Q2808" s="17">
        <f>IFERROR(IF(AND(N2808&lt;&gt;"",ISNUMBER(O2808),O2808&gt;0,O2808&gt;=TODAY()-90),1,0),0)</f>
        <v/>
      </c>
      <c r="R2808" s="17" t="str">
        <f t="shared" si="132"/>
        <v/>
      </c>
      <c r="S2808" s="17" t="str">
        <f>IF(INDEX(Listado!A:A,ROW())="","",INDEX(Listado!A:A,ROW()))</f>
        <v/>
      </c>
      <c r="T2808" s="17" t="str">
        <f ca="1">IF(INDEX(Listado!G:G,ROW())="","",INDEX(Listado!G:G,ROW()))</f>
        <v/>
      </c>
      <c r="U2808" s="17" t="str">
        <f>IF(INDEX(Listado!F:F,ROW())="","",INDEX(Listado!F:F,ROW()))</f>
        <v/>
      </c>
      <c r="V2808" s="17">
        <f>IF(COUNTA(INDEX(Listado!B:B,ROW()):INDEX(Listado!F:F,ROW()))&gt;0,1,0)</f>
        <v/>
      </c>
      <c r="W2808" s="17" t="str">
        <f>IF(INDEX(Listado!L:L,ROW())="","",INDEX(Listado!L:L,ROW()))</f>
        <v/>
      </c>
      <c r="X2808" s="17">
        <f>IF(N2808="","",IF(INDEX(Listado!$M:$M,N2808)="No","No","Sí"))</f>
        <v/>
      </c>
    </row>
    <row r="2809" spans="2:24" ht="14.25">
      <c r="N2809" s="17" t="str">
        <f>IF(V2809=0,"",IFERROR(LOOKUP(2,1/(INDEX(Listado!A:A,2):INDEX(Listado!A:A,ROW())&lt;&gt;""),ROW(INDEX(Listado!A:A,2):INDEX(Listado!A:A,ROW()))),""))</f>
        <v/>
      </c>
      <c r="O2809" s="17" t="str">
        <f>IFERROR(IF(N2809="","",IF(INDEX(Listado!M:M,N2809)="No",IF(INDEX(Listado!N:N,N2809)=0,"",INDEX(Listado!N:N,N2809)),IF(INDEX(Listado!I:I,N2809)=0,"",INDEX(Listado!I:I,N2809)))),"")</f>
        <v/>
      </c>
      <c r="P2809" s="17">
        <f t="shared" ca="1" si="130"/>
        <v/>
      </c>
      <c r="Q2809" s="17">
        <f>IFERROR(IF(AND(N2809&lt;&gt;"",ISNUMBER(O2809),O2809&gt;0,O2809&gt;=TODAY()-90),1,0),0)</f>
        <v/>
      </c>
      <c r="R2809" s="17" t="str">
        <f t="shared" si="132"/>
        <v/>
      </c>
      <c r="S2809" s="17" t="str">
        <f>IF(INDEX(Listado!A:A,ROW())="","",INDEX(Listado!A:A,ROW()))</f>
        <v/>
      </c>
      <c r="T2809" s="17" t="str">
        <f ca="1">IF(INDEX(Listado!G:G,ROW())="","",INDEX(Listado!G:G,ROW()))</f>
        <v/>
      </c>
      <c r="U2809" s="17" t="str">
        <f>IF(INDEX(Listado!F:F,ROW())="","",INDEX(Listado!F:F,ROW()))</f>
        <v/>
      </c>
      <c r="V2809" s="17">
        <f>IF(COUNTA(INDEX(Listado!B:B,ROW()):INDEX(Listado!F:F,ROW()))&gt;0,1,0)</f>
        <v/>
      </c>
      <c r="W2809" s="17" t="str">
        <f>IF(INDEX(Listado!L:L,ROW())="","",INDEX(Listado!L:L,ROW()))</f>
        <v/>
      </c>
      <c r="X2809" s="17">
        <f>IF(N2809="","",IF(INDEX(Listado!$M:$M,N2809)="No","No","Sí"))</f>
        <v/>
      </c>
    </row>
    <row r="2810" spans="2:24" ht="14.25">
      <c r="N2810" s="17" t="str">
        <f>IF(V2810=0,"",IFERROR(LOOKUP(2,1/(INDEX(Listado!A:A,2):INDEX(Listado!A:A,ROW())&lt;&gt;""),ROW(INDEX(Listado!A:A,2):INDEX(Listado!A:A,ROW()))),""))</f>
        <v/>
      </c>
      <c r="O2810" s="17" t="str">
        <f>IFERROR(IF(N2810="","",IF(INDEX(Listado!M:M,N2810)="No",IF(INDEX(Listado!N:N,N2810)=0,"",INDEX(Listado!N:N,N2810)),IF(INDEX(Listado!I:I,N2810)=0,"",INDEX(Listado!I:I,N2810)))),"")</f>
        <v/>
      </c>
      <c r="P2810" s="17">
        <f t="shared" ca="1" si="130"/>
        <v/>
      </c>
      <c r="Q2810" s="17">
        <f>IFERROR(IF(AND(N2810&lt;&gt;"",ISNUMBER(O2810),O2810&gt;0,O2810&gt;=TODAY()-90),1,0),0)</f>
        <v/>
      </c>
      <c r="R2810" s="17" t="str">
        <f t="shared" si="132"/>
        <v/>
      </c>
      <c r="S2810" s="17" t="str">
        <f>IF(INDEX(Listado!A:A,ROW())="","",INDEX(Listado!A:A,ROW()))</f>
        <v/>
      </c>
      <c r="T2810" s="17" t="str">
        <f ca="1">IF(INDEX(Listado!G:G,ROW())="","",INDEX(Listado!G:G,ROW()))</f>
        <v/>
      </c>
      <c r="U2810" s="17" t="str">
        <f>IF(INDEX(Listado!F:F,ROW())="","",INDEX(Listado!F:F,ROW()))</f>
        <v/>
      </c>
      <c r="V2810" s="17">
        <f>IF(COUNTA(INDEX(Listado!B:B,ROW()):INDEX(Listado!F:F,ROW()))&gt;0,1,0)</f>
        <v/>
      </c>
      <c r="W2810" s="17" t="str">
        <f>IF(INDEX(Listado!L:L,ROW())="","",INDEX(Listado!L:L,ROW()))</f>
        <v/>
      </c>
      <c r="X2810" s="17">
        <f>IF(N2810="","",IF(INDEX(Listado!$M:$M,N2810)="No","No","Sí"))</f>
        <v/>
      </c>
    </row>
    <row r="2811" spans="2:24" ht="14.25">
      <c r="N2811" s="17" t="str">
        <f>IF(V2811=0,"",IFERROR(LOOKUP(2,1/(INDEX(Listado!A:A,2):INDEX(Listado!A:A,ROW())&lt;&gt;""),ROW(INDEX(Listado!A:A,2):INDEX(Listado!A:A,ROW()))),""))</f>
        <v/>
      </c>
      <c r="O2811" s="17" t="str">
        <f>IFERROR(IF(N2811="","",IF(INDEX(Listado!M:M,N2811)="No",IF(INDEX(Listado!N:N,N2811)=0,"",INDEX(Listado!N:N,N2811)),IF(INDEX(Listado!I:I,N2811)=0,"",INDEX(Listado!I:I,N2811)))),"")</f>
        <v/>
      </c>
      <c r="P2811" s="17">
        <f t="shared" ca="1" si="130"/>
        <v/>
      </c>
      <c r="Q2811" s="17">
        <f>IFERROR(IF(AND(N2811&lt;&gt;"",ISNUMBER(O2811),O2811&gt;0,O2811&gt;=TODAY()-90),1,0),0)</f>
        <v/>
      </c>
      <c r="R2811" s="17" t="str">
        <f t="shared" si="132"/>
        <v/>
      </c>
      <c r="S2811" s="17" t="str">
        <f>IF(INDEX(Listado!A:A,ROW())="","",INDEX(Listado!A:A,ROW()))</f>
        <v/>
      </c>
      <c r="T2811" s="17" t="str">
        <f ca="1">IF(INDEX(Listado!G:G,ROW())="","",INDEX(Listado!G:G,ROW()))</f>
        <v/>
      </c>
      <c r="U2811" s="17" t="str">
        <f>IF(INDEX(Listado!F:F,ROW())="","",INDEX(Listado!F:F,ROW()))</f>
        <v/>
      </c>
      <c r="V2811" s="17">
        <f>IF(COUNTA(INDEX(Listado!B:B,ROW()):INDEX(Listado!F:F,ROW()))&gt;0,1,0)</f>
        <v/>
      </c>
      <c r="W2811" s="17" t="str">
        <f>IF(INDEX(Listado!L:L,ROW())="","",INDEX(Listado!L:L,ROW()))</f>
        <v/>
      </c>
      <c r="X2811" s="17">
        <f>IF(N2811="","",IF(INDEX(Listado!$M:$M,N2811)="No","No","Sí"))</f>
        <v/>
      </c>
    </row>
    <row r="2812" spans="2:24" ht="14.25">
      <c r="N2812" s="17" t="str">
        <f>IF(V2812=0,"",IFERROR(LOOKUP(2,1/(INDEX(Listado!A:A,2):INDEX(Listado!A:A,ROW())&lt;&gt;""),ROW(INDEX(Listado!A:A,2):INDEX(Listado!A:A,ROW()))),""))</f>
        <v/>
      </c>
      <c r="O2812" s="17" t="str">
        <f>IFERROR(IF(N2812="","",IF(INDEX(Listado!M:M,N2812)="No",IF(INDEX(Listado!N:N,N2812)=0,"",INDEX(Listado!N:N,N2812)),IF(INDEX(Listado!I:I,N2812)=0,"",INDEX(Listado!I:I,N2812)))),"")</f>
        <v/>
      </c>
      <c r="P2812" s="17">
        <f t="shared" ca="1" si="130"/>
        <v/>
      </c>
      <c r="Q2812" s="17">
        <f>IFERROR(IF(AND(N2812&lt;&gt;"",ISNUMBER(O2812),O2812&gt;0,O2812&gt;=TODAY()-90),1,0),0)</f>
        <v/>
      </c>
      <c r="R2812" s="17" t="str">
        <f t="shared" si="132"/>
        <v/>
      </c>
      <c r="S2812" s="17" t="str">
        <f>IF(INDEX(Listado!A:A,ROW())="","",INDEX(Listado!A:A,ROW()))</f>
        <v/>
      </c>
      <c r="T2812" s="17" t="str">
        <f ca="1">IF(INDEX(Listado!G:G,ROW())="","",INDEX(Listado!G:G,ROW()))</f>
        <v/>
      </c>
      <c r="U2812" s="17" t="str">
        <f>IF(INDEX(Listado!F:F,ROW())="","",INDEX(Listado!F:F,ROW()))</f>
        <v/>
      </c>
      <c r="V2812" s="17">
        <f>IF(COUNTA(INDEX(Listado!B:B,ROW()):INDEX(Listado!F:F,ROW()))&gt;0,1,0)</f>
        <v/>
      </c>
      <c r="W2812" s="17" t="str">
        <f>IF(INDEX(Listado!L:L,ROW())="","",INDEX(Listado!L:L,ROW()))</f>
        <v/>
      </c>
      <c r="X2812" s="17">
        <f>IF(N2812="","",IF(INDEX(Listado!$M:$M,N2812)="No","No","Sí"))</f>
        <v/>
      </c>
    </row>
    <row r="2813" spans="2:24" ht="14.25">
      <c r="N2813" s="17" t="str">
        <f>IF(V2813=0,"",IFERROR(LOOKUP(2,1/(INDEX(Listado!A:A,2):INDEX(Listado!A:A,ROW())&lt;&gt;""),ROW(INDEX(Listado!A:A,2):INDEX(Listado!A:A,ROW()))),""))</f>
        <v/>
      </c>
      <c r="O2813" s="17" t="str">
        <f>IFERROR(IF(N2813="","",IF(INDEX(Listado!M:M,N2813)="No",IF(INDEX(Listado!N:N,N2813)=0,"",INDEX(Listado!N:N,N2813)),IF(INDEX(Listado!I:I,N2813)=0,"",INDEX(Listado!I:I,N2813)))),"")</f>
        <v/>
      </c>
      <c r="P2813" s="17">
        <f t="shared" ca="1" si="130"/>
        <v/>
      </c>
      <c r="Q2813" s="17">
        <f>IFERROR(IF(AND(N2813&lt;&gt;"",ISNUMBER(O2813),O2813&gt;0,O2813&gt;=TODAY()-90),1,0),0)</f>
        <v/>
      </c>
      <c r="R2813" s="17" t="str">
        <f t="shared" si="132"/>
        <v/>
      </c>
      <c r="S2813" s="17" t="str">
        <f>IF(INDEX(Listado!A:A,ROW())="","",INDEX(Listado!A:A,ROW()))</f>
        <v/>
      </c>
      <c r="T2813" s="17" t="str">
        <f ca="1">IF(INDEX(Listado!G:G,ROW())="","",INDEX(Listado!G:G,ROW()))</f>
        <v/>
      </c>
      <c r="U2813" s="17" t="str">
        <f>IF(INDEX(Listado!F:F,ROW())="","",INDEX(Listado!F:F,ROW()))</f>
        <v/>
      </c>
      <c r="V2813" s="17">
        <f>IF(COUNTA(INDEX(Listado!B:B,ROW()):INDEX(Listado!F:F,ROW()))&gt;0,1,0)</f>
        <v/>
      </c>
      <c r="W2813" s="17" t="str">
        <f>IF(INDEX(Listado!L:L,ROW())="","",INDEX(Listado!L:L,ROW()))</f>
        <v/>
      </c>
      <c r="X2813" s="17">
        <f>IF(N2813="","",IF(INDEX(Listado!$M:$M,N2813)="No","No","Sí"))</f>
        <v/>
      </c>
    </row>
    <row r="2814" spans="2:24" ht="14.25">
      <c r="N2814" s="17" t="str">
        <f>IF(V2814=0,"",IFERROR(LOOKUP(2,1/(INDEX(Listado!A:A,2):INDEX(Listado!A:A,ROW())&lt;&gt;""),ROW(INDEX(Listado!A:A,2):INDEX(Listado!A:A,ROW()))),""))</f>
        <v/>
      </c>
      <c r="O2814" s="17" t="str">
        <f>IFERROR(IF(N2814="","",IF(INDEX(Listado!M:M,N2814)="No",IF(INDEX(Listado!N:N,N2814)=0,"",INDEX(Listado!N:N,N2814)),IF(INDEX(Listado!I:I,N2814)=0,"",INDEX(Listado!I:I,N2814)))),"")</f>
        <v/>
      </c>
      <c r="P2814" s="17">
        <f t="shared" ca="1" si="130"/>
        <v/>
      </c>
      <c r="Q2814" s="17">
        <f>IFERROR(IF(AND(N2814&lt;&gt;"",ISNUMBER(O2814),O2814&gt;0,O2814&gt;=TODAY()-90),1,0),0)</f>
        <v/>
      </c>
      <c r="R2814" s="17" t="str">
        <f t="shared" si="132"/>
        <v/>
      </c>
      <c r="S2814" s="17" t="str">
        <f>IF(INDEX(Listado!A:A,ROW())="","",INDEX(Listado!A:A,ROW()))</f>
        <v/>
      </c>
      <c r="T2814" s="17" t="str">
        <f ca="1">IF(INDEX(Listado!G:G,ROW())="","",INDEX(Listado!G:G,ROW()))</f>
        <v/>
      </c>
      <c r="U2814" s="17" t="str">
        <f>IF(INDEX(Listado!F:F,ROW())="","",INDEX(Listado!F:F,ROW()))</f>
        <v/>
      </c>
      <c r="V2814" s="17">
        <f>IF(COUNTA(INDEX(Listado!B:B,ROW()):INDEX(Listado!F:F,ROW()))&gt;0,1,0)</f>
        <v/>
      </c>
      <c r="W2814" s="17" t="str">
        <f>IF(INDEX(Listado!L:L,ROW())="","",INDEX(Listado!L:L,ROW()))</f>
        <v/>
      </c>
      <c r="X2814" s="17">
        <f>IF(N2814="","",IF(INDEX(Listado!$M:$M,N2814)="No","No","Sí"))</f>
        <v/>
      </c>
    </row>
    <row r="2815" spans="2:24" ht="14.25">
      <c r="N2815" s="17" t="str">
        <f>IF(V2815=0,"",IFERROR(LOOKUP(2,1/(INDEX(Listado!A:A,2):INDEX(Listado!A:A,ROW())&lt;&gt;""),ROW(INDEX(Listado!A:A,2):INDEX(Listado!A:A,ROW()))),""))</f>
        <v/>
      </c>
      <c r="O2815" s="17" t="str">
        <f>IFERROR(IF(N2815="","",IF(INDEX(Listado!M:M,N2815)="No",IF(INDEX(Listado!N:N,N2815)=0,"",INDEX(Listado!N:N,N2815)),IF(INDEX(Listado!I:I,N2815)=0,"",INDEX(Listado!I:I,N2815)))),"")</f>
        <v/>
      </c>
      <c r="P2815" s="17">
        <f t="shared" ca="1" si="130"/>
        <v/>
      </c>
      <c r="Q2815" s="17">
        <f>IFERROR(IF(AND(N2815&lt;&gt;"",ISNUMBER(O2815),O2815&gt;0,O2815&gt;=TODAY()-90),1,0),0)</f>
        <v/>
      </c>
      <c r="R2815" s="17" t="str">
        <f t="shared" si="132"/>
        <v/>
      </c>
      <c r="S2815" s="17" t="str">
        <f>IF(INDEX(Listado!A:A,ROW())="","",INDEX(Listado!A:A,ROW()))</f>
        <v/>
      </c>
      <c r="T2815" s="17" t="str">
        <f ca="1">IF(INDEX(Listado!G:G,ROW())="","",INDEX(Listado!G:G,ROW()))</f>
        <v/>
      </c>
      <c r="U2815" s="17" t="str">
        <f>IF(INDEX(Listado!F:F,ROW())="","",INDEX(Listado!F:F,ROW()))</f>
        <v/>
      </c>
      <c r="V2815" s="17">
        <f>IF(COUNTA(INDEX(Listado!B:B,ROW()):INDEX(Listado!F:F,ROW()))&gt;0,1,0)</f>
        <v/>
      </c>
      <c r="W2815" s="17" t="str">
        <f>IF(INDEX(Listado!L:L,ROW())="","",INDEX(Listado!L:L,ROW()))</f>
        <v/>
      </c>
      <c r="X2815" s="17">
        <f>IF(N2815="","",IF(INDEX(Listado!$M:$M,N2815)="No","No","Sí"))</f>
        <v/>
      </c>
    </row>
    <row r="2816" spans="2:24" ht="14.25">
      <c r="N2816" s="17" t="str">
        <f>IF(V2816=0,"",IFERROR(LOOKUP(2,1/(INDEX(Listado!A:A,2):INDEX(Listado!A:A,ROW())&lt;&gt;""),ROW(INDEX(Listado!A:A,2):INDEX(Listado!A:A,ROW()))),""))</f>
        <v/>
      </c>
      <c r="O2816" s="17" t="str">
        <f>IFERROR(IF(N2816="","",IF(INDEX(Listado!M:M,N2816)="No",IF(INDEX(Listado!N:N,N2816)=0,"",INDEX(Listado!N:N,N2816)),IF(INDEX(Listado!I:I,N2816)=0,"",INDEX(Listado!I:I,N2816)))),"")</f>
        <v/>
      </c>
      <c r="P2816" s="17">
        <f t="shared" ca="1" si="130"/>
        <v/>
      </c>
      <c r="Q2816" s="17">
        <f>IFERROR(IF(AND(N2816&lt;&gt;"",ISNUMBER(O2816),O2816&gt;0,O2816&gt;=TODAY()-90),1,0),0)</f>
        <v/>
      </c>
      <c r="R2816" s="17" t="str">
        <f t="shared" si="132"/>
        <v/>
      </c>
      <c r="S2816" s="17" t="str">
        <f>IF(INDEX(Listado!A:A,ROW())="","",INDEX(Listado!A:A,ROW()))</f>
        <v/>
      </c>
      <c r="T2816" s="17" t="str">
        <f ca="1">IF(INDEX(Listado!G:G,ROW())="","",INDEX(Listado!G:G,ROW()))</f>
        <v/>
      </c>
      <c r="U2816" s="17" t="str">
        <f>IF(INDEX(Listado!F:F,ROW())="","",INDEX(Listado!F:F,ROW()))</f>
        <v/>
      </c>
      <c r="V2816" s="17">
        <f>IF(COUNTA(INDEX(Listado!B:B,ROW()):INDEX(Listado!F:F,ROW()))&gt;0,1,0)</f>
        <v/>
      </c>
      <c r="W2816" s="17" t="str">
        <f>IF(INDEX(Listado!L:L,ROW())="","",INDEX(Listado!L:L,ROW()))</f>
        <v/>
      </c>
      <c r="X2816" s="17">
        <f>IF(N2816="","",IF(INDEX(Listado!$M:$M,N2816)="No","No","Sí"))</f>
        <v/>
      </c>
    </row>
    <row r="2817" spans="2:24" ht="14.25">
      <c r="N2817" s="17" t="str">
        <f>IF(V2817=0,"",IFERROR(LOOKUP(2,1/(INDEX(Listado!A:A,2):INDEX(Listado!A:A,ROW())&lt;&gt;""),ROW(INDEX(Listado!A:A,2):INDEX(Listado!A:A,ROW()))),""))</f>
        <v/>
      </c>
      <c r="O2817" s="17" t="str">
        <f>IFERROR(IF(N2817="","",IF(INDEX(Listado!M:M,N2817)="No",IF(INDEX(Listado!N:N,N2817)=0,"",INDEX(Listado!N:N,N2817)),IF(INDEX(Listado!I:I,N2817)=0,"",INDEX(Listado!I:I,N2817)))),"")</f>
        <v/>
      </c>
      <c r="P2817" s="17">
        <f t="shared" ca="1" si="130"/>
        <v/>
      </c>
      <c r="Q2817" s="17">
        <f>IFERROR(IF(AND(N2817&lt;&gt;"",ISNUMBER(O2817),O2817&gt;0,O2817&gt;=TODAY()-90),1,0),0)</f>
        <v/>
      </c>
      <c r="R2817" s="17" t="str">
        <f t="shared" si="132"/>
        <v/>
      </c>
      <c r="S2817" s="17" t="str">
        <f>IF(INDEX(Listado!A:A,ROW())="","",INDEX(Listado!A:A,ROW()))</f>
        <v/>
      </c>
      <c r="T2817" s="17" t="str">
        <f ca="1">IF(INDEX(Listado!G:G,ROW())="","",INDEX(Listado!G:G,ROW()))</f>
        <v/>
      </c>
      <c r="U2817" s="17" t="str">
        <f>IF(INDEX(Listado!F:F,ROW())="","",INDEX(Listado!F:F,ROW()))</f>
        <v/>
      </c>
      <c r="V2817" s="17">
        <f>IF(COUNTA(INDEX(Listado!B:B,ROW()):INDEX(Listado!F:F,ROW()))&gt;0,1,0)</f>
        <v/>
      </c>
      <c r="W2817" s="17" t="str">
        <f>IF(INDEX(Listado!L:L,ROW())="","",INDEX(Listado!L:L,ROW()))</f>
        <v/>
      </c>
      <c r="X2817" s="17">
        <f>IF(N2817="","",IF(INDEX(Listado!$M:$M,N2817)="No","No","Sí"))</f>
        <v/>
      </c>
    </row>
    <row r="2818" spans="2:24" ht="14.25">
      <c r="N2818" s="17" t="str">
        <f>IF(V2818=0,"",IFERROR(LOOKUP(2,1/(INDEX(Listado!A:A,2):INDEX(Listado!A:A,ROW())&lt;&gt;""),ROW(INDEX(Listado!A:A,2):INDEX(Listado!A:A,ROW()))),""))</f>
        <v/>
      </c>
      <c r="O2818" s="17" t="str">
        <f>IFERROR(IF(N2818="","",IF(INDEX(Listado!M:M,N2818)="No",IF(INDEX(Listado!N:N,N2818)=0,"",INDEX(Listado!N:N,N2818)),IF(INDEX(Listado!I:I,N2818)=0,"",INDEX(Listado!I:I,N2818)))),"")</f>
        <v/>
      </c>
      <c r="P2818" s="17">
        <f t="shared" ref="P2818:P2881" ca="1" si="133">IF(W2818="",0,IFERROR(IF(AND(ISNUMBER(W2818),W2818=INT(W2818),ISNUMBER(O2818),O2818&gt;0,W2818&gt;=TODAY(),W2818&lt;=O2818+90),0,1),1))</f>
        <v/>
      </c>
      <c r="Q2818" s="17">
        <f>IFERROR(IF(AND(N2818&lt;&gt;"",ISNUMBER(O2818),O2818&gt;0,O2818&gt;=TODAY()-90),1,0),0)</f>
        <v/>
      </c>
      <c r="R2818" s="17" t="str">
        <f t="shared" ref="R2818:R2881" si="135">IF(S2818="","",COUNTIFS($N$2:$N$2999,ROW(),$Q$2:$Q$2999,1))</f>
        <v/>
      </c>
      <c r="S2818" s="17" t="str">
        <f>IF(INDEX(Listado!A:A,ROW())="","",INDEX(Listado!A:A,ROW()))</f>
        <v/>
      </c>
      <c r="T2818" s="17" t="str">
        <f ca="1">IF(INDEX(Listado!G:G,ROW())="","",INDEX(Listado!G:G,ROW()))</f>
        <v/>
      </c>
      <c r="U2818" s="17" t="str">
        <f>IF(INDEX(Listado!F:F,ROW())="","",INDEX(Listado!F:F,ROW()))</f>
        <v/>
      </c>
      <c r="V2818" s="17">
        <f>IF(COUNTA(INDEX(Listado!B:B,ROW()):INDEX(Listado!F:F,ROW()))&gt;0,1,0)</f>
        <v/>
      </c>
      <c r="W2818" s="17" t="str">
        <f>IF(INDEX(Listado!L:L,ROW())="","",INDEX(Listado!L:L,ROW()))</f>
        <v/>
      </c>
      <c r="X2818" s="17">
        <f>IF(N2818="","",IF(INDEX(Listado!$M:$M,N2818)="No","No","Sí"))</f>
        <v/>
      </c>
    </row>
    <row r="2819" spans="2:24" ht="14.25">
      <c r="N2819" s="17" t="str">
        <f>IF(V2819=0,"",IFERROR(LOOKUP(2,1/(INDEX(Listado!A:A,2):INDEX(Listado!A:A,ROW())&lt;&gt;""),ROW(INDEX(Listado!A:A,2):INDEX(Listado!A:A,ROW()))),""))</f>
        <v/>
      </c>
      <c r="O2819" s="17" t="str">
        <f>IFERROR(IF(N2819="","",IF(INDEX(Listado!M:M,N2819)="No",IF(INDEX(Listado!N:N,N2819)=0,"",INDEX(Listado!N:N,N2819)),IF(INDEX(Listado!I:I,N2819)=0,"",INDEX(Listado!I:I,N2819)))),"")</f>
        <v/>
      </c>
      <c r="P2819" s="17">
        <f t="shared" ca="1" si="133"/>
        <v/>
      </c>
      <c r="Q2819" s="17">
        <f>IFERROR(IF(AND(N2819&lt;&gt;"",ISNUMBER(O2819),O2819&gt;0,O2819&gt;=TODAY()-90),1,0),0)</f>
        <v/>
      </c>
      <c r="R2819" s="17" t="str">
        <f t="shared" si="135"/>
        <v/>
      </c>
      <c r="S2819" s="17" t="str">
        <f>IF(INDEX(Listado!A:A,ROW())="","",INDEX(Listado!A:A,ROW()))</f>
        <v/>
      </c>
      <c r="T2819" s="17" t="str">
        <f ca="1">IF(INDEX(Listado!G:G,ROW())="","",INDEX(Listado!G:G,ROW()))</f>
        <v/>
      </c>
      <c r="U2819" s="17" t="str">
        <f>IF(INDEX(Listado!F:F,ROW())="","",INDEX(Listado!F:F,ROW()))</f>
        <v/>
      </c>
      <c r="V2819" s="17">
        <f>IF(COUNTA(INDEX(Listado!B:B,ROW()):INDEX(Listado!F:F,ROW()))&gt;0,1,0)</f>
        <v/>
      </c>
      <c r="W2819" s="17" t="str">
        <f>IF(INDEX(Listado!L:L,ROW())="","",INDEX(Listado!L:L,ROW()))</f>
        <v/>
      </c>
      <c r="X2819" s="17">
        <f>IF(N2819="","",IF(INDEX(Listado!$M:$M,N2819)="No","No","Sí"))</f>
        <v/>
      </c>
    </row>
    <row r="2820" spans="2:24" ht="14.25">
      <c r="N2820" s="17" t="str">
        <f>IF(V2820=0,"",IFERROR(LOOKUP(2,1/(INDEX(Listado!A:A,2):INDEX(Listado!A:A,ROW())&lt;&gt;""),ROW(INDEX(Listado!A:A,2):INDEX(Listado!A:A,ROW()))),""))</f>
        <v/>
      </c>
      <c r="O2820" s="17" t="str">
        <f>IFERROR(IF(N2820="","",IF(INDEX(Listado!M:M,N2820)="No",IF(INDEX(Listado!N:N,N2820)=0,"",INDEX(Listado!N:N,N2820)),IF(INDEX(Listado!I:I,N2820)=0,"",INDEX(Listado!I:I,N2820)))),"")</f>
        <v/>
      </c>
      <c r="P2820" s="17">
        <f t="shared" ca="1" si="133"/>
        <v/>
      </c>
      <c r="Q2820" s="17">
        <f>IFERROR(IF(AND(N2820&lt;&gt;"",ISNUMBER(O2820),O2820&gt;0,O2820&gt;=TODAY()-90),1,0),0)</f>
        <v/>
      </c>
      <c r="R2820" s="17" t="str">
        <f t="shared" si="135"/>
        <v/>
      </c>
      <c r="S2820" s="17" t="str">
        <f>IF(INDEX(Listado!A:A,ROW())="","",INDEX(Listado!A:A,ROW()))</f>
        <v/>
      </c>
      <c r="T2820" s="17" t="str">
        <f ca="1">IF(INDEX(Listado!G:G,ROW())="","",INDEX(Listado!G:G,ROW()))</f>
        <v/>
      </c>
      <c r="U2820" s="17" t="str">
        <f>IF(INDEX(Listado!F:F,ROW())="","",INDEX(Listado!F:F,ROW()))</f>
        <v/>
      </c>
      <c r="V2820" s="17">
        <f>IF(COUNTA(INDEX(Listado!B:B,ROW()):INDEX(Listado!F:F,ROW()))&gt;0,1,0)</f>
        <v/>
      </c>
      <c r="W2820" s="17" t="str">
        <f>IF(INDEX(Listado!L:L,ROW())="","",INDEX(Listado!L:L,ROW()))</f>
        <v/>
      </c>
      <c r="X2820" s="17">
        <f>IF(N2820="","",IF(INDEX(Listado!$M:$M,N2820)="No","No","Sí"))</f>
        <v/>
      </c>
    </row>
    <row r="2821" spans="2:24" ht="14.25">
      <c r="N2821" s="17" t="str">
        <f>IF(V2821=0,"",IFERROR(LOOKUP(2,1/(INDEX(Listado!A:A,2):INDEX(Listado!A:A,ROW())&lt;&gt;""),ROW(INDEX(Listado!A:A,2):INDEX(Listado!A:A,ROW()))),""))</f>
        <v/>
      </c>
      <c r="O2821" s="17" t="str">
        <f>IFERROR(IF(N2821="","",IF(INDEX(Listado!M:M,N2821)="No",IF(INDEX(Listado!N:N,N2821)=0,"",INDEX(Listado!N:N,N2821)),IF(INDEX(Listado!I:I,N2821)=0,"",INDEX(Listado!I:I,N2821)))),"")</f>
        <v/>
      </c>
      <c r="P2821" s="17">
        <f t="shared" ca="1" si="133"/>
        <v/>
      </c>
      <c r="Q2821" s="17">
        <f>IFERROR(IF(AND(N2821&lt;&gt;"",ISNUMBER(O2821),O2821&gt;0,O2821&gt;=TODAY()-90),1,0),0)</f>
        <v/>
      </c>
      <c r="R2821" s="17" t="str">
        <f t="shared" si="135"/>
        <v/>
      </c>
      <c r="S2821" s="17" t="str">
        <f>IF(INDEX(Listado!A:A,ROW())="","",INDEX(Listado!A:A,ROW()))</f>
        <v/>
      </c>
      <c r="T2821" s="17" t="str">
        <f ca="1">IF(INDEX(Listado!G:G,ROW())="","",INDEX(Listado!G:G,ROW()))</f>
        <v/>
      </c>
      <c r="U2821" s="17" t="str">
        <f>IF(INDEX(Listado!F:F,ROW())="","",INDEX(Listado!F:F,ROW()))</f>
        <v/>
      </c>
      <c r="V2821" s="17">
        <f>IF(COUNTA(INDEX(Listado!B:B,ROW()):INDEX(Listado!F:F,ROW()))&gt;0,1,0)</f>
        <v/>
      </c>
      <c r="W2821" s="17" t="str">
        <f>IF(INDEX(Listado!L:L,ROW())="","",INDEX(Listado!L:L,ROW()))</f>
        <v/>
      </c>
      <c r="X2821" s="17">
        <f>IF(N2821="","",IF(INDEX(Listado!$M:$M,N2821)="No","No","Sí"))</f>
        <v/>
      </c>
    </row>
    <row r="2822" spans="2:24" ht="14.25">
      <c r="N2822" s="17" t="str">
        <f>IF(V2822=0,"",IFERROR(LOOKUP(2,1/(INDEX(Listado!A:A,2):INDEX(Listado!A:A,ROW())&lt;&gt;""),ROW(INDEX(Listado!A:A,2):INDEX(Listado!A:A,ROW()))),""))</f>
        <v/>
      </c>
      <c r="O2822" s="17" t="str">
        <f>IFERROR(IF(N2822="","",IF(INDEX(Listado!M:M,N2822)="No",IF(INDEX(Listado!N:N,N2822)=0,"",INDEX(Listado!N:N,N2822)),IF(INDEX(Listado!I:I,N2822)=0,"",INDEX(Listado!I:I,N2822)))),"")</f>
        <v/>
      </c>
      <c r="P2822" s="17">
        <f t="shared" ca="1" si="133"/>
        <v/>
      </c>
      <c r="Q2822" s="17">
        <f>IFERROR(IF(AND(N2822&lt;&gt;"",ISNUMBER(O2822),O2822&gt;0,O2822&gt;=TODAY()-90),1,0),0)</f>
        <v/>
      </c>
      <c r="R2822" s="17" t="str">
        <f t="shared" si="135"/>
        <v/>
      </c>
      <c r="S2822" s="17" t="str">
        <f>IF(INDEX(Listado!A:A,ROW())="","",INDEX(Listado!A:A,ROW()))</f>
        <v/>
      </c>
      <c r="T2822" s="17" t="str">
        <f ca="1">IF(INDEX(Listado!G:G,ROW())="","",INDEX(Listado!G:G,ROW()))</f>
        <v/>
      </c>
      <c r="U2822" s="17" t="str">
        <f>IF(INDEX(Listado!F:F,ROW())="","",INDEX(Listado!F:F,ROW()))</f>
        <v/>
      </c>
      <c r="V2822" s="17">
        <f>IF(COUNTA(INDEX(Listado!B:B,ROW()):INDEX(Listado!F:F,ROW()))&gt;0,1,0)</f>
        <v/>
      </c>
      <c r="W2822" s="17" t="str">
        <f>IF(INDEX(Listado!L:L,ROW())="","",INDEX(Listado!L:L,ROW()))</f>
        <v/>
      </c>
      <c r="X2822" s="17">
        <f>IF(N2822="","",IF(INDEX(Listado!$M:$M,N2822)="No","No","Sí"))</f>
        <v/>
      </c>
    </row>
    <row r="2823" spans="2:24" ht="14.25">
      <c r="N2823" s="17" t="str">
        <f>IF(V2823=0,"",IFERROR(LOOKUP(2,1/(INDEX(Listado!A:A,2):INDEX(Listado!A:A,ROW())&lt;&gt;""),ROW(INDEX(Listado!A:A,2):INDEX(Listado!A:A,ROW()))),""))</f>
        <v/>
      </c>
      <c r="O2823" s="17" t="str">
        <f>IFERROR(IF(N2823="","",IF(INDEX(Listado!M:M,N2823)="No",IF(INDEX(Listado!N:N,N2823)=0,"",INDEX(Listado!N:N,N2823)),IF(INDEX(Listado!I:I,N2823)=0,"",INDEX(Listado!I:I,N2823)))),"")</f>
        <v/>
      </c>
      <c r="P2823" s="17">
        <f t="shared" ca="1" si="133"/>
        <v/>
      </c>
      <c r="Q2823" s="17">
        <f>IFERROR(IF(AND(N2823&lt;&gt;"",ISNUMBER(O2823),O2823&gt;0,O2823&gt;=TODAY()-90),1,0),0)</f>
        <v/>
      </c>
      <c r="R2823" s="17" t="str">
        <f t="shared" si="135"/>
        <v/>
      </c>
      <c r="S2823" s="17" t="str">
        <f>IF(INDEX(Listado!A:A,ROW())="","",INDEX(Listado!A:A,ROW()))</f>
        <v/>
      </c>
      <c r="T2823" s="17" t="str">
        <f ca="1">IF(INDEX(Listado!G:G,ROW())="","",INDEX(Listado!G:G,ROW()))</f>
        <v/>
      </c>
      <c r="U2823" s="17" t="str">
        <f>IF(INDEX(Listado!F:F,ROW())="","",INDEX(Listado!F:F,ROW()))</f>
        <v/>
      </c>
      <c r="V2823" s="17">
        <f>IF(COUNTA(INDEX(Listado!B:B,ROW()):INDEX(Listado!F:F,ROW()))&gt;0,1,0)</f>
        <v/>
      </c>
      <c r="W2823" s="17" t="str">
        <f>IF(INDEX(Listado!L:L,ROW())="","",INDEX(Listado!L:L,ROW()))</f>
        <v/>
      </c>
      <c r="X2823" s="17">
        <f>IF(N2823="","",IF(INDEX(Listado!$M:$M,N2823)="No","No","Sí"))</f>
        <v/>
      </c>
    </row>
    <row r="2824" spans="2:24" ht="14.25">
      <c r="N2824" s="17" t="str">
        <f>IF(V2824=0,"",IFERROR(LOOKUP(2,1/(INDEX(Listado!A:A,2):INDEX(Listado!A:A,ROW())&lt;&gt;""),ROW(INDEX(Listado!A:A,2):INDEX(Listado!A:A,ROW()))),""))</f>
        <v/>
      </c>
      <c r="O2824" s="17" t="str">
        <f>IFERROR(IF(N2824="","",IF(INDEX(Listado!M:M,N2824)="No",IF(INDEX(Listado!N:N,N2824)=0,"",INDEX(Listado!N:N,N2824)),IF(INDEX(Listado!I:I,N2824)=0,"",INDEX(Listado!I:I,N2824)))),"")</f>
        <v/>
      </c>
      <c r="P2824" s="17">
        <f t="shared" ca="1" si="133"/>
        <v/>
      </c>
      <c r="Q2824" s="17">
        <f>IFERROR(IF(AND(N2824&lt;&gt;"",ISNUMBER(O2824),O2824&gt;0,O2824&gt;=TODAY()-90),1,0),0)</f>
        <v/>
      </c>
      <c r="R2824" s="17" t="str">
        <f t="shared" si="135"/>
        <v/>
      </c>
      <c r="S2824" s="17" t="str">
        <f>IF(INDEX(Listado!A:A,ROW())="","",INDEX(Listado!A:A,ROW()))</f>
        <v/>
      </c>
      <c r="T2824" s="17" t="str">
        <f ca="1">IF(INDEX(Listado!G:G,ROW())="","",INDEX(Listado!G:G,ROW()))</f>
        <v/>
      </c>
      <c r="U2824" s="17" t="str">
        <f>IF(INDEX(Listado!F:F,ROW())="","",INDEX(Listado!F:F,ROW()))</f>
        <v/>
      </c>
      <c r="V2824" s="17">
        <f>IF(COUNTA(INDEX(Listado!B:B,ROW()):INDEX(Listado!F:F,ROW()))&gt;0,1,0)</f>
        <v/>
      </c>
      <c r="W2824" s="17" t="str">
        <f>IF(INDEX(Listado!L:L,ROW())="","",INDEX(Listado!L:L,ROW()))</f>
        <v/>
      </c>
      <c r="X2824" s="17">
        <f>IF(N2824="","",IF(INDEX(Listado!$M:$M,N2824)="No","No","Sí"))</f>
        <v/>
      </c>
    </row>
    <row r="2825" spans="2:24" ht="14.25">
      <c r="N2825" s="17" t="str">
        <f>IF(V2825=0,"",IFERROR(LOOKUP(2,1/(INDEX(Listado!A:A,2):INDEX(Listado!A:A,ROW())&lt;&gt;""),ROW(INDEX(Listado!A:A,2):INDEX(Listado!A:A,ROW()))),""))</f>
        <v/>
      </c>
      <c r="O2825" s="17" t="str">
        <f>IFERROR(IF(N2825="","",IF(INDEX(Listado!M:M,N2825)="No",IF(INDEX(Listado!N:N,N2825)=0,"",INDEX(Listado!N:N,N2825)),IF(INDEX(Listado!I:I,N2825)=0,"",INDEX(Listado!I:I,N2825)))),"")</f>
        <v/>
      </c>
      <c r="P2825" s="17">
        <f t="shared" ca="1" si="133"/>
        <v/>
      </c>
      <c r="Q2825" s="17">
        <f>IFERROR(IF(AND(N2825&lt;&gt;"",ISNUMBER(O2825),O2825&gt;0,O2825&gt;=TODAY()-90),1,0),0)</f>
        <v/>
      </c>
      <c r="R2825" s="17" t="str">
        <f t="shared" si="135"/>
        <v/>
      </c>
      <c r="S2825" s="17" t="str">
        <f>IF(INDEX(Listado!A:A,ROW())="","",INDEX(Listado!A:A,ROW()))</f>
        <v/>
      </c>
      <c r="T2825" s="17" t="str">
        <f ca="1">IF(INDEX(Listado!G:G,ROW())="","",INDEX(Listado!G:G,ROW()))</f>
        <v/>
      </c>
      <c r="U2825" s="17" t="str">
        <f>IF(INDEX(Listado!F:F,ROW())="","",INDEX(Listado!F:F,ROW()))</f>
        <v/>
      </c>
      <c r="V2825" s="17">
        <f>IF(COUNTA(INDEX(Listado!B:B,ROW()):INDEX(Listado!F:F,ROW()))&gt;0,1,0)</f>
        <v/>
      </c>
      <c r="W2825" s="17" t="str">
        <f>IF(INDEX(Listado!L:L,ROW())="","",INDEX(Listado!L:L,ROW()))</f>
        <v/>
      </c>
      <c r="X2825" s="17">
        <f>IF(N2825="","",IF(INDEX(Listado!$M:$M,N2825)="No","No","Sí"))</f>
        <v/>
      </c>
    </row>
    <row r="2826" spans="2:24" ht="14.25">
      <c r="N2826" s="17" t="str">
        <f>IF(V2826=0,"",IFERROR(LOOKUP(2,1/(INDEX(Listado!A:A,2):INDEX(Listado!A:A,ROW())&lt;&gt;""),ROW(INDEX(Listado!A:A,2):INDEX(Listado!A:A,ROW()))),""))</f>
        <v/>
      </c>
      <c r="O2826" s="17" t="str">
        <f>IFERROR(IF(N2826="","",IF(INDEX(Listado!M:M,N2826)="No",IF(INDEX(Listado!N:N,N2826)=0,"",INDEX(Listado!N:N,N2826)),IF(INDEX(Listado!I:I,N2826)=0,"",INDEX(Listado!I:I,N2826)))),"")</f>
        <v/>
      </c>
      <c r="P2826" s="17">
        <f t="shared" ca="1" si="133"/>
        <v/>
      </c>
      <c r="Q2826" s="17">
        <f>IFERROR(IF(AND(N2826&lt;&gt;"",ISNUMBER(O2826),O2826&gt;0,O2826&gt;=TODAY()-90),1,0),0)</f>
        <v/>
      </c>
      <c r="R2826" s="17" t="str">
        <f t="shared" si="135"/>
        <v/>
      </c>
      <c r="S2826" s="17" t="str">
        <f>IF(INDEX(Listado!A:A,ROW())="","",INDEX(Listado!A:A,ROW()))</f>
        <v/>
      </c>
      <c r="T2826" s="17" t="str">
        <f ca="1">IF(INDEX(Listado!G:G,ROW())="","",INDEX(Listado!G:G,ROW()))</f>
        <v/>
      </c>
      <c r="U2826" s="17" t="str">
        <f>IF(INDEX(Listado!F:F,ROW())="","",INDEX(Listado!F:F,ROW()))</f>
        <v/>
      </c>
      <c r="V2826" s="17">
        <f>IF(COUNTA(INDEX(Listado!B:B,ROW()):INDEX(Listado!F:F,ROW()))&gt;0,1,0)</f>
        <v/>
      </c>
      <c r="W2826" s="17" t="str">
        <f>IF(INDEX(Listado!L:L,ROW())="","",INDEX(Listado!L:L,ROW()))</f>
        <v/>
      </c>
      <c r="X2826" s="17">
        <f>IF(N2826="","",IF(INDEX(Listado!$M:$M,N2826)="No","No","Sí"))</f>
        <v/>
      </c>
    </row>
    <row r="2827" spans="2:24" ht="14.25">
      <c r="N2827" s="17" t="str">
        <f>IF(V2827=0,"",IFERROR(LOOKUP(2,1/(INDEX(Listado!A:A,2):INDEX(Listado!A:A,ROW())&lt;&gt;""),ROW(INDEX(Listado!A:A,2):INDEX(Listado!A:A,ROW()))),""))</f>
        <v/>
      </c>
      <c r="O2827" s="17" t="str">
        <f>IFERROR(IF(N2827="","",IF(INDEX(Listado!M:M,N2827)="No",IF(INDEX(Listado!N:N,N2827)=0,"",INDEX(Listado!N:N,N2827)),IF(INDEX(Listado!I:I,N2827)=0,"",INDEX(Listado!I:I,N2827)))),"")</f>
        <v/>
      </c>
      <c r="P2827" s="17">
        <f t="shared" ca="1" si="133"/>
        <v/>
      </c>
      <c r="Q2827" s="17">
        <f>IFERROR(IF(AND(N2827&lt;&gt;"",ISNUMBER(O2827),O2827&gt;0,O2827&gt;=TODAY()-90),1,0),0)</f>
        <v/>
      </c>
      <c r="R2827" s="17" t="str">
        <f t="shared" si="135"/>
        <v/>
      </c>
      <c r="S2827" s="17" t="str">
        <f>IF(INDEX(Listado!A:A,ROW())="","",INDEX(Listado!A:A,ROW()))</f>
        <v/>
      </c>
      <c r="T2827" s="17" t="str">
        <f ca="1">IF(INDEX(Listado!G:G,ROW())="","",INDEX(Listado!G:G,ROW()))</f>
        <v/>
      </c>
      <c r="U2827" s="17" t="str">
        <f>IF(INDEX(Listado!F:F,ROW())="","",INDEX(Listado!F:F,ROW()))</f>
        <v/>
      </c>
      <c r="V2827" s="17">
        <f>IF(COUNTA(INDEX(Listado!B:B,ROW()):INDEX(Listado!F:F,ROW()))&gt;0,1,0)</f>
        <v/>
      </c>
      <c r="W2827" s="17" t="str">
        <f>IF(INDEX(Listado!L:L,ROW())="","",INDEX(Listado!L:L,ROW()))</f>
        <v/>
      </c>
      <c r="X2827" s="17">
        <f>IF(N2827="","",IF(INDEX(Listado!$M:$M,N2827)="No","No","Sí"))</f>
        <v/>
      </c>
    </row>
    <row r="2828" spans="2:24" ht="14.25">
      <c r="N2828" s="17" t="str">
        <f>IF(V2828=0,"",IFERROR(LOOKUP(2,1/(INDEX(Listado!A:A,2):INDEX(Listado!A:A,ROW())&lt;&gt;""),ROW(INDEX(Listado!A:A,2):INDEX(Listado!A:A,ROW()))),""))</f>
        <v/>
      </c>
      <c r="O2828" s="17" t="str">
        <f>IFERROR(IF(N2828="","",IF(INDEX(Listado!M:M,N2828)="No",IF(INDEX(Listado!N:N,N2828)=0,"",INDEX(Listado!N:N,N2828)),IF(INDEX(Listado!I:I,N2828)=0,"",INDEX(Listado!I:I,N2828)))),"")</f>
        <v/>
      </c>
      <c r="P2828" s="17">
        <f t="shared" ca="1" si="133"/>
        <v/>
      </c>
      <c r="Q2828" s="17">
        <f>IFERROR(IF(AND(N2828&lt;&gt;"",ISNUMBER(O2828),O2828&gt;0,O2828&gt;=TODAY()-90),1,0),0)</f>
        <v/>
      </c>
      <c r="R2828" s="17" t="str">
        <f t="shared" si="135"/>
        <v/>
      </c>
      <c r="S2828" s="17" t="str">
        <f>IF(INDEX(Listado!A:A,ROW())="","",INDEX(Listado!A:A,ROW()))</f>
        <v/>
      </c>
      <c r="T2828" s="17" t="str">
        <f ca="1">IF(INDEX(Listado!G:G,ROW())="","",INDEX(Listado!G:G,ROW()))</f>
        <v/>
      </c>
      <c r="U2828" s="17" t="str">
        <f>IF(INDEX(Listado!F:F,ROW())="","",INDEX(Listado!F:F,ROW()))</f>
        <v/>
      </c>
      <c r="V2828" s="17">
        <f>IF(COUNTA(INDEX(Listado!B:B,ROW()):INDEX(Listado!F:F,ROW()))&gt;0,1,0)</f>
        <v/>
      </c>
      <c r="W2828" s="17" t="str">
        <f>IF(INDEX(Listado!L:L,ROW())="","",INDEX(Listado!L:L,ROW()))</f>
        <v/>
      </c>
      <c r="X2828" s="17">
        <f>IF(N2828="","",IF(INDEX(Listado!$M:$M,N2828)="No","No","Sí"))</f>
        <v/>
      </c>
    </row>
    <row r="2829" spans="2:24" ht="14.25">
      <c r="N2829" s="17" t="str">
        <f>IF(V2829=0,"",IFERROR(LOOKUP(2,1/(INDEX(Listado!A:A,2):INDEX(Listado!A:A,ROW())&lt;&gt;""),ROW(INDEX(Listado!A:A,2):INDEX(Listado!A:A,ROW()))),""))</f>
        <v/>
      </c>
      <c r="O2829" s="17" t="str">
        <f>IFERROR(IF(N2829="","",IF(INDEX(Listado!M:M,N2829)="No",IF(INDEX(Listado!N:N,N2829)=0,"",INDEX(Listado!N:N,N2829)),IF(INDEX(Listado!I:I,N2829)=0,"",INDEX(Listado!I:I,N2829)))),"")</f>
        <v/>
      </c>
      <c r="P2829" s="17">
        <f t="shared" ca="1" si="133"/>
        <v/>
      </c>
      <c r="Q2829" s="17">
        <f>IFERROR(IF(AND(N2829&lt;&gt;"",ISNUMBER(O2829),O2829&gt;0,O2829&gt;=TODAY()-90),1,0),0)</f>
        <v/>
      </c>
      <c r="R2829" s="17" t="str">
        <f t="shared" si="135"/>
        <v/>
      </c>
      <c r="S2829" s="17" t="str">
        <f>IF(INDEX(Listado!A:A,ROW())="","",INDEX(Listado!A:A,ROW()))</f>
        <v/>
      </c>
      <c r="T2829" s="17" t="str">
        <f ca="1">IF(INDEX(Listado!G:G,ROW())="","",INDEX(Listado!G:G,ROW()))</f>
        <v/>
      </c>
      <c r="U2829" s="17" t="str">
        <f>IF(INDEX(Listado!F:F,ROW())="","",INDEX(Listado!F:F,ROW()))</f>
        <v/>
      </c>
      <c r="V2829" s="17">
        <f>IF(COUNTA(INDEX(Listado!B:B,ROW()):INDEX(Listado!F:F,ROW()))&gt;0,1,0)</f>
        <v/>
      </c>
      <c r="W2829" s="17" t="str">
        <f>IF(INDEX(Listado!L:L,ROW())="","",INDEX(Listado!L:L,ROW()))</f>
        <v/>
      </c>
      <c r="X2829" s="17">
        <f>IF(N2829="","",IF(INDEX(Listado!$M:$M,N2829)="No","No","Sí"))</f>
        <v/>
      </c>
    </row>
    <row r="2830" spans="2:24" ht="14.25">
      <c r="N2830" s="17" t="str">
        <f>IF(V2830=0,"",IFERROR(LOOKUP(2,1/(INDEX(Listado!A:A,2):INDEX(Listado!A:A,ROW())&lt;&gt;""),ROW(INDEX(Listado!A:A,2):INDEX(Listado!A:A,ROW()))),""))</f>
        <v/>
      </c>
      <c r="O2830" s="17" t="str">
        <f>IFERROR(IF(N2830="","",IF(INDEX(Listado!M:M,N2830)="No",IF(INDEX(Listado!N:N,N2830)=0,"",INDEX(Listado!N:N,N2830)),IF(INDEX(Listado!I:I,N2830)=0,"",INDEX(Listado!I:I,N2830)))),"")</f>
        <v/>
      </c>
      <c r="P2830" s="17">
        <f t="shared" ca="1" si="133"/>
        <v/>
      </c>
      <c r="Q2830" s="17">
        <f>IFERROR(IF(AND(N2830&lt;&gt;"",ISNUMBER(O2830),O2830&gt;0,O2830&gt;=TODAY()-90),1,0),0)</f>
        <v/>
      </c>
      <c r="R2830" s="17" t="str">
        <f t="shared" si="135"/>
        <v/>
      </c>
      <c r="S2830" s="17" t="str">
        <f>IF(INDEX(Listado!A:A,ROW())="","",INDEX(Listado!A:A,ROW()))</f>
        <v/>
      </c>
      <c r="T2830" s="17" t="str">
        <f ca="1">IF(INDEX(Listado!G:G,ROW())="","",INDEX(Listado!G:G,ROW()))</f>
        <v/>
      </c>
      <c r="U2830" s="17" t="str">
        <f>IF(INDEX(Listado!F:F,ROW())="","",INDEX(Listado!F:F,ROW()))</f>
        <v/>
      </c>
      <c r="V2830" s="17">
        <f>IF(COUNTA(INDEX(Listado!B:B,ROW()):INDEX(Listado!F:F,ROW()))&gt;0,1,0)</f>
        <v/>
      </c>
      <c r="W2830" s="17" t="str">
        <f>IF(INDEX(Listado!L:L,ROW())="","",INDEX(Listado!L:L,ROW()))</f>
        <v/>
      </c>
      <c r="X2830" s="17">
        <f>IF(N2830="","",IF(INDEX(Listado!$M:$M,N2830)="No","No","Sí"))</f>
        <v/>
      </c>
    </row>
    <row r="2831" spans="2:24" ht="14.25">
      <c r="N2831" s="17" t="str">
        <f>IF(V2831=0,"",IFERROR(LOOKUP(2,1/(INDEX(Listado!A:A,2):INDEX(Listado!A:A,ROW())&lt;&gt;""),ROW(INDEX(Listado!A:A,2):INDEX(Listado!A:A,ROW()))),""))</f>
        <v/>
      </c>
      <c r="O2831" s="17" t="str">
        <f>IFERROR(IF(N2831="","",IF(INDEX(Listado!M:M,N2831)="No",IF(INDEX(Listado!N:N,N2831)=0,"",INDEX(Listado!N:N,N2831)),IF(INDEX(Listado!I:I,N2831)=0,"",INDEX(Listado!I:I,N2831)))),"")</f>
        <v/>
      </c>
      <c r="P2831" s="17">
        <f t="shared" ca="1" si="133"/>
        <v/>
      </c>
      <c r="Q2831" s="17">
        <f>IFERROR(IF(AND(N2831&lt;&gt;"",ISNUMBER(O2831),O2831&gt;0,O2831&gt;=TODAY()-90),1,0),0)</f>
        <v/>
      </c>
      <c r="R2831" s="17" t="str">
        <f t="shared" si="135"/>
        <v/>
      </c>
      <c r="S2831" s="17" t="str">
        <f>IF(INDEX(Listado!A:A,ROW())="","",INDEX(Listado!A:A,ROW()))</f>
        <v/>
      </c>
      <c r="T2831" s="17" t="str">
        <f ca="1">IF(INDEX(Listado!G:G,ROW())="","",INDEX(Listado!G:G,ROW()))</f>
        <v/>
      </c>
      <c r="U2831" s="17" t="str">
        <f>IF(INDEX(Listado!F:F,ROW())="","",INDEX(Listado!F:F,ROW()))</f>
        <v/>
      </c>
      <c r="V2831" s="17">
        <f>IF(COUNTA(INDEX(Listado!B:B,ROW()):INDEX(Listado!F:F,ROW()))&gt;0,1,0)</f>
        <v/>
      </c>
      <c r="W2831" s="17" t="str">
        <f>IF(INDEX(Listado!L:L,ROW())="","",INDEX(Listado!L:L,ROW()))</f>
        <v/>
      </c>
      <c r="X2831" s="17">
        <f>IF(N2831="","",IF(INDEX(Listado!$M:$M,N2831)="No","No","Sí"))</f>
        <v/>
      </c>
    </row>
    <row r="2832" spans="2:24" ht="14.25">
      <c r="N2832" s="17" t="str">
        <f>IF(V2832=0,"",IFERROR(LOOKUP(2,1/(INDEX(Listado!A:A,2):INDEX(Listado!A:A,ROW())&lt;&gt;""),ROW(INDEX(Listado!A:A,2):INDEX(Listado!A:A,ROW()))),""))</f>
        <v/>
      </c>
      <c r="O2832" s="17" t="str">
        <f>IFERROR(IF(N2832="","",IF(INDEX(Listado!M:M,N2832)="No",IF(INDEX(Listado!N:N,N2832)=0,"",INDEX(Listado!N:N,N2832)),IF(INDEX(Listado!I:I,N2832)=0,"",INDEX(Listado!I:I,N2832)))),"")</f>
        <v/>
      </c>
      <c r="P2832" s="17">
        <f t="shared" ca="1" si="133"/>
        <v/>
      </c>
      <c r="Q2832" s="17">
        <f>IFERROR(IF(AND(N2832&lt;&gt;"",ISNUMBER(O2832),O2832&gt;0,O2832&gt;=TODAY()-90),1,0),0)</f>
        <v/>
      </c>
      <c r="R2832" s="17" t="str">
        <f t="shared" si="135"/>
        <v/>
      </c>
      <c r="S2832" s="17" t="str">
        <f>IF(INDEX(Listado!A:A,ROW())="","",INDEX(Listado!A:A,ROW()))</f>
        <v/>
      </c>
      <c r="T2832" s="17" t="str">
        <f ca="1">IF(INDEX(Listado!G:G,ROW())="","",INDEX(Listado!G:G,ROW()))</f>
        <v/>
      </c>
      <c r="U2832" s="17" t="str">
        <f>IF(INDEX(Listado!F:F,ROW())="","",INDEX(Listado!F:F,ROW()))</f>
        <v/>
      </c>
      <c r="V2832" s="17">
        <f>IF(COUNTA(INDEX(Listado!B:B,ROW()):INDEX(Listado!F:F,ROW()))&gt;0,1,0)</f>
        <v/>
      </c>
      <c r="W2832" s="17" t="str">
        <f>IF(INDEX(Listado!L:L,ROW())="","",INDEX(Listado!L:L,ROW()))</f>
        <v/>
      </c>
      <c r="X2832" s="17">
        <f>IF(N2832="","",IF(INDEX(Listado!$M:$M,N2832)="No","No","Sí"))</f>
        <v/>
      </c>
    </row>
    <row r="2833" spans="2:24" ht="14.25">
      <c r="N2833" s="17" t="str">
        <f>IF(V2833=0,"",IFERROR(LOOKUP(2,1/(INDEX(Listado!A:A,2):INDEX(Listado!A:A,ROW())&lt;&gt;""),ROW(INDEX(Listado!A:A,2):INDEX(Listado!A:A,ROW()))),""))</f>
        <v/>
      </c>
      <c r="O2833" s="17" t="str">
        <f>IFERROR(IF(N2833="","",IF(INDEX(Listado!M:M,N2833)="No",IF(INDEX(Listado!N:N,N2833)=0,"",INDEX(Listado!N:N,N2833)),IF(INDEX(Listado!I:I,N2833)=0,"",INDEX(Listado!I:I,N2833)))),"")</f>
        <v/>
      </c>
      <c r="P2833" s="17">
        <f t="shared" ca="1" si="133"/>
        <v/>
      </c>
      <c r="Q2833" s="17">
        <f>IFERROR(IF(AND(N2833&lt;&gt;"",ISNUMBER(O2833),O2833&gt;0,O2833&gt;=TODAY()-90),1,0),0)</f>
        <v/>
      </c>
      <c r="R2833" s="17" t="str">
        <f t="shared" si="135"/>
        <v/>
      </c>
      <c r="S2833" s="17" t="str">
        <f>IF(INDEX(Listado!A:A,ROW())="","",INDEX(Listado!A:A,ROW()))</f>
        <v/>
      </c>
      <c r="T2833" s="17" t="str">
        <f ca="1">IF(INDEX(Listado!G:G,ROW())="","",INDEX(Listado!G:G,ROW()))</f>
        <v/>
      </c>
      <c r="U2833" s="17" t="str">
        <f>IF(INDEX(Listado!F:F,ROW())="","",INDEX(Listado!F:F,ROW()))</f>
        <v/>
      </c>
      <c r="V2833" s="17">
        <f>IF(COUNTA(INDEX(Listado!B:B,ROW()):INDEX(Listado!F:F,ROW()))&gt;0,1,0)</f>
        <v/>
      </c>
      <c r="W2833" s="17" t="str">
        <f>IF(INDEX(Listado!L:L,ROW())="","",INDEX(Listado!L:L,ROW()))</f>
        <v/>
      </c>
      <c r="X2833" s="17">
        <f>IF(N2833="","",IF(INDEX(Listado!$M:$M,N2833)="No","No","Sí"))</f>
        <v/>
      </c>
    </row>
    <row r="2834" spans="2:24" ht="14.25">
      <c r="N2834" s="17" t="str">
        <f>IF(V2834=0,"",IFERROR(LOOKUP(2,1/(INDEX(Listado!A:A,2):INDEX(Listado!A:A,ROW())&lt;&gt;""),ROW(INDEX(Listado!A:A,2):INDEX(Listado!A:A,ROW()))),""))</f>
        <v/>
      </c>
      <c r="O2834" s="17" t="str">
        <f>IFERROR(IF(N2834="","",IF(INDEX(Listado!M:M,N2834)="No",IF(INDEX(Listado!N:N,N2834)=0,"",INDEX(Listado!N:N,N2834)),IF(INDEX(Listado!I:I,N2834)=0,"",INDEX(Listado!I:I,N2834)))),"")</f>
        <v/>
      </c>
      <c r="P2834" s="17">
        <f t="shared" ca="1" si="133"/>
        <v/>
      </c>
      <c r="Q2834" s="17">
        <f>IFERROR(IF(AND(N2834&lt;&gt;"",ISNUMBER(O2834),O2834&gt;0,O2834&gt;=TODAY()-90),1,0),0)</f>
        <v/>
      </c>
      <c r="R2834" s="17" t="str">
        <f t="shared" si="135"/>
        <v/>
      </c>
      <c r="S2834" s="17" t="str">
        <f>IF(INDEX(Listado!A:A,ROW())="","",INDEX(Listado!A:A,ROW()))</f>
        <v/>
      </c>
      <c r="T2834" s="17" t="str">
        <f ca="1">IF(INDEX(Listado!G:G,ROW())="","",INDEX(Listado!G:G,ROW()))</f>
        <v/>
      </c>
      <c r="U2834" s="17" t="str">
        <f>IF(INDEX(Listado!F:F,ROW())="","",INDEX(Listado!F:F,ROW()))</f>
        <v/>
      </c>
      <c r="V2834" s="17">
        <f>IF(COUNTA(INDEX(Listado!B:B,ROW()):INDEX(Listado!F:F,ROW()))&gt;0,1,0)</f>
        <v/>
      </c>
      <c r="W2834" s="17" t="str">
        <f>IF(INDEX(Listado!L:L,ROW())="","",INDEX(Listado!L:L,ROW()))</f>
        <v/>
      </c>
      <c r="X2834" s="17">
        <f>IF(N2834="","",IF(INDEX(Listado!$M:$M,N2834)="No","No","Sí"))</f>
        <v/>
      </c>
    </row>
    <row r="2835" spans="2:24" ht="14.25">
      <c r="N2835" s="17" t="str">
        <f>IF(V2835=0,"",IFERROR(LOOKUP(2,1/(INDEX(Listado!A:A,2):INDEX(Listado!A:A,ROW())&lt;&gt;""),ROW(INDEX(Listado!A:A,2):INDEX(Listado!A:A,ROW()))),""))</f>
        <v/>
      </c>
      <c r="O2835" s="17" t="str">
        <f>IFERROR(IF(N2835="","",IF(INDEX(Listado!M:M,N2835)="No",IF(INDEX(Listado!N:N,N2835)=0,"",INDEX(Listado!N:N,N2835)),IF(INDEX(Listado!I:I,N2835)=0,"",INDEX(Listado!I:I,N2835)))),"")</f>
        <v/>
      </c>
      <c r="P2835" s="17">
        <f t="shared" ca="1" si="133"/>
        <v/>
      </c>
      <c r="Q2835" s="17">
        <f>IFERROR(IF(AND(N2835&lt;&gt;"",ISNUMBER(O2835),O2835&gt;0,O2835&gt;=TODAY()-90),1,0),0)</f>
        <v/>
      </c>
      <c r="R2835" s="17" t="str">
        <f t="shared" si="135"/>
        <v/>
      </c>
      <c r="S2835" s="17" t="str">
        <f>IF(INDEX(Listado!A:A,ROW())="","",INDEX(Listado!A:A,ROW()))</f>
        <v/>
      </c>
      <c r="T2835" s="17" t="str">
        <f ca="1">IF(INDEX(Listado!G:G,ROW())="","",INDEX(Listado!G:G,ROW()))</f>
        <v/>
      </c>
      <c r="U2835" s="17" t="str">
        <f>IF(INDEX(Listado!F:F,ROW())="","",INDEX(Listado!F:F,ROW()))</f>
        <v/>
      </c>
      <c r="V2835" s="17">
        <f>IF(COUNTA(INDEX(Listado!B:B,ROW()):INDEX(Listado!F:F,ROW()))&gt;0,1,0)</f>
        <v/>
      </c>
      <c r="W2835" s="17" t="str">
        <f>IF(INDEX(Listado!L:L,ROW())="","",INDEX(Listado!L:L,ROW()))</f>
        <v/>
      </c>
      <c r="X2835" s="17">
        <f>IF(N2835="","",IF(INDEX(Listado!$M:$M,N2835)="No","No","Sí"))</f>
        <v/>
      </c>
    </row>
    <row r="2836" spans="2:24" ht="14.25">
      <c r="N2836" s="17" t="str">
        <f>IF(V2836=0,"",IFERROR(LOOKUP(2,1/(INDEX(Listado!A:A,2):INDEX(Listado!A:A,ROW())&lt;&gt;""),ROW(INDEX(Listado!A:A,2):INDEX(Listado!A:A,ROW()))),""))</f>
        <v/>
      </c>
      <c r="O2836" s="17" t="str">
        <f>IFERROR(IF(N2836="","",IF(INDEX(Listado!M:M,N2836)="No",IF(INDEX(Listado!N:N,N2836)=0,"",INDEX(Listado!N:N,N2836)),IF(INDEX(Listado!I:I,N2836)=0,"",INDEX(Listado!I:I,N2836)))),"")</f>
        <v/>
      </c>
      <c r="P2836" s="17">
        <f t="shared" ca="1" si="133"/>
        <v/>
      </c>
      <c r="Q2836" s="17">
        <f>IFERROR(IF(AND(N2836&lt;&gt;"",ISNUMBER(O2836),O2836&gt;0,O2836&gt;=TODAY()-90),1,0),0)</f>
        <v/>
      </c>
      <c r="R2836" s="17" t="str">
        <f t="shared" si="135"/>
        <v/>
      </c>
      <c r="S2836" s="17" t="str">
        <f>IF(INDEX(Listado!A:A,ROW())="","",INDEX(Listado!A:A,ROW()))</f>
        <v/>
      </c>
      <c r="T2836" s="17" t="str">
        <f ca="1">IF(INDEX(Listado!G:G,ROW())="","",INDEX(Listado!G:G,ROW()))</f>
        <v/>
      </c>
      <c r="U2836" s="17" t="str">
        <f>IF(INDEX(Listado!F:F,ROW())="","",INDEX(Listado!F:F,ROW()))</f>
        <v/>
      </c>
      <c r="V2836" s="17">
        <f>IF(COUNTA(INDEX(Listado!B:B,ROW()):INDEX(Listado!F:F,ROW()))&gt;0,1,0)</f>
        <v/>
      </c>
      <c r="W2836" s="17" t="str">
        <f>IF(INDEX(Listado!L:L,ROW())="","",INDEX(Listado!L:L,ROW()))</f>
        <v/>
      </c>
      <c r="X2836" s="17">
        <f>IF(N2836="","",IF(INDEX(Listado!$M:$M,N2836)="No","No","Sí"))</f>
        <v/>
      </c>
    </row>
    <row r="2837" spans="2:24" ht="14.25">
      <c r="N2837" s="17" t="str">
        <f>IF(V2837=0,"",IFERROR(LOOKUP(2,1/(INDEX(Listado!A:A,2):INDEX(Listado!A:A,ROW())&lt;&gt;""),ROW(INDEX(Listado!A:A,2):INDEX(Listado!A:A,ROW()))),""))</f>
        <v/>
      </c>
      <c r="O2837" s="17" t="str">
        <f>IFERROR(IF(N2837="","",IF(INDEX(Listado!M:M,N2837)="No",IF(INDEX(Listado!N:N,N2837)=0,"",INDEX(Listado!N:N,N2837)),IF(INDEX(Listado!I:I,N2837)=0,"",INDEX(Listado!I:I,N2837)))),"")</f>
        <v/>
      </c>
      <c r="P2837" s="17">
        <f t="shared" ca="1" si="133"/>
        <v/>
      </c>
      <c r="Q2837" s="17">
        <f>IFERROR(IF(AND(N2837&lt;&gt;"",ISNUMBER(O2837),O2837&gt;0,O2837&gt;=TODAY()-90),1,0),0)</f>
        <v/>
      </c>
      <c r="R2837" s="17" t="str">
        <f t="shared" si="135"/>
        <v/>
      </c>
      <c r="S2837" s="17" t="str">
        <f>IF(INDEX(Listado!A:A,ROW())="","",INDEX(Listado!A:A,ROW()))</f>
        <v/>
      </c>
      <c r="T2837" s="17" t="str">
        <f ca="1">IF(INDEX(Listado!G:G,ROW())="","",INDEX(Listado!G:G,ROW()))</f>
        <v/>
      </c>
      <c r="U2837" s="17" t="str">
        <f>IF(INDEX(Listado!F:F,ROW())="","",INDEX(Listado!F:F,ROW()))</f>
        <v/>
      </c>
      <c r="V2837" s="17">
        <f>IF(COUNTA(INDEX(Listado!B:B,ROW()):INDEX(Listado!F:F,ROW()))&gt;0,1,0)</f>
        <v/>
      </c>
      <c r="W2837" s="17" t="str">
        <f>IF(INDEX(Listado!L:L,ROW())="","",INDEX(Listado!L:L,ROW()))</f>
        <v/>
      </c>
      <c r="X2837" s="17">
        <f>IF(N2837="","",IF(INDEX(Listado!$M:$M,N2837)="No","No","Sí"))</f>
        <v/>
      </c>
    </row>
    <row r="2838" spans="2:24" ht="14.25">
      <c r="N2838" s="17" t="str">
        <f>IF(V2838=0,"",IFERROR(LOOKUP(2,1/(INDEX(Listado!A:A,2):INDEX(Listado!A:A,ROW())&lt;&gt;""),ROW(INDEX(Listado!A:A,2):INDEX(Listado!A:A,ROW()))),""))</f>
        <v/>
      </c>
      <c r="O2838" s="17" t="str">
        <f>IFERROR(IF(N2838="","",IF(INDEX(Listado!M:M,N2838)="No",IF(INDEX(Listado!N:N,N2838)=0,"",INDEX(Listado!N:N,N2838)),IF(INDEX(Listado!I:I,N2838)=0,"",INDEX(Listado!I:I,N2838)))),"")</f>
        <v/>
      </c>
      <c r="P2838" s="17">
        <f t="shared" ca="1" si="133"/>
        <v/>
      </c>
      <c r="Q2838" s="17">
        <f>IFERROR(IF(AND(N2838&lt;&gt;"",ISNUMBER(O2838),O2838&gt;0,O2838&gt;=TODAY()-90),1,0),0)</f>
        <v/>
      </c>
      <c r="R2838" s="17" t="str">
        <f t="shared" si="135"/>
        <v/>
      </c>
      <c r="S2838" s="17" t="str">
        <f>IF(INDEX(Listado!A:A,ROW())="","",INDEX(Listado!A:A,ROW()))</f>
        <v/>
      </c>
      <c r="T2838" s="17" t="str">
        <f ca="1">IF(INDEX(Listado!G:G,ROW())="","",INDEX(Listado!G:G,ROW()))</f>
        <v/>
      </c>
      <c r="U2838" s="17" t="str">
        <f>IF(INDEX(Listado!F:F,ROW())="","",INDEX(Listado!F:F,ROW()))</f>
        <v/>
      </c>
      <c r="V2838" s="17">
        <f>IF(COUNTA(INDEX(Listado!B:B,ROW()):INDEX(Listado!F:F,ROW()))&gt;0,1,0)</f>
        <v/>
      </c>
      <c r="W2838" s="17" t="str">
        <f>IF(INDEX(Listado!L:L,ROW())="","",INDEX(Listado!L:L,ROW()))</f>
        <v/>
      </c>
      <c r="X2838" s="17">
        <f>IF(N2838="","",IF(INDEX(Listado!$M:$M,N2838)="No","No","Sí"))</f>
        <v/>
      </c>
    </row>
    <row r="2839" spans="2:24" ht="14.25">
      <c r="N2839" s="17" t="str">
        <f>IF(V2839=0,"",IFERROR(LOOKUP(2,1/(INDEX(Listado!A:A,2):INDEX(Listado!A:A,ROW())&lt;&gt;""),ROW(INDEX(Listado!A:A,2):INDEX(Listado!A:A,ROW()))),""))</f>
        <v/>
      </c>
      <c r="O2839" s="17" t="str">
        <f>IFERROR(IF(N2839="","",IF(INDEX(Listado!M:M,N2839)="No",IF(INDEX(Listado!N:N,N2839)=0,"",INDEX(Listado!N:N,N2839)),IF(INDEX(Listado!I:I,N2839)=0,"",INDEX(Listado!I:I,N2839)))),"")</f>
        <v/>
      </c>
      <c r="P2839" s="17">
        <f t="shared" ca="1" si="133"/>
        <v/>
      </c>
      <c r="Q2839" s="17">
        <f>IFERROR(IF(AND(N2839&lt;&gt;"",ISNUMBER(O2839),O2839&gt;0,O2839&gt;=TODAY()-90),1,0),0)</f>
        <v/>
      </c>
      <c r="R2839" s="17" t="str">
        <f t="shared" si="135"/>
        <v/>
      </c>
      <c r="S2839" s="17" t="str">
        <f>IF(INDEX(Listado!A:A,ROW())="","",INDEX(Listado!A:A,ROW()))</f>
        <v/>
      </c>
      <c r="T2839" s="17" t="str">
        <f ca="1">IF(INDEX(Listado!G:G,ROW())="","",INDEX(Listado!G:G,ROW()))</f>
        <v/>
      </c>
      <c r="U2839" s="17" t="str">
        <f>IF(INDEX(Listado!F:F,ROW())="","",INDEX(Listado!F:F,ROW()))</f>
        <v/>
      </c>
      <c r="V2839" s="17">
        <f>IF(COUNTA(INDEX(Listado!B:B,ROW()):INDEX(Listado!F:F,ROW()))&gt;0,1,0)</f>
        <v/>
      </c>
      <c r="W2839" s="17" t="str">
        <f>IF(INDEX(Listado!L:L,ROW())="","",INDEX(Listado!L:L,ROW()))</f>
        <v/>
      </c>
      <c r="X2839" s="17">
        <f>IF(N2839="","",IF(INDEX(Listado!$M:$M,N2839)="No","No","Sí"))</f>
        <v/>
      </c>
    </row>
    <row r="2840" spans="2:24" ht="14.25">
      <c r="N2840" s="17" t="str">
        <f>IF(V2840=0,"",IFERROR(LOOKUP(2,1/(INDEX(Listado!A:A,2):INDEX(Listado!A:A,ROW())&lt;&gt;""),ROW(INDEX(Listado!A:A,2):INDEX(Listado!A:A,ROW()))),""))</f>
        <v/>
      </c>
      <c r="O2840" s="17" t="str">
        <f>IFERROR(IF(N2840="","",IF(INDEX(Listado!M:M,N2840)="No",IF(INDEX(Listado!N:N,N2840)=0,"",INDEX(Listado!N:N,N2840)),IF(INDEX(Listado!I:I,N2840)=0,"",INDEX(Listado!I:I,N2840)))),"")</f>
        <v/>
      </c>
      <c r="P2840" s="17">
        <f t="shared" ca="1" si="133"/>
        <v/>
      </c>
      <c r="Q2840" s="17">
        <f>IFERROR(IF(AND(N2840&lt;&gt;"",ISNUMBER(O2840),O2840&gt;0,O2840&gt;=TODAY()-90),1,0),0)</f>
        <v/>
      </c>
      <c r="R2840" s="17" t="str">
        <f t="shared" si="135"/>
        <v/>
      </c>
      <c r="S2840" s="17" t="str">
        <f>IF(INDEX(Listado!A:A,ROW())="","",INDEX(Listado!A:A,ROW()))</f>
        <v/>
      </c>
      <c r="T2840" s="17" t="str">
        <f ca="1">IF(INDEX(Listado!G:G,ROW())="","",INDEX(Listado!G:G,ROW()))</f>
        <v/>
      </c>
      <c r="U2840" s="17" t="str">
        <f>IF(INDEX(Listado!F:F,ROW())="","",INDEX(Listado!F:F,ROW()))</f>
        <v/>
      </c>
      <c r="V2840" s="17">
        <f>IF(COUNTA(INDEX(Listado!B:B,ROW()):INDEX(Listado!F:F,ROW()))&gt;0,1,0)</f>
        <v/>
      </c>
      <c r="W2840" s="17" t="str">
        <f>IF(INDEX(Listado!L:L,ROW())="","",INDEX(Listado!L:L,ROW()))</f>
        <v/>
      </c>
      <c r="X2840" s="17">
        <f>IF(N2840="","",IF(INDEX(Listado!$M:$M,N2840)="No","No","Sí"))</f>
        <v/>
      </c>
    </row>
    <row r="2841" spans="2:24" ht="14.25">
      <c r="N2841" s="17" t="str">
        <f>IF(V2841=0,"",IFERROR(LOOKUP(2,1/(INDEX(Listado!A:A,2):INDEX(Listado!A:A,ROW())&lt;&gt;""),ROW(INDEX(Listado!A:A,2):INDEX(Listado!A:A,ROW()))),""))</f>
        <v/>
      </c>
      <c r="O2841" s="17" t="str">
        <f>IFERROR(IF(N2841="","",IF(INDEX(Listado!M:M,N2841)="No",IF(INDEX(Listado!N:N,N2841)=0,"",INDEX(Listado!N:N,N2841)),IF(INDEX(Listado!I:I,N2841)=0,"",INDEX(Listado!I:I,N2841)))),"")</f>
        <v/>
      </c>
      <c r="P2841" s="17">
        <f t="shared" ca="1" si="133"/>
        <v/>
      </c>
      <c r="Q2841" s="17">
        <f>IFERROR(IF(AND(N2841&lt;&gt;"",ISNUMBER(O2841),O2841&gt;0,O2841&gt;=TODAY()-90),1,0),0)</f>
        <v/>
      </c>
      <c r="R2841" s="17" t="str">
        <f t="shared" si="135"/>
        <v/>
      </c>
      <c r="S2841" s="17" t="str">
        <f>IF(INDEX(Listado!A:A,ROW())="","",INDEX(Listado!A:A,ROW()))</f>
        <v/>
      </c>
      <c r="T2841" s="17" t="str">
        <f ca="1">IF(INDEX(Listado!G:G,ROW())="","",INDEX(Listado!G:G,ROW()))</f>
        <v/>
      </c>
      <c r="U2841" s="17" t="str">
        <f>IF(INDEX(Listado!F:F,ROW())="","",INDEX(Listado!F:F,ROW()))</f>
        <v/>
      </c>
      <c r="V2841" s="17">
        <f>IF(COUNTA(INDEX(Listado!B:B,ROW()):INDEX(Listado!F:F,ROW()))&gt;0,1,0)</f>
        <v/>
      </c>
      <c r="W2841" s="17" t="str">
        <f>IF(INDEX(Listado!L:L,ROW())="","",INDEX(Listado!L:L,ROW()))</f>
        <v/>
      </c>
      <c r="X2841" s="17">
        <f>IF(N2841="","",IF(INDEX(Listado!$M:$M,N2841)="No","No","Sí"))</f>
        <v/>
      </c>
    </row>
    <row r="2842" spans="2:24" ht="14.25">
      <c r="N2842" s="17" t="str">
        <f>IF(V2842=0,"",IFERROR(LOOKUP(2,1/(INDEX(Listado!A:A,2):INDEX(Listado!A:A,ROW())&lt;&gt;""),ROW(INDEX(Listado!A:A,2):INDEX(Listado!A:A,ROW()))),""))</f>
        <v/>
      </c>
      <c r="O2842" s="17" t="str">
        <f>IFERROR(IF(N2842="","",IF(INDEX(Listado!M:M,N2842)="No",IF(INDEX(Listado!N:N,N2842)=0,"",INDEX(Listado!N:N,N2842)),IF(INDEX(Listado!I:I,N2842)=0,"",INDEX(Listado!I:I,N2842)))),"")</f>
        <v/>
      </c>
      <c r="P2842" s="17">
        <f t="shared" ca="1" si="133"/>
        <v/>
      </c>
      <c r="Q2842" s="17">
        <f>IFERROR(IF(AND(N2842&lt;&gt;"",ISNUMBER(O2842),O2842&gt;0,O2842&gt;=TODAY()-90),1,0),0)</f>
        <v/>
      </c>
      <c r="R2842" s="17" t="str">
        <f t="shared" si="135"/>
        <v/>
      </c>
      <c r="S2842" s="17" t="str">
        <f>IF(INDEX(Listado!A:A,ROW())="","",INDEX(Listado!A:A,ROW()))</f>
        <v/>
      </c>
      <c r="T2842" s="17" t="str">
        <f ca="1">IF(INDEX(Listado!G:G,ROW())="","",INDEX(Listado!G:G,ROW()))</f>
        <v/>
      </c>
      <c r="U2842" s="17" t="str">
        <f>IF(INDEX(Listado!F:F,ROW())="","",INDEX(Listado!F:F,ROW()))</f>
        <v/>
      </c>
      <c r="V2842" s="17">
        <f>IF(COUNTA(INDEX(Listado!B:B,ROW()):INDEX(Listado!F:F,ROW()))&gt;0,1,0)</f>
        <v/>
      </c>
      <c r="W2842" s="17" t="str">
        <f>IF(INDEX(Listado!L:L,ROW())="","",INDEX(Listado!L:L,ROW()))</f>
        <v/>
      </c>
      <c r="X2842" s="17">
        <f>IF(N2842="","",IF(INDEX(Listado!$M:$M,N2842)="No","No","Sí"))</f>
        <v/>
      </c>
    </row>
    <row r="2843" spans="2:24" ht="14.25">
      <c r="N2843" s="17" t="str">
        <f>IF(V2843=0,"",IFERROR(LOOKUP(2,1/(INDEX(Listado!A:A,2):INDEX(Listado!A:A,ROW())&lt;&gt;""),ROW(INDEX(Listado!A:A,2):INDEX(Listado!A:A,ROW()))),""))</f>
        <v/>
      </c>
      <c r="O2843" s="17" t="str">
        <f>IFERROR(IF(N2843="","",IF(INDEX(Listado!M:M,N2843)="No",IF(INDEX(Listado!N:N,N2843)=0,"",INDEX(Listado!N:N,N2843)),IF(INDEX(Listado!I:I,N2843)=0,"",INDEX(Listado!I:I,N2843)))),"")</f>
        <v/>
      </c>
      <c r="P2843" s="17">
        <f t="shared" ca="1" si="133"/>
        <v/>
      </c>
      <c r="Q2843" s="17">
        <f>IFERROR(IF(AND(N2843&lt;&gt;"",ISNUMBER(O2843),O2843&gt;0,O2843&gt;=TODAY()-90),1,0),0)</f>
        <v/>
      </c>
      <c r="R2843" s="17" t="str">
        <f t="shared" si="135"/>
        <v/>
      </c>
      <c r="S2843" s="17" t="str">
        <f>IF(INDEX(Listado!A:A,ROW())="","",INDEX(Listado!A:A,ROW()))</f>
        <v/>
      </c>
      <c r="T2843" s="17" t="str">
        <f ca="1">IF(INDEX(Listado!G:G,ROW())="","",INDEX(Listado!G:G,ROW()))</f>
        <v/>
      </c>
      <c r="U2843" s="17" t="str">
        <f>IF(INDEX(Listado!F:F,ROW())="","",INDEX(Listado!F:F,ROW()))</f>
        <v/>
      </c>
      <c r="V2843" s="17">
        <f>IF(COUNTA(INDEX(Listado!B:B,ROW()):INDEX(Listado!F:F,ROW()))&gt;0,1,0)</f>
        <v/>
      </c>
      <c r="W2843" s="17" t="str">
        <f>IF(INDEX(Listado!L:L,ROW())="","",INDEX(Listado!L:L,ROW()))</f>
        <v/>
      </c>
      <c r="X2843" s="17">
        <f>IF(N2843="","",IF(INDEX(Listado!$M:$M,N2843)="No","No","Sí"))</f>
        <v/>
      </c>
    </row>
    <row r="2844" spans="2:24" ht="14.25">
      <c r="N2844" s="17" t="str">
        <f>IF(V2844=0,"",IFERROR(LOOKUP(2,1/(INDEX(Listado!A:A,2):INDEX(Listado!A:A,ROW())&lt;&gt;""),ROW(INDEX(Listado!A:A,2):INDEX(Listado!A:A,ROW()))),""))</f>
        <v/>
      </c>
      <c r="O2844" s="17" t="str">
        <f>IFERROR(IF(N2844="","",IF(INDEX(Listado!M:M,N2844)="No",IF(INDEX(Listado!N:N,N2844)=0,"",INDEX(Listado!N:N,N2844)),IF(INDEX(Listado!I:I,N2844)=0,"",INDEX(Listado!I:I,N2844)))),"")</f>
        <v/>
      </c>
      <c r="P2844" s="17">
        <f t="shared" ca="1" si="133"/>
        <v/>
      </c>
      <c r="Q2844" s="17">
        <f>IFERROR(IF(AND(N2844&lt;&gt;"",ISNUMBER(O2844),O2844&gt;0,O2844&gt;=TODAY()-90),1,0),0)</f>
        <v/>
      </c>
      <c r="R2844" s="17" t="str">
        <f t="shared" si="135"/>
        <v/>
      </c>
      <c r="S2844" s="17" t="str">
        <f>IF(INDEX(Listado!A:A,ROW())="","",INDEX(Listado!A:A,ROW()))</f>
        <v/>
      </c>
      <c r="T2844" s="17" t="str">
        <f ca="1">IF(INDEX(Listado!G:G,ROW())="","",INDEX(Listado!G:G,ROW()))</f>
        <v/>
      </c>
      <c r="U2844" s="17" t="str">
        <f>IF(INDEX(Listado!F:F,ROW())="","",INDEX(Listado!F:F,ROW()))</f>
        <v/>
      </c>
      <c r="V2844" s="17">
        <f>IF(COUNTA(INDEX(Listado!B:B,ROW()):INDEX(Listado!F:F,ROW()))&gt;0,1,0)</f>
        <v/>
      </c>
      <c r="W2844" s="17" t="str">
        <f>IF(INDEX(Listado!L:L,ROW())="","",INDEX(Listado!L:L,ROW()))</f>
        <v/>
      </c>
      <c r="X2844" s="17">
        <f>IF(N2844="","",IF(INDEX(Listado!$M:$M,N2844)="No","No","Sí"))</f>
        <v/>
      </c>
    </row>
    <row r="2845" spans="2:24" ht="14.25">
      <c r="N2845" s="17" t="str">
        <f>IF(V2845=0,"",IFERROR(LOOKUP(2,1/(INDEX(Listado!A:A,2):INDEX(Listado!A:A,ROW())&lt;&gt;""),ROW(INDEX(Listado!A:A,2):INDEX(Listado!A:A,ROW()))),""))</f>
        <v/>
      </c>
      <c r="O2845" s="17" t="str">
        <f>IFERROR(IF(N2845="","",IF(INDEX(Listado!M:M,N2845)="No",IF(INDEX(Listado!N:N,N2845)=0,"",INDEX(Listado!N:N,N2845)),IF(INDEX(Listado!I:I,N2845)=0,"",INDEX(Listado!I:I,N2845)))),"")</f>
        <v/>
      </c>
      <c r="P2845" s="17">
        <f t="shared" ca="1" si="133"/>
        <v/>
      </c>
      <c r="Q2845" s="17">
        <f>IFERROR(IF(AND(N2845&lt;&gt;"",ISNUMBER(O2845),O2845&gt;0,O2845&gt;=TODAY()-90),1,0),0)</f>
        <v/>
      </c>
      <c r="R2845" s="17" t="str">
        <f t="shared" si="135"/>
        <v/>
      </c>
      <c r="S2845" s="17" t="str">
        <f>IF(INDEX(Listado!A:A,ROW())="","",INDEX(Listado!A:A,ROW()))</f>
        <v/>
      </c>
      <c r="T2845" s="17" t="str">
        <f ca="1">IF(INDEX(Listado!G:G,ROW())="","",INDEX(Listado!G:G,ROW()))</f>
        <v/>
      </c>
      <c r="U2845" s="17" t="str">
        <f>IF(INDEX(Listado!F:F,ROW())="","",INDEX(Listado!F:F,ROW()))</f>
        <v/>
      </c>
      <c r="V2845" s="17">
        <f>IF(COUNTA(INDEX(Listado!B:B,ROW()):INDEX(Listado!F:F,ROW()))&gt;0,1,0)</f>
        <v/>
      </c>
      <c r="W2845" s="17" t="str">
        <f>IF(INDEX(Listado!L:L,ROW())="","",INDEX(Listado!L:L,ROW()))</f>
        <v/>
      </c>
      <c r="X2845" s="17">
        <f>IF(N2845="","",IF(INDEX(Listado!$M:$M,N2845)="No","No","Sí"))</f>
        <v/>
      </c>
    </row>
    <row r="2846" spans="2:24" ht="14.25">
      <c r="N2846" s="17" t="str">
        <f>IF(V2846=0,"",IFERROR(LOOKUP(2,1/(INDEX(Listado!A:A,2):INDEX(Listado!A:A,ROW())&lt;&gt;""),ROW(INDEX(Listado!A:A,2):INDEX(Listado!A:A,ROW()))),""))</f>
        <v/>
      </c>
      <c r="O2846" s="17" t="str">
        <f>IFERROR(IF(N2846="","",IF(INDEX(Listado!M:M,N2846)="No",IF(INDEX(Listado!N:N,N2846)=0,"",INDEX(Listado!N:N,N2846)),IF(INDEX(Listado!I:I,N2846)=0,"",INDEX(Listado!I:I,N2846)))),"")</f>
        <v/>
      </c>
      <c r="P2846" s="17">
        <f t="shared" ca="1" si="133"/>
        <v/>
      </c>
      <c r="Q2846" s="17">
        <f>IFERROR(IF(AND(N2846&lt;&gt;"",ISNUMBER(O2846),O2846&gt;0,O2846&gt;=TODAY()-90),1,0),0)</f>
        <v/>
      </c>
      <c r="R2846" s="17" t="str">
        <f t="shared" si="135"/>
        <v/>
      </c>
      <c r="S2846" s="17" t="str">
        <f>IF(INDEX(Listado!A:A,ROW())="","",INDEX(Listado!A:A,ROW()))</f>
        <v/>
      </c>
      <c r="T2846" s="17" t="str">
        <f ca="1">IF(INDEX(Listado!G:G,ROW())="","",INDEX(Listado!G:G,ROW()))</f>
        <v/>
      </c>
      <c r="U2846" s="17" t="str">
        <f>IF(INDEX(Listado!F:F,ROW())="","",INDEX(Listado!F:F,ROW()))</f>
        <v/>
      </c>
      <c r="V2846" s="17">
        <f>IF(COUNTA(INDEX(Listado!B:B,ROW()):INDEX(Listado!F:F,ROW()))&gt;0,1,0)</f>
        <v/>
      </c>
      <c r="W2846" s="17" t="str">
        <f>IF(INDEX(Listado!L:L,ROW())="","",INDEX(Listado!L:L,ROW()))</f>
        <v/>
      </c>
      <c r="X2846" s="17">
        <f>IF(N2846="","",IF(INDEX(Listado!$M:$M,N2846)="No","No","Sí"))</f>
        <v/>
      </c>
    </row>
    <row r="2847" spans="2:24" ht="14.25">
      <c r="N2847" s="17" t="str">
        <f>IF(V2847=0,"",IFERROR(LOOKUP(2,1/(INDEX(Listado!A:A,2):INDEX(Listado!A:A,ROW())&lt;&gt;""),ROW(INDEX(Listado!A:A,2):INDEX(Listado!A:A,ROW()))),""))</f>
        <v/>
      </c>
      <c r="O2847" s="17" t="str">
        <f>IFERROR(IF(N2847="","",IF(INDEX(Listado!M:M,N2847)="No",IF(INDEX(Listado!N:N,N2847)=0,"",INDEX(Listado!N:N,N2847)),IF(INDEX(Listado!I:I,N2847)=0,"",INDEX(Listado!I:I,N2847)))),"")</f>
        <v/>
      </c>
      <c r="P2847" s="17">
        <f t="shared" ca="1" si="133"/>
        <v/>
      </c>
      <c r="Q2847" s="17">
        <f>IFERROR(IF(AND(N2847&lt;&gt;"",ISNUMBER(O2847),O2847&gt;0,O2847&gt;=TODAY()-90),1,0),0)</f>
        <v/>
      </c>
      <c r="R2847" s="17" t="str">
        <f t="shared" si="135"/>
        <v/>
      </c>
      <c r="S2847" s="17" t="str">
        <f>IF(INDEX(Listado!A:A,ROW())="","",INDEX(Listado!A:A,ROW()))</f>
        <v/>
      </c>
      <c r="T2847" s="17" t="str">
        <f ca="1">IF(INDEX(Listado!G:G,ROW())="","",INDEX(Listado!G:G,ROW()))</f>
        <v/>
      </c>
      <c r="U2847" s="17" t="str">
        <f>IF(INDEX(Listado!F:F,ROW())="","",INDEX(Listado!F:F,ROW()))</f>
        <v/>
      </c>
      <c r="V2847" s="17">
        <f>IF(COUNTA(INDEX(Listado!B:B,ROW()):INDEX(Listado!F:F,ROW()))&gt;0,1,0)</f>
        <v/>
      </c>
      <c r="W2847" s="17" t="str">
        <f>IF(INDEX(Listado!L:L,ROW())="","",INDEX(Listado!L:L,ROW()))</f>
        <v/>
      </c>
      <c r="X2847" s="17">
        <f>IF(N2847="","",IF(INDEX(Listado!$M:$M,N2847)="No","No","Sí"))</f>
        <v/>
      </c>
    </row>
    <row r="2848" spans="2:24" ht="14.25">
      <c r="N2848" s="17" t="str">
        <f>IF(V2848=0,"",IFERROR(LOOKUP(2,1/(INDEX(Listado!A:A,2):INDEX(Listado!A:A,ROW())&lt;&gt;""),ROW(INDEX(Listado!A:A,2):INDEX(Listado!A:A,ROW()))),""))</f>
        <v/>
      </c>
      <c r="O2848" s="17" t="str">
        <f>IFERROR(IF(N2848="","",IF(INDEX(Listado!M:M,N2848)="No",IF(INDEX(Listado!N:N,N2848)=0,"",INDEX(Listado!N:N,N2848)),IF(INDEX(Listado!I:I,N2848)=0,"",INDEX(Listado!I:I,N2848)))),"")</f>
        <v/>
      </c>
      <c r="P2848" s="17">
        <f t="shared" ca="1" si="133"/>
        <v/>
      </c>
      <c r="Q2848" s="17">
        <f>IFERROR(IF(AND(N2848&lt;&gt;"",ISNUMBER(O2848),O2848&gt;0,O2848&gt;=TODAY()-90),1,0),0)</f>
        <v/>
      </c>
      <c r="R2848" s="17" t="str">
        <f t="shared" si="135"/>
        <v/>
      </c>
      <c r="S2848" s="17" t="str">
        <f>IF(INDEX(Listado!A:A,ROW())="","",INDEX(Listado!A:A,ROW()))</f>
        <v/>
      </c>
      <c r="T2848" s="17" t="str">
        <f ca="1">IF(INDEX(Listado!G:G,ROW())="","",INDEX(Listado!G:G,ROW()))</f>
        <v/>
      </c>
      <c r="U2848" s="17" t="str">
        <f>IF(INDEX(Listado!F:F,ROW())="","",INDEX(Listado!F:F,ROW()))</f>
        <v/>
      </c>
      <c r="V2848" s="17">
        <f>IF(COUNTA(INDEX(Listado!B:B,ROW()):INDEX(Listado!F:F,ROW()))&gt;0,1,0)</f>
        <v/>
      </c>
      <c r="W2848" s="17" t="str">
        <f>IF(INDEX(Listado!L:L,ROW())="","",INDEX(Listado!L:L,ROW()))</f>
        <v/>
      </c>
      <c r="X2848" s="17">
        <f>IF(N2848="","",IF(INDEX(Listado!$M:$M,N2848)="No","No","Sí"))</f>
        <v/>
      </c>
    </row>
    <row r="2849" spans="2:24" ht="14.25">
      <c r="N2849" s="17" t="str">
        <f>IF(V2849=0,"",IFERROR(LOOKUP(2,1/(INDEX(Listado!A:A,2):INDEX(Listado!A:A,ROW())&lt;&gt;""),ROW(INDEX(Listado!A:A,2):INDEX(Listado!A:A,ROW()))),""))</f>
        <v/>
      </c>
      <c r="O2849" s="17" t="str">
        <f>IFERROR(IF(N2849="","",IF(INDEX(Listado!M:M,N2849)="No",IF(INDEX(Listado!N:N,N2849)=0,"",INDEX(Listado!N:N,N2849)),IF(INDEX(Listado!I:I,N2849)=0,"",INDEX(Listado!I:I,N2849)))),"")</f>
        <v/>
      </c>
      <c r="P2849" s="17">
        <f t="shared" ca="1" si="133"/>
        <v/>
      </c>
      <c r="Q2849" s="17">
        <f>IFERROR(IF(AND(N2849&lt;&gt;"",ISNUMBER(O2849),O2849&gt;0,O2849&gt;=TODAY()-90),1,0),0)</f>
        <v/>
      </c>
      <c r="R2849" s="17" t="str">
        <f t="shared" si="135"/>
        <v/>
      </c>
      <c r="S2849" s="17" t="str">
        <f>IF(INDEX(Listado!A:A,ROW())="","",INDEX(Listado!A:A,ROW()))</f>
        <v/>
      </c>
      <c r="T2849" s="17" t="str">
        <f ca="1">IF(INDEX(Listado!G:G,ROW())="","",INDEX(Listado!G:G,ROW()))</f>
        <v/>
      </c>
      <c r="U2849" s="17" t="str">
        <f>IF(INDEX(Listado!F:F,ROW())="","",INDEX(Listado!F:F,ROW()))</f>
        <v/>
      </c>
      <c r="V2849" s="17">
        <f>IF(COUNTA(INDEX(Listado!B:B,ROW()):INDEX(Listado!F:F,ROW()))&gt;0,1,0)</f>
        <v/>
      </c>
      <c r="W2849" s="17" t="str">
        <f>IF(INDEX(Listado!L:L,ROW())="","",INDEX(Listado!L:L,ROW()))</f>
        <v/>
      </c>
      <c r="X2849" s="17">
        <f>IF(N2849="","",IF(INDEX(Listado!$M:$M,N2849)="No","No","Sí"))</f>
        <v/>
      </c>
    </row>
    <row r="2850" spans="2:24" ht="14.25">
      <c r="N2850" s="17" t="str">
        <f>IF(V2850=0,"",IFERROR(LOOKUP(2,1/(INDEX(Listado!A:A,2):INDEX(Listado!A:A,ROW())&lt;&gt;""),ROW(INDEX(Listado!A:A,2):INDEX(Listado!A:A,ROW()))),""))</f>
        <v/>
      </c>
      <c r="O2850" s="17" t="str">
        <f>IFERROR(IF(N2850="","",IF(INDEX(Listado!M:M,N2850)="No",IF(INDEX(Listado!N:N,N2850)=0,"",INDEX(Listado!N:N,N2850)),IF(INDEX(Listado!I:I,N2850)=0,"",INDEX(Listado!I:I,N2850)))),"")</f>
        <v/>
      </c>
      <c r="P2850" s="17">
        <f t="shared" ca="1" si="133"/>
        <v/>
      </c>
      <c r="Q2850" s="17">
        <f>IFERROR(IF(AND(N2850&lt;&gt;"",ISNUMBER(O2850),O2850&gt;0,O2850&gt;=TODAY()-90),1,0),0)</f>
        <v/>
      </c>
      <c r="R2850" s="17" t="str">
        <f t="shared" si="135"/>
        <v/>
      </c>
      <c r="S2850" s="17" t="str">
        <f>IF(INDEX(Listado!A:A,ROW())="","",INDEX(Listado!A:A,ROW()))</f>
        <v/>
      </c>
      <c r="T2850" s="17" t="str">
        <f ca="1">IF(INDEX(Listado!G:G,ROW())="","",INDEX(Listado!G:G,ROW()))</f>
        <v/>
      </c>
      <c r="U2850" s="17" t="str">
        <f>IF(INDEX(Listado!F:F,ROW())="","",INDEX(Listado!F:F,ROW()))</f>
        <v/>
      </c>
      <c r="V2850" s="17">
        <f>IF(COUNTA(INDEX(Listado!B:B,ROW()):INDEX(Listado!F:F,ROW()))&gt;0,1,0)</f>
        <v/>
      </c>
      <c r="W2850" s="17" t="str">
        <f>IF(INDEX(Listado!L:L,ROW())="","",INDEX(Listado!L:L,ROW()))</f>
        <v/>
      </c>
      <c r="X2850" s="17">
        <f>IF(N2850="","",IF(INDEX(Listado!$M:$M,N2850)="No","No","Sí"))</f>
        <v/>
      </c>
    </row>
    <row r="2851" spans="2:24" ht="14.25">
      <c r="N2851" s="17" t="str">
        <f>IF(V2851=0,"",IFERROR(LOOKUP(2,1/(INDEX(Listado!A:A,2):INDEX(Listado!A:A,ROW())&lt;&gt;""),ROW(INDEX(Listado!A:A,2):INDEX(Listado!A:A,ROW()))),""))</f>
        <v/>
      </c>
      <c r="O2851" s="17" t="str">
        <f>IFERROR(IF(N2851="","",IF(INDEX(Listado!M:M,N2851)="No",IF(INDEX(Listado!N:N,N2851)=0,"",INDEX(Listado!N:N,N2851)),IF(INDEX(Listado!I:I,N2851)=0,"",INDEX(Listado!I:I,N2851)))),"")</f>
        <v/>
      </c>
      <c r="P2851" s="17">
        <f t="shared" ca="1" si="133"/>
        <v/>
      </c>
      <c r="Q2851" s="17">
        <f>IFERROR(IF(AND(N2851&lt;&gt;"",ISNUMBER(O2851),O2851&gt;0,O2851&gt;=TODAY()-90),1,0),0)</f>
        <v/>
      </c>
      <c r="R2851" s="17" t="str">
        <f t="shared" si="135"/>
        <v/>
      </c>
      <c r="S2851" s="17" t="str">
        <f>IF(INDEX(Listado!A:A,ROW())="","",INDEX(Listado!A:A,ROW()))</f>
        <v/>
      </c>
      <c r="T2851" s="17" t="str">
        <f ca="1">IF(INDEX(Listado!G:G,ROW())="","",INDEX(Listado!G:G,ROW()))</f>
        <v/>
      </c>
      <c r="U2851" s="17" t="str">
        <f>IF(INDEX(Listado!F:F,ROW())="","",INDEX(Listado!F:F,ROW()))</f>
        <v/>
      </c>
      <c r="V2851" s="17">
        <f>IF(COUNTA(INDEX(Listado!B:B,ROW()):INDEX(Listado!F:F,ROW()))&gt;0,1,0)</f>
        <v/>
      </c>
      <c r="W2851" s="17" t="str">
        <f>IF(INDEX(Listado!L:L,ROW())="","",INDEX(Listado!L:L,ROW()))</f>
        <v/>
      </c>
      <c r="X2851" s="17">
        <f>IF(N2851="","",IF(INDEX(Listado!$M:$M,N2851)="No","No","Sí"))</f>
        <v/>
      </c>
    </row>
    <row r="2852" spans="2:24" ht="14.25">
      <c r="N2852" s="17" t="str">
        <f>IF(V2852=0,"",IFERROR(LOOKUP(2,1/(INDEX(Listado!A:A,2):INDEX(Listado!A:A,ROW())&lt;&gt;""),ROW(INDEX(Listado!A:A,2):INDEX(Listado!A:A,ROW()))),""))</f>
        <v/>
      </c>
      <c r="O2852" s="17" t="str">
        <f>IFERROR(IF(N2852="","",IF(INDEX(Listado!M:M,N2852)="No",IF(INDEX(Listado!N:N,N2852)=0,"",INDEX(Listado!N:N,N2852)),IF(INDEX(Listado!I:I,N2852)=0,"",INDEX(Listado!I:I,N2852)))),"")</f>
        <v/>
      </c>
      <c r="P2852" s="17">
        <f t="shared" ca="1" si="133"/>
        <v/>
      </c>
      <c r="Q2852" s="17">
        <f>IFERROR(IF(AND(N2852&lt;&gt;"",ISNUMBER(O2852),O2852&gt;0,O2852&gt;=TODAY()-90),1,0),0)</f>
        <v/>
      </c>
      <c r="R2852" s="17" t="str">
        <f t="shared" si="135"/>
        <v/>
      </c>
      <c r="S2852" s="17" t="str">
        <f>IF(INDEX(Listado!A:A,ROW())="","",INDEX(Listado!A:A,ROW()))</f>
        <v/>
      </c>
      <c r="T2852" s="17" t="str">
        <f ca="1">IF(INDEX(Listado!G:G,ROW())="","",INDEX(Listado!G:G,ROW()))</f>
        <v/>
      </c>
      <c r="U2852" s="17" t="str">
        <f>IF(INDEX(Listado!F:F,ROW())="","",INDEX(Listado!F:F,ROW()))</f>
        <v/>
      </c>
      <c r="V2852" s="17">
        <f>IF(COUNTA(INDEX(Listado!B:B,ROW()):INDEX(Listado!F:F,ROW()))&gt;0,1,0)</f>
        <v/>
      </c>
      <c r="W2852" s="17" t="str">
        <f>IF(INDEX(Listado!L:L,ROW())="","",INDEX(Listado!L:L,ROW()))</f>
        <v/>
      </c>
      <c r="X2852" s="17">
        <f>IF(N2852="","",IF(INDEX(Listado!$M:$M,N2852)="No","No","Sí"))</f>
        <v/>
      </c>
    </row>
    <row r="2853" spans="2:24" ht="14.25">
      <c r="N2853" s="17" t="str">
        <f>IF(V2853=0,"",IFERROR(LOOKUP(2,1/(INDEX(Listado!A:A,2):INDEX(Listado!A:A,ROW())&lt;&gt;""),ROW(INDEX(Listado!A:A,2):INDEX(Listado!A:A,ROW()))),""))</f>
        <v/>
      </c>
      <c r="O2853" s="17" t="str">
        <f>IFERROR(IF(N2853="","",IF(INDEX(Listado!M:M,N2853)="No",IF(INDEX(Listado!N:N,N2853)=0,"",INDEX(Listado!N:N,N2853)),IF(INDEX(Listado!I:I,N2853)=0,"",INDEX(Listado!I:I,N2853)))),"")</f>
        <v/>
      </c>
      <c r="P2853" s="17">
        <f t="shared" ca="1" si="133"/>
        <v/>
      </c>
      <c r="Q2853" s="17">
        <f>IFERROR(IF(AND(N2853&lt;&gt;"",ISNUMBER(O2853),O2853&gt;0,O2853&gt;=TODAY()-90),1,0),0)</f>
        <v/>
      </c>
      <c r="R2853" s="17" t="str">
        <f t="shared" si="135"/>
        <v/>
      </c>
      <c r="S2853" s="17" t="str">
        <f>IF(INDEX(Listado!A:A,ROW())="","",INDEX(Listado!A:A,ROW()))</f>
        <v/>
      </c>
      <c r="T2853" s="17" t="str">
        <f ca="1">IF(INDEX(Listado!G:G,ROW())="","",INDEX(Listado!G:G,ROW()))</f>
        <v/>
      </c>
      <c r="U2853" s="17" t="str">
        <f>IF(INDEX(Listado!F:F,ROW())="","",INDEX(Listado!F:F,ROW()))</f>
        <v/>
      </c>
      <c r="V2853" s="17">
        <f>IF(COUNTA(INDEX(Listado!B:B,ROW()):INDEX(Listado!F:F,ROW()))&gt;0,1,0)</f>
        <v/>
      </c>
      <c r="W2853" s="17" t="str">
        <f>IF(INDEX(Listado!L:L,ROW())="","",INDEX(Listado!L:L,ROW()))</f>
        <v/>
      </c>
      <c r="X2853" s="17">
        <f>IF(N2853="","",IF(INDEX(Listado!$M:$M,N2853)="No","No","Sí"))</f>
        <v/>
      </c>
    </row>
    <row r="2854" spans="2:24" ht="14.25">
      <c r="N2854" s="17" t="str">
        <f>IF(V2854=0,"",IFERROR(LOOKUP(2,1/(INDEX(Listado!A:A,2):INDEX(Listado!A:A,ROW())&lt;&gt;""),ROW(INDEX(Listado!A:A,2):INDEX(Listado!A:A,ROW()))),""))</f>
        <v/>
      </c>
      <c r="O2854" s="17" t="str">
        <f>IFERROR(IF(N2854="","",IF(INDEX(Listado!M:M,N2854)="No",IF(INDEX(Listado!N:N,N2854)=0,"",INDEX(Listado!N:N,N2854)),IF(INDEX(Listado!I:I,N2854)=0,"",INDEX(Listado!I:I,N2854)))),"")</f>
        <v/>
      </c>
      <c r="P2854" s="17">
        <f t="shared" ca="1" si="133"/>
        <v/>
      </c>
      <c r="Q2854" s="17">
        <f>IFERROR(IF(AND(N2854&lt;&gt;"",ISNUMBER(O2854),O2854&gt;0,O2854&gt;=TODAY()-90),1,0),0)</f>
        <v/>
      </c>
      <c r="R2854" s="17" t="str">
        <f t="shared" si="135"/>
        <v/>
      </c>
      <c r="S2854" s="17" t="str">
        <f>IF(INDEX(Listado!A:A,ROW())="","",INDEX(Listado!A:A,ROW()))</f>
        <v/>
      </c>
      <c r="T2854" s="17" t="str">
        <f ca="1">IF(INDEX(Listado!G:G,ROW())="","",INDEX(Listado!G:G,ROW()))</f>
        <v/>
      </c>
      <c r="U2854" s="17" t="str">
        <f>IF(INDEX(Listado!F:F,ROW())="","",INDEX(Listado!F:F,ROW()))</f>
        <v/>
      </c>
      <c r="V2854" s="17">
        <f>IF(COUNTA(INDEX(Listado!B:B,ROW()):INDEX(Listado!F:F,ROW()))&gt;0,1,0)</f>
        <v/>
      </c>
      <c r="W2854" s="17" t="str">
        <f>IF(INDEX(Listado!L:L,ROW())="","",INDEX(Listado!L:L,ROW()))</f>
        <v/>
      </c>
      <c r="X2854" s="17">
        <f>IF(N2854="","",IF(INDEX(Listado!$M:$M,N2854)="No","No","Sí"))</f>
        <v/>
      </c>
    </row>
    <row r="2855" spans="2:24" ht="14.25">
      <c r="N2855" s="17" t="str">
        <f>IF(V2855=0,"",IFERROR(LOOKUP(2,1/(INDEX(Listado!A:A,2):INDEX(Listado!A:A,ROW())&lt;&gt;""),ROW(INDEX(Listado!A:A,2):INDEX(Listado!A:A,ROW()))),""))</f>
        <v/>
      </c>
      <c r="O2855" s="17" t="str">
        <f>IFERROR(IF(N2855="","",IF(INDEX(Listado!M:M,N2855)="No",IF(INDEX(Listado!N:N,N2855)=0,"",INDEX(Listado!N:N,N2855)),IF(INDEX(Listado!I:I,N2855)=0,"",INDEX(Listado!I:I,N2855)))),"")</f>
        <v/>
      </c>
      <c r="P2855" s="17">
        <f t="shared" ca="1" si="133"/>
        <v/>
      </c>
      <c r="Q2855" s="17">
        <f>IFERROR(IF(AND(N2855&lt;&gt;"",ISNUMBER(O2855),O2855&gt;0,O2855&gt;=TODAY()-90),1,0),0)</f>
        <v/>
      </c>
      <c r="R2855" s="17" t="str">
        <f t="shared" si="135"/>
        <v/>
      </c>
      <c r="S2855" s="17" t="str">
        <f>IF(INDEX(Listado!A:A,ROW())="","",INDEX(Listado!A:A,ROW()))</f>
        <v/>
      </c>
      <c r="T2855" s="17" t="str">
        <f ca="1">IF(INDEX(Listado!G:G,ROW())="","",INDEX(Listado!G:G,ROW()))</f>
        <v/>
      </c>
      <c r="U2855" s="17" t="str">
        <f>IF(INDEX(Listado!F:F,ROW())="","",INDEX(Listado!F:F,ROW()))</f>
        <v/>
      </c>
      <c r="V2855" s="17">
        <f>IF(COUNTA(INDEX(Listado!B:B,ROW()):INDEX(Listado!F:F,ROW()))&gt;0,1,0)</f>
        <v/>
      </c>
      <c r="W2855" s="17" t="str">
        <f>IF(INDEX(Listado!L:L,ROW())="","",INDEX(Listado!L:L,ROW()))</f>
        <v/>
      </c>
      <c r="X2855" s="17">
        <f>IF(N2855="","",IF(INDEX(Listado!$M:$M,N2855)="No","No","Sí"))</f>
        <v/>
      </c>
    </row>
    <row r="2856" spans="2:24" ht="14.25">
      <c r="N2856" s="17" t="str">
        <f>IF(V2856=0,"",IFERROR(LOOKUP(2,1/(INDEX(Listado!A:A,2):INDEX(Listado!A:A,ROW())&lt;&gt;""),ROW(INDEX(Listado!A:A,2):INDEX(Listado!A:A,ROW()))),""))</f>
        <v/>
      </c>
      <c r="O2856" s="17" t="str">
        <f>IFERROR(IF(N2856="","",IF(INDEX(Listado!M:M,N2856)="No",IF(INDEX(Listado!N:N,N2856)=0,"",INDEX(Listado!N:N,N2856)),IF(INDEX(Listado!I:I,N2856)=0,"",INDEX(Listado!I:I,N2856)))),"")</f>
        <v/>
      </c>
      <c r="P2856" s="17">
        <f t="shared" ca="1" si="133"/>
        <v/>
      </c>
      <c r="Q2856" s="17">
        <f>IFERROR(IF(AND(N2856&lt;&gt;"",ISNUMBER(O2856),O2856&gt;0,O2856&gt;=TODAY()-90),1,0),0)</f>
        <v/>
      </c>
      <c r="R2856" s="17" t="str">
        <f t="shared" si="135"/>
        <v/>
      </c>
      <c r="S2856" s="17" t="str">
        <f>IF(INDEX(Listado!A:A,ROW())="","",INDEX(Listado!A:A,ROW()))</f>
        <v/>
      </c>
      <c r="T2856" s="17" t="str">
        <f ca="1">IF(INDEX(Listado!G:G,ROW())="","",INDEX(Listado!G:G,ROW()))</f>
        <v/>
      </c>
      <c r="U2856" s="17" t="str">
        <f>IF(INDEX(Listado!F:F,ROW())="","",INDEX(Listado!F:F,ROW()))</f>
        <v/>
      </c>
      <c r="V2856" s="17">
        <f>IF(COUNTA(INDEX(Listado!B:B,ROW()):INDEX(Listado!F:F,ROW()))&gt;0,1,0)</f>
        <v/>
      </c>
      <c r="W2856" s="17" t="str">
        <f>IF(INDEX(Listado!L:L,ROW())="","",INDEX(Listado!L:L,ROW()))</f>
        <v/>
      </c>
      <c r="X2856" s="17">
        <f>IF(N2856="","",IF(INDEX(Listado!$M:$M,N2856)="No","No","Sí"))</f>
        <v/>
      </c>
    </row>
    <row r="2857" spans="2:24" ht="14.25">
      <c r="N2857" s="17" t="str">
        <f>IF(V2857=0,"",IFERROR(LOOKUP(2,1/(INDEX(Listado!A:A,2):INDEX(Listado!A:A,ROW())&lt;&gt;""),ROW(INDEX(Listado!A:A,2):INDEX(Listado!A:A,ROW()))),""))</f>
        <v/>
      </c>
      <c r="O2857" s="17" t="str">
        <f>IFERROR(IF(N2857="","",IF(INDEX(Listado!M:M,N2857)="No",IF(INDEX(Listado!N:N,N2857)=0,"",INDEX(Listado!N:N,N2857)),IF(INDEX(Listado!I:I,N2857)=0,"",INDEX(Listado!I:I,N2857)))),"")</f>
        <v/>
      </c>
      <c r="P2857" s="17">
        <f t="shared" ca="1" si="133"/>
        <v/>
      </c>
      <c r="Q2857" s="17">
        <f>IFERROR(IF(AND(N2857&lt;&gt;"",ISNUMBER(O2857),O2857&gt;0,O2857&gt;=TODAY()-90),1,0),0)</f>
        <v/>
      </c>
      <c r="R2857" s="17" t="str">
        <f t="shared" si="135"/>
        <v/>
      </c>
      <c r="S2857" s="17" t="str">
        <f>IF(INDEX(Listado!A:A,ROW())="","",INDEX(Listado!A:A,ROW()))</f>
        <v/>
      </c>
      <c r="T2857" s="17" t="str">
        <f ca="1">IF(INDEX(Listado!G:G,ROW())="","",INDEX(Listado!G:G,ROW()))</f>
        <v/>
      </c>
      <c r="U2857" s="17" t="str">
        <f>IF(INDEX(Listado!F:F,ROW())="","",INDEX(Listado!F:F,ROW()))</f>
        <v/>
      </c>
      <c r="V2857" s="17">
        <f>IF(COUNTA(INDEX(Listado!B:B,ROW()):INDEX(Listado!F:F,ROW()))&gt;0,1,0)</f>
        <v/>
      </c>
      <c r="W2857" s="17" t="str">
        <f>IF(INDEX(Listado!L:L,ROW())="","",INDEX(Listado!L:L,ROW()))</f>
        <v/>
      </c>
      <c r="X2857" s="17">
        <f>IF(N2857="","",IF(INDEX(Listado!$M:$M,N2857)="No","No","Sí"))</f>
        <v/>
      </c>
    </row>
    <row r="2858" spans="2:24" ht="14.25">
      <c r="N2858" s="17" t="str">
        <f>IF(V2858=0,"",IFERROR(LOOKUP(2,1/(INDEX(Listado!A:A,2):INDEX(Listado!A:A,ROW())&lt;&gt;""),ROW(INDEX(Listado!A:A,2):INDEX(Listado!A:A,ROW()))),""))</f>
        <v/>
      </c>
      <c r="O2858" s="17" t="str">
        <f>IFERROR(IF(N2858="","",IF(INDEX(Listado!M:M,N2858)="No",IF(INDEX(Listado!N:N,N2858)=0,"",INDEX(Listado!N:N,N2858)),IF(INDEX(Listado!I:I,N2858)=0,"",INDEX(Listado!I:I,N2858)))),"")</f>
        <v/>
      </c>
      <c r="P2858" s="17">
        <f t="shared" ca="1" si="133"/>
        <v/>
      </c>
      <c r="Q2858" s="17">
        <f>IFERROR(IF(AND(N2858&lt;&gt;"",ISNUMBER(O2858),O2858&gt;0,O2858&gt;=TODAY()-90),1,0),0)</f>
        <v/>
      </c>
      <c r="R2858" s="17" t="str">
        <f t="shared" si="135"/>
        <v/>
      </c>
      <c r="S2858" s="17" t="str">
        <f>IF(INDEX(Listado!A:A,ROW())="","",INDEX(Listado!A:A,ROW()))</f>
        <v/>
      </c>
      <c r="T2858" s="17" t="str">
        <f ca="1">IF(INDEX(Listado!G:G,ROW())="","",INDEX(Listado!G:G,ROW()))</f>
        <v/>
      </c>
      <c r="U2858" s="17" t="str">
        <f>IF(INDEX(Listado!F:F,ROW())="","",INDEX(Listado!F:F,ROW()))</f>
        <v/>
      </c>
      <c r="V2858" s="17">
        <f>IF(COUNTA(INDEX(Listado!B:B,ROW()):INDEX(Listado!F:F,ROW()))&gt;0,1,0)</f>
        <v/>
      </c>
      <c r="W2858" s="17" t="str">
        <f>IF(INDEX(Listado!L:L,ROW())="","",INDEX(Listado!L:L,ROW()))</f>
        <v/>
      </c>
      <c r="X2858" s="17">
        <f>IF(N2858="","",IF(INDEX(Listado!$M:$M,N2858)="No","No","Sí"))</f>
        <v/>
      </c>
    </row>
    <row r="2859" spans="2:24" ht="14.25">
      <c r="N2859" s="17" t="str">
        <f>IF(V2859=0,"",IFERROR(LOOKUP(2,1/(INDEX(Listado!A:A,2):INDEX(Listado!A:A,ROW())&lt;&gt;""),ROW(INDEX(Listado!A:A,2):INDEX(Listado!A:A,ROW()))),""))</f>
        <v/>
      </c>
      <c r="O2859" s="17" t="str">
        <f>IFERROR(IF(N2859="","",IF(INDEX(Listado!M:M,N2859)="No",IF(INDEX(Listado!N:N,N2859)=0,"",INDEX(Listado!N:N,N2859)),IF(INDEX(Listado!I:I,N2859)=0,"",INDEX(Listado!I:I,N2859)))),"")</f>
        <v/>
      </c>
      <c r="P2859" s="17">
        <f t="shared" ca="1" si="133"/>
        <v/>
      </c>
      <c r="Q2859" s="17">
        <f>IFERROR(IF(AND(N2859&lt;&gt;"",ISNUMBER(O2859),O2859&gt;0,O2859&gt;=TODAY()-90),1,0),0)</f>
        <v/>
      </c>
      <c r="R2859" s="17" t="str">
        <f t="shared" si="135"/>
        <v/>
      </c>
      <c r="S2859" s="17" t="str">
        <f>IF(INDEX(Listado!A:A,ROW())="","",INDEX(Listado!A:A,ROW()))</f>
        <v/>
      </c>
      <c r="T2859" s="17" t="str">
        <f ca="1">IF(INDEX(Listado!G:G,ROW())="","",INDEX(Listado!G:G,ROW()))</f>
        <v/>
      </c>
      <c r="U2859" s="17" t="str">
        <f>IF(INDEX(Listado!F:F,ROW())="","",INDEX(Listado!F:F,ROW()))</f>
        <v/>
      </c>
      <c r="V2859" s="17">
        <f>IF(COUNTA(INDEX(Listado!B:B,ROW()):INDEX(Listado!F:F,ROW()))&gt;0,1,0)</f>
        <v/>
      </c>
      <c r="W2859" s="17" t="str">
        <f>IF(INDEX(Listado!L:L,ROW())="","",INDEX(Listado!L:L,ROW()))</f>
        <v/>
      </c>
      <c r="X2859" s="17">
        <f>IF(N2859="","",IF(INDEX(Listado!$M:$M,N2859)="No","No","Sí"))</f>
        <v/>
      </c>
    </row>
    <row r="2860" spans="2:24" ht="14.25">
      <c r="N2860" s="17" t="str">
        <f>IF(V2860=0,"",IFERROR(LOOKUP(2,1/(INDEX(Listado!A:A,2):INDEX(Listado!A:A,ROW())&lt;&gt;""),ROW(INDEX(Listado!A:A,2):INDEX(Listado!A:A,ROW()))),""))</f>
        <v/>
      </c>
      <c r="O2860" s="17" t="str">
        <f>IFERROR(IF(N2860="","",IF(INDEX(Listado!M:M,N2860)="No",IF(INDEX(Listado!N:N,N2860)=0,"",INDEX(Listado!N:N,N2860)),IF(INDEX(Listado!I:I,N2860)=0,"",INDEX(Listado!I:I,N2860)))),"")</f>
        <v/>
      </c>
      <c r="P2860" s="17">
        <f t="shared" ca="1" si="133"/>
        <v/>
      </c>
      <c r="Q2860" s="17">
        <f>IFERROR(IF(AND(N2860&lt;&gt;"",ISNUMBER(O2860),O2860&gt;0,O2860&gt;=TODAY()-90),1,0),0)</f>
        <v/>
      </c>
      <c r="R2860" s="17" t="str">
        <f t="shared" si="135"/>
        <v/>
      </c>
      <c r="S2860" s="17" t="str">
        <f>IF(INDEX(Listado!A:A,ROW())="","",INDEX(Listado!A:A,ROW()))</f>
        <v/>
      </c>
      <c r="T2860" s="17" t="str">
        <f ca="1">IF(INDEX(Listado!G:G,ROW())="","",INDEX(Listado!G:G,ROW()))</f>
        <v/>
      </c>
      <c r="U2860" s="17" t="str">
        <f>IF(INDEX(Listado!F:F,ROW())="","",INDEX(Listado!F:F,ROW()))</f>
        <v/>
      </c>
      <c r="V2860" s="17">
        <f>IF(COUNTA(INDEX(Listado!B:B,ROW()):INDEX(Listado!F:F,ROW()))&gt;0,1,0)</f>
        <v/>
      </c>
      <c r="W2860" s="17" t="str">
        <f>IF(INDEX(Listado!L:L,ROW())="","",INDEX(Listado!L:L,ROW()))</f>
        <v/>
      </c>
      <c r="X2860" s="17">
        <f>IF(N2860="","",IF(INDEX(Listado!$M:$M,N2860)="No","No","Sí"))</f>
        <v/>
      </c>
    </row>
    <row r="2861" spans="2:24" ht="14.25">
      <c r="N2861" s="17" t="str">
        <f>IF(V2861=0,"",IFERROR(LOOKUP(2,1/(INDEX(Listado!A:A,2):INDEX(Listado!A:A,ROW())&lt;&gt;""),ROW(INDEX(Listado!A:A,2):INDEX(Listado!A:A,ROW()))),""))</f>
        <v/>
      </c>
      <c r="O2861" s="17" t="str">
        <f>IFERROR(IF(N2861="","",IF(INDEX(Listado!M:M,N2861)="No",IF(INDEX(Listado!N:N,N2861)=0,"",INDEX(Listado!N:N,N2861)),IF(INDEX(Listado!I:I,N2861)=0,"",INDEX(Listado!I:I,N2861)))),"")</f>
        <v/>
      </c>
      <c r="P2861" s="17">
        <f t="shared" ca="1" si="133"/>
        <v/>
      </c>
      <c r="Q2861" s="17">
        <f>IFERROR(IF(AND(N2861&lt;&gt;"",ISNUMBER(O2861),O2861&gt;0,O2861&gt;=TODAY()-90),1,0),0)</f>
        <v/>
      </c>
      <c r="R2861" s="17" t="str">
        <f t="shared" si="135"/>
        <v/>
      </c>
      <c r="S2861" s="17" t="str">
        <f>IF(INDEX(Listado!A:A,ROW())="","",INDEX(Listado!A:A,ROW()))</f>
        <v/>
      </c>
      <c r="T2861" s="17" t="str">
        <f ca="1">IF(INDEX(Listado!G:G,ROW())="","",INDEX(Listado!G:G,ROW()))</f>
        <v/>
      </c>
      <c r="U2861" s="17" t="str">
        <f>IF(INDEX(Listado!F:F,ROW())="","",INDEX(Listado!F:F,ROW()))</f>
        <v/>
      </c>
      <c r="V2861" s="17">
        <f>IF(COUNTA(INDEX(Listado!B:B,ROW()):INDEX(Listado!F:F,ROW()))&gt;0,1,0)</f>
        <v/>
      </c>
      <c r="W2861" s="17" t="str">
        <f>IF(INDEX(Listado!L:L,ROW())="","",INDEX(Listado!L:L,ROW()))</f>
        <v/>
      </c>
      <c r="X2861" s="17">
        <f>IF(N2861="","",IF(INDEX(Listado!$M:$M,N2861)="No","No","Sí"))</f>
        <v/>
      </c>
    </row>
    <row r="2862" spans="2:24" ht="14.25">
      <c r="N2862" s="17" t="str">
        <f>IF(V2862=0,"",IFERROR(LOOKUP(2,1/(INDEX(Listado!A:A,2):INDEX(Listado!A:A,ROW())&lt;&gt;""),ROW(INDEX(Listado!A:A,2):INDEX(Listado!A:A,ROW()))),""))</f>
        <v/>
      </c>
      <c r="O2862" s="17" t="str">
        <f>IFERROR(IF(N2862="","",IF(INDEX(Listado!M:M,N2862)="No",IF(INDEX(Listado!N:N,N2862)=0,"",INDEX(Listado!N:N,N2862)),IF(INDEX(Listado!I:I,N2862)=0,"",INDEX(Listado!I:I,N2862)))),"")</f>
        <v/>
      </c>
      <c r="P2862" s="17">
        <f t="shared" ca="1" si="133"/>
        <v/>
      </c>
      <c r="Q2862" s="17">
        <f>IFERROR(IF(AND(N2862&lt;&gt;"",ISNUMBER(O2862),O2862&gt;0,O2862&gt;=TODAY()-90),1,0),0)</f>
        <v/>
      </c>
      <c r="R2862" s="17" t="str">
        <f t="shared" si="135"/>
        <v/>
      </c>
      <c r="S2862" s="17" t="str">
        <f>IF(INDEX(Listado!A:A,ROW())="","",INDEX(Listado!A:A,ROW()))</f>
        <v/>
      </c>
      <c r="T2862" s="17" t="str">
        <f ca="1">IF(INDEX(Listado!G:G,ROW())="","",INDEX(Listado!G:G,ROW()))</f>
        <v/>
      </c>
      <c r="U2862" s="17" t="str">
        <f>IF(INDEX(Listado!F:F,ROW())="","",INDEX(Listado!F:F,ROW()))</f>
        <v/>
      </c>
      <c r="V2862" s="17">
        <f>IF(COUNTA(INDEX(Listado!B:B,ROW()):INDEX(Listado!F:F,ROW()))&gt;0,1,0)</f>
        <v/>
      </c>
      <c r="W2862" s="17" t="str">
        <f>IF(INDEX(Listado!L:L,ROW())="","",INDEX(Listado!L:L,ROW()))</f>
        <v/>
      </c>
      <c r="X2862" s="17">
        <f>IF(N2862="","",IF(INDEX(Listado!$M:$M,N2862)="No","No","Sí"))</f>
        <v/>
      </c>
    </row>
    <row r="2863" spans="2:24" ht="14.25">
      <c r="N2863" s="17" t="str">
        <f>IF(V2863=0,"",IFERROR(LOOKUP(2,1/(INDEX(Listado!A:A,2):INDEX(Listado!A:A,ROW())&lt;&gt;""),ROW(INDEX(Listado!A:A,2):INDEX(Listado!A:A,ROW()))),""))</f>
        <v/>
      </c>
      <c r="O2863" s="17" t="str">
        <f>IFERROR(IF(N2863="","",IF(INDEX(Listado!M:M,N2863)="No",IF(INDEX(Listado!N:N,N2863)=0,"",INDEX(Listado!N:N,N2863)),IF(INDEX(Listado!I:I,N2863)=0,"",INDEX(Listado!I:I,N2863)))),"")</f>
        <v/>
      </c>
      <c r="P2863" s="17">
        <f t="shared" ca="1" si="133"/>
        <v/>
      </c>
      <c r="Q2863" s="17">
        <f>IFERROR(IF(AND(N2863&lt;&gt;"",ISNUMBER(O2863),O2863&gt;0,O2863&gt;=TODAY()-90),1,0),0)</f>
        <v/>
      </c>
      <c r="R2863" s="17" t="str">
        <f t="shared" si="135"/>
        <v/>
      </c>
      <c r="S2863" s="17" t="str">
        <f>IF(INDEX(Listado!A:A,ROW())="","",INDEX(Listado!A:A,ROW()))</f>
        <v/>
      </c>
      <c r="T2863" s="17" t="str">
        <f ca="1">IF(INDEX(Listado!G:G,ROW())="","",INDEX(Listado!G:G,ROW()))</f>
        <v/>
      </c>
      <c r="U2863" s="17" t="str">
        <f>IF(INDEX(Listado!F:F,ROW())="","",INDEX(Listado!F:F,ROW()))</f>
        <v/>
      </c>
      <c r="V2863" s="17">
        <f>IF(COUNTA(INDEX(Listado!B:B,ROW()):INDEX(Listado!F:F,ROW()))&gt;0,1,0)</f>
        <v/>
      </c>
      <c r="W2863" s="17" t="str">
        <f>IF(INDEX(Listado!L:L,ROW())="","",INDEX(Listado!L:L,ROW()))</f>
        <v/>
      </c>
      <c r="X2863" s="17">
        <f>IF(N2863="","",IF(INDEX(Listado!$M:$M,N2863)="No","No","Sí"))</f>
        <v/>
      </c>
    </row>
    <row r="2864" spans="2:24" ht="14.25">
      <c r="N2864" s="17" t="str">
        <f>IF(V2864=0,"",IFERROR(LOOKUP(2,1/(INDEX(Listado!A:A,2):INDEX(Listado!A:A,ROW())&lt;&gt;""),ROW(INDEX(Listado!A:A,2):INDEX(Listado!A:A,ROW()))),""))</f>
        <v/>
      </c>
      <c r="O2864" s="17" t="str">
        <f>IFERROR(IF(N2864="","",IF(INDEX(Listado!M:M,N2864)="No",IF(INDEX(Listado!N:N,N2864)=0,"",INDEX(Listado!N:N,N2864)),IF(INDEX(Listado!I:I,N2864)=0,"",INDEX(Listado!I:I,N2864)))),"")</f>
        <v/>
      </c>
      <c r="P2864" s="17">
        <f t="shared" ca="1" si="133"/>
        <v/>
      </c>
      <c r="Q2864" s="17">
        <f>IFERROR(IF(AND(N2864&lt;&gt;"",ISNUMBER(O2864),O2864&gt;0,O2864&gt;=TODAY()-90),1,0),0)</f>
        <v/>
      </c>
      <c r="R2864" s="17" t="str">
        <f t="shared" si="135"/>
        <v/>
      </c>
      <c r="S2864" s="17" t="str">
        <f>IF(INDEX(Listado!A:A,ROW())="","",INDEX(Listado!A:A,ROW()))</f>
        <v/>
      </c>
      <c r="T2864" s="17" t="str">
        <f ca="1">IF(INDEX(Listado!G:G,ROW())="","",INDEX(Listado!G:G,ROW()))</f>
        <v/>
      </c>
      <c r="U2864" s="17" t="str">
        <f>IF(INDEX(Listado!F:F,ROW())="","",INDEX(Listado!F:F,ROW()))</f>
        <v/>
      </c>
      <c r="V2864" s="17">
        <f>IF(COUNTA(INDEX(Listado!B:B,ROW()):INDEX(Listado!F:F,ROW()))&gt;0,1,0)</f>
        <v/>
      </c>
      <c r="W2864" s="17" t="str">
        <f>IF(INDEX(Listado!L:L,ROW())="","",INDEX(Listado!L:L,ROW()))</f>
        <v/>
      </c>
      <c r="X2864" s="17">
        <f>IF(N2864="","",IF(INDEX(Listado!$M:$M,N2864)="No","No","Sí"))</f>
        <v/>
      </c>
    </row>
    <row r="2865" spans="2:24" ht="14.25">
      <c r="N2865" s="17" t="str">
        <f>IF(V2865=0,"",IFERROR(LOOKUP(2,1/(INDEX(Listado!A:A,2):INDEX(Listado!A:A,ROW())&lt;&gt;""),ROW(INDEX(Listado!A:A,2):INDEX(Listado!A:A,ROW()))),""))</f>
        <v/>
      </c>
      <c r="O2865" s="17" t="str">
        <f>IFERROR(IF(N2865="","",IF(INDEX(Listado!M:M,N2865)="No",IF(INDEX(Listado!N:N,N2865)=0,"",INDEX(Listado!N:N,N2865)),IF(INDEX(Listado!I:I,N2865)=0,"",INDEX(Listado!I:I,N2865)))),"")</f>
        <v/>
      </c>
      <c r="P2865" s="17">
        <f t="shared" ca="1" si="133"/>
        <v/>
      </c>
      <c r="Q2865" s="17">
        <f>IFERROR(IF(AND(N2865&lt;&gt;"",ISNUMBER(O2865),O2865&gt;0,O2865&gt;=TODAY()-90),1,0),0)</f>
        <v/>
      </c>
      <c r="R2865" s="17" t="str">
        <f t="shared" si="135"/>
        <v/>
      </c>
      <c r="S2865" s="17" t="str">
        <f>IF(INDEX(Listado!A:A,ROW())="","",INDEX(Listado!A:A,ROW()))</f>
        <v/>
      </c>
      <c r="T2865" s="17" t="str">
        <f ca="1">IF(INDEX(Listado!G:G,ROW())="","",INDEX(Listado!G:G,ROW()))</f>
        <v/>
      </c>
      <c r="U2865" s="17" t="str">
        <f>IF(INDEX(Listado!F:F,ROW())="","",INDEX(Listado!F:F,ROW()))</f>
        <v/>
      </c>
      <c r="V2865" s="17">
        <f>IF(COUNTA(INDEX(Listado!B:B,ROW()):INDEX(Listado!F:F,ROW()))&gt;0,1,0)</f>
        <v/>
      </c>
      <c r="W2865" s="17" t="str">
        <f>IF(INDEX(Listado!L:L,ROW())="","",INDEX(Listado!L:L,ROW()))</f>
        <v/>
      </c>
      <c r="X2865" s="17">
        <f>IF(N2865="","",IF(INDEX(Listado!$M:$M,N2865)="No","No","Sí"))</f>
        <v/>
      </c>
    </row>
    <row r="2866" spans="2:24" ht="14.25">
      <c r="N2866" s="17" t="str">
        <f>IF(V2866=0,"",IFERROR(LOOKUP(2,1/(INDEX(Listado!A:A,2):INDEX(Listado!A:A,ROW())&lt;&gt;""),ROW(INDEX(Listado!A:A,2):INDEX(Listado!A:A,ROW()))),""))</f>
        <v/>
      </c>
      <c r="O2866" s="17" t="str">
        <f>IFERROR(IF(N2866="","",IF(INDEX(Listado!M:M,N2866)="No",IF(INDEX(Listado!N:N,N2866)=0,"",INDEX(Listado!N:N,N2866)),IF(INDEX(Listado!I:I,N2866)=0,"",INDEX(Listado!I:I,N2866)))),"")</f>
        <v/>
      </c>
      <c r="P2866" s="17">
        <f t="shared" ca="1" si="133"/>
        <v/>
      </c>
      <c r="Q2866" s="17">
        <f>IFERROR(IF(AND(N2866&lt;&gt;"",ISNUMBER(O2866),O2866&gt;0,O2866&gt;=TODAY()-90),1,0),0)</f>
        <v/>
      </c>
      <c r="R2866" s="17" t="str">
        <f t="shared" si="135"/>
        <v/>
      </c>
      <c r="S2866" s="17" t="str">
        <f>IF(INDEX(Listado!A:A,ROW())="","",INDEX(Listado!A:A,ROW()))</f>
        <v/>
      </c>
      <c r="T2866" s="17" t="str">
        <f ca="1">IF(INDEX(Listado!G:G,ROW())="","",INDEX(Listado!G:G,ROW()))</f>
        <v/>
      </c>
      <c r="U2866" s="17" t="str">
        <f>IF(INDEX(Listado!F:F,ROW())="","",INDEX(Listado!F:F,ROW()))</f>
        <v/>
      </c>
      <c r="V2866" s="17">
        <f>IF(COUNTA(INDEX(Listado!B:B,ROW()):INDEX(Listado!F:F,ROW()))&gt;0,1,0)</f>
        <v/>
      </c>
      <c r="W2866" s="17" t="str">
        <f>IF(INDEX(Listado!L:L,ROW())="","",INDEX(Listado!L:L,ROW()))</f>
        <v/>
      </c>
      <c r="X2866" s="17">
        <f>IF(N2866="","",IF(INDEX(Listado!$M:$M,N2866)="No","No","Sí"))</f>
        <v/>
      </c>
    </row>
    <row r="2867" spans="2:24" ht="14.25">
      <c r="N2867" s="17" t="str">
        <f>IF(V2867=0,"",IFERROR(LOOKUP(2,1/(INDEX(Listado!A:A,2):INDEX(Listado!A:A,ROW())&lt;&gt;""),ROW(INDEX(Listado!A:A,2):INDEX(Listado!A:A,ROW()))),""))</f>
        <v/>
      </c>
      <c r="O2867" s="17" t="str">
        <f>IFERROR(IF(N2867="","",IF(INDEX(Listado!M:M,N2867)="No",IF(INDEX(Listado!N:N,N2867)=0,"",INDEX(Listado!N:N,N2867)),IF(INDEX(Listado!I:I,N2867)=0,"",INDEX(Listado!I:I,N2867)))),"")</f>
        <v/>
      </c>
      <c r="P2867" s="17">
        <f t="shared" ca="1" si="133"/>
        <v/>
      </c>
      <c r="Q2867" s="17">
        <f>IFERROR(IF(AND(N2867&lt;&gt;"",ISNUMBER(O2867),O2867&gt;0,O2867&gt;=TODAY()-90),1,0),0)</f>
        <v/>
      </c>
      <c r="R2867" s="17" t="str">
        <f t="shared" si="135"/>
        <v/>
      </c>
      <c r="S2867" s="17" t="str">
        <f>IF(INDEX(Listado!A:A,ROW())="","",INDEX(Listado!A:A,ROW()))</f>
        <v/>
      </c>
      <c r="T2867" s="17" t="str">
        <f ca="1">IF(INDEX(Listado!G:G,ROW())="","",INDEX(Listado!G:G,ROW()))</f>
        <v/>
      </c>
      <c r="U2867" s="17" t="str">
        <f>IF(INDEX(Listado!F:F,ROW())="","",INDEX(Listado!F:F,ROW()))</f>
        <v/>
      </c>
      <c r="V2867" s="17">
        <f>IF(COUNTA(INDEX(Listado!B:B,ROW()):INDEX(Listado!F:F,ROW()))&gt;0,1,0)</f>
        <v/>
      </c>
      <c r="W2867" s="17" t="str">
        <f>IF(INDEX(Listado!L:L,ROW())="","",INDEX(Listado!L:L,ROW()))</f>
        <v/>
      </c>
      <c r="X2867" s="17">
        <f>IF(N2867="","",IF(INDEX(Listado!$M:$M,N2867)="No","No","Sí"))</f>
        <v/>
      </c>
    </row>
    <row r="2868" spans="2:24" ht="14.25">
      <c r="N2868" s="17" t="str">
        <f>IF(V2868=0,"",IFERROR(LOOKUP(2,1/(INDEX(Listado!A:A,2):INDEX(Listado!A:A,ROW())&lt;&gt;""),ROW(INDEX(Listado!A:A,2):INDEX(Listado!A:A,ROW()))),""))</f>
        <v/>
      </c>
      <c r="O2868" s="17" t="str">
        <f>IFERROR(IF(N2868="","",IF(INDEX(Listado!M:M,N2868)="No",IF(INDEX(Listado!N:N,N2868)=0,"",INDEX(Listado!N:N,N2868)),IF(INDEX(Listado!I:I,N2868)=0,"",INDEX(Listado!I:I,N2868)))),"")</f>
        <v/>
      </c>
      <c r="P2868" s="17">
        <f t="shared" ca="1" si="133"/>
        <v/>
      </c>
      <c r="Q2868" s="17">
        <f>IFERROR(IF(AND(N2868&lt;&gt;"",ISNUMBER(O2868),O2868&gt;0,O2868&gt;=TODAY()-90),1,0),0)</f>
        <v/>
      </c>
      <c r="R2868" s="17" t="str">
        <f t="shared" si="135"/>
        <v/>
      </c>
      <c r="S2868" s="17" t="str">
        <f>IF(INDEX(Listado!A:A,ROW())="","",INDEX(Listado!A:A,ROW()))</f>
        <v/>
      </c>
      <c r="T2868" s="17" t="str">
        <f ca="1">IF(INDEX(Listado!G:G,ROW())="","",INDEX(Listado!G:G,ROW()))</f>
        <v/>
      </c>
      <c r="U2868" s="17" t="str">
        <f>IF(INDEX(Listado!F:F,ROW())="","",INDEX(Listado!F:F,ROW()))</f>
        <v/>
      </c>
      <c r="V2868" s="17">
        <f>IF(COUNTA(INDEX(Listado!B:B,ROW()):INDEX(Listado!F:F,ROW()))&gt;0,1,0)</f>
        <v/>
      </c>
      <c r="W2868" s="17" t="str">
        <f>IF(INDEX(Listado!L:L,ROW())="","",INDEX(Listado!L:L,ROW()))</f>
        <v/>
      </c>
      <c r="X2868" s="17">
        <f>IF(N2868="","",IF(INDEX(Listado!$M:$M,N2868)="No","No","Sí"))</f>
        <v/>
      </c>
    </row>
    <row r="2869" spans="2:24" ht="14.25">
      <c r="N2869" s="17" t="str">
        <f>IF(V2869=0,"",IFERROR(LOOKUP(2,1/(INDEX(Listado!A:A,2):INDEX(Listado!A:A,ROW())&lt;&gt;""),ROW(INDEX(Listado!A:A,2):INDEX(Listado!A:A,ROW()))),""))</f>
        <v/>
      </c>
      <c r="O2869" s="17" t="str">
        <f>IFERROR(IF(N2869="","",IF(INDEX(Listado!M:M,N2869)="No",IF(INDEX(Listado!N:N,N2869)=0,"",INDEX(Listado!N:N,N2869)),IF(INDEX(Listado!I:I,N2869)=0,"",INDEX(Listado!I:I,N2869)))),"")</f>
        <v/>
      </c>
      <c r="P2869" s="17">
        <f t="shared" ca="1" si="133"/>
        <v/>
      </c>
      <c r="Q2869" s="17">
        <f>IFERROR(IF(AND(N2869&lt;&gt;"",ISNUMBER(O2869),O2869&gt;0,O2869&gt;=TODAY()-90),1,0),0)</f>
        <v/>
      </c>
      <c r="R2869" s="17" t="str">
        <f t="shared" si="135"/>
        <v/>
      </c>
      <c r="S2869" s="17" t="str">
        <f>IF(INDEX(Listado!A:A,ROW())="","",INDEX(Listado!A:A,ROW()))</f>
        <v/>
      </c>
      <c r="T2869" s="17" t="str">
        <f ca="1">IF(INDEX(Listado!G:G,ROW())="","",INDEX(Listado!G:G,ROW()))</f>
        <v/>
      </c>
      <c r="U2869" s="17" t="str">
        <f>IF(INDEX(Listado!F:F,ROW())="","",INDEX(Listado!F:F,ROW()))</f>
        <v/>
      </c>
      <c r="V2869" s="17">
        <f>IF(COUNTA(INDEX(Listado!B:B,ROW()):INDEX(Listado!F:F,ROW()))&gt;0,1,0)</f>
        <v/>
      </c>
      <c r="W2869" s="17" t="str">
        <f>IF(INDEX(Listado!L:L,ROW())="","",INDEX(Listado!L:L,ROW()))</f>
        <v/>
      </c>
      <c r="X2869" s="17">
        <f>IF(N2869="","",IF(INDEX(Listado!$M:$M,N2869)="No","No","Sí"))</f>
        <v/>
      </c>
    </row>
    <row r="2870" spans="2:24" ht="14.25">
      <c r="N2870" s="17" t="str">
        <f>IF(V2870=0,"",IFERROR(LOOKUP(2,1/(INDEX(Listado!A:A,2):INDEX(Listado!A:A,ROW())&lt;&gt;""),ROW(INDEX(Listado!A:A,2):INDEX(Listado!A:A,ROW()))),""))</f>
        <v/>
      </c>
      <c r="O2870" s="17" t="str">
        <f>IFERROR(IF(N2870="","",IF(INDEX(Listado!M:M,N2870)="No",IF(INDEX(Listado!N:N,N2870)=0,"",INDEX(Listado!N:N,N2870)),IF(INDEX(Listado!I:I,N2870)=0,"",INDEX(Listado!I:I,N2870)))),"")</f>
        <v/>
      </c>
      <c r="P2870" s="17">
        <f t="shared" ca="1" si="133"/>
        <v/>
      </c>
      <c r="Q2870" s="17">
        <f>IFERROR(IF(AND(N2870&lt;&gt;"",ISNUMBER(O2870),O2870&gt;0,O2870&gt;=TODAY()-90),1,0),0)</f>
        <v/>
      </c>
      <c r="R2870" s="17" t="str">
        <f t="shared" si="135"/>
        <v/>
      </c>
      <c r="S2870" s="17" t="str">
        <f>IF(INDEX(Listado!A:A,ROW())="","",INDEX(Listado!A:A,ROW()))</f>
        <v/>
      </c>
      <c r="T2870" s="17" t="str">
        <f ca="1">IF(INDEX(Listado!G:G,ROW())="","",INDEX(Listado!G:G,ROW()))</f>
        <v/>
      </c>
      <c r="U2870" s="17" t="str">
        <f>IF(INDEX(Listado!F:F,ROW())="","",INDEX(Listado!F:F,ROW()))</f>
        <v/>
      </c>
      <c r="V2870" s="17">
        <f>IF(COUNTA(INDEX(Listado!B:B,ROW()):INDEX(Listado!F:F,ROW()))&gt;0,1,0)</f>
        <v/>
      </c>
      <c r="W2870" s="17" t="str">
        <f>IF(INDEX(Listado!L:L,ROW())="","",INDEX(Listado!L:L,ROW()))</f>
        <v/>
      </c>
      <c r="X2870" s="17">
        <f>IF(N2870="","",IF(INDEX(Listado!$M:$M,N2870)="No","No","Sí"))</f>
        <v/>
      </c>
    </row>
    <row r="2871" spans="2:24" ht="14.25">
      <c r="N2871" s="17" t="str">
        <f>IF(V2871=0,"",IFERROR(LOOKUP(2,1/(INDEX(Listado!A:A,2):INDEX(Listado!A:A,ROW())&lt;&gt;""),ROW(INDEX(Listado!A:A,2):INDEX(Listado!A:A,ROW()))),""))</f>
        <v/>
      </c>
      <c r="O2871" s="17" t="str">
        <f>IFERROR(IF(N2871="","",IF(INDEX(Listado!M:M,N2871)="No",IF(INDEX(Listado!N:N,N2871)=0,"",INDEX(Listado!N:N,N2871)),IF(INDEX(Listado!I:I,N2871)=0,"",INDEX(Listado!I:I,N2871)))),"")</f>
        <v/>
      </c>
      <c r="P2871" s="17">
        <f t="shared" ca="1" si="133"/>
        <v/>
      </c>
      <c r="Q2871" s="17">
        <f>IFERROR(IF(AND(N2871&lt;&gt;"",ISNUMBER(O2871),O2871&gt;0,O2871&gt;=TODAY()-90),1,0),0)</f>
        <v/>
      </c>
      <c r="R2871" s="17" t="str">
        <f t="shared" si="135"/>
        <v/>
      </c>
      <c r="S2871" s="17" t="str">
        <f>IF(INDEX(Listado!A:A,ROW())="","",INDEX(Listado!A:A,ROW()))</f>
        <v/>
      </c>
      <c r="T2871" s="17" t="str">
        <f ca="1">IF(INDEX(Listado!G:G,ROW())="","",INDEX(Listado!G:G,ROW()))</f>
        <v/>
      </c>
      <c r="U2871" s="17" t="str">
        <f>IF(INDEX(Listado!F:F,ROW())="","",INDEX(Listado!F:F,ROW()))</f>
        <v/>
      </c>
      <c r="V2871" s="17">
        <f>IF(COUNTA(INDEX(Listado!B:B,ROW()):INDEX(Listado!F:F,ROW()))&gt;0,1,0)</f>
        <v/>
      </c>
      <c r="W2871" s="17" t="str">
        <f>IF(INDEX(Listado!L:L,ROW())="","",INDEX(Listado!L:L,ROW()))</f>
        <v/>
      </c>
      <c r="X2871" s="17">
        <f>IF(N2871="","",IF(INDEX(Listado!$M:$M,N2871)="No","No","Sí"))</f>
        <v/>
      </c>
    </row>
    <row r="2872" spans="2:24" ht="14.25">
      <c r="N2872" s="17" t="str">
        <f>IF(V2872=0,"",IFERROR(LOOKUP(2,1/(INDEX(Listado!A:A,2):INDEX(Listado!A:A,ROW())&lt;&gt;""),ROW(INDEX(Listado!A:A,2):INDEX(Listado!A:A,ROW()))),""))</f>
        <v/>
      </c>
      <c r="O2872" s="17" t="str">
        <f>IFERROR(IF(N2872="","",IF(INDEX(Listado!M:M,N2872)="No",IF(INDEX(Listado!N:N,N2872)=0,"",INDEX(Listado!N:N,N2872)),IF(INDEX(Listado!I:I,N2872)=0,"",INDEX(Listado!I:I,N2872)))),"")</f>
        <v/>
      </c>
      <c r="P2872" s="17">
        <f t="shared" ca="1" si="133"/>
        <v/>
      </c>
      <c r="Q2872" s="17">
        <f>IFERROR(IF(AND(N2872&lt;&gt;"",ISNUMBER(O2872),O2872&gt;0,O2872&gt;=TODAY()-90),1,0),0)</f>
        <v/>
      </c>
      <c r="R2872" s="17" t="str">
        <f t="shared" si="135"/>
        <v/>
      </c>
      <c r="S2872" s="17" t="str">
        <f>IF(INDEX(Listado!A:A,ROW())="","",INDEX(Listado!A:A,ROW()))</f>
        <v/>
      </c>
      <c r="T2872" s="17" t="str">
        <f ca="1">IF(INDEX(Listado!G:G,ROW())="","",INDEX(Listado!G:G,ROW()))</f>
        <v/>
      </c>
      <c r="U2872" s="17" t="str">
        <f>IF(INDEX(Listado!F:F,ROW())="","",INDEX(Listado!F:F,ROW()))</f>
        <v/>
      </c>
      <c r="V2872" s="17">
        <f>IF(COUNTA(INDEX(Listado!B:B,ROW()):INDEX(Listado!F:F,ROW()))&gt;0,1,0)</f>
        <v/>
      </c>
      <c r="W2872" s="17" t="str">
        <f>IF(INDEX(Listado!L:L,ROW())="","",INDEX(Listado!L:L,ROW()))</f>
        <v/>
      </c>
      <c r="X2872" s="17">
        <f>IF(N2872="","",IF(INDEX(Listado!$M:$M,N2872)="No","No","Sí"))</f>
        <v/>
      </c>
    </row>
    <row r="2873" spans="2:24" ht="14.25">
      <c r="N2873" s="17" t="str">
        <f>IF(V2873=0,"",IFERROR(LOOKUP(2,1/(INDEX(Listado!A:A,2):INDEX(Listado!A:A,ROW())&lt;&gt;""),ROW(INDEX(Listado!A:A,2):INDEX(Listado!A:A,ROW()))),""))</f>
        <v/>
      </c>
      <c r="O2873" s="17" t="str">
        <f>IFERROR(IF(N2873="","",IF(INDEX(Listado!M:M,N2873)="No",IF(INDEX(Listado!N:N,N2873)=0,"",INDEX(Listado!N:N,N2873)),IF(INDEX(Listado!I:I,N2873)=0,"",INDEX(Listado!I:I,N2873)))),"")</f>
        <v/>
      </c>
      <c r="P2873" s="17">
        <f t="shared" ca="1" si="133"/>
        <v/>
      </c>
      <c r="Q2873" s="17">
        <f>IFERROR(IF(AND(N2873&lt;&gt;"",ISNUMBER(O2873),O2873&gt;0,O2873&gt;=TODAY()-90),1,0),0)</f>
        <v/>
      </c>
      <c r="R2873" s="17" t="str">
        <f t="shared" si="135"/>
        <v/>
      </c>
      <c r="S2873" s="17" t="str">
        <f>IF(INDEX(Listado!A:A,ROW())="","",INDEX(Listado!A:A,ROW()))</f>
        <v/>
      </c>
      <c r="T2873" s="17" t="str">
        <f ca="1">IF(INDEX(Listado!G:G,ROW())="","",INDEX(Listado!G:G,ROW()))</f>
        <v/>
      </c>
      <c r="U2873" s="17" t="str">
        <f>IF(INDEX(Listado!F:F,ROW())="","",INDEX(Listado!F:F,ROW()))</f>
        <v/>
      </c>
      <c r="V2873" s="17">
        <f>IF(COUNTA(INDEX(Listado!B:B,ROW()):INDEX(Listado!F:F,ROW()))&gt;0,1,0)</f>
        <v/>
      </c>
      <c r="W2873" s="17" t="str">
        <f>IF(INDEX(Listado!L:L,ROW())="","",INDEX(Listado!L:L,ROW()))</f>
        <v/>
      </c>
      <c r="X2873" s="17">
        <f>IF(N2873="","",IF(INDEX(Listado!$M:$M,N2873)="No","No","Sí"))</f>
        <v/>
      </c>
    </row>
    <row r="2874" spans="2:24" ht="14.25">
      <c r="N2874" s="17" t="str">
        <f>IF(V2874=0,"",IFERROR(LOOKUP(2,1/(INDEX(Listado!A:A,2):INDEX(Listado!A:A,ROW())&lt;&gt;""),ROW(INDEX(Listado!A:A,2):INDEX(Listado!A:A,ROW()))),""))</f>
        <v/>
      </c>
      <c r="O2874" s="17" t="str">
        <f>IFERROR(IF(N2874="","",IF(INDEX(Listado!M:M,N2874)="No",IF(INDEX(Listado!N:N,N2874)=0,"",INDEX(Listado!N:N,N2874)),IF(INDEX(Listado!I:I,N2874)=0,"",INDEX(Listado!I:I,N2874)))),"")</f>
        <v/>
      </c>
      <c r="P2874" s="17">
        <f t="shared" ca="1" si="133"/>
        <v/>
      </c>
      <c r="Q2874" s="17">
        <f>IFERROR(IF(AND(N2874&lt;&gt;"",ISNUMBER(O2874),O2874&gt;0,O2874&gt;=TODAY()-90),1,0),0)</f>
        <v/>
      </c>
      <c r="R2874" s="17" t="str">
        <f t="shared" si="135"/>
        <v/>
      </c>
      <c r="S2874" s="17" t="str">
        <f>IF(INDEX(Listado!A:A,ROW())="","",INDEX(Listado!A:A,ROW()))</f>
        <v/>
      </c>
      <c r="T2874" s="17" t="str">
        <f ca="1">IF(INDEX(Listado!G:G,ROW())="","",INDEX(Listado!G:G,ROW()))</f>
        <v/>
      </c>
      <c r="U2874" s="17" t="str">
        <f>IF(INDEX(Listado!F:F,ROW())="","",INDEX(Listado!F:F,ROW()))</f>
        <v/>
      </c>
      <c r="V2874" s="17">
        <f>IF(COUNTA(INDEX(Listado!B:B,ROW()):INDEX(Listado!F:F,ROW()))&gt;0,1,0)</f>
        <v/>
      </c>
      <c r="W2874" s="17" t="str">
        <f>IF(INDEX(Listado!L:L,ROW())="","",INDEX(Listado!L:L,ROW()))</f>
        <v/>
      </c>
      <c r="X2874" s="17">
        <f>IF(N2874="","",IF(INDEX(Listado!$M:$M,N2874)="No","No","Sí"))</f>
        <v/>
      </c>
    </row>
    <row r="2875" spans="2:24" ht="14.25">
      <c r="N2875" s="17" t="str">
        <f>IF(V2875=0,"",IFERROR(LOOKUP(2,1/(INDEX(Listado!A:A,2):INDEX(Listado!A:A,ROW())&lt;&gt;""),ROW(INDEX(Listado!A:A,2):INDEX(Listado!A:A,ROW()))),""))</f>
        <v/>
      </c>
      <c r="O2875" s="17" t="str">
        <f>IFERROR(IF(N2875="","",IF(INDEX(Listado!M:M,N2875)="No",IF(INDEX(Listado!N:N,N2875)=0,"",INDEX(Listado!N:N,N2875)),IF(INDEX(Listado!I:I,N2875)=0,"",INDEX(Listado!I:I,N2875)))),"")</f>
        <v/>
      </c>
      <c r="P2875" s="17">
        <f t="shared" ca="1" si="133"/>
        <v/>
      </c>
      <c r="Q2875" s="17">
        <f>IFERROR(IF(AND(N2875&lt;&gt;"",ISNUMBER(O2875),O2875&gt;0,O2875&gt;=TODAY()-90),1,0),0)</f>
        <v/>
      </c>
      <c r="R2875" s="17" t="str">
        <f t="shared" si="135"/>
        <v/>
      </c>
      <c r="S2875" s="17" t="str">
        <f>IF(INDEX(Listado!A:A,ROW())="","",INDEX(Listado!A:A,ROW()))</f>
        <v/>
      </c>
      <c r="T2875" s="17" t="str">
        <f ca="1">IF(INDEX(Listado!G:G,ROW())="","",INDEX(Listado!G:G,ROW()))</f>
        <v/>
      </c>
      <c r="U2875" s="17" t="str">
        <f>IF(INDEX(Listado!F:F,ROW())="","",INDEX(Listado!F:F,ROW()))</f>
        <v/>
      </c>
      <c r="V2875" s="17">
        <f>IF(COUNTA(INDEX(Listado!B:B,ROW()):INDEX(Listado!F:F,ROW()))&gt;0,1,0)</f>
        <v/>
      </c>
      <c r="W2875" s="17" t="str">
        <f>IF(INDEX(Listado!L:L,ROW())="","",INDEX(Listado!L:L,ROW()))</f>
        <v/>
      </c>
      <c r="X2875" s="17">
        <f>IF(N2875="","",IF(INDEX(Listado!$M:$M,N2875)="No","No","Sí"))</f>
        <v/>
      </c>
    </row>
    <row r="2876" spans="2:24" ht="14.25">
      <c r="N2876" s="17" t="str">
        <f>IF(V2876=0,"",IFERROR(LOOKUP(2,1/(INDEX(Listado!A:A,2):INDEX(Listado!A:A,ROW())&lt;&gt;""),ROW(INDEX(Listado!A:A,2):INDEX(Listado!A:A,ROW()))),""))</f>
        <v/>
      </c>
      <c r="O2876" s="17" t="str">
        <f>IFERROR(IF(N2876="","",IF(INDEX(Listado!M:M,N2876)="No",IF(INDEX(Listado!N:N,N2876)=0,"",INDEX(Listado!N:N,N2876)),IF(INDEX(Listado!I:I,N2876)=0,"",INDEX(Listado!I:I,N2876)))),"")</f>
        <v/>
      </c>
      <c r="P2876" s="17">
        <f t="shared" ca="1" si="133"/>
        <v/>
      </c>
      <c r="Q2876" s="17">
        <f>IFERROR(IF(AND(N2876&lt;&gt;"",ISNUMBER(O2876),O2876&gt;0,O2876&gt;=TODAY()-90),1,0),0)</f>
        <v/>
      </c>
      <c r="R2876" s="17" t="str">
        <f t="shared" si="135"/>
        <v/>
      </c>
      <c r="S2876" s="17" t="str">
        <f>IF(INDEX(Listado!A:A,ROW())="","",INDEX(Listado!A:A,ROW()))</f>
        <v/>
      </c>
      <c r="T2876" s="17" t="str">
        <f ca="1">IF(INDEX(Listado!G:G,ROW())="","",INDEX(Listado!G:G,ROW()))</f>
        <v/>
      </c>
      <c r="U2876" s="17" t="str">
        <f>IF(INDEX(Listado!F:F,ROW())="","",INDEX(Listado!F:F,ROW()))</f>
        <v/>
      </c>
      <c r="V2876" s="17">
        <f>IF(COUNTA(INDEX(Listado!B:B,ROW()):INDEX(Listado!F:F,ROW()))&gt;0,1,0)</f>
        <v/>
      </c>
      <c r="W2876" s="17" t="str">
        <f>IF(INDEX(Listado!L:L,ROW())="","",INDEX(Listado!L:L,ROW()))</f>
        <v/>
      </c>
      <c r="X2876" s="17">
        <f>IF(N2876="","",IF(INDEX(Listado!$M:$M,N2876)="No","No","Sí"))</f>
        <v/>
      </c>
    </row>
    <row r="2877" spans="2:24" ht="14.25">
      <c r="N2877" s="17" t="str">
        <f>IF(V2877=0,"",IFERROR(LOOKUP(2,1/(INDEX(Listado!A:A,2):INDEX(Listado!A:A,ROW())&lt;&gt;""),ROW(INDEX(Listado!A:A,2):INDEX(Listado!A:A,ROW()))),""))</f>
        <v/>
      </c>
      <c r="O2877" s="17" t="str">
        <f>IFERROR(IF(N2877="","",IF(INDEX(Listado!M:M,N2877)="No",IF(INDEX(Listado!N:N,N2877)=0,"",INDEX(Listado!N:N,N2877)),IF(INDEX(Listado!I:I,N2877)=0,"",INDEX(Listado!I:I,N2877)))),"")</f>
        <v/>
      </c>
      <c r="P2877" s="17">
        <f t="shared" ca="1" si="133"/>
        <v/>
      </c>
      <c r="Q2877" s="17">
        <f>IFERROR(IF(AND(N2877&lt;&gt;"",ISNUMBER(O2877),O2877&gt;0,O2877&gt;=TODAY()-90),1,0),0)</f>
        <v/>
      </c>
      <c r="R2877" s="17" t="str">
        <f t="shared" si="135"/>
        <v/>
      </c>
      <c r="S2877" s="17" t="str">
        <f>IF(INDEX(Listado!A:A,ROW())="","",INDEX(Listado!A:A,ROW()))</f>
        <v/>
      </c>
      <c r="T2877" s="17" t="str">
        <f ca="1">IF(INDEX(Listado!G:G,ROW())="","",INDEX(Listado!G:G,ROW()))</f>
        <v/>
      </c>
      <c r="U2877" s="17" t="str">
        <f>IF(INDEX(Listado!F:F,ROW())="","",INDEX(Listado!F:F,ROW()))</f>
        <v/>
      </c>
      <c r="V2877" s="17">
        <f>IF(COUNTA(INDEX(Listado!B:B,ROW()):INDEX(Listado!F:F,ROW()))&gt;0,1,0)</f>
        <v/>
      </c>
      <c r="W2877" s="17" t="str">
        <f>IF(INDEX(Listado!L:L,ROW())="","",INDEX(Listado!L:L,ROW()))</f>
        <v/>
      </c>
      <c r="X2877" s="17">
        <f>IF(N2877="","",IF(INDEX(Listado!$M:$M,N2877)="No","No","Sí"))</f>
        <v/>
      </c>
    </row>
    <row r="2878" spans="2:24" ht="14.25">
      <c r="N2878" s="17" t="str">
        <f>IF(V2878=0,"",IFERROR(LOOKUP(2,1/(INDEX(Listado!A:A,2):INDEX(Listado!A:A,ROW())&lt;&gt;""),ROW(INDEX(Listado!A:A,2):INDEX(Listado!A:A,ROW()))),""))</f>
        <v/>
      </c>
      <c r="O2878" s="17" t="str">
        <f>IFERROR(IF(N2878="","",IF(INDEX(Listado!M:M,N2878)="No",IF(INDEX(Listado!N:N,N2878)=0,"",INDEX(Listado!N:N,N2878)),IF(INDEX(Listado!I:I,N2878)=0,"",INDEX(Listado!I:I,N2878)))),"")</f>
        <v/>
      </c>
      <c r="P2878" s="17">
        <f t="shared" ca="1" si="133"/>
        <v/>
      </c>
      <c r="Q2878" s="17">
        <f>IFERROR(IF(AND(N2878&lt;&gt;"",ISNUMBER(O2878),O2878&gt;0,O2878&gt;=TODAY()-90),1,0),0)</f>
        <v/>
      </c>
      <c r="R2878" s="17" t="str">
        <f t="shared" si="135"/>
        <v/>
      </c>
      <c r="S2878" s="17" t="str">
        <f>IF(INDEX(Listado!A:A,ROW())="","",INDEX(Listado!A:A,ROW()))</f>
        <v/>
      </c>
      <c r="T2878" s="17" t="str">
        <f ca="1">IF(INDEX(Listado!G:G,ROW())="","",INDEX(Listado!G:G,ROW()))</f>
        <v/>
      </c>
      <c r="U2878" s="17" t="str">
        <f>IF(INDEX(Listado!F:F,ROW())="","",INDEX(Listado!F:F,ROW()))</f>
        <v/>
      </c>
      <c r="V2878" s="17">
        <f>IF(COUNTA(INDEX(Listado!B:B,ROW()):INDEX(Listado!F:F,ROW()))&gt;0,1,0)</f>
        <v/>
      </c>
      <c r="W2878" s="17" t="str">
        <f>IF(INDEX(Listado!L:L,ROW())="","",INDEX(Listado!L:L,ROW()))</f>
        <v/>
      </c>
      <c r="X2878" s="17">
        <f>IF(N2878="","",IF(INDEX(Listado!$M:$M,N2878)="No","No","Sí"))</f>
        <v/>
      </c>
    </row>
    <row r="2879" spans="2:24" ht="14.25">
      <c r="N2879" s="17" t="str">
        <f>IF(V2879=0,"",IFERROR(LOOKUP(2,1/(INDEX(Listado!A:A,2):INDEX(Listado!A:A,ROW())&lt;&gt;""),ROW(INDEX(Listado!A:A,2):INDEX(Listado!A:A,ROW()))),""))</f>
        <v/>
      </c>
      <c r="O2879" s="17" t="str">
        <f>IFERROR(IF(N2879="","",IF(INDEX(Listado!M:M,N2879)="No",IF(INDEX(Listado!N:N,N2879)=0,"",INDEX(Listado!N:N,N2879)),IF(INDEX(Listado!I:I,N2879)=0,"",INDEX(Listado!I:I,N2879)))),"")</f>
        <v/>
      </c>
      <c r="P2879" s="17">
        <f t="shared" ca="1" si="133"/>
        <v/>
      </c>
      <c r="Q2879" s="17">
        <f>IFERROR(IF(AND(N2879&lt;&gt;"",ISNUMBER(O2879),O2879&gt;0,O2879&gt;=TODAY()-90),1,0),0)</f>
        <v/>
      </c>
      <c r="R2879" s="17" t="str">
        <f t="shared" si="135"/>
        <v/>
      </c>
      <c r="S2879" s="17" t="str">
        <f>IF(INDEX(Listado!A:A,ROW())="","",INDEX(Listado!A:A,ROW()))</f>
        <v/>
      </c>
      <c r="T2879" s="17" t="str">
        <f ca="1">IF(INDEX(Listado!G:G,ROW())="","",INDEX(Listado!G:G,ROW()))</f>
        <v/>
      </c>
      <c r="U2879" s="17" t="str">
        <f>IF(INDEX(Listado!F:F,ROW())="","",INDEX(Listado!F:F,ROW()))</f>
        <v/>
      </c>
      <c r="V2879" s="17">
        <f>IF(COUNTA(INDEX(Listado!B:B,ROW()):INDEX(Listado!F:F,ROW()))&gt;0,1,0)</f>
        <v/>
      </c>
      <c r="W2879" s="17" t="str">
        <f>IF(INDEX(Listado!L:L,ROW())="","",INDEX(Listado!L:L,ROW()))</f>
        <v/>
      </c>
      <c r="X2879" s="17">
        <f>IF(N2879="","",IF(INDEX(Listado!$M:$M,N2879)="No","No","Sí"))</f>
        <v/>
      </c>
    </row>
    <row r="2880" spans="2:24" ht="14.25">
      <c r="N2880" s="17" t="str">
        <f>IF(V2880=0,"",IFERROR(LOOKUP(2,1/(INDEX(Listado!A:A,2):INDEX(Listado!A:A,ROW())&lt;&gt;""),ROW(INDEX(Listado!A:A,2):INDEX(Listado!A:A,ROW()))),""))</f>
        <v/>
      </c>
      <c r="O2880" s="17" t="str">
        <f>IFERROR(IF(N2880="","",IF(INDEX(Listado!M:M,N2880)="No",IF(INDEX(Listado!N:N,N2880)=0,"",INDEX(Listado!N:N,N2880)),IF(INDEX(Listado!I:I,N2880)=0,"",INDEX(Listado!I:I,N2880)))),"")</f>
        <v/>
      </c>
      <c r="P2880" s="17">
        <f t="shared" ca="1" si="133"/>
        <v/>
      </c>
      <c r="Q2880" s="17">
        <f>IFERROR(IF(AND(N2880&lt;&gt;"",ISNUMBER(O2880),O2880&gt;0,O2880&gt;=TODAY()-90),1,0),0)</f>
        <v/>
      </c>
      <c r="R2880" s="17" t="str">
        <f t="shared" si="135"/>
        <v/>
      </c>
      <c r="S2880" s="17" t="str">
        <f>IF(INDEX(Listado!A:A,ROW())="","",INDEX(Listado!A:A,ROW()))</f>
        <v/>
      </c>
      <c r="T2880" s="17" t="str">
        <f ca="1">IF(INDEX(Listado!G:G,ROW())="","",INDEX(Listado!G:G,ROW()))</f>
        <v/>
      </c>
      <c r="U2880" s="17" t="str">
        <f>IF(INDEX(Listado!F:F,ROW())="","",INDEX(Listado!F:F,ROW()))</f>
        <v/>
      </c>
      <c r="V2880" s="17">
        <f>IF(COUNTA(INDEX(Listado!B:B,ROW()):INDEX(Listado!F:F,ROW()))&gt;0,1,0)</f>
        <v/>
      </c>
      <c r="W2880" s="17" t="str">
        <f>IF(INDEX(Listado!L:L,ROW())="","",INDEX(Listado!L:L,ROW()))</f>
        <v/>
      </c>
      <c r="X2880" s="17">
        <f>IF(N2880="","",IF(INDEX(Listado!$M:$M,N2880)="No","No","Sí"))</f>
        <v/>
      </c>
    </row>
    <row r="2881" spans="2:24" ht="14.25">
      <c r="N2881" s="17" t="str">
        <f>IF(V2881=0,"",IFERROR(LOOKUP(2,1/(INDEX(Listado!A:A,2):INDEX(Listado!A:A,ROW())&lt;&gt;""),ROW(INDEX(Listado!A:A,2):INDEX(Listado!A:A,ROW()))),""))</f>
        <v/>
      </c>
      <c r="O2881" s="17" t="str">
        <f>IFERROR(IF(N2881="","",IF(INDEX(Listado!M:M,N2881)="No",IF(INDEX(Listado!N:N,N2881)=0,"",INDEX(Listado!N:N,N2881)),IF(INDEX(Listado!I:I,N2881)=0,"",INDEX(Listado!I:I,N2881)))),"")</f>
        <v/>
      </c>
      <c r="P2881" s="17">
        <f t="shared" ca="1" si="133"/>
        <v/>
      </c>
      <c r="Q2881" s="17">
        <f>IFERROR(IF(AND(N2881&lt;&gt;"",ISNUMBER(O2881),O2881&gt;0,O2881&gt;=TODAY()-90),1,0),0)</f>
        <v/>
      </c>
      <c r="R2881" s="17" t="str">
        <f t="shared" si="135"/>
        <v/>
      </c>
      <c r="S2881" s="17" t="str">
        <f>IF(INDEX(Listado!A:A,ROW())="","",INDEX(Listado!A:A,ROW()))</f>
        <v/>
      </c>
      <c r="T2881" s="17" t="str">
        <f ca="1">IF(INDEX(Listado!G:G,ROW())="","",INDEX(Listado!G:G,ROW()))</f>
        <v/>
      </c>
      <c r="U2881" s="17" t="str">
        <f>IF(INDEX(Listado!F:F,ROW())="","",INDEX(Listado!F:F,ROW()))</f>
        <v/>
      </c>
      <c r="V2881" s="17">
        <f>IF(COUNTA(INDEX(Listado!B:B,ROW()):INDEX(Listado!F:F,ROW()))&gt;0,1,0)</f>
        <v/>
      </c>
      <c r="W2881" s="17" t="str">
        <f>IF(INDEX(Listado!L:L,ROW())="","",INDEX(Listado!L:L,ROW()))</f>
        <v/>
      </c>
      <c r="X2881" s="17">
        <f>IF(N2881="","",IF(INDEX(Listado!$M:$M,N2881)="No","No","Sí"))</f>
        <v/>
      </c>
    </row>
    <row r="2882" spans="2:24" ht="14.25">
      <c r="N2882" s="17" t="str">
        <f>IF(V2882=0,"",IFERROR(LOOKUP(2,1/(INDEX(Listado!A:A,2):INDEX(Listado!A:A,ROW())&lt;&gt;""),ROW(INDEX(Listado!A:A,2):INDEX(Listado!A:A,ROW()))),""))</f>
        <v/>
      </c>
      <c r="O2882" s="17" t="str">
        <f>IFERROR(IF(N2882="","",IF(INDEX(Listado!M:M,N2882)="No",IF(INDEX(Listado!N:N,N2882)=0,"",INDEX(Listado!N:N,N2882)),IF(INDEX(Listado!I:I,N2882)=0,"",INDEX(Listado!I:I,N2882)))),"")</f>
        <v/>
      </c>
      <c r="P2882" s="17">
        <f t="shared" ref="P2882:P2945" ca="1" si="136">IF(W2882="",0,IFERROR(IF(AND(ISNUMBER(W2882),W2882=INT(W2882),ISNUMBER(O2882),O2882&gt;0,W2882&gt;=TODAY(),W2882&lt;=O2882+90),0,1),1))</f>
        <v/>
      </c>
      <c r="Q2882" s="17">
        <f>IFERROR(IF(AND(N2882&lt;&gt;"",ISNUMBER(O2882),O2882&gt;0,O2882&gt;=TODAY()-90),1,0),0)</f>
        <v/>
      </c>
      <c r="R2882" s="17" t="str">
        <f t="shared" ref="R2882:R2945" si="138">IF(S2882="","",COUNTIFS($N$2:$N$2999,ROW(),$Q$2:$Q$2999,1))</f>
        <v/>
      </c>
      <c r="S2882" s="17" t="str">
        <f>IF(INDEX(Listado!A:A,ROW())="","",INDEX(Listado!A:A,ROW()))</f>
        <v/>
      </c>
      <c r="T2882" s="17" t="str">
        <f ca="1">IF(INDEX(Listado!G:G,ROW())="","",INDEX(Listado!G:G,ROW()))</f>
        <v/>
      </c>
      <c r="U2882" s="17" t="str">
        <f>IF(INDEX(Listado!F:F,ROW())="","",INDEX(Listado!F:F,ROW()))</f>
        <v/>
      </c>
      <c r="V2882" s="17">
        <f>IF(COUNTA(INDEX(Listado!B:B,ROW()):INDEX(Listado!F:F,ROW()))&gt;0,1,0)</f>
        <v/>
      </c>
      <c r="W2882" s="17" t="str">
        <f>IF(INDEX(Listado!L:L,ROW())="","",INDEX(Listado!L:L,ROW()))</f>
        <v/>
      </c>
      <c r="X2882" s="17">
        <f>IF(N2882="","",IF(INDEX(Listado!$M:$M,N2882)="No","No","Sí"))</f>
        <v/>
      </c>
    </row>
    <row r="2883" spans="2:24" ht="14.25">
      <c r="N2883" s="17" t="str">
        <f>IF(V2883=0,"",IFERROR(LOOKUP(2,1/(INDEX(Listado!A:A,2):INDEX(Listado!A:A,ROW())&lt;&gt;""),ROW(INDEX(Listado!A:A,2):INDEX(Listado!A:A,ROW()))),""))</f>
        <v/>
      </c>
      <c r="O2883" s="17" t="str">
        <f>IFERROR(IF(N2883="","",IF(INDEX(Listado!M:M,N2883)="No",IF(INDEX(Listado!N:N,N2883)=0,"",INDEX(Listado!N:N,N2883)),IF(INDEX(Listado!I:I,N2883)=0,"",INDEX(Listado!I:I,N2883)))),"")</f>
        <v/>
      </c>
      <c r="P2883" s="17">
        <f t="shared" ca="1" si="136"/>
        <v/>
      </c>
      <c r="Q2883" s="17">
        <f>IFERROR(IF(AND(N2883&lt;&gt;"",ISNUMBER(O2883),O2883&gt;0,O2883&gt;=TODAY()-90),1,0),0)</f>
        <v/>
      </c>
      <c r="R2883" s="17" t="str">
        <f t="shared" si="138"/>
        <v/>
      </c>
      <c r="S2883" s="17" t="str">
        <f>IF(INDEX(Listado!A:A,ROW())="","",INDEX(Listado!A:A,ROW()))</f>
        <v/>
      </c>
      <c r="T2883" s="17" t="str">
        <f ca="1">IF(INDEX(Listado!G:G,ROW())="","",INDEX(Listado!G:G,ROW()))</f>
        <v/>
      </c>
      <c r="U2883" s="17" t="str">
        <f>IF(INDEX(Listado!F:F,ROW())="","",INDEX(Listado!F:F,ROW()))</f>
        <v/>
      </c>
      <c r="V2883" s="17">
        <f>IF(COUNTA(INDEX(Listado!B:B,ROW()):INDEX(Listado!F:F,ROW()))&gt;0,1,0)</f>
        <v/>
      </c>
      <c r="W2883" s="17" t="str">
        <f>IF(INDEX(Listado!L:L,ROW())="","",INDEX(Listado!L:L,ROW()))</f>
        <v/>
      </c>
      <c r="X2883" s="17">
        <f>IF(N2883="","",IF(INDEX(Listado!$M:$M,N2883)="No","No","Sí"))</f>
        <v/>
      </c>
    </row>
    <row r="2884" spans="2:24" ht="14.25">
      <c r="N2884" s="17" t="str">
        <f>IF(V2884=0,"",IFERROR(LOOKUP(2,1/(INDEX(Listado!A:A,2):INDEX(Listado!A:A,ROW())&lt;&gt;""),ROW(INDEX(Listado!A:A,2):INDEX(Listado!A:A,ROW()))),""))</f>
        <v/>
      </c>
      <c r="O2884" s="17" t="str">
        <f>IFERROR(IF(N2884="","",IF(INDEX(Listado!M:M,N2884)="No",IF(INDEX(Listado!N:N,N2884)=0,"",INDEX(Listado!N:N,N2884)),IF(INDEX(Listado!I:I,N2884)=0,"",INDEX(Listado!I:I,N2884)))),"")</f>
        <v/>
      </c>
      <c r="P2884" s="17">
        <f t="shared" ca="1" si="136"/>
        <v/>
      </c>
      <c r="Q2884" s="17">
        <f>IFERROR(IF(AND(N2884&lt;&gt;"",ISNUMBER(O2884),O2884&gt;0,O2884&gt;=TODAY()-90),1,0),0)</f>
        <v/>
      </c>
      <c r="R2884" s="17" t="str">
        <f t="shared" si="138"/>
        <v/>
      </c>
      <c r="S2884" s="17" t="str">
        <f>IF(INDEX(Listado!A:A,ROW())="","",INDEX(Listado!A:A,ROW()))</f>
        <v/>
      </c>
      <c r="T2884" s="17" t="str">
        <f ca="1">IF(INDEX(Listado!G:G,ROW())="","",INDEX(Listado!G:G,ROW()))</f>
        <v/>
      </c>
      <c r="U2884" s="17" t="str">
        <f>IF(INDEX(Listado!F:F,ROW())="","",INDEX(Listado!F:F,ROW()))</f>
        <v/>
      </c>
      <c r="V2884" s="17">
        <f>IF(COUNTA(INDEX(Listado!B:B,ROW()):INDEX(Listado!F:F,ROW()))&gt;0,1,0)</f>
        <v/>
      </c>
      <c r="W2884" s="17" t="str">
        <f>IF(INDEX(Listado!L:L,ROW())="","",INDEX(Listado!L:L,ROW()))</f>
        <v/>
      </c>
      <c r="X2884" s="17">
        <f>IF(N2884="","",IF(INDEX(Listado!$M:$M,N2884)="No","No","Sí"))</f>
        <v/>
      </c>
    </row>
    <row r="2885" spans="2:24" ht="14.25">
      <c r="N2885" s="17" t="str">
        <f>IF(V2885=0,"",IFERROR(LOOKUP(2,1/(INDEX(Listado!A:A,2):INDEX(Listado!A:A,ROW())&lt;&gt;""),ROW(INDEX(Listado!A:A,2):INDEX(Listado!A:A,ROW()))),""))</f>
        <v/>
      </c>
      <c r="O2885" s="17" t="str">
        <f>IFERROR(IF(N2885="","",IF(INDEX(Listado!M:M,N2885)="No",IF(INDEX(Listado!N:N,N2885)=0,"",INDEX(Listado!N:N,N2885)),IF(INDEX(Listado!I:I,N2885)=0,"",INDEX(Listado!I:I,N2885)))),"")</f>
        <v/>
      </c>
      <c r="P2885" s="17">
        <f t="shared" ca="1" si="136"/>
        <v/>
      </c>
      <c r="Q2885" s="17">
        <f>IFERROR(IF(AND(N2885&lt;&gt;"",ISNUMBER(O2885),O2885&gt;0,O2885&gt;=TODAY()-90),1,0),0)</f>
        <v/>
      </c>
      <c r="R2885" s="17" t="str">
        <f t="shared" si="138"/>
        <v/>
      </c>
      <c r="S2885" s="17" t="str">
        <f>IF(INDEX(Listado!A:A,ROW())="","",INDEX(Listado!A:A,ROW()))</f>
        <v/>
      </c>
      <c r="T2885" s="17" t="str">
        <f ca="1">IF(INDEX(Listado!G:G,ROW())="","",INDEX(Listado!G:G,ROW()))</f>
        <v/>
      </c>
      <c r="U2885" s="17" t="str">
        <f>IF(INDEX(Listado!F:F,ROW())="","",INDEX(Listado!F:F,ROW()))</f>
        <v/>
      </c>
      <c r="V2885" s="17">
        <f>IF(COUNTA(INDEX(Listado!B:B,ROW()):INDEX(Listado!F:F,ROW()))&gt;0,1,0)</f>
        <v/>
      </c>
      <c r="W2885" s="17" t="str">
        <f>IF(INDEX(Listado!L:L,ROW())="","",INDEX(Listado!L:L,ROW()))</f>
        <v/>
      </c>
      <c r="X2885" s="17">
        <f>IF(N2885="","",IF(INDEX(Listado!$M:$M,N2885)="No","No","Sí"))</f>
        <v/>
      </c>
    </row>
    <row r="2886" spans="2:24" ht="14.25">
      <c r="N2886" s="17" t="str">
        <f>IF(V2886=0,"",IFERROR(LOOKUP(2,1/(INDEX(Listado!A:A,2):INDEX(Listado!A:A,ROW())&lt;&gt;""),ROW(INDEX(Listado!A:A,2):INDEX(Listado!A:A,ROW()))),""))</f>
        <v/>
      </c>
      <c r="O2886" s="17" t="str">
        <f>IFERROR(IF(N2886="","",IF(INDEX(Listado!M:M,N2886)="No",IF(INDEX(Listado!N:N,N2886)=0,"",INDEX(Listado!N:N,N2886)),IF(INDEX(Listado!I:I,N2886)=0,"",INDEX(Listado!I:I,N2886)))),"")</f>
        <v/>
      </c>
      <c r="P2886" s="17">
        <f t="shared" ca="1" si="136"/>
        <v/>
      </c>
      <c r="Q2886" s="17">
        <f>IFERROR(IF(AND(N2886&lt;&gt;"",ISNUMBER(O2886),O2886&gt;0,O2886&gt;=TODAY()-90),1,0),0)</f>
        <v/>
      </c>
      <c r="R2886" s="17" t="str">
        <f t="shared" si="138"/>
        <v/>
      </c>
      <c r="S2886" s="17" t="str">
        <f>IF(INDEX(Listado!A:A,ROW())="","",INDEX(Listado!A:A,ROW()))</f>
        <v/>
      </c>
      <c r="T2886" s="17" t="str">
        <f ca="1">IF(INDEX(Listado!G:G,ROW())="","",INDEX(Listado!G:G,ROW()))</f>
        <v/>
      </c>
      <c r="U2886" s="17" t="str">
        <f>IF(INDEX(Listado!F:F,ROW())="","",INDEX(Listado!F:F,ROW()))</f>
        <v/>
      </c>
      <c r="V2886" s="17">
        <f>IF(COUNTA(INDEX(Listado!B:B,ROW()):INDEX(Listado!F:F,ROW()))&gt;0,1,0)</f>
        <v/>
      </c>
      <c r="W2886" s="17" t="str">
        <f>IF(INDEX(Listado!L:L,ROW())="","",INDEX(Listado!L:L,ROW()))</f>
        <v/>
      </c>
      <c r="X2886" s="17">
        <f>IF(N2886="","",IF(INDEX(Listado!$M:$M,N2886)="No","No","Sí"))</f>
        <v/>
      </c>
    </row>
    <row r="2887" spans="2:24" ht="14.25">
      <c r="N2887" s="17" t="str">
        <f>IF(V2887=0,"",IFERROR(LOOKUP(2,1/(INDEX(Listado!A:A,2):INDEX(Listado!A:A,ROW())&lt;&gt;""),ROW(INDEX(Listado!A:A,2):INDEX(Listado!A:A,ROW()))),""))</f>
        <v/>
      </c>
      <c r="O2887" s="17" t="str">
        <f>IFERROR(IF(N2887="","",IF(INDEX(Listado!M:M,N2887)="No",IF(INDEX(Listado!N:N,N2887)=0,"",INDEX(Listado!N:N,N2887)),IF(INDEX(Listado!I:I,N2887)=0,"",INDEX(Listado!I:I,N2887)))),"")</f>
        <v/>
      </c>
      <c r="P2887" s="17">
        <f t="shared" ca="1" si="136"/>
        <v/>
      </c>
      <c r="Q2887" s="17">
        <f>IFERROR(IF(AND(N2887&lt;&gt;"",ISNUMBER(O2887),O2887&gt;0,O2887&gt;=TODAY()-90),1,0),0)</f>
        <v/>
      </c>
      <c r="R2887" s="17" t="str">
        <f t="shared" si="138"/>
        <v/>
      </c>
      <c r="S2887" s="17" t="str">
        <f>IF(INDEX(Listado!A:A,ROW())="","",INDEX(Listado!A:A,ROW()))</f>
        <v/>
      </c>
      <c r="T2887" s="17" t="str">
        <f ca="1">IF(INDEX(Listado!G:G,ROW())="","",INDEX(Listado!G:G,ROW()))</f>
        <v/>
      </c>
      <c r="U2887" s="17" t="str">
        <f>IF(INDEX(Listado!F:F,ROW())="","",INDEX(Listado!F:F,ROW()))</f>
        <v/>
      </c>
      <c r="V2887" s="17">
        <f>IF(COUNTA(INDEX(Listado!B:B,ROW()):INDEX(Listado!F:F,ROW()))&gt;0,1,0)</f>
        <v/>
      </c>
      <c r="W2887" s="17" t="str">
        <f>IF(INDEX(Listado!L:L,ROW())="","",INDEX(Listado!L:L,ROW()))</f>
        <v/>
      </c>
      <c r="X2887" s="17">
        <f>IF(N2887="","",IF(INDEX(Listado!$M:$M,N2887)="No","No","Sí"))</f>
        <v/>
      </c>
    </row>
    <row r="2888" spans="2:24" ht="14.25">
      <c r="N2888" s="17" t="str">
        <f>IF(V2888=0,"",IFERROR(LOOKUP(2,1/(INDEX(Listado!A:A,2):INDEX(Listado!A:A,ROW())&lt;&gt;""),ROW(INDEX(Listado!A:A,2):INDEX(Listado!A:A,ROW()))),""))</f>
        <v/>
      </c>
      <c r="O2888" s="17" t="str">
        <f>IFERROR(IF(N2888="","",IF(INDEX(Listado!M:M,N2888)="No",IF(INDEX(Listado!N:N,N2888)=0,"",INDEX(Listado!N:N,N2888)),IF(INDEX(Listado!I:I,N2888)=0,"",INDEX(Listado!I:I,N2888)))),"")</f>
        <v/>
      </c>
      <c r="P2888" s="17">
        <f t="shared" ca="1" si="136"/>
        <v/>
      </c>
      <c r="Q2888" s="17">
        <f>IFERROR(IF(AND(N2888&lt;&gt;"",ISNUMBER(O2888),O2888&gt;0,O2888&gt;=TODAY()-90),1,0),0)</f>
        <v/>
      </c>
      <c r="R2888" s="17" t="str">
        <f t="shared" si="138"/>
        <v/>
      </c>
      <c r="S2888" s="17" t="str">
        <f>IF(INDEX(Listado!A:A,ROW())="","",INDEX(Listado!A:A,ROW()))</f>
        <v/>
      </c>
      <c r="T2888" s="17" t="str">
        <f ca="1">IF(INDEX(Listado!G:G,ROW())="","",INDEX(Listado!G:G,ROW()))</f>
        <v/>
      </c>
      <c r="U2888" s="17" t="str">
        <f>IF(INDEX(Listado!F:F,ROW())="","",INDEX(Listado!F:F,ROW()))</f>
        <v/>
      </c>
      <c r="V2888" s="17">
        <f>IF(COUNTA(INDEX(Listado!B:B,ROW()):INDEX(Listado!F:F,ROW()))&gt;0,1,0)</f>
        <v/>
      </c>
      <c r="W2888" s="17" t="str">
        <f>IF(INDEX(Listado!L:L,ROW())="","",INDEX(Listado!L:L,ROW()))</f>
        <v/>
      </c>
      <c r="X2888" s="17">
        <f>IF(N2888="","",IF(INDEX(Listado!$M:$M,N2888)="No","No","Sí"))</f>
        <v/>
      </c>
    </row>
    <row r="2889" spans="2:24" ht="14.25">
      <c r="N2889" s="17" t="str">
        <f>IF(V2889=0,"",IFERROR(LOOKUP(2,1/(INDEX(Listado!A:A,2):INDEX(Listado!A:A,ROW())&lt;&gt;""),ROW(INDEX(Listado!A:A,2):INDEX(Listado!A:A,ROW()))),""))</f>
        <v/>
      </c>
      <c r="O2889" s="17" t="str">
        <f>IFERROR(IF(N2889="","",IF(INDEX(Listado!M:M,N2889)="No",IF(INDEX(Listado!N:N,N2889)=0,"",INDEX(Listado!N:N,N2889)),IF(INDEX(Listado!I:I,N2889)=0,"",INDEX(Listado!I:I,N2889)))),"")</f>
        <v/>
      </c>
      <c r="P2889" s="17">
        <f t="shared" ca="1" si="136"/>
        <v/>
      </c>
      <c r="Q2889" s="17">
        <f>IFERROR(IF(AND(N2889&lt;&gt;"",ISNUMBER(O2889),O2889&gt;0,O2889&gt;=TODAY()-90),1,0),0)</f>
        <v/>
      </c>
      <c r="R2889" s="17" t="str">
        <f t="shared" si="138"/>
        <v/>
      </c>
      <c r="S2889" s="17" t="str">
        <f>IF(INDEX(Listado!A:A,ROW())="","",INDEX(Listado!A:A,ROW()))</f>
        <v/>
      </c>
      <c r="T2889" s="17" t="str">
        <f ca="1">IF(INDEX(Listado!G:G,ROW())="","",INDEX(Listado!G:G,ROW()))</f>
        <v/>
      </c>
      <c r="U2889" s="17" t="str">
        <f>IF(INDEX(Listado!F:F,ROW())="","",INDEX(Listado!F:F,ROW()))</f>
        <v/>
      </c>
      <c r="V2889" s="17">
        <f>IF(COUNTA(INDEX(Listado!B:B,ROW()):INDEX(Listado!F:F,ROW()))&gt;0,1,0)</f>
        <v/>
      </c>
      <c r="W2889" s="17" t="str">
        <f>IF(INDEX(Listado!L:L,ROW())="","",INDEX(Listado!L:L,ROW()))</f>
        <v/>
      </c>
      <c r="X2889" s="17">
        <f>IF(N2889="","",IF(INDEX(Listado!$M:$M,N2889)="No","No","Sí"))</f>
        <v/>
      </c>
    </row>
    <row r="2890" spans="2:24" ht="14.25">
      <c r="N2890" s="17" t="str">
        <f>IF(V2890=0,"",IFERROR(LOOKUP(2,1/(INDEX(Listado!A:A,2):INDEX(Listado!A:A,ROW())&lt;&gt;""),ROW(INDEX(Listado!A:A,2):INDEX(Listado!A:A,ROW()))),""))</f>
        <v/>
      </c>
      <c r="O2890" s="17" t="str">
        <f>IFERROR(IF(N2890="","",IF(INDEX(Listado!M:M,N2890)="No",IF(INDEX(Listado!N:N,N2890)=0,"",INDEX(Listado!N:N,N2890)),IF(INDEX(Listado!I:I,N2890)=0,"",INDEX(Listado!I:I,N2890)))),"")</f>
        <v/>
      </c>
      <c r="P2890" s="17">
        <f t="shared" ca="1" si="136"/>
        <v/>
      </c>
      <c r="Q2890" s="17">
        <f>IFERROR(IF(AND(N2890&lt;&gt;"",ISNUMBER(O2890),O2890&gt;0,O2890&gt;=TODAY()-90),1,0),0)</f>
        <v/>
      </c>
      <c r="R2890" s="17" t="str">
        <f t="shared" si="138"/>
        <v/>
      </c>
      <c r="S2890" s="17" t="str">
        <f>IF(INDEX(Listado!A:A,ROW())="","",INDEX(Listado!A:A,ROW()))</f>
        <v/>
      </c>
      <c r="T2890" s="17" t="str">
        <f ca="1">IF(INDEX(Listado!G:G,ROW())="","",INDEX(Listado!G:G,ROW()))</f>
        <v/>
      </c>
      <c r="U2890" s="17" t="str">
        <f>IF(INDEX(Listado!F:F,ROW())="","",INDEX(Listado!F:F,ROW()))</f>
        <v/>
      </c>
      <c r="V2890" s="17">
        <f>IF(COUNTA(INDEX(Listado!B:B,ROW()):INDEX(Listado!F:F,ROW()))&gt;0,1,0)</f>
        <v/>
      </c>
      <c r="W2890" s="17" t="str">
        <f>IF(INDEX(Listado!L:L,ROW())="","",INDEX(Listado!L:L,ROW()))</f>
        <v/>
      </c>
      <c r="X2890" s="17">
        <f>IF(N2890="","",IF(INDEX(Listado!$M:$M,N2890)="No","No","Sí"))</f>
        <v/>
      </c>
    </row>
    <row r="2891" spans="2:24" ht="14.25">
      <c r="N2891" s="17" t="str">
        <f>IF(V2891=0,"",IFERROR(LOOKUP(2,1/(INDEX(Listado!A:A,2):INDEX(Listado!A:A,ROW())&lt;&gt;""),ROW(INDEX(Listado!A:A,2):INDEX(Listado!A:A,ROW()))),""))</f>
        <v/>
      </c>
      <c r="O2891" s="17" t="str">
        <f>IFERROR(IF(N2891="","",IF(INDEX(Listado!M:M,N2891)="No",IF(INDEX(Listado!N:N,N2891)=0,"",INDEX(Listado!N:N,N2891)),IF(INDEX(Listado!I:I,N2891)=0,"",INDEX(Listado!I:I,N2891)))),"")</f>
        <v/>
      </c>
      <c r="P2891" s="17">
        <f t="shared" ca="1" si="136"/>
        <v/>
      </c>
      <c r="Q2891" s="17">
        <f>IFERROR(IF(AND(N2891&lt;&gt;"",ISNUMBER(O2891),O2891&gt;0,O2891&gt;=TODAY()-90),1,0),0)</f>
        <v/>
      </c>
      <c r="R2891" s="17" t="str">
        <f t="shared" si="138"/>
        <v/>
      </c>
      <c r="S2891" s="17" t="str">
        <f>IF(INDEX(Listado!A:A,ROW())="","",INDEX(Listado!A:A,ROW()))</f>
        <v/>
      </c>
      <c r="T2891" s="17" t="str">
        <f ca="1">IF(INDEX(Listado!G:G,ROW())="","",INDEX(Listado!G:G,ROW()))</f>
        <v/>
      </c>
      <c r="U2891" s="17" t="str">
        <f>IF(INDEX(Listado!F:F,ROW())="","",INDEX(Listado!F:F,ROW()))</f>
        <v/>
      </c>
      <c r="V2891" s="17">
        <f>IF(COUNTA(INDEX(Listado!B:B,ROW()):INDEX(Listado!F:F,ROW()))&gt;0,1,0)</f>
        <v/>
      </c>
      <c r="W2891" s="17" t="str">
        <f>IF(INDEX(Listado!L:L,ROW())="","",INDEX(Listado!L:L,ROW()))</f>
        <v/>
      </c>
      <c r="X2891" s="17">
        <f>IF(N2891="","",IF(INDEX(Listado!$M:$M,N2891)="No","No","Sí"))</f>
        <v/>
      </c>
    </row>
    <row r="2892" spans="2:24" ht="14.25">
      <c r="N2892" s="17" t="str">
        <f>IF(V2892=0,"",IFERROR(LOOKUP(2,1/(INDEX(Listado!A:A,2):INDEX(Listado!A:A,ROW())&lt;&gt;""),ROW(INDEX(Listado!A:A,2):INDEX(Listado!A:A,ROW()))),""))</f>
        <v/>
      </c>
      <c r="O2892" s="17" t="str">
        <f>IFERROR(IF(N2892="","",IF(INDEX(Listado!M:M,N2892)="No",IF(INDEX(Listado!N:N,N2892)=0,"",INDEX(Listado!N:N,N2892)),IF(INDEX(Listado!I:I,N2892)=0,"",INDEX(Listado!I:I,N2892)))),"")</f>
        <v/>
      </c>
      <c r="P2892" s="17">
        <f t="shared" ca="1" si="136"/>
        <v/>
      </c>
      <c r="Q2892" s="17">
        <f>IFERROR(IF(AND(N2892&lt;&gt;"",ISNUMBER(O2892),O2892&gt;0,O2892&gt;=TODAY()-90),1,0),0)</f>
        <v/>
      </c>
      <c r="R2892" s="17" t="str">
        <f t="shared" si="138"/>
        <v/>
      </c>
      <c r="S2892" s="17" t="str">
        <f>IF(INDEX(Listado!A:A,ROW())="","",INDEX(Listado!A:A,ROW()))</f>
        <v/>
      </c>
      <c r="T2892" s="17" t="str">
        <f ca="1">IF(INDEX(Listado!G:G,ROW())="","",INDEX(Listado!G:G,ROW()))</f>
        <v/>
      </c>
      <c r="U2892" s="17" t="str">
        <f>IF(INDEX(Listado!F:F,ROW())="","",INDEX(Listado!F:F,ROW()))</f>
        <v/>
      </c>
      <c r="V2892" s="17">
        <f>IF(COUNTA(INDEX(Listado!B:B,ROW()):INDEX(Listado!F:F,ROW()))&gt;0,1,0)</f>
        <v/>
      </c>
      <c r="W2892" s="17" t="str">
        <f>IF(INDEX(Listado!L:L,ROW())="","",INDEX(Listado!L:L,ROW()))</f>
        <v/>
      </c>
      <c r="X2892" s="17">
        <f>IF(N2892="","",IF(INDEX(Listado!$M:$M,N2892)="No","No","Sí"))</f>
        <v/>
      </c>
    </row>
    <row r="2893" spans="2:24" ht="14.25">
      <c r="N2893" s="17" t="str">
        <f>IF(V2893=0,"",IFERROR(LOOKUP(2,1/(INDEX(Listado!A:A,2):INDEX(Listado!A:A,ROW())&lt;&gt;""),ROW(INDEX(Listado!A:A,2):INDEX(Listado!A:A,ROW()))),""))</f>
        <v/>
      </c>
      <c r="O2893" s="17" t="str">
        <f>IFERROR(IF(N2893="","",IF(INDEX(Listado!M:M,N2893)="No",IF(INDEX(Listado!N:N,N2893)=0,"",INDEX(Listado!N:N,N2893)),IF(INDEX(Listado!I:I,N2893)=0,"",INDEX(Listado!I:I,N2893)))),"")</f>
        <v/>
      </c>
      <c r="P2893" s="17">
        <f t="shared" ca="1" si="136"/>
        <v/>
      </c>
      <c r="Q2893" s="17">
        <f>IFERROR(IF(AND(N2893&lt;&gt;"",ISNUMBER(O2893),O2893&gt;0,O2893&gt;=TODAY()-90),1,0),0)</f>
        <v/>
      </c>
      <c r="R2893" s="17" t="str">
        <f t="shared" si="138"/>
        <v/>
      </c>
      <c r="S2893" s="17" t="str">
        <f>IF(INDEX(Listado!A:A,ROW())="","",INDEX(Listado!A:A,ROW()))</f>
        <v/>
      </c>
      <c r="T2893" s="17" t="str">
        <f ca="1">IF(INDEX(Listado!G:G,ROW())="","",INDEX(Listado!G:G,ROW()))</f>
        <v/>
      </c>
      <c r="U2893" s="17" t="str">
        <f>IF(INDEX(Listado!F:F,ROW())="","",INDEX(Listado!F:F,ROW()))</f>
        <v/>
      </c>
      <c r="V2893" s="17">
        <f>IF(COUNTA(INDEX(Listado!B:B,ROW()):INDEX(Listado!F:F,ROW()))&gt;0,1,0)</f>
        <v/>
      </c>
      <c r="W2893" s="17" t="str">
        <f>IF(INDEX(Listado!L:L,ROW())="","",INDEX(Listado!L:L,ROW()))</f>
        <v/>
      </c>
      <c r="X2893" s="17">
        <f>IF(N2893="","",IF(INDEX(Listado!$M:$M,N2893)="No","No","Sí"))</f>
        <v/>
      </c>
    </row>
    <row r="2894" spans="2:24" ht="14.25">
      <c r="N2894" s="17" t="str">
        <f>IF(V2894=0,"",IFERROR(LOOKUP(2,1/(INDEX(Listado!A:A,2):INDEX(Listado!A:A,ROW())&lt;&gt;""),ROW(INDEX(Listado!A:A,2):INDEX(Listado!A:A,ROW()))),""))</f>
        <v/>
      </c>
      <c r="O2894" s="17" t="str">
        <f>IFERROR(IF(N2894="","",IF(INDEX(Listado!M:M,N2894)="No",IF(INDEX(Listado!N:N,N2894)=0,"",INDEX(Listado!N:N,N2894)),IF(INDEX(Listado!I:I,N2894)=0,"",INDEX(Listado!I:I,N2894)))),"")</f>
        <v/>
      </c>
      <c r="P2894" s="17">
        <f t="shared" ca="1" si="136"/>
        <v/>
      </c>
      <c r="Q2894" s="17">
        <f>IFERROR(IF(AND(N2894&lt;&gt;"",ISNUMBER(O2894),O2894&gt;0,O2894&gt;=TODAY()-90),1,0),0)</f>
        <v/>
      </c>
      <c r="R2894" s="17" t="str">
        <f t="shared" si="138"/>
        <v/>
      </c>
      <c r="S2894" s="17" t="str">
        <f>IF(INDEX(Listado!A:A,ROW())="","",INDEX(Listado!A:A,ROW()))</f>
        <v/>
      </c>
      <c r="T2894" s="17" t="str">
        <f ca="1">IF(INDEX(Listado!G:G,ROW())="","",INDEX(Listado!G:G,ROW()))</f>
        <v/>
      </c>
      <c r="U2894" s="17" t="str">
        <f>IF(INDEX(Listado!F:F,ROW())="","",INDEX(Listado!F:F,ROW()))</f>
        <v/>
      </c>
      <c r="V2894" s="17">
        <f>IF(COUNTA(INDEX(Listado!B:B,ROW()):INDEX(Listado!F:F,ROW()))&gt;0,1,0)</f>
        <v/>
      </c>
      <c r="W2894" s="17" t="str">
        <f>IF(INDEX(Listado!L:L,ROW())="","",INDEX(Listado!L:L,ROW()))</f>
        <v/>
      </c>
      <c r="X2894" s="17">
        <f>IF(N2894="","",IF(INDEX(Listado!$M:$M,N2894)="No","No","Sí"))</f>
        <v/>
      </c>
    </row>
    <row r="2895" spans="2:24" ht="14.25">
      <c r="N2895" s="17" t="str">
        <f>IF(V2895=0,"",IFERROR(LOOKUP(2,1/(INDEX(Listado!A:A,2):INDEX(Listado!A:A,ROW())&lt;&gt;""),ROW(INDEX(Listado!A:A,2):INDEX(Listado!A:A,ROW()))),""))</f>
        <v/>
      </c>
      <c r="O2895" s="17" t="str">
        <f>IFERROR(IF(N2895="","",IF(INDEX(Listado!M:M,N2895)="No",IF(INDEX(Listado!N:N,N2895)=0,"",INDEX(Listado!N:N,N2895)),IF(INDEX(Listado!I:I,N2895)=0,"",INDEX(Listado!I:I,N2895)))),"")</f>
        <v/>
      </c>
      <c r="P2895" s="17">
        <f t="shared" ca="1" si="136"/>
        <v/>
      </c>
      <c r="Q2895" s="17">
        <f>IFERROR(IF(AND(N2895&lt;&gt;"",ISNUMBER(O2895),O2895&gt;0,O2895&gt;=TODAY()-90),1,0),0)</f>
        <v/>
      </c>
      <c r="R2895" s="17" t="str">
        <f t="shared" si="138"/>
        <v/>
      </c>
      <c r="S2895" s="17" t="str">
        <f>IF(INDEX(Listado!A:A,ROW())="","",INDEX(Listado!A:A,ROW()))</f>
        <v/>
      </c>
      <c r="T2895" s="17" t="str">
        <f ca="1">IF(INDEX(Listado!G:G,ROW())="","",INDEX(Listado!G:G,ROW()))</f>
        <v/>
      </c>
      <c r="U2895" s="17" t="str">
        <f>IF(INDEX(Listado!F:F,ROW())="","",INDEX(Listado!F:F,ROW()))</f>
        <v/>
      </c>
      <c r="V2895" s="17">
        <f>IF(COUNTA(INDEX(Listado!B:B,ROW()):INDEX(Listado!F:F,ROW()))&gt;0,1,0)</f>
        <v/>
      </c>
      <c r="W2895" s="17" t="str">
        <f>IF(INDEX(Listado!L:L,ROW())="","",INDEX(Listado!L:L,ROW()))</f>
        <v/>
      </c>
      <c r="X2895" s="17">
        <f>IF(N2895="","",IF(INDEX(Listado!$M:$M,N2895)="No","No","Sí"))</f>
        <v/>
      </c>
    </row>
    <row r="2896" spans="2:24" ht="14.25">
      <c r="N2896" s="17" t="str">
        <f>IF(V2896=0,"",IFERROR(LOOKUP(2,1/(INDEX(Listado!A:A,2):INDEX(Listado!A:A,ROW())&lt;&gt;""),ROW(INDEX(Listado!A:A,2):INDEX(Listado!A:A,ROW()))),""))</f>
        <v/>
      </c>
      <c r="O2896" s="17" t="str">
        <f>IFERROR(IF(N2896="","",IF(INDEX(Listado!M:M,N2896)="No",IF(INDEX(Listado!N:N,N2896)=0,"",INDEX(Listado!N:N,N2896)),IF(INDEX(Listado!I:I,N2896)=0,"",INDEX(Listado!I:I,N2896)))),"")</f>
        <v/>
      </c>
      <c r="P2896" s="17">
        <f t="shared" ca="1" si="136"/>
        <v/>
      </c>
      <c r="Q2896" s="17">
        <f>IFERROR(IF(AND(N2896&lt;&gt;"",ISNUMBER(O2896),O2896&gt;0,O2896&gt;=TODAY()-90),1,0),0)</f>
        <v/>
      </c>
      <c r="R2896" s="17" t="str">
        <f t="shared" si="138"/>
        <v/>
      </c>
      <c r="S2896" s="17" t="str">
        <f>IF(INDEX(Listado!A:A,ROW())="","",INDEX(Listado!A:A,ROW()))</f>
        <v/>
      </c>
      <c r="T2896" s="17" t="str">
        <f ca="1">IF(INDEX(Listado!G:G,ROW())="","",INDEX(Listado!G:G,ROW()))</f>
        <v/>
      </c>
      <c r="U2896" s="17" t="str">
        <f>IF(INDEX(Listado!F:F,ROW())="","",INDEX(Listado!F:F,ROW()))</f>
        <v/>
      </c>
      <c r="V2896" s="17">
        <f>IF(COUNTA(INDEX(Listado!B:B,ROW()):INDEX(Listado!F:F,ROW()))&gt;0,1,0)</f>
        <v/>
      </c>
      <c r="W2896" s="17" t="str">
        <f>IF(INDEX(Listado!L:L,ROW())="","",INDEX(Listado!L:L,ROW()))</f>
        <v/>
      </c>
      <c r="X2896" s="17">
        <f>IF(N2896="","",IF(INDEX(Listado!$M:$M,N2896)="No","No","Sí"))</f>
        <v/>
      </c>
    </row>
    <row r="2897" spans="2:24" ht="14.25">
      <c r="N2897" s="17" t="str">
        <f>IF(V2897=0,"",IFERROR(LOOKUP(2,1/(INDEX(Listado!A:A,2):INDEX(Listado!A:A,ROW())&lt;&gt;""),ROW(INDEX(Listado!A:A,2):INDEX(Listado!A:A,ROW()))),""))</f>
        <v/>
      </c>
      <c r="O2897" s="17" t="str">
        <f>IFERROR(IF(N2897="","",IF(INDEX(Listado!M:M,N2897)="No",IF(INDEX(Listado!N:N,N2897)=0,"",INDEX(Listado!N:N,N2897)),IF(INDEX(Listado!I:I,N2897)=0,"",INDEX(Listado!I:I,N2897)))),"")</f>
        <v/>
      </c>
      <c r="P2897" s="17">
        <f t="shared" ca="1" si="136"/>
        <v/>
      </c>
      <c r="Q2897" s="17">
        <f>IFERROR(IF(AND(N2897&lt;&gt;"",ISNUMBER(O2897),O2897&gt;0,O2897&gt;=TODAY()-90),1,0),0)</f>
        <v/>
      </c>
      <c r="R2897" s="17" t="str">
        <f t="shared" si="138"/>
        <v/>
      </c>
      <c r="S2897" s="17" t="str">
        <f>IF(INDEX(Listado!A:A,ROW())="","",INDEX(Listado!A:A,ROW()))</f>
        <v/>
      </c>
      <c r="T2897" s="17" t="str">
        <f ca="1">IF(INDEX(Listado!G:G,ROW())="","",INDEX(Listado!G:G,ROW()))</f>
        <v/>
      </c>
      <c r="U2897" s="17" t="str">
        <f>IF(INDEX(Listado!F:F,ROW())="","",INDEX(Listado!F:F,ROW()))</f>
        <v/>
      </c>
      <c r="V2897" s="17">
        <f>IF(COUNTA(INDEX(Listado!B:B,ROW()):INDEX(Listado!F:F,ROW()))&gt;0,1,0)</f>
        <v/>
      </c>
      <c r="W2897" s="17" t="str">
        <f>IF(INDEX(Listado!L:L,ROW())="","",INDEX(Listado!L:L,ROW()))</f>
        <v/>
      </c>
      <c r="X2897" s="17">
        <f>IF(N2897="","",IF(INDEX(Listado!$M:$M,N2897)="No","No","Sí"))</f>
        <v/>
      </c>
    </row>
    <row r="2898" spans="2:24" ht="14.25">
      <c r="N2898" s="17" t="str">
        <f>IF(V2898=0,"",IFERROR(LOOKUP(2,1/(INDEX(Listado!A:A,2):INDEX(Listado!A:A,ROW())&lt;&gt;""),ROW(INDEX(Listado!A:A,2):INDEX(Listado!A:A,ROW()))),""))</f>
        <v/>
      </c>
      <c r="O2898" s="17" t="str">
        <f>IFERROR(IF(N2898="","",IF(INDEX(Listado!M:M,N2898)="No",IF(INDEX(Listado!N:N,N2898)=0,"",INDEX(Listado!N:N,N2898)),IF(INDEX(Listado!I:I,N2898)=0,"",INDEX(Listado!I:I,N2898)))),"")</f>
        <v/>
      </c>
      <c r="P2898" s="17">
        <f t="shared" ca="1" si="136"/>
        <v/>
      </c>
      <c r="Q2898" s="17">
        <f>IFERROR(IF(AND(N2898&lt;&gt;"",ISNUMBER(O2898),O2898&gt;0,O2898&gt;=TODAY()-90),1,0),0)</f>
        <v/>
      </c>
      <c r="R2898" s="17" t="str">
        <f t="shared" si="138"/>
        <v/>
      </c>
      <c r="S2898" s="17" t="str">
        <f>IF(INDEX(Listado!A:A,ROW())="","",INDEX(Listado!A:A,ROW()))</f>
        <v/>
      </c>
      <c r="T2898" s="17" t="str">
        <f ca="1">IF(INDEX(Listado!G:G,ROW())="","",INDEX(Listado!G:G,ROW()))</f>
        <v/>
      </c>
      <c r="U2898" s="17" t="str">
        <f>IF(INDEX(Listado!F:F,ROW())="","",INDEX(Listado!F:F,ROW()))</f>
        <v/>
      </c>
      <c r="V2898" s="17">
        <f>IF(COUNTA(INDEX(Listado!B:B,ROW()):INDEX(Listado!F:F,ROW()))&gt;0,1,0)</f>
        <v/>
      </c>
      <c r="W2898" s="17" t="str">
        <f>IF(INDEX(Listado!L:L,ROW())="","",INDEX(Listado!L:L,ROW()))</f>
        <v/>
      </c>
      <c r="X2898" s="17">
        <f>IF(N2898="","",IF(INDEX(Listado!$M:$M,N2898)="No","No","Sí"))</f>
        <v/>
      </c>
    </row>
    <row r="2899" spans="2:24" ht="14.25">
      <c r="N2899" s="17" t="str">
        <f>IF(V2899=0,"",IFERROR(LOOKUP(2,1/(INDEX(Listado!A:A,2):INDEX(Listado!A:A,ROW())&lt;&gt;""),ROW(INDEX(Listado!A:A,2):INDEX(Listado!A:A,ROW()))),""))</f>
        <v/>
      </c>
      <c r="O2899" s="17" t="str">
        <f>IFERROR(IF(N2899="","",IF(INDEX(Listado!M:M,N2899)="No",IF(INDEX(Listado!N:N,N2899)=0,"",INDEX(Listado!N:N,N2899)),IF(INDEX(Listado!I:I,N2899)=0,"",INDEX(Listado!I:I,N2899)))),"")</f>
        <v/>
      </c>
      <c r="P2899" s="17">
        <f t="shared" ca="1" si="136"/>
        <v/>
      </c>
      <c r="Q2899" s="17">
        <f>IFERROR(IF(AND(N2899&lt;&gt;"",ISNUMBER(O2899),O2899&gt;0,O2899&gt;=TODAY()-90),1,0),0)</f>
        <v/>
      </c>
      <c r="R2899" s="17" t="str">
        <f t="shared" si="138"/>
        <v/>
      </c>
      <c r="S2899" s="17" t="str">
        <f>IF(INDEX(Listado!A:A,ROW())="","",INDEX(Listado!A:A,ROW()))</f>
        <v/>
      </c>
      <c r="T2899" s="17" t="str">
        <f ca="1">IF(INDEX(Listado!G:G,ROW())="","",INDEX(Listado!G:G,ROW()))</f>
        <v/>
      </c>
      <c r="U2899" s="17" t="str">
        <f>IF(INDEX(Listado!F:F,ROW())="","",INDEX(Listado!F:F,ROW()))</f>
        <v/>
      </c>
      <c r="V2899" s="17">
        <f>IF(COUNTA(INDEX(Listado!B:B,ROW()):INDEX(Listado!F:F,ROW()))&gt;0,1,0)</f>
        <v/>
      </c>
      <c r="W2899" s="17" t="str">
        <f>IF(INDEX(Listado!L:L,ROW())="","",INDEX(Listado!L:L,ROW()))</f>
        <v/>
      </c>
      <c r="X2899" s="17">
        <f>IF(N2899="","",IF(INDEX(Listado!$M:$M,N2899)="No","No","Sí"))</f>
        <v/>
      </c>
    </row>
    <row r="2900" spans="2:24" ht="14.25">
      <c r="N2900" s="17" t="str">
        <f>IF(V2900=0,"",IFERROR(LOOKUP(2,1/(INDEX(Listado!A:A,2):INDEX(Listado!A:A,ROW())&lt;&gt;""),ROW(INDEX(Listado!A:A,2):INDEX(Listado!A:A,ROW()))),""))</f>
        <v/>
      </c>
      <c r="O2900" s="17" t="str">
        <f>IFERROR(IF(N2900="","",IF(INDEX(Listado!M:M,N2900)="No",IF(INDEX(Listado!N:N,N2900)=0,"",INDEX(Listado!N:N,N2900)),IF(INDEX(Listado!I:I,N2900)=0,"",INDEX(Listado!I:I,N2900)))),"")</f>
        <v/>
      </c>
      <c r="P2900" s="17">
        <f t="shared" ca="1" si="136"/>
        <v/>
      </c>
      <c r="Q2900" s="17">
        <f>IFERROR(IF(AND(N2900&lt;&gt;"",ISNUMBER(O2900),O2900&gt;0,O2900&gt;=TODAY()-90),1,0),0)</f>
        <v/>
      </c>
      <c r="R2900" s="17" t="str">
        <f t="shared" si="138"/>
        <v/>
      </c>
      <c r="S2900" s="17" t="str">
        <f>IF(INDEX(Listado!A:A,ROW())="","",INDEX(Listado!A:A,ROW()))</f>
        <v/>
      </c>
      <c r="T2900" s="17" t="str">
        <f ca="1">IF(INDEX(Listado!G:G,ROW())="","",INDEX(Listado!G:G,ROW()))</f>
        <v/>
      </c>
      <c r="U2900" s="17" t="str">
        <f>IF(INDEX(Listado!F:F,ROW())="","",INDEX(Listado!F:F,ROW()))</f>
        <v/>
      </c>
      <c r="V2900" s="17">
        <f>IF(COUNTA(INDEX(Listado!B:B,ROW()):INDEX(Listado!F:F,ROW()))&gt;0,1,0)</f>
        <v/>
      </c>
      <c r="W2900" s="17" t="str">
        <f>IF(INDEX(Listado!L:L,ROW())="","",INDEX(Listado!L:L,ROW()))</f>
        <v/>
      </c>
      <c r="X2900" s="17">
        <f>IF(N2900="","",IF(INDEX(Listado!$M:$M,N2900)="No","No","Sí"))</f>
        <v/>
      </c>
    </row>
    <row r="2901" spans="2:24" ht="14.25">
      <c r="N2901" s="17" t="str">
        <f>IF(V2901=0,"",IFERROR(LOOKUP(2,1/(INDEX(Listado!A:A,2):INDEX(Listado!A:A,ROW())&lt;&gt;""),ROW(INDEX(Listado!A:A,2):INDEX(Listado!A:A,ROW()))),""))</f>
        <v/>
      </c>
      <c r="O2901" s="17" t="str">
        <f>IFERROR(IF(N2901="","",IF(INDEX(Listado!M:M,N2901)="No",IF(INDEX(Listado!N:N,N2901)=0,"",INDEX(Listado!N:N,N2901)),IF(INDEX(Listado!I:I,N2901)=0,"",INDEX(Listado!I:I,N2901)))),"")</f>
        <v/>
      </c>
      <c r="P2901" s="17">
        <f t="shared" ca="1" si="136"/>
        <v/>
      </c>
      <c r="Q2901" s="17">
        <f>IFERROR(IF(AND(N2901&lt;&gt;"",ISNUMBER(O2901),O2901&gt;0,O2901&gt;=TODAY()-90),1,0),0)</f>
        <v/>
      </c>
      <c r="R2901" s="17" t="str">
        <f t="shared" si="138"/>
        <v/>
      </c>
      <c r="S2901" s="17" t="str">
        <f>IF(INDEX(Listado!A:A,ROW())="","",INDEX(Listado!A:A,ROW()))</f>
        <v/>
      </c>
      <c r="T2901" s="17" t="str">
        <f ca="1">IF(INDEX(Listado!G:G,ROW())="","",INDEX(Listado!G:G,ROW()))</f>
        <v/>
      </c>
      <c r="U2901" s="17" t="str">
        <f>IF(INDEX(Listado!F:F,ROW())="","",INDEX(Listado!F:F,ROW()))</f>
        <v/>
      </c>
      <c r="V2901" s="17">
        <f>IF(COUNTA(INDEX(Listado!B:B,ROW()):INDEX(Listado!F:F,ROW()))&gt;0,1,0)</f>
        <v/>
      </c>
      <c r="W2901" s="17" t="str">
        <f>IF(INDEX(Listado!L:L,ROW())="","",INDEX(Listado!L:L,ROW()))</f>
        <v/>
      </c>
      <c r="X2901" s="17">
        <f>IF(N2901="","",IF(INDEX(Listado!$M:$M,N2901)="No","No","Sí"))</f>
        <v/>
      </c>
    </row>
    <row r="2902" spans="2:24" ht="14.25">
      <c r="N2902" s="17" t="str">
        <f>IF(V2902=0,"",IFERROR(LOOKUP(2,1/(INDEX(Listado!A:A,2):INDEX(Listado!A:A,ROW())&lt;&gt;""),ROW(INDEX(Listado!A:A,2):INDEX(Listado!A:A,ROW()))),""))</f>
        <v/>
      </c>
      <c r="O2902" s="17" t="str">
        <f>IFERROR(IF(N2902="","",IF(INDEX(Listado!M:M,N2902)="No",IF(INDEX(Listado!N:N,N2902)=0,"",INDEX(Listado!N:N,N2902)),IF(INDEX(Listado!I:I,N2902)=0,"",INDEX(Listado!I:I,N2902)))),"")</f>
        <v/>
      </c>
      <c r="P2902" s="17">
        <f t="shared" ca="1" si="136"/>
        <v/>
      </c>
      <c r="Q2902" s="17">
        <f>IFERROR(IF(AND(N2902&lt;&gt;"",ISNUMBER(O2902),O2902&gt;0,O2902&gt;=TODAY()-90),1,0),0)</f>
        <v/>
      </c>
      <c r="R2902" s="17" t="str">
        <f t="shared" si="138"/>
        <v/>
      </c>
      <c r="S2902" s="17" t="str">
        <f>IF(INDEX(Listado!A:A,ROW())="","",INDEX(Listado!A:A,ROW()))</f>
        <v/>
      </c>
      <c r="T2902" s="17" t="str">
        <f ca="1">IF(INDEX(Listado!G:G,ROW())="","",INDEX(Listado!G:G,ROW()))</f>
        <v/>
      </c>
      <c r="U2902" s="17" t="str">
        <f>IF(INDEX(Listado!F:F,ROW())="","",INDEX(Listado!F:F,ROW()))</f>
        <v/>
      </c>
      <c r="V2902" s="17">
        <f>IF(COUNTA(INDEX(Listado!B:B,ROW()):INDEX(Listado!F:F,ROW()))&gt;0,1,0)</f>
        <v/>
      </c>
      <c r="W2902" s="17" t="str">
        <f>IF(INDEX(Listado!L:L,ROW())="","",INDEX(Listado!L:L,ROW()))</f>
        <v/>
      </c>
      <c r="X2902" s="17">
        <f>IF(N2902="","",IF(INDEX(Listado!$M:$M,N2902)="No","No","Sí"))</f>
        <v/>
      </c>
    </row>
    <row r="2903" spans="2:24" ht="14.25">
      <c r="N2903" s="17" t="str">
        <f>IF(V2903=0,"",IFERROR(LOOKUP(2,1/(INDEX(Listado!A:A,2):INDEX(Listado!A:A,ROW())&lt;&gt;""),ROW(INDEX(Listado!A:A,2):INDEX(Listado!A:A,ROW()))),""))</f>
        <v/>
      </c>
      <c r="O2903" s="17" t="str">
        <f>IFERROR(IF(N2903="","",IF(INDEX(Listado!M:M,N2903)="No",IF(INDEX(Listado!N:N,N2903)=0,"",INDEX(Listado!N:N,N2903)),IF(INDEX(Listado!I:I,N2903)=0,"",INDEX(Listado!I:I,N2903)))),"")</f>
        <v/>
      </c>
      <c r="P2903" s="17">
        <f t="shared" ca="1" si="136"/>
        <v/>
      </c>
      <c r="Q2903" s="17">
        <f>IFERROR(IF(AND(N2903&lt;&gt;"",ISNUMBER(O2903),O2903&gt;0,O2903&gt;=TODAY()-90),1,0),0)</f>
        <v/>
      </c>
      <c r="R2903" s="17" t="str">
        <f t="shared" si="138"/>
        <v/>
      </c>
      <c r="S2903" s="17" t="str">
        <f>IF(INDEX(Listado!A:A,ROW())="","",INDEX(Listado!A:A,ROW()))</f>
        <v/>
      </c>
      <c r="T2903" s="17" t="str">
        <f ca="1">IF(INDEX(Listado!G:G,ROW())="","",INDEX(Listado!G:G,ROW()))</f>
        <v/>
      </c>
      <c r="U2903" s="17" t="str">
        <f>IF(INDEX(Listado!F:F,ROW())="","",INDEX(Listado!F:F,ROW()))</f>
        <v/>
      </c>
      <c r="V2903" s="17">
        <f>IF(COUNTA(INDEX(Listado!B:B,ROW()):INDEX(Listado!F:F,ROW()))&gt;0,1,0)</f>
        <v/>
      </c>
      <c r="W2903" s="17" t="str">
        <f>IF(INDEX(Listado!L:L,ROW())="","",INDEX(Listado!L:L,ROW()))</f>
        <v/>
      </c>
      <c r="X2903" s="17">
        <f>IF(N2903="","",IF(INDEX(Listado!$M:$M,N2903)="No","No","Sí"))</f>
        <v/>
      </c>
    </row>
    <row r="2904" spans="2:24" ht="14.25">
      <c r="N2904" s="17" t="str">
        <f>IF(V2904=0,"",IFERROR(LOOKUP(2,1/(INDEX(Listado!A:A,2):INDEX(Listado!A:A,ROW())&lt;&gt;""),ROW(INDEX(Listado!A:A,2):INDEX(Listado!A:A,ROW()))),""))</f>
        <v/>
      </c>
      <c r="O2904" s="17" t="str">
        <f>IFERROR(IF(N2904="","",IF(INDEX(Listado!M:M,N2904)="No",IF(INDEX(Listado!N:N,N2904)=0,"",INDEX(Listado!N:N,N2904)),IF(INDEX(Listado!I:I,N2904)=0,"",INDEX(Listado!I:I,N2904)))),"")</f>
        <v/>
      </c>
      <c r="P2904" s="17">
        <f t="shared" ca="1" si="136"/>
        <v/>
      </c>
      <c r="Q2904" s="17">
        <f>IFERROR(IF(AND(N2904&lt;&gt;"",ISNUMBER(O2904),O2904&gt;0,O2904&gt;=TODAY()-90),1,0),0)</f>
        <v/>
      </c>
      <c r="R2904" s="17" t="str">
        <f t="shared" si="138"/>
        <v/>
      </c>
      <c r="S2904" s="17" t="str">
        <f>IF(INDEX(Listado!A:A,ROW())="","",INDEX(Listado!A:A,ROW()))</f>
        <v/>
      </c>
      <c r="T2904" s="17" t="str">
        <f ca="1">IF(INDEX(Listado!G:G,ROW())="","",INDEX(Listado!G:G,ROW()))</f>
        <v/>
      </c>
      <c r="U2904" s="17" t="str">
        <f>IF(INDEX(Listado!F:F,ROW())="","",INDEX(Listado!F:F,ROW()))</f>
        <v/>
      </c>
      <c r="V2904" s="17">
        <f>IF(COUNTA(INDEX(Listado!B:B,ROW()):INDEX(Listado!F:F,ROW()))&gt;0,1,0)</f>
        <v/>
      </c>
      <c r="W2904" s="17" t="str">
        <f>IF(INDEX(Listado!L:L,ROW())="","",INDEX(Listado!L:L,ROW()))</f>
        <v/>
      </c>
      <c r="X2904" s="17">
        <f>IF(N2904="","",IF(INDEX(Listado!$M:$M,N2904)="No","No","Sí"))</f>
        <v/>
      </c>
    </row>
    <row r="2905" spans="2:24" ht="14.25">
      <c r="N2905" s="17" t="str">
        <f>IF(V2905=0,"",IFERROR(LOOKUP(2,1/(INDEX(Listado!A:A,2):INDEX(Listado!A:A,ROW())&lt;&gt;""),ROW(INDEX(Listado!A:A,2):INDEX(Listado!A:A,ROW()))),""))</f>
        <v/>
      </c>
      <c r="O2905" s="17" t="str">
        <f>IFERROR(IF(N2905="","",IF(INDEX(Listado!M:M,N2905)="No",IF(INDEX(Listado!N:N,N2905)=0,"",INDEX(Listado!N:N,N2905)),IF(INDEX(Listado!I:I,N2905)=0,"",INDEX(Listado!I:I,N2905)))),"")</f>
        <v/>
      </c>
      <c r="P2905" s="17">
        <f t="shared" ca="1" si="136"/>
        <v/>
      </c>
      <c r="Q2905" s="17">
        <f>IFERROR(IF(AND(N2905&lt;&gt;"",ISNUMBER(O2905),O2905&gt;0,O2905&gt;=TODAY()-90),1,0),0)</f>
        <v/>
      </c>
      <c r="R2905" s="17" t="str">
        <f t="shared" si="138"/>
        <v/>
      </c>
      <c r="S2905" s="17" t="str">
        <f>IF(INDEX(Listado!A:A,ROW())="","",INDEX(Listado!A:A,ROW()))</f>
        <v/>
      </c>
      <c r="T2905" s="17" t="str">
        <f ca="1">IF(INDEX(Listado!G:G,ROW())="","",INDEX(Listado!G:G,ROW()))</f>
        <v/>
      </c>
      <c r="U2905" s="17" t="str">
        <f>IF(INDEX(Listado!F:F,ROW())="","",INDEX(Listado!F:F,ROW()))</f>
        <v/>
      </c>
      <c r="V2905" s="17">
        <f>IF(COUNTA(INDEX(Listado!B:B,ROW()):INDEX(Listado!F:F,ROW()))&gt;0,1,0)</f>
        <v/>
      </c>
      <c r="W2905" s="17" t="str">
        <f>IF(INDEX(Listado!L:L,ROW())="","",INDEX(Listado!L:L,ROW()))</f>
        <v/>
      </c>
      <c r="X2905" s="17">
        <f>IF(N2905="","",IF(INDEX(Listado!$M:$M,N2905)="No","No","Sí"))</f>
        <v/>
      </c>
    </row>
    <row r="2906" spans="2:24" ht="14.25">
      <c r="N2906" s="17" t="str">
        <f>IF(V2906=0,"",IFERROR(LOOKUP(2,1/(INDEX(Listado!A:A,2):INDEX(Listado!A:A,ROW())&lt;&gt;""),ROW(INDEX(Listado!A:A,2):INDEX(Listado!A:A,ROW()))),""))</f>
        <v/>
      </c>
      <c r="O2906" s="17" t="str">
        <f>IFERROR(IF(N2906="","",IF(INDEX(Listado!M:M,N2906)="No",IF(INDEX(Listado!N:N,N2906)=0,"",INDEX(Listado!N:N,N2906)),IF(INDEX(Listado!I:I,N2906)=0,"",INDEX(Listado!I:I,N2906)))),"")</f>
        <v/>
      </c>
      <c r="P2906" s="17">
        <f t="shared" ca="1" si="136"/>
        <v/>
      </c>
      <c r="Q2906" s="17">
        <f>IFERROR(IF(AND(N2906&lt;&gt;"",ISNUMBER(O2906),O2906&gt;0,O2906&gt;=TODAY()-90),1,0),0)</f>
        <v/>
      </c>
      <c r="R2906" s="17" t="str">
        <f t="shared" si="138"/>
        <v/>
      </c>
      <c r="S2906" s="17" t="str">
        <f>IF(INDEX(Listado!A:A,ROW())="","",INDEX(Listado!A:A,ROW()))</f>
        <v/>
      </c>
      <c r="T2906" s="17" t="str">
        <f ca="1">IF(INDEX(Listado!G:G,ROW())="","",INDEX(Listado!G:G,ROW()))</f>
        <v/>
      </c>
      <c r="U2906" s="17" t="str">
        <f>IF(INDEX(Listado!F:F,ROW())="","",INDEX(Listado!F:F,ROW()))</f>
        <v/>
      </c>
      <c r="V2906" s="17">
        <f>IF(COUNTA(INDEX(Listado!B:B,ROW()):INDEX(Listado!F:F,ROW()))&gt;0,1,0)</f>
        <v/>
      </c>
      <c r="W2906" s="17" t="str">
        <f>IF(INDEX(Listado!L:L,ROW())="","",INDEX(Listado!L:L,ROW()))</f>
        <v/>
      </c>
      <c r="X2906" s="17">
        <f>IF(N2906="","",IF(INDEX(Listado!$M:$M,N2906)="No","No","Sí"))</f>
        <v/>
      </c>
    </row>
    <row r="2907" spans="2:24" ht="14.25">
      <c r="N2907" s="17" t="str">
        <f>IF(V2907=0,"",IFERROR(LOOKUP(2,1/(INDEX(Listado!A:A,2):INDEX(Listado!A:A,ROW())&lt;&gt;""),ROW(INDEX(Listado!A:A,2):INDEX(Listado!A:A,ROW()))),""))</f>
        <v/>
      </c>
      <c r="O2907" s="17" t="str">
        <f>IFERROR(IF(N2907="","",IF(INDEX(Listado!M:M,N2907)="No",IF(INDEX(Listado!N:N,N2907)=0,"",INDEX(Listado!N:N,N2907)),IF(INDEX(Listado!I:I,N2907)=0,"",INDEX(Listado!I:I,N2907)))),"")</f>
        <v/>
      </c>
      <c r="P2907" s="17">
        <f t="shared" ca="1" si="136"/>
        <v/>
      </c>
      <c r="Q2907" s="17">
        <f>IFERROR(IF(AND(N2907&lt;&gt;"",ISNUMBER(O2907),O2907&gt;0,O2907&gt;=TODAY()-90),1,0),0)</f>
        <v/>
      </c>
      <c r="R2907" s="17" t="str">
        <f t="shared" si="138"/>
        <v/>
      </c>
      <c r="S2907" s="17" t="str">
        <f>IF(INDEX(Listado!A:A,ROW())="","",INDEX(Listado!A:A,ROW()))</f>
        <v/>
      </c>
      <c r="T2907" s="17" t="str">
        <f ca="1">IF(INDEX(Listado!G:G,ROW())="","",INDEX(Listado!G:G,ROW()))</f>
        <v/>
      </c>
      <c r="U2907" s="17" t="str">
        <f>IF(INDEX(Listado!F:F,ROW())="","",INDEX(Listado!F:F,ROW()))</f>
        <v/>
      </c>
      <c r="V2907" s="17">
        <f>IF(COUNTA(INDEX(Listado!B:B,ROW()):INDEX(Listado!F:F,ROW()))&gt;0,1,0)</f>
        <v/>
      </c>
      <c r="W2907" s="17" t="str">
        <f>IF(INDEX(Listado!L:L,ROW())="","",INDEX(Listado!L:L,ROW()))</f>
        <v/>
      </c>
      <c r="X2907" s="17">
        <f>IF(N2907="","",IF(INDEX(Listado!$M:$M,N2907)="No","No","Sí"))</f>
        <v/>
      </c>
    </row>
    <row r="2908" spans="2:24" ht="14.25">
      <c r="N2908" s="17" t="str">
        <f>IF(V2908=0,"",IFERROR(LOOKUP(2,1/(INDEX(Listado!A:A,2):INDEX(Listado!A:A,ROW())&lt;&gt;""),ROW(INDEX(Listado!A:A,2):INDEX(Listado!A:A,ROW()))),""))</f>
        <v/>
      </c>
      <c r="O2908" s="17" t="str">
        <f>IFERROR(IF(N2908="","",IF(INDEX(Listado!M:M,N2908)="No",IF(INDEX(Listado!N:N,N2908)=0,"",INDEX(Listado!N:N,N2908)),IF(INDEX(Listado!I:I,N2908)=0,"",INDEX(Listado!I:I,N2908)))),"")</f>
        <v/>
      </c>
      <c r="P2908" s="17">
        <f t="shared" ca="1" si="136"/>
        <v/>
      </c>
      <c r="Q2908" s="17">
        <f>IFERROR(IF(AND(N2908&lt;&gt;"",ISNUMBER(O2908),O2908&gt;0,O2908&gt;=TODAY()-90),1,0),0)</f>
        <v/>
      </c>
      <c r="R2908" s="17" t="str">
        <f t="shared" si="138"/>
        <v/>
      </c>
      <c r="S2908" s="17" t="str">
        <f>IF(INDEX(Listado!A:A,ROW())="","",INDEX(Listado!A:A,ROW()))</f>
        <v/>
      </c>
      <c r="T2908" s="17" t="str">
        <f ca="1">IF(INDEX(Listado!G:G,ROW())="","",INDEX(Listado!G:G,ROW()))</f>
        <v/>
      </c>
      <c r="U2908" s="17" t="str">
        <f>IF(INDEX(Listado!F:F,ROW())="","",INDEX(Listado!F:F,ROW()))</f>
        <v/>
      </c>
      <c r="V2908" s="17">
        <f>IF(COUNTA(INDEX(Listado!B:B,ROW()):INDEX(Listado!F:F,ROW()))&gt;0,1,0)</f>
        <v/>
      </c>
      <c r="W2908" s="17" t="str">
        <f>IF(INDEX(Listado!L:L,ROW())="","",INDEX(Listado!L:L,ROW()))</f>
        <v/>
      </c>
      <c r="X2908" s="17">
        <f>IF(N2908="","",IF(INDEX(Listado!$M:$M,N2908)="No","No","Sí"))</f>
        <v/>
      </c>
    </row>
    <row r="2909" spans="2:24" ht="14.25">
      <c r="N2909" s="17" t="str">
        <f>IF(V2909=0,"",IFERROR(LOOKUP(2,1/(INDEX(Listado!A:A,2):INDEX(Listado!A:A,ROW())&lt;&gt;""),ROW(INDEX(Listado!A:A,2):INDEX(Listado!A:A,ROW()))),""))</f>
        <v/>
      </c>
      <c r="O2909" s="17" t="str">
        <f>IFERROR(IF(N2909="","",IF(INDEX(Listado!M:M,N2909)="No",IF(INDEX(Listado!N:N,N2909)=0,"",INDEX(Listado!N:N,N2909)),IF(INDEX(Listado!I:I,N2909)=0,"",INDEX(Listado!I:I,N2909)))),"")</f>
        <v/>
      </c>
      <c r="P2909" s="17">
        <f t="shared" ca="1" si="136"/>
        <v/>
      </c>
      <c r="Q2909" s="17">
        <f>IFERROR(IF(AND(N2909&lt;&gt;"",ISNUMBER(O2909),O2909&gt;0,O2909&gt;=TODAY()-90),1,0),0)</f>
        <v/>
      </c>
      <c r="R2909" s="17" t="str">
        <f t="shared" si="138"/>
        <v/>
      </c>
      <c r="S2909" s="17" t="str">
        <f>IF(INDEX(Listado!A:A,ROW())="","",INDEX(Listado!A:A,ROW()))</f>
        <v/>
      </c>
      <c r="T2909" s="17" t="str">
        <f ca="1">IF(INDEX(Listado!G:G,ROW())="","",INDEX(Listado!G:G,ROW()))</f>
        <v/>
      </c>
      <c r="U2909" s="17" t="str">
        <f>IF(INDEX(Listado!F:F,ROW())="","",INDEX(Listado!F:F,ROW()))</f>
        <v/>
      </c>
      <c r="V2909" s="17">
        <f>IF(COUNTA(INDEX(Listado!B:B,ROW()):INDEX(Listado!F:F,ROW()))&gt;0,1,0)</f>
        <v/>
      </c>
      <c r="W2909" s="17" t="str">
        <f>IF(INDEX(Listado!L:L,ROW())="","",INDEX(Listado!L:L,ROW()))</f>
        <v/>
      </c>
      <c r="X2909" s="17">
        <f>IF(N2909="","",IF(INDEX(Listado!$M:$M,N2909)="No","No","Sí"))</f>
        <v/>
      </c>
    </row>
    <row r="2910" spans="2:24" ht="14.25">
      <c r="N2910" s="17" t="str">
        <f>IF(V2910=0,"",IFERROR(LOOKUP(2,1/(INDEX(Listado!A:A,2):INDEX(Listado!A:A,ROW())&lt;&gt;""),ROW(INDEX(Listado!A:A,2):INDEX(Listado!A:A,ROW()))),""))</f>
        <v/>
      </c>
      <c r="O2910" s="17" t="str">
        <f>IFERROR(IF(N2910="","",IF(INDEX(Listado!M:M,N2910)="No",IF(INDEX(Listado!N:N,N2910)=0,"",INDEX(Listado!N:N,N2910)),IF(INDEX(Listado!I:I,N2910)=0,"",INDEX(Listado!I:I,N2910)))),"")</f>
        <v/>
      </c>
      <c r="P2910" s="17">
        <f t="shared" ca="1" si="136"/>
        <v/>
      </c>
      <c r="Q2910" s="17">
        <f>IFERROR(IF(AND(N2910&lt;&gt;"",ISNUMBER(O2910),O2910&gt;0,O2910&gt;=TODAY()-90),1,0),0)</f>
        <v/>
      </c>
      <c r="R2910" s="17" t="str">
        <f t="shared" si="138"/>
        <v/>
      </c>
      <c r="S2910" s="17" t="str">
        <f>IF(INDEX(Listado!A:A,ROW())="","",INDEX(Listado!A:A,ROW()))</f>
        <v/>
      </c>
      <c r="T2910" s="17" t="str">
        <f ca="1">IF(INDEX(Listado!G:G,ROW())="","",INDEX(Listado!G:G,ROW()))</f>
        <v/>
      </c>
      <c r="U2910" s="17" t="str">
        <f>IF(INDEX(Listado!F:F,ROW())="","",INDEX(Listado!F:F,ROW()))</f>
        <v/>
      </c>
      <c r="V2910" s="17">
        <f>IF(COUNTA(INDEX(Listado!B:B,ROW()):INDEX(Listado!F:F,ROW()))&gt;0,1,0)</f>
        <v/>
      </c>
      <c r="W2910" s="17" t="str">
        <f>IF(INDEX(Listado!L:L,ROW())="","",INDEX(Listado!L:L,ROW()))</f>
        <v/>
      </c>
      <c r="X2910" s="17">
        <f>IF(N2910="","",IF(INDEX(Listado!$M:$M,N2910)="No","No","Sí"))</f>
        <v/>
      </c>
    </row>
    <row r="2911" spans="2:24" ht="14.25">
      <c r="N2911" s="17" t="str">
        <f>IF(V2911=0,"",IFERROR(LOOKUP(2,1/(INDEX(Listado!A:A,2):INDEX(Listado!A:A,ROW())&lt;&gt;""),ROW(INDEX(Listado!A:A,2):INDEX(Listado!A:A,ROW()))),""))</f>
        <v/>
      </c>
      <c r="O2911" s="17" t="str">
        <f>IFERROR(IF(N2911="","",IF(INDEX(Listado!M:M,N2911)="No",IF(INDEX(Listado!N:N,N2911)=0,"",INDEX(Listado!N:N,N2911)),IF(INDEX(Listado!I:I,N2911)=0,"",INDEX(Listado!I:I,N2911)))),"")</f>
        <v/>
      </c>
      <c r="P2911" s="17">
        <f t="shared" ca="1" si="136"/>
        <v/>
      </c>
      <c r="Q2911" s="17">
        <f>IFERROR(IF(AND(N2911&lt;&gt;"",ISNUMBER(O2911),O2911&gt;0,O2911&gt;=TODAY()-90),1,0),0)</f>
        <v/>
      </c>
      <c r="R2911" s="17" t="str">
        <f t="shared" si="138"/>
        <v/>
      </c>
      <c r="S2911" s="17" t="str">
        <f>IF(INDEX(Listado!A:A,ROW())="","",INDEX(Listado!A:A,ROW()))</f>
        <v/>
      </c>
      <c r="T2911" s="17" t="str">
        <f ca="1">IF(INDEX(Listado!G:G,ROW())="","",INDEX(Listado!G:G,ROW()))</f>
        <v/>
      </c>
      <c r="U2911" s="17" t="str">
        <f>IF(INDEX(Listado!F:F,ROW())="","",INDEX(Listado!F:F,ROW()))</f>
        <v/>
      </c>
      <c r="V2911" s="17">
        <f>IF(COUNTA(INDEX(Listado!B:B,ROW()):INDEX(Listado!F:F,ROW()))&gt;0,1,0)</f>
        <v/>
      </c>
      <c r="W2911" s="17" t="str">
        <f>IF(INDEX(Listado!L:L,ROW())="","",INDEX(Listado!L:L,ROW()))</f>
        <v/>
      </c>
      <c r="X2911" s="17">
        <f>IF(N2911="","",IF(INDEX(Listado!$M:$M,N2911)="No","No","Sí"))</f>
        <v/>
      </c>
    </row>
    <row r="2912" spans="2:24" ht="14.25">
      <c r="N2912" s="17" t="str">
        <f>IF(V2912=0,"",IFERROR(LOOKUP(2,1/(INDEX(Listado!A:A,2):INDEX(Listado!A:A,ROW())&lt;&gt;""),ROW(INDEX(Listado!A:A,2):INDEX(Listado!A:A,ROW()))),""))</f>
        <v/>
      </c>
      <c r="O2912" s="17" t="str">
        <f>IFERROR(IF(N2912="","",IF(INDEX(Listado!M:M,N2912)="No",IF(INDEX(Listado!N:N,N2912)=0,"",INDEX(Listado!N:N,N2912)),IF(INDEX(Listado!I:I,N2912)=0,"",INDEX(Listado!I:I,N2912)))),"")</f>
        <v/>
      </c>
      <c r="P2912" s="17">
        <f t="shared" ca="1" si="136"/>
        <v/>
      </c>
      <c r="Q2912" s="17">
        <f>IFERROR(IF(AND(N2912&lt;&gt;"",ISNUMBER(O2912),O2912&gt;0,O2912&gt;=TODAY()-90),1,0),0)</f>
        <v/>
      </c>
      <c r="R2912" s="17" t="str">
        <f t="shared" si="138"/>
        <v/>
      </c>
      <c r="S2912" s="17" t="str">
        <f>IF(INDEX(Listado!A:A,ROW())="","",INDEX(Listado!A:A,ROW()))</f>
        <v/>
      </c>
      <c r="T2912" s="17" t="str">
        <f ca="1">IF(INDEX(Listado!G:G,ROW())="","",INDEX(Listado!G:G,ROW()))</f>
        <v/>
      </c>
      <c r="U2912" s="17" t="str">
        <f>IF(INDEX(Listado!F:F,ROW())="","",INDEX(Listado!F:F,ROW()))</f>
        <v/>
      </c>
      <c r="V2912" s="17">
        <f>IF(COUNTA(INDEX(Listado!B:B,ROW()):INDEX(Listado!F:F,ROW()))&gt;0,1,0)</f>
        <v/>
      </c>
      <c r="W2912" s="17" t="str">
        <f>IF(INDEX(Listado!L:L,ROW())="","",INDEX(Listado!L:L,ROW()))</f>
        <v/>
      </c>
      <c r="X2912" s="17">
        <f>IF(N2912="","",IF(INDEX(Listado!$M:$M,N2912)="No","No","Sí"))</f>
        <v/>
      </c>
    </row>
    <row r="2913" spans="2:24" ht="14.25">
      <c r="N2913" s="17" t="str">
        <f>IF(V2913=0,"",IFERROR(LOOKUP(2,1/(INDEX(Listado!A:A,2):INDEX(Listado!A:A,ROW())&lt;&gt;""),ROW(INDEX(Listado!A:A,2):INDEX(Listado!A:A,ROW()))),""))</f>
        <v/>
      </c>
      <c r="O2913" s="17" t="str">
        <f>IFERROR(IF(N2913="","",IF(INDEX(Listado!M:M,N2913)="No",IF(INDEX(Listado!N:N,N2913)=0,"",INDEX(Listado!N:N,N2913)),IF(INDEX(Listado!I:I,N2913)=0,"",INDEX(Listado!I:I,N2913)))),"")</f>
        <v/>
      </c>
      <c r="P2913" s="17">
        <f t="shared" ca="1" si="136"/>
        <v/>
      </c>
      <c r="Q2913" s="17">
        <f>IFERROR(IF(AND(N2913&lt;&gt;"",ISNUMBER(O2913),O2913&gt;0,O2913&gt;=TODAY()-90),1,0),0)</f>
        <v/>
      </c>
      <c r="R2913" s="17" t="str">
        <f t="shared" si="138"/>
        <v/>
      </c>
      <c r="S2913" s="17" t="str">
        <f>IF(INDEX(Listado!A:A,ROW())="","",INDEX(Listado!A:A,ROW()))</f>
        <v/>
      </c>
      <c r="T2913" s="17" t="str">
        <f ca="1">IF(INDEX(Listado!G:G,ROW())="","",INDEX(Listado!G:G,ROW()))</f>
        <v/>
      </c>
      <c r="U2913" s="17" t="str">
        <f>IF(INDEX(Listado!F:F,ROW())="","",INDEX(Listado!F:F,ROW()))</f>
        <v/>
      </c>
      <c r="V2913" s="17">
        <f>IF(COUNTA(INDEX(Listado!B:B,ROW()):INDEX(Listado!F:F,ROW()))&gt;0,1,0)</f>
        <v/>
      </c>
      <c r="W2913" s="17" t="str">
        <f>IF(INDEX(Listado!L:L,ROW())="","",INDEX(Listado!L:L,ROW()))</f>
        <v/>
      </c>
      <c r="X2913" s="17">
        <f>IF(N2913="","",IF(INDEX(Listado!$M:$M,N2913)="No","No","Sí"))</f>
        <v/>
      </c>
    </row>
    <row r="2914" spans="2:24" ht="14.25">
      <c r="N2914" s="17" t="str">
        <f>IF(V2914=0,"",IFERROR(LOOKUP(2,1/(INDEX(Listado!A:A,2):INDEX(Listado!A:A,ROW())&lt;&gt;""),ROW(INDEX(Listado!A:A,2):INDEX(Listado!A:A,ROW()))),""))</f>
        <v/>
      </c>
      <c r="O2914" s="17" t="str">
        <f>IFERROR(IF(N2914="","",IF(INDEX(Listado!M:M,N2914)="No",IF(INDEX(Listado!N:N,N2914)=0,"",INDEX(Listado!N:N,N2914)),IF(INDEX(Listado!I:I,N2914)=0,"",INDEX(Listado!I:I,N2914)))),"")</f>
        <v/>
      </c>
      <c r="P2914" s="17">
        <f t="shared" ca="1" si="136"/>
        <v/>
      </c>
      <c r="Q2914" s="17">
        <f>IFERROR(IF(AND(N2914&lt;&gt;"",ISNUMBER(O2914),O2914&gt;0,O2914&gt;=TODAY()-90),1,0),0)</f>
        <v/>
      </c>
      <c r="R2914" s="17" t="str">
        <f t="shared" si="138"/>
        <v/>
      </c>
      <c r="S2914" s="17" t="str">
        <f>IF(INDEX(Listado!A:A,ROW())="","",INDEX(Listado!A:A,ROW()))</f>
        <v/>
      </c>
      <c r="T2914" s="17" t="str">
        <f ca="1">IF(INDEX(Listado!G:G,ROW())="","",INDEX(Listado!G:G,ROW()))</f>
        <v/>
      </c>
      <c r="U2914" s="17" t="str">
        <f>IF(INDEX(Listado!F:F,ROW())="","",INDEX(Listado!F:F,ROW()))</f>
        <v/>
      </c>
      <c r="V2914" s="17">
        <f>IF(COUNTA(INDEX(Listado!B:B,ROW()):INDEX(Listado!F:F,ROW()))&gt;0,1,0)</f>
        <v/>
      </c>
      <c r="W2914" s="17" t="str">
        <f>IF(INDEX(Listado!L:L,ROW())="","",INDEX(Listado!L:L,ROW()))</f>
        <v/>
      </c>
      <c r="X2914" s="17">
        <f>IF(N2914="","",IF(INDEX(Listado!$M:$M,N2914)="No","No","Sí"))</f>
        <v/>
      </c>
    </row>
    <row r="2915" spans="2:24" ht="14.25">
      <c r="N2915" s="17" t="str">
        <f>IF(V2915=0,"",IFERROR(LOOKUP(2,1/(INDEX(Listado!A:A,2):INDEX(Listado!A:A,ROW())&lt;&gt;""),ROW(INDEX(Listado!A:A,2):INDEX(Listado!A:A,ROW()))),""))</f>
        <v/>
      </c>
      <c r="O2915" s="17" t="str">
        <f>IFERROR(IF(N2915="","",IF(INDEX(Listado!M:M,N2915)="No",IF(INDEX(Listado!N:N,N2915)=0,"",INDEX(Listado!N:N,N2915)),IF(INDEX(Listado!I:I,N2915)=0,"",INDEX(Listado!I:I,N2915)))),"")</f>
        <v/>
      </c>
      <c r="P2915" s="17">
        <f t="shared" ca="1" si="136"/>
        <v/>
      </c>
      <c r="Q2915" s="17">
        <f>IFERROR(IF(AND(N2915&lt;&gt;"",ISNUMBER(O2915),O2915&gt;0,O2915&gt;=TODAY()-90),1,0),0)</f>
        <v/>
      </c>
      <c r="R2915" s="17" t="str">
        <f t="shared" si="138"/>
        <v/>
      </c>
      <c r="S2915" s="17" t="str">
        <f>IF(INDEX(Listado!A:A,ROW())="","",INDEX(Listado!A:A,ROW()))</f>
        <v/>
      </c>
      <c r="T2915" s="17" t="str">
        <f ca="1">IF(INDEX(Listado!G:G,ROW())="","",INDEX(Listado!G:G,ROW()))</f>
        <v/>
      </c>
      <c r="U2915" s="17" t="str">
        <f>IF(INDEX(Listado!F:F,ROW())="","",INDEX(Listado!F:F,ROW()))</f>
        <v/>
      </c>
      <c r="V2915" s="17">
        <f>IF(COUNTA(INDEX(Listado!B:B,ROW()):INDEX(Listado!F:F,ROW()))&gt;0,1,0)</f>
        <v/>
      </c>
      <c r="W2915" s="17" t="str">
        <f>IF(INDEX(Listado!L:L,ROW())="","",INDEX(Listado!L:L,ROW()))</f>
        <v/>
      </c>
      <c r="X2915" s="17">
        <f>IF(N2915="","",IF(INDEX(Listado!$M:$M,N2915)="No","No","Sí"))</f>
        <v/>
      </c>
    </row>
    <row r="2916" spans="2:24" ht="14.25">
      <c r="N2916" s="17" t="str">
        <f>IF(V2916=0,"",IFERROR(LOOKUP(2,1/(INDEX(Listado!A:A,2):INDEX(Listado!A:A,ROW())&lt;&gt;""),ROW(INDEX(Listado!A:A,2):INDEX(Listado!A:A,ROW()))),""))</f>
        <v/>
      </c>
      <c r="O2916" s="17" t="str">
        <f>IFERROR(IF(N2916="","",IF(INDEX(Listado!M:M,N2916)="No",IF(INDEX(Listado!N:N,N2916)=0,"",INDEX(Listado!N:N,N2916)),IF(INDEX(Listado!I:I,N2916)=0,"",INDEX(Listado!I:I,N2916)))),"")</f>
        <v/>
      </c>
      <c r="P2916" s="17">
        <f t="shared" ca="1" si="136"/>
        <v/>
      </c>
      <c r="Q2916" s="17">
        <f>IFERROR(IF(AND(N2916&lt;&gt;"",ISNUMBER(O2916),O2916&gt;0,O2916&gt;=TODAY()-90),1,0),0)</f>
        <v/>
      </c>
      <c r="R2916" s="17" t="str">
        <f t="shared" si="138"/>
        <v/>
      </c>
      <c r="S2916" s="17" t="str">
        <f>IF(INDEX(Listado!A:A,ROW())="","",INDEX(Listado!A:A,ROW()))</f>
        <v/>
      </c>
      <c r="T2916" s="17" t="str">
        <f ca="1">IF(INDEX(Listado!G:G,ROW())="","",INDEX(Listado!G:G,ROW()))</f>
        <v/>
      </c>
      <c r="U2916" s="17" t="str">
        <f>IF(INDEX(Listado!F:F,ROW())="","",INDEX(Listado!F:F,ROW()))</f>
        <v/>
      </c>
      <c r="V2916" s="17">
        <f>IF(COUNTA(INDEX(Listado!B:B,ROW()):INDEX(Listado!F:F,ROW()))&gt;0,1,0)</f>
        <v/>
      </c>
      <c r="W2916" s="17" t="str">
        <f>IF(INDEX(Listado!L:L,ROW())="","",INDEX(Listado!L:L,ROW()))</f>
        <v/>
      </c>
      <c r="X2916" s="17">
        <f>IF(N2916="","",IF(INDEX(Listado!$M:$M,N2916)="No","No","Sí"))</f>
        <v/>
      </c>
    </row>
    <row r="2917" spans="2:24" ht="14.25">
      <c r="N2917" s="17" t="str">
        <f>IF(V2917=0,"",IFERROR(LOOKUP(2,1/(INDEX(Listado!A:A,2):INDEX(Listado!A:A,ROW())&lt;&gt;""),ROW(INDEX(Listado!A:A,2):INDEX(Listado!A:A,ROW()))),""))</f>
        <v/>
      </c>
      <c r="O2917" s="17" t="str">
        <f>IFERROR(IF(N2917="","",IF(INDEX(Listado!M:M,N2917)="No",IF(INDEX(Listado!N:N,N2917)=0,"",INDEX(Listado!N:N,N2917)),IF(INDEX(Listado!I:I,N2917)=0,"",INDEX(Listado!I:I,N2917)))),"")</f>
        <v/>
      </c>
      <c r="P2917" s="17">
        <f t="shared" ca="1" si="136"/>
        <v/>
      </c>
      <c r="Q2917" s="17">
        <f>IFERROR(IF(AND(N2917&lt;&gt;"",ISNUMBER(O2917),O2917&gt;0,O2917&gt;=TODAY()-90),1,0),0)</f>
        <v/>
      </c>
      <c r="R2917" s="17" t="str">
        <f t="shared" si="138"/>
        <v/>
      </c>
      <c r="S2917" s="17" t="str">
        <f>IF(INDEX(Listado!A:A,ROW())="","",INDEX(Listado!A:A,ROW()))</f>
        <v/>
      </c>
      <c r="T2917" s="17" t="str">
        <f ca="1">IF(INDEX(Listado!G:G,ROW())="","",INDEX(Listado!G:G,ROW()))</f>
        <v/>
      </c>
      <c r="U2917" s="17" t="str">
        <f>IF(INDEX(Listado!F:F,ROW())="","",INDEX(Listado!F:F,ROW()))</f>
        <v/>
      </c>
      <c r="V2917" s="17">
        <f>IF(COUNTA(INDEX(Listado!B:B,ROW()):INDEX(Listado!F:F,ROW()))&gt;0,1,0)</f>
        <v/>
      </c>
      <c r="W2917" s="17" t="str">
        <f>IF(INDEX(Listado!L:L,ROW())="","",INDEX(Listado!L:L,ROW()))</f>
        <v/>
      </c>
      <c r="X2917" s="17">
        <f>IF(N2917="","",IF(INDEX(Listado!$M:$M,N2917)="No","No","Sí"))</f>
        <v/>
      </c>
    </row>
    <row r="2918" spans="2:24" ht="14.25">
      <c r="N2918" s="17" t="str">
        <f>IF(V2918=0,"",IFERROR(LOOKUP(2,1/(INDEX(Listado!A:A,2):INDEX(Listado!A:A,ROW())&lt;&gt;""),ROW(INDEX(Listado!A:A,2):INDEX(Listado!A:A,ROW()))),""))</f>
        <v/>
      </c>
      <c r="O2918" s="17" t="str">
        <f>IFERROR(IF(N2918="","",IF(INDEX(Listado!M:M,N2918)="No",IF(INDEX(Listado!N:N,N2918)=0,"",INDEX(Listado!N:N,N2918)),IF(INDEX(Listado!I:I,N2918)=0,"",INDEX(Listado!I:I,N2918)))),"")</f>
        <v/>
      </c>
      <c r="P2918" s="17">
        <f t="shared" ca="1" si="136"/>
        <v/>
      </c>
      <c r="Q2918" s="17">
        <f>IFERROR(IF(AND(N2918&lt;&gt;"",ISNUMBER(O2918),O2918&gt;0,O2918&gt;=TODAY()-90),1,0),0)</f>
        <v/>
      </c>
      <c r="R2918" s="17" t="str">
        <f t="shared" si="138"/>
        <v/>
      </c>
      <c r="S2918" s="17" t="str">
        <f>IF(INDEX(Listado!A:A,ROW())="","",INDEX(Listado!A:A,ROW()))</f>
        <v/>
      </c>
      <c r="T2918" s="17" t="str">
        <f ca="1">IF(INDEX(Listado!G:G,ROW())="","",INDEX(Listado!G:G,ROW()))</f>
        <v/>
      </c>
      <c r="U2918" s="17" t="str">
        <f>IF(INDEX(Listado!F:F,ROW())="","",INDEX(Listado!F:F,ROW()))</f>
        <v/>
      </c>
      <c r="V2918" s="17">
        <f>IF(COUNTA(INDEX(Listado!B:B,ROW()):INDEX(Listado!F:F,ROW()))&gt;0,1,0)</f>
        <v/>
      </c>
      <c r="W2918" s="17" t="str">
        <f>IF(INDEX(Listado!L:L,ROW())="","",INDEX(Listado!L:L,ROW()))</f>
        <v/>
      </c>
      <c r="X2918" s="17">
        <f>IF(N2918="","",IF(INDEX(Listado!$M:$M,N2918)="No","No","Sí"))</f>
        <v/>
      </c>
    </row>
    <row r="2919" spans="2:24" ht="14.25">
      <c r="N2919" s="17" t="str">
        <f>IF(V2919=0,"",IFERROR(LOOKUP(2,1/(INDEX(Listado!A:A,2):INDEX(Listado!A:A,ROW())&lt;&gt;""),ROW(INDEX(Listado!A:A,2):INDEX(Listado!A:A,ROW()))),""))</f>
        <v/>
      </c>
      <c r="O2919" s="17" t="str">
        <f>IFERROR(IF(N2919="","",IF(INDEX(Listado!M:M,N2919)="No",IF(INDEX(Listado!N:N,N2919)=0,"",INDEX(Listado!N:N,N2919)),IF(INDEX(Listado!I:I,N2919)=0,"",INDEX(Listado!I:I,N2919)))),"")</f>
        <v/>
      </c>
      <c r="P2919" s="17">
        <f t="shared" ca="1" si="136"/>
        <v/>
      </c>
      <c r="Q2919" s="17">
        <f>IFERROR(IF(AND(N2919&lt;&gt;"",ISNUMBER(O2919),O2919&gt;0,O2919&gt;=TODAY()-90),1,0),0)</f>
        <v/>
      </c>
      <c r="R2919" s="17" t="str">
        <f t="shared" si="138"/>
        <v/>
      </c>
      <c r="S2919" s="17" t="str">
        <f>IF(INDEX(Listado!A:A,ROW())="","",INDEX(Listado!A:A,ROW()))</f>
        <v/>
      </c>
      <c r="T2919" s="17" t="str">
        <f ca="1">IF(INDEX(Listado!G:G,ROW())="","",INDEX(Listado!G:G,ROW()))</f>
        <v/>
      </c>
      <c r="U2919" s="17" t="str">
        <f>IF(INDEX(Listado!F:F,ROW())="","",INDEX(Listado!F:F,ROW()))</f>
        <v/>
      </c>
      <c r="V2919" s="17">
        <f>IF(COUNTA(INDEX(Listado!B:B,ROW()):INDEX(Listado!F:F,ROW()))&gt;0,1,0)</f>
        <v/>
      </c>
      <c r="W2919" s="17" t="str">
        <f>IF(INDEX(Listado!L:L,ROW())="","",INDEX(Listado!L:L,ROW()))</f>
        <v/>
      </c>
      <c r="X2919" s="17">
        <f>IF(N2919="","",IF(INDEX(Listado!$M:$M,N2919)="No","No","Sí"))</f>
        <v/>
      </c>
    </row>
    <row r="2920" spans="2:24" ht="14.25">
      <c r="N2920" s="17" t="str">
        <f>IF(V2920=0,"",IFERROR(LOOKUP(2,1/(INDEX(Listado!A:A,2):INDEX(Listado!A:A,ROW())&lt;&gt;""),ROW(INDEX(Listado!A:A,2):INDEX(Listado!A:A,ROW()))),""))</f>
        <v/>
      </c>
      <c r="O2920" s="17" t="str">
        <f>IFERROR(IF(N2920="","",IF(INDEX(Listado!M:M,N2920)="No",IF(INDEX(Listado!N:N,N2920)=0,"",INDEX(Listado!N:N,N2920)),IF(INDEX(Listado!I:I,N2920)=0,"",INDEX(Listado!I:I,N2920)))),"")</f>
        <v/>
      </c>
      <c r="P2920" s="17">
        <f t="shared" ca="1" si="136"/>
        <v/>
      </c>
      <c r="Q2920" s="17">
        <f>IFERROR(IF(AND(N2920&lt;&gt;"",ISNUMBER(O2920),O2920&gt;0,O2920&gt;=TODAY()-90),1,0),0)</f>
        <v/>
      </c>
      <c r="R2920" s="17" t="str">
        <f t="shared" si="138"/>
        <v/>
      </c>
      <c r="S2920" s="17" t="str">
        <f>IF(INDEX(Listado!A:A,ROW())="","",INDEX(Listado!A:A,ROW()))</f>
        <v/>
      </c>
      <c r="T2920" s="17" t="str">
        <f ca="1">IF(INDEX(Listado!G:G,ROW())="","",INDEX(Listado!G:G,ROW()))</f>
        <v/>
      </c>
      <c r="U2920" s="17" t="str">
        <f>IF(INDEX(Listado!F:F,ROW())="","",INDEX(Listado!F:F,ROW()))</f>
        <v/>
      </c>
      <c r="V2920" s="17">
        <f>IF(COUNTA(INDEX(Listado!B:B,ROW()):INDEX(Listado!F:F,ROW()))&gt;0,1,0)</f>
        <v/>
      </c>
      <c r="W2920" s="17" t="str">
        <f>IF(INDEX(Listado!L:L,ROW())="","",INDEX(Listado!L:L,ROW()))</f>
        <v/>
      </c>
      <c r="X2920" s="17">
        <f>IF(N2920="","",IF(INDEX(Listado!$M:$M,N2920)="No","No","Sí"))</f>
        <v/>
      </c>
    </row>
    <row r="2921" spans="2:24" ht="14.25">
      <c r="N2921" s="17" t="str">
        <f>IF(V2921=0,"",IFERROR(LOOKUP(2,1/(INDEX(Listado!A:A,2):INDEX(Listado!A:A,ROW())&lt;&gt;""),ROW(INDEX(Listado!A:A,2):INDEX(Listado!A:A,ROW()))),""))</f>
        <v/>
      </c>
      <c r="O2921" s="17" t="str">
        <f>IFERROR(IF(N2921="","",IF(INDEX(Listado!M:M,N2921)="No",IF(INDEX(Listado!N:N,N2921)=0,"",INDEX(Listado!N:N,N2921)),IF(INDEX(Listado!I:I,N2921)=0,"",INDEX(Listado!I:I,N2921)))),"")</f>
        <v/>
      </c>
      <c r="P2921" s="17">
        <f t="shared" ca="1" si="136"/>
        <v/>
      </c>
      <c r="Q2921" s="17">
        <f>IFERROR(IF(AND(N2921&lt;&gt;"",ISNUMBER(O2921),O2921&gt;0,O2921&gt;=TODAY()-90),1,0),0)</f>
        <v/>
      </c>
      <c r="R2921" s="17" t="str">
        <f t="shared" si="138"/>
        <v/>
      </c>
      <c r="S2921" s="17" t="str">
        <f>IF(INDEX(Listado!A:A,ROW())="","",INDEX(Listado!A:A,ROW()))</f>
        <v/>
      </c>
      <c r="T2921" s="17" t="str">
        <f ca="1">IF(INDEX(Listado!G:G,ROW())="","",INDEX(Listado!G:G,ROW()))</f>
        <v/>
      </c>
      <c r="U2921" s="17" t="str">
        <f>IF(INDEX(Listado!F:F,ROW())="","",INDEX(Listado!F:F,ROW()))</f>
        <v/>
      </c>
      <c r="V2921" s="17">
        <f>IF(COUNTA(INDEX(Listado!B:B,ROW()):INDEX(Listado!F:F,ROW()))&gt;0,1,0)</f>
        <v/>
      </c>
      <c r="W2921" s="17" t="str">
        <f>IF(INDEX(Listado!L:L,ROW())="","",INDEX(Listado!L:L,ROW()))</f>
        <v/>
      </c>
      <c r="X2921" s="17">
        <f>IF(N2921="","",IF(INDEX(Listado!$M:$M,N2921)="No","No","Sí"))</f>
        <v/>
      </c>
    </row>
    <row r="2922" spans="2:24" ht="14.25">
      <c r="N2922" s="17" t="str">
        <f>IF(V2922=0,"",IFERROR(LOOKUP(2,1/(INDEX(Listado!A:A,2):INDEX(Listado!A:A,ROW())&lt;&gt;""),ROW(INDEX(Listado!A:A,2):INDEX(Listado!A:A,ROW()))),""))</f>
        <v/>
      </c>
      <c r="O2922" s="17" t="str">
        <f>IFERROR(IF(N2922="","",IF(INDEX(Listado!M:M,N2922)="No",IF(INDEX(Listado!N:N,N2922)=0,"",INDEX(Listado!N:N,N2922)),IF(INDEX(Listado!I:I,N2922)=0,"",INDEX(Listado!I:I,N2922)))),"")</f>
        <v/>
      </c>
      <c r="P2922" s="17">
        <f t="shared" ca="1" si="136"/>
        <v/>
      </c>
      <c r="Q2922" s="17">
        <f>IFERROR(IF(AND(N2922&lt;&gt;"",ISNUMBER(O2922),O2922&gt;0,O2922&gt;=TODAY()-90),1,0),0)</f>
        <v/>
      </c>
      <c r="R2922" s="17" t="str">
        <f t="shared" si="138"/>
        <v/>
      </c>
      <c r="S2922" s="17" t="str">
        <f>IF(INDEX(Listado!A:A,ROW())="","",INDEX(Listado!A:A,ROW()))</f>
        <v/>
      </c>
      <c r="T2922" s="17" t="str">
        <f ca="1">IF(INDEX(Listado!G:G,ROW())="","",INDEX(Listado!G:G,ROW()))</f>
        <v/>
      </c>
      <c r="U2922" s="17" t="str">
        <f>IF(INDEX(Listado!F:F,ROW())="","",INDEX(Listado!F:F,ROW()))</f>
        <v/>
      </c>
      <c r="V2922" s="17">
        <f>IF(COUNTA(INDEX(Listado!B:B,ROW()):INDEX(Listado!F:F,ROW()))&gt;0,1,0)</f>
        <v/>
      </c>
      <c r="W2922" s="17" t="str">
        <f>IF(INDEX(Listado!L:L,ROW())="","",INDEX(Listado!L:L,ROW()))</f>
        <v/>
      </c>
      <c r="X2922" s="17">
        <f>IF(N2922="","",IF(INDEX(Listado!$M:$M,N2922)="No","No","Sí"))</f>
        <v/>
      </c>
    </row>
    <row r="2923" spans="2:24" ht="14.25">
      <c r="N2923" s="17" t="str">
        <f>IF(V2923=0,"",IFERROR(LOOKUP(2,1/(INDEX(Listado!A:A,2):INDEX(Listado!A:A,ROW())&lt;&gt;""),ROW(INDEX(Listado!A:A,2):INDEX(Listado!A:A,ROW()))),""))</f>
        <v/>
      </c>
      <c r="O2923" s="17" t="str">
        <f>IFERROR(IF(N2923="","",IF(INDEX(Listado!M:M,N2923)="No",IF(INDEX(Listado!N:N,N2923)=0,"",INDEX(Listado!N:N,N2923)),IF(INDEX(Listado!I:I,N2923)=0,"",INDEX(Listado!I:I,N2923)))),"")</f>
        <v/>
      </c>
      <c r="P2923" s="17">
        <f t="shared" ca="1" si="136"/>
        <v/>
      </c>
      <c r="Q2923" s="17">
        <f>IFERROR(IF(AND(N2923&lt;&gt;"",ISNUMBER(O2923),O2923&gt;0,O2923&gt;=TODAY()-90),1,0),0)</f>
        <v/>
      </c>
      <c r="R2923" s="17" t="str">
        <f t="shared" si="138"/>
        <v/>
      </c>
      <c r="S2923" s="17" t="str">
        <f>IF(INDEX(Listado!A:A,ROW())="","",INDEX(Listado!A:A,ROW()))</f>
        <v/>
      </c>
      <c r="T2923" s="17" t="str">
        <f ca="1">IF(INDEX(Listado!G:G,ROW())="","",INDEX(Listado!G:G,ROW()))</f>
        <v/>
      </c>
      <c r="U2923" s="17" t="str">
        <f>IF(INDEX(Listado!F:F,ROW())="","",INDEX(Listado!F:F,ROW()))</f>
        <v/>
      </c>
      <c r="V2923" s="17">
        <f>IF(COUNTA(INDEX(Listado!B:B,ROW()):INDEX(Listado!F:F,ROW()))&gt;0,1,0)</f>
        <v/>
      </c>
      <c r="W2923" s="17" t="str">
        <f>IF(INDEX(Listado!L:L,ROW())="","",INDEX(Listado!L:L,ROW()))</f>
        <v/>
      </c>
      <c r="X2923" s="17">
        <f>IF(N2923="","",IF(INDEX(Listado!$M:$M,N2923)="No","No","Sí"))</f>
        <v/>
      </c>
    </row>
    <row r="2924" spans="2:24" ht="14.25">
      <c r="N2924" s="17" t="str">
        <f>IF(V2924=0,"",IFERROR(LOOKUP(2,1/(INDEX(Listado!A:A,2):INDEX(Listado!A:A,ROW())&lt;&gt;""),ROW(INDEX(Listado!A:A,2):INDEX(Listado!A:A,ROW()))),""))</f>
        <v/>
      </c>
      <c r="O2924" s="17" t="str">
        <f>IFERROR(IF(N2924="","",IF(INDEX(Listado!M:M,N2924)="No",IF(INDEX(Listado!N:N,N2924)=0,"",INDEX(Listado!N:N,N2924)),IF(INDEX(Listado!I:I,N2924)=0,"",INDEX(Listado!I:I,N2924)))),"")</f>
        <v/>
      </c>
      <c r="P2924" s="17">
        <f t="shared" ca="1" si="136"/>
        <v/>
      </c>
      <c r="Q2924" s="17">
        <f>IFERROR(IF(AND(N2924&lt;&gt;"",ISNUMBER(O2924),O2924&gt;0,O2924&gt;=TODAY()-90),1,0),0)</f>
        <v/>
      </c>
      <c r="R2924" s="17" t="str">
        <f t="shared" si="138"/>
        <v/>
      </c>
      <c r="S2924" s="17" t="str">
        <f>IF(INDEX(Listado!A:A,ROW())="","",INDEX(Listado!A:A,ROW()))</f>
        <v/>
      </c>
      <c r="T2924" s="17" t="str">
        <f ca="1">IF(INDEX(Listado!G:G,ROW())="","",INDEX(Listado!G:G,ROW()))</f>
        <v/>
      </c>
      <c r="U2924" s="17" t="str">
        <f>IF(INDEX(Listado!F:F,ROW())="","",INDEX(Listado!F:F,ROW()))</f>
        <v/>
      </c>
      <c r="V2924" s="17">
        <f>IF(COUNTA(INDEX(Listado!B:B,ROW()):INDEX(Listado!F:F,ROW()))&gt;0,1,0)</f>
        <v/>
      </c>
      <c r="W2924" s="17" t="str">
        <f>IF(INDEX(Listado!L:L,ROW())="","",INDEX(Listado!L:L,ROW()))</f>
        <v/>
      </c>
      <c r="X2924" s="17">
        <f>IF(N2924="","",IF(INDEX(Listado!$M:$M,N2924)="No","No","Sí"))</f>
        <v/>
      </c>
    </row>
    <row r="2925" spans="2:24" ht="14.25">
      <c r="N2925" s="17" t="str">
        <f>IF(V2925=0,"",IFERROR(LOOKUP(2,1/(INDEX(Listado!A:A,2):INDEX(Listado!A:A,ROW())&lt;&gt;""),ROW(INDEX(Listado!A:A,2):INDEX(Listado!A:A,ROW()))),""))</f>
        <v/>
      </c>
      <c r="O2925" s="17" t="str">
        <f>IFERROR(IF(N2925="","",IF(INDEX(Listado!M:M,N2925)="No",IF(INDEX(Listado!N:N,N2925)=0,"",INDEX(Listado!N:N,N2925)),IF(INDEX(Listado!I:I,N2925)=0,"",INDEX(Listado!I:I,N2925)))),"")</f>
        <v/>
      </c>
      <c r="P2925" s="17">
        <f t="shared" ca="1" si="136"/>
        <v/>
      </c>
      <c r="Q2925" s="17">
        <f>IFERROR(IF(AND(N2925&lt;&gt;"",ISNUMBER(O2925),O2925&gt;0,O2925&gt;=TODAY()-90),1,0),0)</f>
        <v/>
      </c>
      <c r="R2925" s="17" t="str">
        <f t="shared" si="138"/>
        <v/>
      </c>
      <c r="S2925" s="17" t="str">
        <f>IF(INDEX(Listado!A:A,ROW())="","",INDEX(Listado!A:A,ROW()))</f>
        <v/>
      </c>
      <c r="T2925" s="17" t="str">
        <f ca="1">IF(INDEX(Listado!G:G,ROW())="","",INDEX(Listado!G:G,ROW()))</f>
        <v/>
      </c>
      <c r="U2925" s="17" t="str">
        <f>IF(INDEX(Listado!F:F,ROW())="","",INDEX(Listado!F:F,ROW()))</f>
        <v/>
      </c>
      <c r="V2925" s="17">
        <f>IF(COUNTA(INDEX(Listado!B:B,ROW()):INDEX(Listado!F:F,ROW()))&gt;0,1,0)</f>
        <v/>
      </c>
      <c r="W2925" s="17" t="str">
        <f>IF(INDEX(Listado!L:L,ROW())="","",INDEX(Listado!L:L,ROW()))</f>
        <v/>
      </c>
      <c r="X2925" s="17">
        <f>IF(N2925="","",IF(INDEX(Listado!$M:$M,N2925)="No","No","Sí"))</f>
        <v/>
      </c>
    </row>
    <row r="2926" spans="2:24" ht="14.25">
      <c r="N2926" s="17" t="str">
        <f>IF(V2926=0,"",IFERROR(LOOKUP(2,1/(INDEX(Listado!A:A,2):INDEX(Listado!A:A,ROW())&lt;&gt;""),ROW(INDEX(Listado!A:A,2):INDEX(Listado!A:A,ROW()))),""))</f>
        <v/>
      </c>
      <c r="O2926" s="17" t="str">
        <f>IFERROR(IF(N2926="","",IF(INDEX(Listado!M:M,N2926)="No",IF(INDEX(Listado!N:N,N2926)=0,"",INDEX(Listado!N:N,N2926)),IF(INDEX(Listado!I:I,N2926)=0,"",INDEX(Listado!I:I,N2926)))),"")</f>
        <v/>
      </c>
      <c r="P2926" s="17">
        <f t="shared" ca="1" si="136"/>
        <v/>
      </c>
      <c r="Q2926" s="17">
        <f>IFERROR(IF(AND(N2926&lt;&gt;"",ISNUMBER(O2926),O2926&gt;0,O2926&gt;=TODAY()-90),1,0),0)</f>
        <v/>
      </c>
      <c r="R2926" s="17" t="str">
        <f t="shared" si="138"/>
        <v/>
      </c>
      <c r="S2926" s="17" t="str">
        <f>IF(INDEX(Listado!A:A,ROW())="","",INDEX(Listado!A:A,ROW()))</f>
        <v/>
      </c>
      <c r="T2926" s="17" t="str">
        <f ca="1">IF(INDEX(Listado!G:G,ROW())="","",INDEX(Listado!G:G,ROW()))</f>
        <v/>
      </c>
      <c r="U2926" s="17" t="str">
        <f>IF(INDEX(Listado!F:F,ROW())="","",INDEX(Listado!F:F,ROW()))</f>
        <v/>
      </c>
      <c r="V2926" s="17">
        <f>IF(COUNTA(INDEX(Listado!B:B,ROW()):INDEX(Listado!F:F,ROW()))&gt;0,1,0)</f>
        <v/>
      </c>
      <c r="W2926" s="17" t="str">
        <f>IF(INDEX(Listado!L:L,ROW())="","",INDEX(Listado!L:L,ROW()))</f>
        <v/>
      </c>
      <c r="X2926" s="17">
        <f>IF(N2926="","",IF(INDEX(Listado!$M:$M,N2926)="No","No","Sí"))</f>
        <v/>
      </c>
    </row>
    <row r="2927" spans="2:24" ht="14.25">
      <c r="N2927" s="17" t="str">
        <f>IF(V2927=0,"",IFERROR(LOOKUP(2,1/(INDEX(Listado!A:A,2):INDEX(Listado!A:A,ROW())&lt;&gt;""),ROW(INDEX(Listado!A:A,2):INDEX(Listado!A:A,ROW()))),""))</f>
        <v/>
      </c>
      <c r="O2927" s="17" t="str">
        <f>IFERROR(IF(N2927="","",IF(INDEX(Listado!M:M,N2927)="No",IF(INDEX(Listado!N:N,N2927)=0,"",INDEX(Listado!N:N,N2927)),IF(INDEX(Listado!I:I,N2927)=0,"",INDEX(Listado!I:I,N2927)))),"")</f>
        <v/>
      </c>
      <c r="P2927" s="17">
        <f t="shared" ca="1" si="136"/>
        <v/>
      </c>
      <c r="Q2927" s="17">
        <f>IFERROR(IF(AND(N2927&lt;&gt;"",ISNUMBER(O2927),O2927&gt;0,O2927&gt;=TODAY()-90),1,0),0)</f>
        <v/>
      </c>
      <c r="R2927" s="17" t="str">
        <f t="shared" si="138"/>
        <v/>
      </c>
      <c r="S2927" s="17" t="str">
        <f>IF(INDEX(Listado!A:A,ROW())="","",INDEX(Listado!A:A,ROW()))</f>
        <v/>
      </c>
      <c r="T2927" s="17" t="str">
        <f ca="1">IF(INDEX(Listado!G:G,ROW())="","",INDEX(Listado!G:G,ROW()))</f>
        <v/>
      </c>
      <c r="U2927" s="17" t="str">
        <f>IF(INDEX(Listado!F:F,ROW())="","",INDEX(Listado!F:F,ROW()))</f>
        <v/>
      </c>
      <c r="V2927" s="17">
        <f>IF(COUNTA(INDEX(Listado!B:B,ROW()):INDEX(Listado!F:F,ROW()))&gt;0,1,0)</f>
        <v/>
      </c>
      <c r="W2927" s="17" t="str">
        <f>IF(INDEX(Listado!L:L,ROW())="","",INDEX(Listado!L:L,ROW()))</f>
        <v/>
      </c>
      <c r="X2927" s="17">
        <f>IF(N2927="","",IF(INDEX(Listado!$M:$M,N2927)="No","No","Sí"))</f>
        <v/>
      </c>
    </row>
    <row r="2928" spans="2:24" ht="14.25">
      <c r="N2928" s="17" t="str">
        <f>IF(V2928=0,"",IFERROR(LOOKUP(2,1/(INDEX(Listado!A:A,2):INDEX(Listado!A:A,ROW())&lt;&gt;""),ROW(INDEX(Listado!A:A,2):INDEX(Listado!A:A,ROW()))),""))</f>
        <v/>
      </c>
      <c r="O2928" s="17" t="str">
        <f>IFERROR(IF(N2928="","",IF(INDEX(Listado!M:M,N2928)="No",IF(INDEX(Listado!N:N,N2928)=0,"",INDEX(Listado!N:N,N2928)),IF(INDEX(Listado!I:I,N2928)=0,"",INDEX(Listado!I:I,N2928)))),"")</f>
        <v/>
      </c>
      <c r="P2928" s="17">
        <f t="shared" ca="1" si="136"/>
        <v/>
      </c>
      <c r="Q2928" s="17">
        <f>IFERROR(IF(AND(N2928&lt;&gt;"",ISNUMBER(O2928),O2928&gt;0,O2928&gt;=TODAY()-90),1,0),0)</f>
        <v/>
      </c>
      <c r="R2928" s="17" t="str">
        <f t="shared" si="138"/>
        <v/>
      </c>
      <c r="S2928" s="17" t="str">
        <f>IF(INDEX(Listado!A:A,ROW())="","",INDEX(Listado!A:A,ROW()))</f>
        <v/>
      </c>
      <c r="T2928" s="17" t="str">
        <f ca="1">IF(INDEX(Listado!G:G,ROW())="","",INDEX(Listado!G:G,ROW()))</f>
        <v/>
      </c>
      <c r="U2928" s="17" t="str">
        <f>IF(INDEX(Listado!F:F,ROW())="","",INDEX(Listado!F:F,ROW()))</f>
        <v/>
      </c>
      <c r="V2928" s="17">
        <f>IF(COUNTA(INDEX(Listado!B:B,ROW()):INDEX(Listado!F:F,ROW()))&gt;0,1,0)</f>
        <v/>
      </c>
      <c r="W2928" s="17" t="str">
        <f>IF(INDEX(Listado!L:L,ROW())="","",INDEX(Listado!L:L,ROW()))</f>
        <v/>
      </c>
      <c r="X2928" s="17">
        <f>IF(N2928="","",IF(INDEX(Listado!$M:$M,N2928)="No","No","Sí"))</f>
        <v/>
      </c>
    </row>
    <row r="2929" spans="2:24" ht="14.25">
      <c r="N2929" s="17" t="str">
        <f>IF(V2929=0,"",IFERROR(LOOKUP(2,1/(INDEX(Listado!A:A,2):INDEX(Listado!A:A,ROW())&lt;&gt;""),ROW(INDEX(Listado!A:A,2):INDEX(Listado!A:A,ROW()))),""))</f>
        <v/>
      </c>
      <c r="O2929" s="17" t="str">
        <f>IFERROR(IF(N2929="","",IF(INDEX(Listado!M:M,N2929)="No",IF(INDEX(Listado!N:N,N2929)=0,"",INDEX(Listado!N:N,N2929)),IF(INDEX(Listado!I:I,N2929)=0,"",INDEX(Listado!I:I,N2929)))),"")</f>
        <v/>
      </c>
      <c r="P2929" s="17">
        <f t="shared" ca="1" si="136"/>
        <v/>
      </c>
      <c r="Q2929" s="17">
        <f>IFERROR(IF(AND(N2929&lt;&gt;"",ISNUMBER(O2929),O2929&gt;0,O2929&gt;=TODAY()-90),1,0),0)</f>
        <v/>
      </c>
      <c r="R2929" s="17" t="str">
        <f t="shared" si="138"/>
        <v/>
      </c>
      <c r="S2929" s="17" t="str">
        <f>IF(INDEX(Listado!A:A,ROW())="","",INDEX(Listado!A:A,ROW()))</f>
        <v/>
      </c>
      <c r="T2929" s="17" t="str">
        <f ca="1">IF(INDEX(Listado!G:G,ROW())="","",INDEX(Listado!G:G,ROW()))</f>
        <v/>
      </c>
      <c r="U2929" s="17" t="str">
        <f>IF(INDEX(Listado!F:F,ROW())="","",INDEX(Listado!F:F,ROW()))</f>
        <v/>
      </c>
      <c r="V2929" s="17">
        <f>IF(COUNTA(INDEX(Listado!B:B,ROW()):INDEX(Listado!F:F,ROW()))&gt;0,1,0)</f>
        <v/>
      </c>
      <c r="W2929" s="17" t="str">
        <f>IF(INDEX(Listado!L:L,ROW())="","",INDEX(Listado!L:L,ROW()))</f>
        <v/>
      </c>
      <c r="X2929" s="17">
        <f>IF(N2929="","",IF(INDEX(Listado!$M:$M,N2929)="No","No","Sí"))</f>
        <v/>
      </c>
    </row>
    <row r="2930" spans="2:24" ht="14.25">
      <c r="N2930" s="17" t="str">
        <f>IF(V2930=0,"",IFERROR(LOOKUP(2,1/(INDEX(Listado!A:A,2):INDEX(Listado!A:A,ROW())&lt;&gt;""),ROW(INDEX(Listado!A:A,2):INDEX(Listado!A:A,ROW()))),""))</f>
        <v/>
      </c>
      <c r="O2930" s="17" t="str">
        <f>IFERROR(IF(N2930="","",IF(INDEX(Listado!M:M,N2930)="No",IF(INDEX(Listado!N:N,N2930)=0,"",INDEX(Listado!N:N,N2930)),IF(INDEX(Listado!I:I,N2930)=0,"",INDEX(Listado!I:I,N2930)))),"")</f>
        <v/>
      </c>
      <c r="P2930" s="17">
        <f t="shared" ca="1" si="136"/>
        <v/>
      </c>
      <c r="Q2930" s="17">
        <f>IFERROR(IF(AND(N2930&lt;&gt;"",ISNUMBER(O2930),O2930&gt;0,O2930&gt;=TODAY()-90),1,0),0)</f>
        <v/>
      </c>
      <c r="R2930" s="17" t="str">
        <f t="shared" si="138"/>
        <v/>
      </c>
      <c r="S2930" s="17" t="str">
        <f>IF(INDEX(Listado!A:A,ROW())="","",INDEX(Listado!A:A,ROW()))</f>
        <v/>
      </c>
      <c r="T2930" s="17" t="str">
        <f ca="1">IF(INDEX(Listado!G:G,ROW())="","",INDEX(Listado!G:G,ROW()))</f>
        <v/>
      </c>
      <c r="U2930" s="17" t="str">
        <f>IF(INDEX(Listado!F:F,ROW())="","",INDEX(Listado!F:F,ROW()))</f>
        <v/>
      </c>
      <c r="V2930" s="17">
        <f>IF(COUNTA(INDEX(Listado!B:B,ROW()):INDEX(Listado!F:F,ROW()))&gt;0,1,0)</f>
        <v/>
      </c>
      <c r="W2930" s="17" t="str">
        <f>IF(INDEX(Listado!L:L,ROW())="","",INDEX(Listado!L:L,ROW()))</f>
        <v/>
      </c>
      <c r="X2930" s="17">
        <f>IF(N2930="","",IF(INDEX(Listado!$M:$M,N2930)="No","No","Sí"))</f>
        <v/>
      </c>
    </row>
    <row r="2931" spans="2:24" ht="14.25">
      <c r="N2931" s="17" t="str">
        <f>IF(V2931=0,"",IFERROR(LOOKUP(2,1/(INDEX(Listado!A:A,2):INDEX(Listado!A:A,ROW())&lt;&gt;""),ROW(INDEX(Listado!A:A,2):INDEX(Listado!A:A,ROW()))),""))</f>
        <v/>
      </c>
      <c r="O2931" s="17" t="str">
        <f>IFERROR(IF(N2931="","",IF(INDEX(Listado!M:M,N2931)="No",IF(INDEX(Listado!N:N,N2931)=0,"",INDEX(Listado!N:N,N2931)),IF(INDEX(Listado!I:I,N2931)=0,"",INDEX(Listado!I:I,N2931)))),"")</f>
        <v/>
      </c>
      <c r="P2931" s="17">
        <f t="shared" ca="1" si="136"/>
        <v/>
      </c>
      <c r="Q2931" s="17">
        <f>IFERROR(IF(AND(N2931&lt;&gt;"",ISNUMBER(O2931),O2931&gt;0,O2931&gt;=TODAY()-90),1,0),0)</f>
        <v/>
      </c>
      <c r="R2931" s="17" t="str">
        <f t="shared" si="138"/>
        <v/>
      </c>
      <c r="S2931" s="17" t="str">
        <f>IF(INDEX(Listado!A:A,ROW())="","",INDEX(Listado!A:A,ROW()))</f>
        <v/>
      </c>
      <c r="T2931" s="17" t="str">
        <f ca="1">IF(INDEX(Listado!G:G,ROW())="","",INDEX(Listado!G:G,ROW()))</f>
        <v/>
      </c>
      <c r="U2931" s="17" t="str">
        <f>IF(INDEX(Listado!F:F,ROW())="","",INDEX(Listado!F:F,ROW()))</f>
        <v/>
      </c>
      <c r="V2931" s="17">
        <f>IF(COUNTA(INDEX(Listado!B:B,ROW()):INDEX(Listado!F:F,ROW()))&gt;0,1,0)</f>
        <v/>
      </c>
      <c r="W2931" s="17" t="str">
        <f>IF(INDEX(Listado!L:L,ROW())="","",INDEX(Listado!L:L,ROW()))</f>
        <v/>
      </c>
      <c r="X2931" s="17">
        <f>IF(N2931="","",IF(INDEX(Listado!$M:$M,N2931)="No","No","Sí"))</f>
        <v/>
      </c>
    </row>
    <row r="2932" spans="2:24" ht="14.25">
      <c r="N2932" s="17" t="str">
        <f>IF(V2932=0,"",IFERROR(LOOKUP(2,1/(INDEX(Listado!A:A,2):INDEX(Listado!A:A,ROW())&lt;&gt;""),ROW(INDEX(Listado!A:A,2):INDEX(Listado!A:A,ROW()))),""))</f>
        <v/>
      </c>
      <c r="O2932" s="17" t="str">
        <f>IFERROR(IF(N2932="","",IF(INDEX(Listado!M:M,N2932)="No",IF(INDEX(Listado!N:N,N2932)=0,"",INDEX(Listado!N:N,N2932)),IF(INDEX(Listado!I:I,N2932)=0,"",INDEX(Listado!I:I,N2932)))),"")</f>
        <v/>
      </c>
      <c r="P2932" s="17">
        <f t="shared" ca="1" si="136"/>
        <v/>
      </c>
      <c r="Q2932" s="17">
        <f>IFERROR(IF(AND(N2932&lt;&gt;"",ISNUMBER(O2932),O2932&gt;0,O2932&gt;=TODAY()-90),1,0),0)</f>
        <v/>
      </c>
      <c r="R2932" s="17" t="str">
        <f t="shared" si="138"/>
        <v/>
      </c>
      <c r="S2932" s="17" t="str">
        <f>IF(INDEX(Listado!A:A,ROW())="","",INDEX(Listado!A:A,ROW()))</f>
        <v/>
      </c>
      <c r="T2932" s="17" t="str">
        <f ca="1">IF(INDEX(Listado!G:G,ROW())="","",INDEX(Listado!G:G,ROW()))</f>
        <v/>
      </c>
      <c r="U2932" s="17" t="str">
        <f>IF(INDEX(Listado!F:F,ROW())="","",INDEX(Listado!F:F,ROW()))</f>
        <v/>
      </c>
      <c r="V2932" s="17">
        <f>IF(COUNTA(INDEX(Listado!B:B,ROW()):INDEX(Listado!F:F,ROW()))&gt;0,1,0)</f>
        <v/>
      </c>
      <c r="W2932" s="17" t="str">
        <f>IF(INDEX(Listado!L:L,ROW())="","",INDEX(Listado!L:L,ROW()))</f>
        <v/>
      </c>
      <c r="X2932" s="17">
        <f>IF(N2932="","",IF(INDEX(Listado!$M:$M,N2932)="No","No","Sí"))</f>
        <v/>
      </c>
    </row>
    <row r="2933" spans="2:24" ht="14.25">
      <c r="N2933" s="17" t="str">
        <f>IF(V2933=0,"",IFERROR(LOOKUP(2,1/(INDEX(Listado!A:A,2):INDEX(Listado!A:A,ROW())&lt;&gt;""),ROW(INDEX(Listado!A:A,2):INDEX(Listado!A:A,ROW()))),""))</f>
        <v/>
      </c>
      <c r="O2933" s="17" t="str">
        <f>IFERROR(IF(N2933="","",IF(INDEX(Listado!M:M,N2933)="No",IF(INDEX(Listado!N:N,N2933)=0,"",INDEX(Listado!N:N,N2933)),IF(INDEX(Listado!I:I,N2933)=0,"",INDEX(Listado!I:I,N2933)))),"")</f>
        <v/>
      </c>
      <c r="P2933" s="17">
        <f t="shared" ca="1" si="136"/>
        <v/>
      </c>
      <c r="Q2933" s="17">
        <f>IFERROR(IF(AND(N2933&lt;&gt;"",ISNUMBER(O2933),O2933&gt;0,O2933&gt;=TODAY()-90),1,0),0)</f>
        <v/>
      </c>
      <c r="R2933" s="17" t="str">
        <f t="shared" si="138"/>
        <v/>
      </c>
      <c r="S2933" s="17" t="str">
        <f>IF(INDEX(Listado!A:A,ROW())="","",INDEX(Listado!A:A,ROW()))</f>
        <v/>
      </c>
      <c r="T2933" s="17" t="str">
        <f ca="1">IF(INDEX(Listado!G:G,ROW())="","",INDEX(Listado!G:G,ROW()))</f>
        <v/>
      </c>
      <c r="U2933" s="17" t="str">
        <f>IF(INDEX(Listado!F:F,ROW())="","",INDEX(Listado!F:F,ROW()))</f>
        <v/>
      </c>
      <c r="V2933" s="17">
        <f>IF(COUNTA(INDEX(Listado!B:B,ROW()):INDEX(Listado!F:F,ROW()))&gt;0,1,0)</f>
        <v/>
      </c>
      <c r="W2933" s="17" t="str">
        <f>IF(INDEX(Listado!L:L,ROW())="","",INDEX(Listado!L:L,ROW()))</f>
        <v/>
      </c>
      <c r="X2933" s="17">
        <f>IF(N2933="","",IF(INDEX(Listado!$M:$M,N2933)="No","No","Sí"))</f>
        <v/>
      </c>
    </row>
    <row r="2934" spans="2:24" ht="14.25">
      <c r="N2934" s="17" t="str">
        <f>IF(V2934=0,"",IFERROR(LOOKUP(2,1/(INDEX(Listado!A:A,2):INDEX(Listado!A:A,ROW())&lt;&gt;""),ROW(INDEX(Listado!A:A,2):INDEX(Listado!A:A,ROW()))),""))</f>
        <v/>
      </c>
      <c r="O2934" s="17" t="str">
        <f>IFERROR(IF(N2934="","",IF(INDEX(Listado!M:M,N2934)="No",IF(INDEX(Listado!N:N,N2934)=0,"",INDEX(Listado!N:N,N2934)),IF(INDEX(Listado!I:I,N2934)=0,"",INDEX(Listado!I:I,N2934)))),"")</f>
        <v/>
      </c>
      <c r="P2934" s="17">
        <f t="shared" ca="1" si="136"/>
        <v/>
      </c>
      <c r="Q2934" s="17">
        <f>IFERROR(IF(AND(N2934&lt;&gt;"",ISNUMBER(O2934),O2934&gt;0,O2934&gt;=TODAY()-90),1,0),0)</f>
        <v/>
      </c>
      <c r="R2934" s="17" t="str">
        <f t="shared" si="138"/>
        <v/>
      </c>
      <c r="S2934" s="17" t="str">
        <f>IF(INDEX(Listado!A:A,ROW())="","",INDEX(Listado!A:A,ROW()))</f>
        <v/>
      </c>
      <c r="T2934" s="17" t="str">
        <f ca="1">IF(INDEX(Listado!G:G,ROW())="","",INDEX(Listado!G:G,ROW()))</f>
        <v/>
      </c>
      <c r="U2934" s="17" t="str">
        <f>IF(INDEX(Listado!F:F,ROW())="","",INDEX(Listado!F:F,ROW()))</f>
        <v/>
      </c>
      <c r="V2934" s="17">
        <f>IF(COUNTA(INDEX(Listado!B:B,ROW()):INDEX(Listado!F:F,ROW()))&gt;0,1,0)</f>
        <v/>
      </c>
      <c r="W2934" s="17" t="str">
        <f>IF(INDEX(Listado!L:L,ROW())="","",INDEX(Listado!L:L,ROW()))</f>
        <v/>
      </c>
      <c r="X2934" s="17">
        <f>IF(N2934="","",IF(INDEX(Listado!$M:$M,N2934)="No","No","Sí"))</f>
        <v/>
      </c>
    </row>
    <row r="2935" spans="2:24" ht="14.25">
      <c r="N2935" s="17" t="str">
        <f>IF(V2935=0,"",IFERROR(LOOKUP(2,1/(INDEX(Listado!A:A,2):INDEX(Listado!A:A,ROW())&lt;&gt;""),ROW(INDEX(Listado!A:A,2):INDEX(Listado!A:A,ROW()))),""))</f>
        <v/>
      </c>
      <c r="O2935" s="17" t="str">
        <f>IFERROR(IF(N2935="","",IF(INDEX(Listado!M:M,N2935)="No",IF(INDEX(Listado!N:N,N2935)=0,"",INDEX(Listado!N:N,N2935)),IF(INDEX(Listado!I:I,N2935)=0,"",INDEX(Listado!I:I,N2935)))),"")</f>
        <v/>
      </c>
      <c r="P2935" s="17">
        <f t="shared" ca="1" si="136"/>
        <v/>
      </c>
      <c r="Q2935" s="17">
        <f>IFERROR(IF(AND(N2935&lt;&gt;"",ISNUMBER(O2935),O2935&gt;0,O2935&gt;=TODAY()-90),1,0),0)</f>
        <v/>
      </c>
      <c r="R2935" s="17" t="str">
        <f t="shared" si="138"/>
        <v/>
      </c>
      <c r="S2935" s="17" t="str">
        <f>IF(INDEX(Listado!A:A,ROW())="","",INDEX(Listado!A:A,ROW()))</f>
        <v/>
      </c>
      <c r="T2935" s="17" t="str">
        <f ca="1">IF(INDEX(Listado!G:G,ROW())="","",INDEX(Listado!G:G,ROW()))</f>
        <v/>
      </c>
      <c r="U2935" s="17" t="str">
        <f>IF(INDEX(Listado!F:F,ROW())="","",INDEX(Listado!F:F,ROW()))</f>
        <v/>
      </c>
      <c r="V2935" s="17">
        <f>IF(COUNTA(INDEX(Listado!B:B,ROW()):INDEX(Listado!F:F,ROW()))&gt;0,1,0)</f>
        <v/>
      </c>
      <c r="W2935" s="17" t="str">
        <f>IF(INDEX(Listado!L:L,ROW())="","",INDEX(Listado!L:L,ROW()))</f>
        <v/>
      </c>
      <c r="X2935" s="17">
        <f>IF(N2935="","",IF(INDEX(Listado!$M:$M,N2935)="No","No","Sí"))</f>
        <v/>
      </c>
    </row>
    <row r="2936" spans="2:24" ht="14.25">
      <c r="N2936" s="17" t="str">
        <f>IF(V2936=0,"",IFERROR(LOOKUP(2,1/(INDEX(Listado!A:A,2):INDEX(Listado!A:A,ROW())&lt;&gt;""),ROW(INDEX(Listado!A:A,2):INDEX(Listado!A:A,ROW()))),""))</f>
        <v/>
      </c>
      <c r="O2936" s="17" t="str">
        <f>IFERROR(IF(N2936="","",IF(INDEX(Listado!M:M,N2936)="No",IF(INDEX(Listado!N:N,N2936)=0,"",INDEX(Listado!N:N,N2936)),IF(INDEX(Listado!I:I,N2936)=0,"",INDEX(Listado!I:I,N2936)))),"")</f>
        <v/>
      </c>
      <c r="P2936" s="17">
        <f t="shared" ca="1" si="136"/>
        <v/>
      </c>
      <c r="Q2936" s="17">
        <f>IFERROR(IF(AND(N2936&lt;&gt;"",ISNUMBER(O2936),O2936&gt;0,O2936&gt;=TODAY()-90),1,0),0)</f>
        <v/>
      </c>
      <c r="R2936" s="17" t="str">
        <f t="shared" si="138"/>
        <v/>
      </c>
      <c r="S2936" s="17" t="str">
        <f>IF(INDEX(Listado!A:A,ROW())="","",INDEX(Listado!A:A,ROW()))</f>
        <v/>
      </c>
      <c r="T2936" s="17" t="str">
        <f ca="1">IF(INDEX(Listado!G:G,ROW())="","",INDEX(Listado!G:G,ROW()))</f>
        <v/>
      </c>
      <c r="U2936" s="17" t="str">
        <f>IF(INDEX(Listado!F:F,ROW())="","",INDEX(Listado!F:F,ROW()))</f>
        <v/>
      </c>
      <c r="V2936" s="17">
        <f>IF(COUNTA(INDEX(Listado!B:B,ROW()):INDEX(Listado!F:F,ROW()))&gt;0,1,0)</f>
        <v/>
      </c>
      <c r="W2936" s="17" t="str">
        <f>IF(INDEX(Listado!L:L,ROW())="","",INDEX(Listado!L:L,ROW()))</f>
        <v/>
      </c>
      <c r="X2936" s="17">
        <f>IF(N2936="","",IF(INDEX(Listado!$M:$M,N2936)="No","No","Sí"))</f>
        <v/>
      </c>
    </row>
    <row r="2937" spans="2:24" ht="14.25">
      <c r="N2937" s="17" t="str">
        <f>IF(V2937=0,"",IFERROR(LOOKUP(2,1/(INDEX(Listado!A:A,2):INDEX(Listado!A:A,ROW())&lt;&gt;""),ROW(INDEX(Listado!A:A,2):INDEX(Listado!A:A,ROW()))),""))</f>
        <v/>
      </c>
      <c r="O2937" s="17" t="str">
        <f>IFERROR(IF(N2937="","",IF(INDEX(Listado!M:M,N2937)="No",IF(INDEX(Listado!N:N,N2937)=0,"",INDEX(Listado!N:N,N2937)),IF(INDEX(Listado!I:I,N2937)=0,"",INDEX(Listado!I:I,N2937)))),"")</f>
        <v/>
      </c>
      <c r="P2937" s="17">
        <f t="shared" ca="1" si="136"/>
        <v/>
      </c>
      <c r="Q2937" s="17">
        <f>IFERROR(IF(AND(N2937&lt;&gt;"",ISNUMBER(O2937),O2937&gt;0,O2937&gt;=TODAY()-90),1,0),0)</f>
        <v/>
      </c>
      <c r="R2937" s="17" t="str">
        <f t="shared" si="138"/>
        <v/>
      </c>
      <c r="S2937" s="17" t="str">
        <f>IF(INDEX(Listado!A:A,ROW())="","",INDEX(Listado!A:A,ROW()))</f>
        <v/>
      </c>
      <c r="T2937" s="17" t="str">
        <f ca="1">IF(INDEX(Listado!G:G,ROW())="","",INDEX(Listado!G:G,ROW()))</f>
        <v/>
      </c>
      <c r="U2937" s="17" t="str">
        <f>IF(INDEX(Listado!F:F,ROW())="","",INDEX(Listado!F:F,ROW()))</f>
        <v/>
      </c>
      <c r="V2937" s="17">
        <f>IF(COUNTA(INDEX(Listado!B:B,ROW()):INDEX(Listado!F:F,ROW()))&gt;0,1,0)</f>
        <v/>
      </c>
      <c r="W2937" s="17" t="str">
        <f>IF(INDEX(Listado!L:L,ROW())="","",INDEX(Listado!L:L,ROW()))</f>
        <v/>
      </c>
      <c r="X2937" s="17">
        <f>IF(N2937="","",IF(INDEX(Listado!$M:$M,N2937)="No","No","Sí"))</f>
        <v/>
      </c>
    </row>
    <row r="2938" spans="2:24" ht="14.25">
      <c r="N2938" s="17" t="str">
        <f>IF(V2938=0,"",IFERROR(LOOKUP(2,1/(INDEX(Listado!A:A,2):INDEX(Listado!A:A,ROW())&lt;&gt;""),ROW(INDEX(Listado!A:A,2):INDEX(Listado!A:A,ROW()))),""))</f>
        <v/>
      </c>
      <c r="O2938" s="17" t="str">
        <f>IFERROR(IF(N2938="","",IF(INDEX(Listado!M:M,N2938)="No",IF(INDEX(Listado!N:N,N2938)=0,"",INDEX(Listado!N:N,N2938)),IF(INDEX(Listado!I:I,N2938)=0,"",INDEX(Listado!I:I,N2938)))),"")</f>
        <v/>
      </c>
      <c r="P2938" s="17">
        <f t="shared" ca="1" si="136"/>
        <v/>
      </c>
      <c r="Q2938" s="17">
        <f>IFERROR(IF(AND(N2938&lt;&gt;"",ISNUMBER(O2938),O2938&gt;0,O2938&gt;=TODAY()-90),1,0),0)</f>
        <v/>
      </c>
      <c r="R2938" s="17" t="str">
        <f t="shared" si="138"/>
        <v/>
      </c>
      <c r="S2938" s="17" t="str">
        <f>IF(INDEX(Listado!A:A,ROW())="","",INDEX(Listado!A:A,ROW()))</f>
        <v/>
      </c>
      <c r="T2938" s="17" t="str">
        <f ca="1">IF(INDEX(Listado!G:G,ROW())="","",INDEX(Listado!G:G,ROW()))</f>
        <v/>
      </c>
      <c r="U2938" s="17" t="str">
        <f>IF(INDEX(Listado!F:F,ROW())="","",INDEX(Listado!F:F,ROW()))</f>
        <v/>
      </c>
      <c r="V2938" s="17">
        <f>IF(COUNTA(INDEX(Listado!B:B,ROW()):INDEX(Listado!F:F,ROW()))&gt;0,1,0)</f>
        <v/>
      </c>
      <c r="W2938" s="17" t="str">
        <f>IF(INDEX(Listado!L:L,ROW())="","",INDEX(Listado!L:L,ROW()))</f>
        <v/>
      </c>
      <c r="X2938" s="17">
        <f>IF(N2938="","",IF(INDEX(Listado!$M:$M,N2938)="No","No","Sí"))</f>
        <v/>
      </c>
    </row>
    <row r="2939" spans="2:24" ht="14.25">
      <c r="N2939" s="17" t="str">
        <f>IF(V2939=0,"",IFERROR(LOOKUP(2,1/(INDEX(Listado!A:A,2):INDEX(Listado!A:A,ROW())&lt;&gt;""),ROW(INDEX(Listado!A:A,2):INDEX(Listado!A:A,ROW()))),""))</f>
        <v/>
      </c>
      <c r="O2939" s="17" t="str">
        <f>IFERROR(IF(N2939="","",IF(INDEX(Listado!M:M,N2939)="No",IF(INDEX(Listado!N:N,N2939)=0,"",INDEX(Listado!N:N,N2939)),IF(INDEX(Listado!I:I,N2939)=0,"",INDEX(Listado!I:I,N2939)))),"")</f>
        <v/>
      </c>
      <c r="P2939" s="17">
        <f t="shared" ca="1" si="136"/>
        <v/>
      </c>
      <c r="Q2939" s="17">
        <f>IFERROR(IF(AND(N2939&lt;&gt;"",ISNUMBER(O2939),O2939&gt;0,O2939&gt;=TODAY()-90),1,0),0)</f>
        <v/>
      </c>
      <c r="R2939" s="17" t="str">
        <f t="shared" si="138"/>
        <v/>
      </c>
      <c r="S2939" s="17" t="str">
        <f>IF(INDEX(Listado!A:A,ROW())="","",INDEX(Listado!A:A,ROW()))</f>
        <v/>
      </c>
      <c r="T2939" s="17" t="str">
        <f ca="1">IF(INDEX(Listado!G:G,ROW())="","",INDEX(Listado!G:G,ROW()))</f>
        <v/>
      </c>
      <c r="U2939" s="17" t="str">
        <f>IF(INDEX(Listado!F:F,ROW())="","",INDEX(Listado!F:F,ROW()))</f>
        <v/>
      </c>
      <c r="V2939" s="17">
        <f>IF(COUNTA(INDEX(Listado!B:B,ROW()):INDEX(Listado!F:F,ROW()))&gt;0,1,0)</f>
        <v/>
      </c>
      <c r="W2939" s="17" t="str">
        <f>IF(INDEX(Listado!L:L,ROW())="","",INDEX(Listado!L:L,ROW()))</f>
        <v/>
      </c>
      <c r="X2939" s="17">
        <f>IF(N2939="","",IF(INDEX(Listado!$M:$M,N2939)="No","No","Sí"))</f>
        <v/>
      </c>
    </row>
    <row r="2940" spans="2:24" ht="14.25">
      <c r="N2940" s="17" t="str">
        <f>IF(V2940=0,"",IFERROR(LOOKUP(2,1/(INDEX(Listado!A:A,2):INDEX(Listado!A:A,ROW())&lt;&gt;""),ROW(INDEX(Listado!A:A,2):INDEX(Listado!A:A,ROW()))),""))</f>
        <v/>
      </c>
      <c r="O2940" s="17" t="str">
        <f>IFERROR(IF(N2940="","",IF(INDEX(Listado!M:M,N2940)="No",IF(INDEX(Listado!N:N,N2940)=0,"",INDEX(Listado!N:N,N2940)),IF(INDEX(Listado!I:I,N2940)=0,"",INDEX(Listado!I:I,N2940)))),"")</f>
        <v/>
      </c>
      <c r="P2940" s="17">
        <f t="shared" ca="1" si="136"/>
        <v/>
      </c>
      <c r="Q2940" s="17">
        <f>IFERROR(IF(AND(N2940&lt;&gt;"",ISNUMBER(O2940),O2940&gt;0,O2940&gt;=TODAY()-90),1,0),0)</f>
        <v/>
      </c>
      <c r="R2940" s="17" t="str">
        <f t="shared" si="138"/>
        <v/>
      </c>
      <c r="S2940" s="17" t="str">
        <f>IF(INDEX(Listado!A:A,ROW())="","",INDEX(Listado!A:A,ROW()))</f>
        <v/>
      </c>
      <c r="T2940" s="17" t="str">
        <f ca="1">IF(INDEX(Listado!G:G,ROW())="","",INDEX(Listado!G:G,ROW()))</f>
        <v/>
      </c>
      <c r="U2940" s="17" t="str">
        <f>IF(INDEX(Listado!F:F,ROW())="","",INDEX(Listado!F:F,ROW()))</f>
        <v/>
      </c>
      <c r="V2940" s="17">
        <f>IF(COUNTA(INDEX(Listado!B:B,ROW()):INDEX(Listado!F:F,ROW()))&gt;0,1,0)</f>
        <v/>
      </c>
      <c r="W2940" s="17" t="str">
        <f>IF(INDEX(Listado!L:L,ROW())="","",INDEX(Listado!L:L,ROW()))</f>
        <v/>
      </c>
      <c r="X2940" s="17">
        <f>IF(N2940="","",IF(INDEX(Listado!$M:$M,N2940)="No","No","Sí"))</f>
        <v/>
      </c>
    </row>
    <row r="2941" spans="2:24" ht="14.25">
      <c r="N2941" s="17" t="str">
        <f>IF(V2941=0,"",IFERROR(LOOKUP(2,1/(INDEX(Listado!A:A,2):INDEX(Listado!A:A,ROW())&lt;&gt;""),ROW(INDEX(Listado!A:A,2):INDEX(Listado!A:A,ROW()))),""))</f>
        <v/>
      </c>
      <c r="O2941" s="17" t="str">
        <f>IFERROR(IF(N2941="","",IF(INDEX(Listado!M:M,N2941)="No",IF(INDEX(Listado!N:N,N2941)=0,"",INDEX(Listado!N:N,N2941)),IF(INDEX(Listado!I:I,N2941)=0,"",INDEX(Listado!I:I,N2941)))),"")</f>
        <v/>
      </c>
      <c r="P2941" s="17">
        <f t="shared" ca="1" si="136"/>
        <v/>
      </c>
      <c r="Q2941" s="17">
        <f>IFERROR(IF(AND(N2941&lt;&gt;"",ISNUMBER(O2941),O2941&gt;0,O2941&gt;=TODAY()-90),1,0),0)</f>
        <v/>
      </c>
      <c r="R2941" s="17" t="str">
        <f t="shared" si="138"/>
        <v/>
      </c>
      <c r="S2941" s="17" t="str">
        <f>IF(INDEX(Listado!A:A,ROW())="","",INDEX(Listado!A:A,ROW()))</f>
        <v/>
      </c>
      <c r="T2941" s="17" t="str">
        <f ca="1">IF(INDEX(Listado!G:G,ROW())="","",INDEX(Listado!G:G,ROW()))</f>
        <v/>
      </c>
      <c r="U2941" s="17" t="str">
        <f>IF(INDEX(Listado!F:F,ROW())="","",INDEX(Listado!F:F,ROW()))</f>
        <v/>
      </c>
      <c r="V2941" s="17">
        <f>IF(COUNTA(INDEX(Listado!B:B,ROW()):INDEX(Listado!F:F,ROW()))&gt;0,1,0)</f>
        <v/>
      </c>
      <c r="W2941" s="17" t="str">
        <f>IF(INDEX(Listado!L:L,ROW())="","",INDEX(Listado!L:L,ROW()))</f>
        <v/>
      </c>
      <c r="X2941" s="17">
        <f>IF(N2941="","",IF(INDEX(Listado!$M:$M,N2941)="No","No","Sí"))</f>
        <v/>
      </c>
    </row>
    <row r="2942" spans="2:24" ht="14.25">
      <c r="N2942" s="17" t="str">
        <f>IF(V2942=0,"",IFERROR(LOOKUP(2,1/(INDEX(Listado!A:A,2):INDEX(Listado!A:A,ROW())&lt;&gt;""),ROW(INDEX(Listado!A:A,2):INDEX(Listado!A:A,ROW()))),""))</f>
        <v/>
      </c>
      <c r="O2942" s="17" t="str">
        <f>IFERROR(IF(N2942="","",IF(INDEX(Listado!M:M,N2942)="No",IF(INDEX(Listado!N:N,N2942)=0,"",INDEX(Listado!N:N,N2942)),IF(INDEX(Listado!I:I,N2942)=0,"",INDEX(Listado!I:I,N2942)))),"")</f>
        <v/>
      </c>
      <c r="P2942" s="17">
        <f t="shared" ca="1" si="136"/>
        <v/>
      </c>
      <c r="Q2942" s="17">
        <f>IFERROR(IF(AND(N2942&lt;&gt;"",ISNUMBER(O2942),O2942&gt;0,O2942&gt;=TODAY()-90),1,0),0)</f>
        <v/>
      </c>
      <c r="R2942" s="17" t="str">
        <f t="shared" si="138"/>
        <v/>
      </c>
      <c r="S2942" s="17" t="str">
        <f>IF(INDEX(Listado!A:A,ROW())="","",INDEX(Listado!A:A,ROW()))</f>
        <v/>
      </c>
      <c r="T2942" s="17" t="str">
        <f ca="1">IF(INDEX(Listado!G:G,ROW())="","",INDEX(Listado!G:G,ROW()))</f>
        <v/>
      </c>
      <c r="U2942" s="17" t="str">
        <f>IF(INDEX(Listado!F:F,ROW())="","",INDEX(Listado!F:F,ROW()))</f>
        <v/>
      </c>
      <c r="V2942" s="17">
        <f>IF(COUNTA(INDEX(Listado!B:B,ROW()):INDEX(Listado!F:F,ROW()))&gt;0,1,0)</f>
        <v/>
      </c>
      <c r="W2942" s="17" t="str">
        <f>IF(INDEX(Listado!L:L,ROW())="","",INDEX(Listado!L:L,ROW()))</f>
        <v/>
      </c>
      <c r="X2942" s="17">
        <f>IF(N2942="","",IF(INDEX(Listado!$M:$M,N2942)="No","No","Sí"))</f>
        <v/>
      </c>
    </row>
    <row r="2943" spans="2:24" ht="14.25">
      <c r="N2943" s="17" t="str">
        <f>IF(V2943=0,"",IFERROR(LOOKUP(2,1/(INDEX(Listado!A:A,2):INDEX(Listado!A:A,ROW())&lt;&gt;""),ROW(INDEX(Listado!A:A,2):INDEX(Listado!A:A,ROW()))),""))</f>
        <v/>
      </c>
      <c r="O2943" s="17" t="str">
        <f>IFERROR(IF(N2943="","",IF(INDEX(Listado!M:M,N2943)="No",IF(INDEX(Listado!N:N,N2943)=0,"",INDEX(Listado!N:N,N2943)),IF(INDEX(Listado!I:I,N2943)=0,"",INDEX(Listado!I:I,N2943)))),"")</f>
        <v/>
      </c>
      <c r="P2943" s="17">
        <f t="shared" ca="1" si="136"/>
        <v/>
      </c>
      <c r="Q2943" s="17">
        <f>IFERROR(IF(AND(N2943&lt;&gt;"",ISNUMBER(O2943),O2943&gt;0,O2943&gt;=TODAY()-90),1,0),0)</f>
        <v/>
      </c>
      <c r="R2943" s="17" t="str">
        <f t="shared" si="138"/>
        <v/>
      </c>
      <c r="S2943" s="17" t="str">
        <f>IF(INDEX(Listado!A:A,ROW())="","",INDEX(Listado!A:A,ROW()))</f>
        <v/>
      </c>
      <c r="T2943" s="17" t="str">
        <f ca="1">IF(INDEX(Listado!G:G,ROW())="","",INDEX(Listado!G:G,ROW()))</f>
        <v/>
      </c>
      <c r="U2943" s="17" t="str">
        <f>IF(INDEX(Listado!F:F,ROW())="","",INDEX(Listado!F:F,ROW()))</f>
        <v/>
      </c>
      <c r="V2943" s="17">
        <f>IF(COUNTA(INDEX(Listado!B:B,ROW()):INDEX(Listado!F:F,ROW()))&gt;0,1,0)</f>
        <v/>
      </c>
      <c r="W2943" s="17" t="str">
        <f>IF(INDEX(Listado!L:L,ROW())="","",INDEX(Listado!L:L,ROW()))</f>
        <v/>
      </c>
      <c r="X2943" s="17">
        <f>IF(N2943="","",IF(INDEX(Listado!$M:$M,N2943)="No","No","Sí"))</f>
        <v/>
      </c>
    </row>
    <row r="2944" spans="2:24" ht="14.25">
      <c r="N2944" s="17" t="str">
        <f>IF(V2944=0,"",IFERROR(LOOKUP(2,1/(INDEX(Listado!A:A,2):INDEX(Listado!A:A,ROW())&lt;&gt;""),ROW(INDEX(Listado!A:A,2):INDEX(Listado!A:A,ROW()))),""))</f>
        <v/>
      </c>
      <c r="O2944" s="17" t="str">
        <f>IFERROR(IF(N2944="","",IF(INDEX(Listado!M:M,N2944)="No",IF(INDEX(Listado!N:N,N2944)=0,"",INDEX(Listado!N:N,N2944)),IF(INDEX(Listado!I:I,N2944)=0,"",INDEX(Listado!I:I,N2944)))),"")</f>
        <v/>
      </c>
      <c r="P2944" s="17">
        <f t="shared" ca="1" si="136"/>
        <v/>
      </c>
      <c r="Q2944" s="17">
        <f>IFERROR(IF(AND(N2944&lt;&gt;"",ISNUMBER(O2944),O2944&gt;0,O2944&gt;=TODAY()-90),1,0),0)</f>
        <v/>
      </c>
      <c r="R2944" s="17" t="str">
        <f t="shared" si="138"/>
        <v/>
      </c>
      <c r="S2944" s="17" t="str">
        <f>IF(INDEX(Listado!A:A,ROW())="","",INDEX(Listado!A:A,ROW()))</f>
        <v/>
      </c>
      <c r="T2944" s="17" t="str">
        <f ca="1">IF(INDEX(Listado!G:G,ROW())="","",INDEX(Listado!G:G,ROW()))</f>
        <v/>
      </c>
      <c r="U2944" s="17" t="str">
        <f>IF(INDEX(Listado!F:F,ROW())="","",INDEX(Listado!F:F,ROW()))</f>
        <v/>
      </c>
      <c r="V2944" s="17">
        <f>IF(COUNTA(INDEX(Listado!B:B,ROW()):INDEX(Listado!F:F,ROW()))&gt;0,1,0)</f>
        <v/>
      </c>
      <c r="W2944" s="17" t="str">
        <f>IF(INDEX(Listado!L:L,ROW())="","",INDEX(Listado!L:L,ROW()))</f>
        <v/>
      </c>
      <c r="X2944" s="17">
        <f>IF(N2944="","",IF(INDEX(Listado!$M:$M,N2944)="No","No","Sí"))</f>
        <v/>
      </c>
    </row>
    <row r="2945" spans="2:24" ht="14.25">
      <c r="N2945" s="17" t="str">
        <f>IF(V2945=0,"",IFERROR(LOOKUP(2,1/(INDEX(Listado!A:A,2):INDEX(Listado!A:A,ROW())&lt;&gt;""),ROW(INDEX(Listado!A:A,2):INDEX(Listado!A:A,ROW()))),""))</f>
        <v/>
      </c>
      <c r="O2945" s="17" t="str">
        <f>IFERROR(IF(N2945="","",IF(INDEX(Listado!M:M,N2945)="No",IF(INDEX(Listado!N:N,N2945)=0,"",INDEX(Listado!N:N,N2945)),IF(INDEX(Listado!I:I,N2945)=0,"",INDEX(Listado!I:I,N2945)))),"")</f>
        <v/>
      </c>
      <c r="P2945" s="17">
        <f t="shared" ca="1" si="136"/>
        <v/>
      </c>
      <c r="Q2945" s="17">
        <f>IFERROR(IF(AND(N2945&lt;&gt;"",ISNUMBER(O2945),O2945&gt;0,O2945&gt;=TODAY()-90),1,0),0)</f>
        <v/>
      </c>
      <c r="R2945" s="17" t="str">
        <f t="shared" si="138"/>
        <v/>
      </c>
      <c r="S2945" s="17" t="str">
        <f>IF(INDEX(Listado!A:A,ROW())="","",INDEX(Listado!A:A,ROW()))</f>
        <v/>
      </c>
      <c r="T2945" s="17" t="str">
        <f ca="1">IF(INDEX(Listado!G:G,ROW())="","",INDEX(Listado!G:G,ROW()))</f>
        <v/>
      </c>
      <c r="U2945" s="17" t="str">
        <f>IF(INDEX(Listado!F:F,ROW())="","",INDEX(Listado!F:F,ROW()))</f>
        <v/>
      </c>
      <c r="V2945" s="17">
        <f>IF(COUNTA(INDEX(Listado!B:B,ROW()):INDEX(Listado!F:F,ROW()))&gt;0,1,0)</f>
        <v/>
      </c>
      <c r="W2945" s="17" t="str">
        <f>IF(INDEX(Listado!L:L,ROW())="","",INDEX(Listado!L:L,ROW()))</f>
        <v/>
      </c>
      <c r="X2945" s="17">
        <f>IF(N2945="","",IF(INDEX(Listado!$M:$M,N2945)="No","No","Sí"))</f>
        <v/>
      </c>
    </row>
    <row r="2946" spans="2:24" ht="14.25">
      <c r="N2946" s="17" t="str">
        <f>IF(V2946=0,"",IFERROR(LOOKUP(2,1/(INDEX(Listado!A:A,2):INDEX(Listado!A:A,ROW())&lt;&gt;""),ROW(INDEX(Listado!A:A,2):INDEX(Listado!A:A,ROW()))),""))</f>
        <v/>
      </c>
      <c r="O2946" s="17" t="str">
        <f>IFERROR(IF(N2946="","",IF(INDEX(Listado!M:M,N2946)="No",IF(INDEX(Listado!N:N,N2946)=0,"",INDEX(Listado!N:N,N2946)),IF(INDEX(Listado!I:I,N2946)=0,"",INDEX(Listado!I:I,N2946)))),"")</f>
        <v/>
      </c>
      <c r="P2946" s="17">
        <f t="shared" ref="P2946:P2999" ca="1" si="139">IF(W2946="",0,IFERROR(IF(AND(ISNUMBER(W2946),W2946=INT(W2946),ISNUMBER(O2946),O2946&gt;0,W2946&gt;=TODAY(),W2946&lt;=O2946+90),0,1),1))</f>
        <v/>
      </c>
      <c r="Q2946" s="17">
        <f>IFERROR(IF(AND(N2946&lt;&gt;"",ISNUMBER(O2946),O2946&gt;0,O2946&gt;=TODAY()-90),1,0),0)</f>
        <v/>
      </c>
      <c r="R2946" s="17" t="str">
        <f t="shared" ref="R2946:R2999" si="141">IF(S2946="","",COUNTIFS($N$2:$N$2999,ROW(),$Q$2:$Q$2999,1))</f>
        <v/>
      </c>
      <c r="S2946" s="17" t="str">
        <f>IF(INDEX(Listado!A:A,ROW())="","",INDEX(Listado!A:A,ROW()))</f>
        <v/>
      </c>
      <c r="T2946" s="17" t="str">
        <f ca="1">IF(INDEX(Listado!G:G,ROW())="","",INDEX(Listado!G:G,ROW()))</f>
        <v/>
      </c>
      <c r="U2946" s="17" t="str">
        <f>IF(INDEX(Listado!F:F,ROW())="","",INDEX(Listado!F:F,ROW()))</f>
        <v/>
      </c>
      <c r="V2946" s="17">
        <f>IF(COUNTA(INDEX(Listado!B:B,ROW()):INDEX(Listado!F:F,ROW()))&gt;0,1,0)</f>
        <v/>
      </c>
      <c r="W2946" s="17" t="str">
        <f>IF(INDEX(Listado!L:L,ROW())="","",INDEX(Listado!L:L,ROW()))</f>
        <v/>
      </c>
      <c r="X2946" s="17">
        <f>IF(N2946="","",IF(INDEX(Listado!$M:$M,N2946)="No","No","Sí"))</f>
        <v/>
      </c>
    </row>
    <row r="2947" spans="2:24" ht="14.25">
      <c r="N2947" s="17" t="str">
        <f>IF(V2947=0,"",IFERROR(LOOKUP(2,1/(INDEX(Listado!A:A,2):INDEX(Listado!A:A,ROW())&lt;&gt;""),ROW(INDEX(Listado!A:A,2):INDEX(Listado!A:A,ROW()))),""))</f>
        <v/>
      </c>
      <c r="O2947" s="17" t="str">
        <f>IFERROR(IF(N2947="","",IF(INDEX(Listado!M:M,N2947)="No",IF(INDEX(Listado!N:N,N2947)=0,"",INDEX(Listado!N:N,N2947)),IF(INDEX(Listado!I:I,N2947)=0,"",INDEX(Listado!I:I,N2947)))),"")</f>
        <v/>
      </c>
      <c r="P2947" s="17">
        <f t="shared" ca="1" si="139"/>
        <v/>
      </c>
      <c r="Q2947" s="17">
        <f>IFERROR(IF(AND(N2947&lt;&gt;"",ISNUMBER(O2947),O2947&gt;0,O2947&gt;=TODAY()-90),1,0),0)</f>
        <v/>
      </c>
      <c r="R2947" s="17" t="str">
        <f t="shared" si="141"/>
        <v/>
      </c>
      <c r="S2947" s="17" t="str">
        <f>IF(INDEX(Listado!A:A,ROW())="","",INDEX(Listado!A:A,ROW()))</f>
        <v/>
      </c>
      <c r="T2947" s="17" t="str">
        <f ca="1">IF(INDEX(Listado!G:G,ROW())="","",INDEX(Listado!G:G,ROW()))</f>
        <v/>
      </c>
      <c r="U2947" s="17" t="str">
        <f>IF(INDEX(Listado!F:F,ROW())="","",INDEX(Listado!F:F,ROW()))</f>
        <v/>
      </c>
      <c r="V2947" s="17">
        <f>IF(COUNTA(INDEX(Listado!B:B,ROW()):INDEX(Listado!F:F,ROW()))&gt;0,1,0)</f>
        <v/>
      </c>
      <c r="W2947" s="17" t="str">
        <f>IF(INDEX(Listado!L:L,ROW())="","",INDEX(Listado!L:L,ROW()))</f>
        <v/>
      </c>
      <c r="X2947" s="17">
        <f>IF(N2947="","",IF(INDEX(Listado!$M:$M,N2947)="No","No","Sí"))</f>
        <v/>
      </c>
    </row>
    <row r="2948" spans="2:24" ht="14.25">
      <c r="N2948" s="17" t="str">
        <f>IF(V2948=0,"",IFERROR(LOOKUP(2,1/(INDEX(Listado!A:A,2):INDEX(Listado!A:A,ROW())&lt;&gt;""),ROW(INDEX(Listado!A:A,2):INDEX(Listado!A:A,ROW()))),""))</f>
        <v/>
      </c>
      <c r="O2948" s="17" t="str">
        <f>IFERROR(IF(N2948="","",IF(INDEX(Listado!M:M,N2948)="No",IF(INDEX(Listado!N:N,N2948)=0,"",INDEX(Listado!N:N,N2948)),IF(INDEX(Listado!I:I,N2948)=0,"",INDEX(Listado!I:I,N2948)))),"")</f>
        <v/>
      </c>
      <c r="P2948" s="17">
        <f t="shared" ca="1" si="139"/>
        <v/>
      </c>
      <c r="Q2948" s="17">
        <f>IFERROR(IF(AND(N2948&lt;&gt;"",ISNUMBER(O2948),O2948&gt;0,O2948&gt;=TODAY()-90),1,0),0)</f>
        <v/>
      </c>
      <c r="R2948" s="17" t="str">
        <f t="shared" si="141"/>
        <v/>
      </c>
      <c r="S2948" s="17" t="str">
        <f>IF(INDEX(Listado!A:A,ROW())="","",INDEX(Listado!A:A,ROW()))</f>
        <v/>
      </c>
      <c r="T2948" s="17" t="str">
        <f ca="1">IF(INDEX(Listado!G:G,ROW())="","",INDEX(Listado!G:G,ROW()))</f>
        <v/>
      </c>
      <c r="U2948" s="17" t="str">
        <f>IF(INDEX(Listado!F:F,ROW())="","",INDEX(Listado!F:F,ROW()))</f>
        <v/>
      </c>
      <c r="V2948" s="17">
        <f>IF(COUNTA(INDEX(Listado!B:B,ROW()):INDEX(Listado!F:F,ROW()))&gt;0,1,0)</f>
        <v/>
      </c>
      <c r="W2948" s="17" t="str">
        <f>IF(INDEX(Listado!L:L,ROW())="","",INDEX(Listado!L:L,ROW()))</f>
        <v/>
      </c>
      <c r="X2948" s="17">
        <f>IF(N2948="","",IF(INDEX(Listado!$M:$M,N2948)="No","No","Sí"))</f>
        <v/>
      </c>
    </row>
    <row r="2949" spans="2:24" ht="14.25">
      <c r="N2949" s="17" t="str">
        <f>IF(V2949=0,"",IFERROR(LOOKUP(2,1/(INDEX(Listado!A:A,2):INDEX(Listado!A:A,ROW())&lt;&gt;""),ROW(INDEX(Listado!A:A,2):INDEX(Listado!A:A,ROW()))),""))</f>
        <v/>
      </c>
      <c r="O2949" s="17" t="str">
        <f>IFERROR(IF(N2949="","",IF(INDEX(Listado!M:M,N2949)="No",IF(INDEX(Listado!N:N,N2949)=0,"",INDEX(Listado!N:N,N2949)),IF(INDEX(Listado!I:I,N2949)=0,"",INDEX(Listado!I:I,N2949)))),"")</f>
        <v/>
      </c>
      <c r="P2949" s="17">
        <f t="shared" ca="1" si="139"/>
        <v/>
      </c>
      <c r="Q2949" s="17">
        <f>IFERROR(IF(AND(N2949&lt;&gt;"",ISNUMBER(O2949),O2949&gt;0,O2949&gt;=TODAY()-90),1,0),0)</f>
        <v/>
      </c>
      <c r="R2949" s="17" t="str">
        <f t="shared" si="141"/>
        <v/>
      </c>
      <c r="S2949" s="17" t="str">
        <f>IF(INDEX(Listado!A:A,ROW())="","",INDEX(Listado!A:A,ROW()))</f>
        <v/>
      </c>
      <c r="T2949" s="17" t="str">
        <f ca="1">IF(INDEX(Listado!G:G,ROW())="","",INDEX(Listado!G:G,ROW()))</f>
        <v/>
      </c>
      <c r="U2949" s="17" t="str">
        <f>IF(INDEX(Listado!F:F,ROW())="","",INDEX(Listado!F:F,ROW()))</f>
        <v/>
      </c>
      <c r="V2949" s="17">
        <f>IF(COUNTA(INDEX(Listado!B:B,ROW()):INDEX(Listado!F:F,ROW()))&gt;0,1,0)</f>
        <v/>
      </c>
      <c r="W2949" s="17" t="str">
        <f>IF(INDEX(Listado!L:L,ROW())="","",INDEX(Listado!L:L,ROW()))</f>
        <v/>
      </c>
      <c r="X2949" s="17">
        <f>IF(N2949="","",IF(INDEX(Listado!$M:$M,N2949)="No","No","Sí"))</f>
        <v/>
      </c>
    </row>
    <row r="2950" spans="2:24" ht="14.25">
      <c r="N2950" s="17" t="str">
        <f>IF(V2950=0,"",IFERROR(LOOKUP(2,1/(INDEX(Listado!A:A,2):INDEX(Listado!A:A,ROW())&lt;&gt;""),ROW(INDEX(Listado!A:A,2):INDEX(Listado!A:A,ROW()))),""))</f>
        <v/>
      </c>
      <c r="O2950" s="17" t="str">
        <f>IFERROR(IF(N2950="","",IF(INDEX(Listado!M:M,N2950)="No",IF(INDEX(Listado!N:N,N2950)=0,"",INDEX(Listado!N:N,N2950)),IF(INDEX(Listado!I:I,N2950)=0,"",INDEX(Listado!I:I,N2950)))),"")</f>
        <v/>
      </c>
      <c r="P2950" s="17">
        <f t="shared" ca="1" si="139"/>
        <v/>
      </c>
      <c r="Q2950" s="17">
        <f>IFERROR(IF(AND(N2950&lt;&gt;"",ISNUMBER(O2950),O2950&gt;0,O2950&gt;=TODAY()-90),1,0),0)</f>
        <v/>
      </c>
      <c r="R2950" s="17" t="str">
        <f t="shared" si="141"/>
        <v/>
      </c>
      <c r="S2950" s="17" t="str">
        <f>IF(INDEX(Listado!A:A,ROW())="","",INDEX(Listado!A:A,ROW()))</f>
        <v/>
      </c>
      <c r="T2950" s="17" t="str">
        <f ca="1">IF(INDEX(Listado!G:G,ROW())="","",INDEX(Listado!G:G,ROW()))</f>
        <v/>
      </c>
      <c r="U2950" s="17" t="str">
        <f>IF(INDEX(Listado!F:F,ROW())="","",INDEX(Listado!F:F,ROW()))</f>
        <v/>
      </c>
      <c r="V2950" s="17">
        <f>IF(COUNTA(INDEX(Listado!B:B,ROW()):INDEX(Listado!F:F,ROW()))&gt;0,1,0)</f>
        <v/>
      </c>
      <c r="W2950" s="17" t="str">
        <f>IF(INDEX(Listado!L:L,ROW())="","",INDEX(Listado!L:L,ROW()))</f>
        <v/>
      </c>
      <c r="X2950" s="17">
        <f>IF(N2950="","",IF(INDEX(Listado!$M:$M,N2950)="No","No","Sí"))</f>
        <v/>
      </c>
    </row>
    <row r="2951" spans="2:24" ht="14.25">
      <c r="N2951" s="17" t="str">
        <f>IF(V2951=0,"",IFERROR(LOOKUP(2,1/(INDEX(Listado!A:A,2):INDEX(Listado!A:A,ROW())&lt;&gt;""),ROW(INDEX(Listado!A:A,2):INDEX(Listado!A:A,ROW()))),""))</f>
        <v/>
      </c>
      <c r="O2951" s="17" t="str">
        <f>IFERROR(IF(N2951="","",IF(INDEX(Listado!M:M,N2951)="No",IF(INDEX(Listado!N:N,N2951)=0,"",INDEX(Listado!N:N,N2951)),IF(INDEX(Listado!I:I,N2951)=0,"",INDEX(Listado!I:I,N2951)))),"")</f>
        <v/>
      </c>
      <c r="P2951" s="17">
        <f t="shared" ca="1" si="139"/>
        <v/>
      </c>
      <c r="Q2951" s="17">
        <f>IFERROR(IF(AND(N2951&lt;&gt;"",ISNUMBER(O2951),O2951&gt;0,O2951&gt;=TODAY()-90),1,0),0)</f>
        <v/>
      </c>
      <c r="R2951" s="17" t="str">
        <f t="shared" si="141"/>
        <v/>
      </c>
      <c r="S2951" s="17" t="str">
        <f>IF(INDEX(Listado!A:A,ROW())="","",INDEX(Listado!A:A,ROW()))</f>
        <v/>
      </c>
      <c r="T2951" s="17" t="str">
        <f ca="1">IF(INDEX(Listado!G:G,ROW())="","",INDEX(Listado!G:G,ROW()))</f>
        <v/>
      </c>
      <c r="U2951" s="17" t="str">
        <f>IF(INDEX(Listado!F:F,ROW())="","",INDEX(Listado!F:F,ROW()))</f>
        <v/>
      </c>
      <c r="V2951" s="17">
        <f>IF(COUNTA(INDEX(Listado!B:B,ROW()):INDEX(Listado!F:F,ROW()))&gt;0,1,0)</f>
        <v/>
      </c>
      <c r="W2951" s="17" t="str">
        <f>IF(INDEX(Listado!L:L,ROW())="","",INDEX(Listado!L:L,ROW()))</f>
        <v/>
      </c>
      <c r="X2951" s="17">
        <f>IF(N2951="","",IF(INDEX(Listado!$M:$M,N2951)="No","No","Sí"))</f>
        <v/>
      </c>
    </row>
    <row r="2952" spans="2:24" ht="14.25">
      <c r="N2952" s="17" t="str">
        <f>IF(V2952=0,"",IFERROR(LOOKUP(2,1/(INDEX(Listado!A:A,2):INDEX(Listado!A:A,ROW())&lt;&gt;""),ROW(INDEX(Listado!A:A,2):INDEX(Listado!A:A,ROW()))),""))</f>
        <v/>
      </c>
      <c r="O2952" s="17" t="str">
        <f>IFERROR(IF(N2952="","",IF(INDEX(Listado!M:M,N2952)="No",IF(INDEX(Listado!N:N,N2952)=0,"",INDEX(Listado!N:N,N2952)),IF(INDEX(Listado!I:I,N2952)=0,"",INDEX(Listado!I:I,N2952)))),"")</f>
        <v/>
      </c>
      <c r="P2952" s="17">
        <f t="shared" ca="1" si="139"/>
        <v/>
      </c>
      <c r="Q2952" s="17">
        <f>IFERROR(IF(AND(N2952&lt;&gt;"",ISNUMBER(O2952),O2952&gt;0,O2952&gt;=TODAY()-90),1,0),0)</f>
        <v/>
      </c>
      <c r="R2952" s="17" t="str">
        <f t="shared" si="141"/>
        <v/>
      </c>
      <c r="S2952" s="17" t="str">
        <f>IF(INDEX(Listado!A:A,ROW())="","",INDEX(Listado!A:A,ROW()))</f>
        <v/>
      </c>
      <c r="T2952" s="17" t="str">
        <f ca="1">IF(INDEX(Listado!G:G,ROW())="","",INDEX(Listado!G:G,ROW()))</f>
        <v/>
      </c>
      <c r="U2952" s="17" t="str">
        <f>IF(INDEX(Listado!F:F,ROW())="","",INDEX(Listado!F:F,ROW()))</f>
        <v/>
      </c>
      <c r="V2952" s="17">
        <f>IF(COUNTA(INDEX(Listado!B:B,ROW()):INDEX(Listado!F:F,ROW()))&gt;0,1,0)</f>
        <v/>
      </c>
      <c r="W2952" s="17" t="str">
        <f>IF(INDEX(Listado!L:L,ROW())="","",INDEX(Listado!L:L,ROW()))</f>
        <v/>
      </c>
      <c r="X2952" s="17">
        <f>IF(N2952="","",IF(INDEX(Listado!$M:$M,N2952)="No","No","Sí"))</f>
        <v/>
      </c>
    </row>
    <row r="2953" spans="2:24" ht="14.25">
      <c r="N2953" s="17" t="str">
        <f>IF(V2953=0,"",IFERROR(LOOKUP(2,1/(INDEX(Listado!A:A,2):INDEX(Listado!A:A,ROW())&lt;&gt;""),ROW(INDEX(Listado!A:A,2):INDEX(Listado!A:A,ROW()))),""))</f>
        <v/>
      </c>
      <c r="O2953" s="17" t="str">
        <f>IFERROR(IF(N2953="","",IF(INDEX(Listado!M:M,N2953)="No",IF(INDEX(Listado!N:N,N2953)=0,"",INDEX(Listado!N:N,N2953)),IF(INDEX(Listado!I:I,N2953)=0,"",INDEX(Listado!I:I,N2953)))),"")</f>
        <v/>
      </c>
      <c r="P2953" s="17">
        <f t="shared" ca="1" si="139"/>
        <v/>
      </c>
      <c r="Q2953" s="17">
        <f>IFERROR(IF(AND(N2953&lt;&gt;"",ISNUMBER(O2953),O2953&gt;0,O2953&gt;=TODAY()-90),1,0),0)</f>
        <v/>
      </c>
      <c r="R2953" s="17" t="str">
        <f t="shared" si="141"/>
        <v/>
      </c>
      <c r="S2953" s="17" t="str">
        <f>IF(INDEX(Listado!A:A,ROW())="","",INDEX(Listado!A:A,ROW()))</f>
        <v/>
      </c>
      <c r="T2953" s="17" t="str">
        <f ca="1">IF(INDEX(Listado!G:G,ROW())="","",INDEX(Listado!G:G,ROW()))</f>
        <v/>
      </c>
      <c r="U2953" s="17" t="str">
        <f>IF(INDEX(Listado!F:F,ROW())="","",INDEX(Listado!F:F,ROW()))</f>
        <v/>
      </c>
      <c r="V2953" s="17">
        <f>IF(COUNTA(INDEX(Listado!B:B,ROW()):INDEX(Listado!F:F,ROW()))&gt;0,1,0)</f>
        <v/>
      </c>
      <c r="W2953" s="17" t="str">
        <f>IF(INDEX(Listado!L:L,ROW())="","",INDEX(Listado!L:L,ROW()))</f>
        <v/>
      </c>
      <c r="X2953" s="17">
        <f>IF(N2953="","",IF(INDEX(Listado!$M:$M,N2953)="No","No","Sí"))</f>
        <v/>
      </c>
    </row>
    <row r="2954" spans="2:24" ht="14.25">
      <c r="N2954" s="17" t="str">
        <f>IF(V2954=0,"",IFERROR(LOOKUP(2,1/(INDEX(Listado!A:A,2):INDEX(Listado!A:A,ROW())&lt;&gt;""),ROW(INDEX(Listado!A:A,2):INDEX(Listado!A:A,ROW()))),""))</f>
        <v/>
      </c>
      <c r="O2954" s="17" t="str">
        <f>IFERROR(IF(N2954="","",IF(INDEX(Listado!M:M,N2954)="No",IF(INDEX(Listado!N:N,N2954)=0,"",INDEX(Listado!N:N,N2954)),IF(INDEX(Listado!I:I,N2954)=0,"",INDEX(Listado!I:I,N2954)))),"")</f>
        <v/>
      </c>
      <c r="P2954" s="17">
        <f t="shared" ca="1" si="139"/>
        <v/>
      </c>
      <c r="Q2954" s="17">
        <f>IFERROR(IF(AND(N2954&lt;&gt;"",ISNUMBER(O2954),O2954&gt;0,O2954&gt;=TODAY()-90),1,0),0)</f>
        <v/>
      </c>
      <c r="R2954" s="17" t="str">
        <f t="shared" si="141"/>
        <v/>
      </c>
      <c r="S2954" s="17" t="str">
        <f>IF(INDEX(Listado!A:A,ROW())="","",INDEX(Listado!A:A,ROW()))</f>
        <v/>
      </c>
      <c r="T2954" s="17" t="str">
        <f ca="1">IF(INDEX(Listado!G:G,ROW())="","",INDEX(Listado!G:G,ROW()))</f>
        <v/>
      </c>
      <c r="U2954" s="17" t="str">
        <f>IF(INDEX(Listado!F:F,ROW())="","",INDEX(Listado!F:F,ROW()))</f>
        <v/>
      </c>
      <c r="V2954" s="17">
        <f>IF(COUNTA(INDEX(Listado!B:B,ROW()):INDEX(Listado!F:F,ROW()))&gt;0,1,0)</f>
        <v/>
      </c>
      <c r="W2954" s="17" t="str">
        <f>IF(INDEX(Listado!L:L,ROW())="","",INDEX(Listado!L:L,ROW()))</f>
        <v/>
      </c>
      <c r="X2954" s="17">
        <f>IF(N2954="","",IF(INDEX(Listado!$M:$M,N2954)="No","No","Sí"))</f>
        <v/>
      </c>
    </row>
    <row r="2955" spans="2:24" ht="14.25">
      <c r="N2955" s="17" t="str">
        <f>IF(V2955=0,"",IFERROR(LOOKUP(2,1/(INDEX(Listado!A:A,2):INDEX(Listado!A:A,ROW())&lt;&gt;""),ROW(INDEX(Listado!A:A,2):INDEX(Listado!A:A,ROW()))),""))</f>
        <v/>
      </c>
      <c r="O2955" s="17" t="str">
        <f>IFERROR(IF(N2955="","",IF(INDEX(Listado!M:M,N2955)="No",IF(INDEX(Listado!N:N,N2955)=0,"",INDEX(Listado!N:N,N2955)),IF(INDEX(Listado!I:I,N2955)=0,"",INDEX(Listado!I:I,N2955)))),"")</f>
        <v/>
      </c>
      <c r="P2955" s="17">
        <f t="shared" ca="1" si="139"/>
        <v/>
      </c>
      <c r="Q2955" s="17">
        <f>IFERROR(IF(AND(N2955&lt;&gt;"",ISNUMBER(O2955),O2955&gt;0,O2955&gt;=TODAY()-90),1,0),0)</f>
        <v/>
      </c>
      <c r="R2955" s="17" t="str">
        <f t="shared" si="141"/>
        <v/>
      </c>
      <c r="S2955" s="17" t="str">
        <f>IF(INDEX(Listado!A:A,ROW())="","",INDEX(Listado!A:A,ROW()))</f>
        <v/>
      </c>
      <c r="T2955" s="17" t="str">
        <f ca="1">IF(INDEX(Listado!G:G,ROW())="","",INDEX(Listado!G:G,ROW()))</f>
        <v/>
      </c>
      <c r="U2955" s="17" t="str">
        <f>IF(INDEX(Listado!F:F,ROW())="","",INDEX(Listado!F:F,ROW()))</f>
        <v/>
      </c>
      <c r="V2955" s="17">
        <f>IF(COUNTA(INDEX(Listado!B:B,ROW()):INDEX(Listado!F:F,ROW()))&gt;0,1,0)</f>
        <v/>
      </c>
      <c r="W2955" s="17" t="str">
        <f>IF(INDEX(Listado!L:L,ROW())="","",INDEX(Listado!L:L,ROW()))</f>
        <v/>
      </c>
      <c r="X2955" s="17">
        <f>IF(N2955="","",IF(INDEX(Listado!$M:$M,N2955)="No","No","Sí"))</f>
        <v/>
      </c>
    </row>
    <row r="2956" spans="2:24" ht="14.25">
      <c r="N2956" s="17" t="str">
        <f>IF(V2956=0,"",IFERROR(LOOKUP(2,1/(INDEX(Listado!A:A,2):INDEX(Listado!A:A,ROW())&lt;&gt;""),ROW(INDEX(Listado!A:A,2):INDEX(Listado!A:A,ROW()))),""))</f>
        <v/>
      </c>
      <c r="O2956" s="17" t="str">
        <f>IFERROR(IF(N2956="","",IF(INDEX(Listado!M:M,N2956)="No",IF(INDEX(Listado!N:N,N2956)=0,"",INDEX(Listado!N:N,N2956)),IF(INDEX(Listado!I:I,N2956)=0,"",INDEX(Listado!I:I,N2956)))),"")</f>
        <v/>
      </c>
      <c r="P2956" s="17">
        <f t="shared" ca="1" si="139"/>
        <v/>
      </c>
      <c r="Q2956" s="17">
        <f>IFERROR(IF(AND(N2956&lt;&gt;"",ISNUMBER(O2956),O2956&gt;0,O2956&gt;=TODAY()-90),1,0),0)</f>
        <v/>
      </c>
      <c r="R2956" s="17" t="str">
        <f t="shared" si="141"/>
        <v/>
      </c>
      <c r="S2956" s="17" t="str">
        <f>IF(INDEX(Listado!A:A,ROW())="","",INDEX(Listado!A:A,ROW()))</f>
        <v/>
      </c>
      <c r="T2956" s="17" t="str">
        <f ca="1">IF(INDEX(Listado!G:G,ROW())="","",INDEX(Listado!G:G,ROW()))</f>
        <v/>
      </c>
      <c r="U2956" s="17" t="str">
        <f>IF(INDEX(Listado!F:F,ROW())="","",INDEX(Listado!F:F,ROW()))</f>
        <v/>
      </c>
      <c r="V2956" s="17">
        <f>IF(COUNTA(INDEX(Listado!B:B,ROW()):INDEX(Listado!F:F,ROW()))&gt;0,1,0)</f>
        <v/>
      </c>
      <c r="W2956" s="17" t="str">
        <f>IF(INDEX(Listado!L:L,ROW())="","",INDEX(Listado!L:L,ROW()))</f>
        <v/>
      </c>
      <c r="X2956" s="17">
        <f>IF(N2956="","",IF(INDEX(Listado!$M:$M,N2956)="No","No","Sí"))</f>
        <v/>
      </c>
    </row>
    <row r="2957" spans="2:24" ht="14.25">
      <c r="N2957" s="17" t="str">
        <f>IF(V2957=0,"",IFERROR(LOOKUP(2,1/(INDEX(Listado!A:A,2):INDEX(Listado!A:A,ROW())&lt;&gt;""),ROW(INDEX(Listado!A:A,2):INDEX(Listado!A:A,ROW()))),""))</f>
        <v/>
      </c>
      <c r="O2957" s="17" t="str">
        <f>IFERROR(IF(N2957="","",IF(INDEX(Listado!M:M,N2957)="No",IF(INDEX(Listado!N:N,N2957)=0,"",INDEX(Listado!N:N,N2957)),IF(INDEX(Listado!I:I,N2957)=0,"",INDEX(Listado!I:I,N2957)))),"")</f>
        <v/>
      </c>
      <c r="P2957" s="17">
        <f t="shared" ca="1" si="139"/>
        <v/>
      </c>
      <c r="Q2957" s="17">
        <f>IFERROR(IF(AND(N2957&lt;&gt;"",ISNUMBER(O2957),O2957&gt;0,O2957&gt;=TODAY()-90),1,0),0)</f>
        <v/>
      </c>
      <c r="R2957" s="17" t="str">
        <f t="shared" si="141"/>
        <v/>
      </c>
      <c r="S2957" s="17" t="str">
        <f>IF(INDEX(Listado!A:A,ROW())="","",INDEX(Listado!A:A,ROW()))</f>
        <v/>
      </c>
      <c r="T2957" s="17" t="str">
        <f ca="1">IF(INDEX(Listado!G:G,ROW())="","",INDEX(Listado!G:G,ROW()))</f>
        <v/>
      </c>
      <c r="U2957" s="17" t="str">
        <f>IF(INDEX(Listado!F:F,ROW())="","",INDEX(Listado!F:F,ROW()))</f>
        <v/>
      </c>
      <c r="V2957" s="17">
        <f>IF(COUNTA(INDEX(Listado!B:B,ROW()):INDEX(Listado!F:F,ROW()))&gt;0,1,0)</f>
        <v/>
      </c>
      <c r="W2957" s="17" t="str">
        <f>IF(INDEX(Listado!L:L,ROW())="","",INDEX(Listado!L:L,ROW()))</f>
        <v/>
      </c>
      <c r="X2957" s="17">
        <f>IF(N2957="","",IF(INDEX(Listado!$M:$M,N2957)="No","No","Sí"))</f>
        <v/>
      </c>
    </row>
    <row r="2958" spans="2:24" ht="14.25">
      <c r="N2958" s="17" t="str">
        <f>IF(V2958=0,"",IFERROR(LOOKUP(2,1/(INDEX(Listado!A:A,2):INDEX(Listado!A:A,ROW())&lt;&gt;""),ROW(INDEX(Listado!A:A,2):INDEX(Listado!A:A,ROW()))),""))</f>
        <v/>
      </c>
      <c r="O2958" s="17" t="str">
        <f>IFERROR(IF(N2958="","",IF(INDEX(Listado!M:M,N2958)="No",IF(INDEX(Listado!N:N,N2958)=0,"",INDEX(Listado!N:N,N2958)),IF(INDEX(Listado!I:I,N2958)=0,"",INDEX(Listado!I:I,N2958)))),"")</f>
        <v/>
      </c>
      <c r="P2958" s="17">
        <f t="shared" ca="1" si="139"/>
        <v/>
      </c>
      <c r="Q2958" s="17">
        <f>IFERROR(IF(AND(N2958&lt;&gt;"",ISNUMBER(O2958),O2958&gt;0,O2958&gt;=TODAY()-90),1,0),0)</f>
        <v/>
      </c>
      <c r="R2958" s="17" t="str">
        <f t="shared" si="141"/>
        <v/>
      </c>
      <c r="S2958" s="17" t="str">
        <f>IF(INDEX(Listado!A:A,ROW())="","",INDEX(Listado!A:A,ROW()))</f>
        <v/>
      </c>
      <c r="T2958" s="17" t="str">
        <f ca="1">IF(INDEX(Listado!G:G,ROW())="","",INDEX(Listado!G:G,ROW()))</f>
        <v/>
      </c>
      <c r="U2958" s="17" t="str">
        <f>IF(INDEX(Listado!F:F,ROW())="","",INDEX(Listado!F:F,ROW()))</f>
        <v/>
      </c>
      <c r="V2958" s="17">
        <f>IF(COUNTA(INDEX(Listado!B:B,ROW()):INDEX(Listado!F:F,ROW()))&gt;0,1,0)</f>
        <v/>
      </c>
      <c r="W2958" s="17" t="str">
        <f>IF(INDEX(Listado!L:L,ROW())="","",INDEX(Listado!L:L,ROW()))</f>
        <v/>
      </c>
      <c r="X2958" s="17">
        <f>IF(N2958="","",IF(INDEX(Listado!$M:$M,N2958)="No","No","Sí"))</f>
        <v/>
      </c>
    </row>
    <row r="2959" spans="2:24" ht="14.25">
      <c r="N2959" s="17" t="str">
        <f>IF(V2959=0,"",IFERROR(LOOKUP(2,1/(INDEX(Listado!A:A,2):INDEX(Listado!A:A,ROW())&lt;&gt;""),ROW(INDEX(Listado!A:A,2):INDEX(Listado!A:A,ROW()))),""))</f>
        <v/>
      </c>
      <c r="O2959" s="17" t="str">
        <f>IFERROR(IF(N2959="","",IF(INDEX(Listado!M:M,N2959)="No",IF(INDEX(Listado!N:N,N2959)=0,"",INDEX(Listado!N:N,N2959)),IF(INDEX(Listado!I:I,N2959)=0,"",INDEX(Listado!I:I,N2959)))),"")</f>
        <v/>
      </c>
      <c r="P2959" s="17">
        <f t="shared" ca="1" si="139"/>
        <v/>
      </c>
      <c r="Q2959" s="17">
        <f>IFERROR(IF(AND(N2959&lt;&gt;"",ISNUMBER(O2959),O2959&gt;0,O2959&gt;=TODAY()-90),1,0),0)</f>
        <v/>
      </c>
      <c r="R2959" s="17" t="str">
        <f t="shared" si="141"/>
        <v/>
      </c>
      <c r="S2959" s="17" t="str">
        <f>IF(INDEX(Listado!A:A,ROW())="","",INDEX(Listado!A:A,ROW()))</f>
        <v/>
      </c>
      <c r="T2959" s="17" t="str">
        <f ca="1">IF(INDEX(Listado!G:G,ROW())="","",INDEX(Listado!G:G,ROW()))</f>
        <v/>
      </c>
      <c r="U2959" s="17" t="str">
        <f>IF(INDEX(Listado!F:F,ROW())="","",INDEX(Listado!F:F,ROW()))</f>
        <v/>
      </c>
      <c r="V2959" s="17">
        <f>IF(COUNTA(INDEX(Listado!B:B,ROW()):INDEX(Listado!F:F,ROW()))&gt;0,1,0)</f>
        <v/>
      </c>
      <c r="W2959" s="17" t="str">
        <f>IF(INDEX(Listado!L:L,ROW())="","",INDEX(Listado!L:L,ROW()))</f>
        <v/>
      </c>
      <c r="X2959" s="17">
        <f>IF(N2959="","",IF(INDEX(Listado!$M:$M,N2959)="No","No","Sí"))</f>
        <v/>
      </c>
    </row>
    <row r="2960" spans="2:24" ht="14.25">
      <c r="N2960" s="17" t="str">
        <f>IF(V2960=0,"",IFERROR(LOOKUP(2,1/(INDEX(Listado!A:A,2):INDEX(Listado!A:A,ROW())&lt;&gt;""),ROW(INDEX(Listado!A:A,2):INDEX(Listado!A:A,ROW()))),""))</f>
        <v/>
      </c>
      <c r="O2960" s="17" t="str">
        <f>IFERROR(IF(N2960="","",IF(INDEX(Listado!M:M,N2960)="No",IF(INDEX(Listado!N:N,N2960)=0,"",INDEX(Listado!N:N,N2960)),IF(INDEX(Listado!I:I,N2960)=0,"",INDEX(Listado!I:I,N2960)))),"")</f>
        <v/>
      </c>
      <c r="P2960" s="17">
        <f t="shared" ca="1" si="139"/>
        <v/>
      </c>
      <c r="Q2960" s="17">
        <f>IFERROR(IF(AND(N2960&lt;&gt;"",ISNUMBER(O2960),O2960&gt;0,O2960&gt;=TODAY()-90),1,0),0)</f>
        <v/>
      </c>
      <c r="R2960" s="17" t="str">
        <f t="shared" si="141"/>
        <v/>
      </c>
      <c r="S2960" s="17" t="str">
        <f>IF(INDEX(Listado!A:A,ROW())="","",INDEX(Listado!A:A,ROW()))</f>
        <v/>
      </c>
      <c r="T2960" s="17" t="str">
        <f ca="1">IF(INDEX(Listado!G:G,ROW())="","",INDEX(Listado!G:G,ROW()))</f>
        <v/>
      </c>
      <c r="U2960" s="17" t="str">
        <f>IF(INDEX(Listado!F:F,ROW())="","",INDEX(Listado!F:F,ROW()))</f>
        <v/>
      </c>
      <c r="V2960" s="17">
        <f>IF(COUNTA(INDEX(Listado!B:B,ROW()):INDEX(Listado!F:F,ROW()))&gt;0,1,0)</f>
        <v/>
      </c>
      <c r="W2960" s="17" t="str">
        <f>IF(INDEX(Listado!L:L,ROW())="","",INDEX(Listado!L:L,ROW()))</f>
        <v/>
      </c>
      <c r="X2960" s="17">
        <f>IF(N2960="","",IF(INDEX(Listado!$M:$M,N2960)="No","No","Sí"))</f>
        <v/>
      </c>
    </row>
    <row r="2961" spans="2:24" ht="14.25">
      <c r="N2961" s="17" t="str">
        <f>IF(V2961=0,"",IFERROR(LOOKUP(2,1/(INDEX(Listado!A:A,2):INDEX(Listado!A:A,ROW())&lt;&gt;""),ROW(INDEX(Listado!A:A,2):INDEX(Listado!A:A,ROW()))),""))</f>
        <v/>
      </c>
      <c r="O2961" s="17" t="str">
        <f>IFERROR(IF(N2961="","",IF(INDEX(Listado!M:M,N2961)="No",IF(INDEX(Listado!N:N,N2961)=0,"",INDEX(Listado!N:N,N2961)),IF(INDEX(Listado!I:I,N2961)=0,"",INDEX(Listado!I:I,N2961)))),"")</f>
        <v/>
      </c>
      <c r="P2961" s="17">
        <f t="shared" ca="1" si="139"/>
        <v/>
      </c>
      <c r="Q2961" s="17">
        <f>IFERROR(IF(AND(N2961&lt;&gt;"",ISNUMBER(O2961),O2961&gt;0,O2961&gt;=TODAY()-90),1,0),0)</f>
        <v/>
      </c>
      <c r="R2961" s="17" t="str">
        <f t="shared" si="141"/>
        <v/>
      </c>
      <c r="S2961" s="17" t="str">
        <f>IF(INDEX(Listado!A:A,ROW())="","",INDEX(Listado!A:A,ROW()))</f>
        <v/>
      </c>
      <c r="T2961" s="17" t="str">
        <f ca="1">IF(INDEX(Listado!G:G,ROW())="","",INDEX(Listado!G:G,ROW()))</f>
        <v/>
      </c>
      <c r="U2961" s="17" t="str">
        <f>IF(INDEX(Listado!F:F,ROW())="","",INDEX(Listado!F:F,ROW()))</f>
        <v/>
      </c>
      <c r="V2961" s="17">
        <f>IF(COUNTA(INDEX(Listado!B:B,ROW()):INDEX(Listado!F:F,ROW()))&gt;0,1,0)</f>
        <v/>
      </c>
      <c r="W2961" s="17" t="str">
        <f>IF(INDEX(Listado!L:L,ROW())="","",INDEX(Listado!L:L,ROW()))</f>
        <v/>
      </c>
      <c r="X2961" s="17">
        <f>IF(N2961="","",IF(INDEX(Listado!$M:$M,N2961)="No","No","Sí"))</f>
        <v/>
      </c>
    </row>
    <row r="2962" spans="2:24" ht="14.25">
      <c r="N2962" s="17" t="str">
        <f>IF(V2962=0,"",IFERROR(LOOKUP(2,1/(INDEX(Listado!A:A,2):INDEX(Listado!A:A,ROW())&lt;&gt;""),ROW(INDEX(Listado!A:A,2):INDEX(Listado!A:A,ROW()))),""))</f>
        <v/>
      </c>
      <c r="O2962" s="17" t="str">
        <f>IFERROR(IF(N2962="","",IF(INDEX(Listado!M:M,N2962)="No",IF(INDEX(Listado!N:N,N2962)=0,"",INDEX(Listado!N:N,N2962)),IF(INDEX(Listado!I:I,N2962)=0,"",INDEX(Listado!I:I,N2962)))),"")</f>
        <v/>
      </c>
      <c r="P2962" s="17">
        <f t="shared" ca="1" si="139"/>
        <v/>
      </c>
      <c r="Q2962" s="17">
        <f>IFERROR(IF(AND(N2962&lt;&gt;"",ISNUMBER(O2962),O2962&gt;0,O2962&gt;=TODAY()-90),1,0),0)</f>
        <v/>
      </c>
      <c r="R2962" s="17" t="str">
        <f t="shared" si="141"/>
        <v/>
      </c>
      <c r="S2962" s="17" t="str">
        <f>IF(INDEX(Listado!A:A,ROW())="","",INDEX(Listado!A:A,ROW()))</f>
        <v/>
      </c>
      <c r="T2962" s="17" t="str">
        <f ca="1">IF(INDEX(Listado!G:G,ROW())="","",INDEX(Listado!G:G,ROW()))</f>
        <v/>
      </c>
      <c r="U2962" s="17" t="str">
        <f>IF(INDEX(Listado!F:F,ROW())="","",INDEX(Listado!F:F,ROW()))</f>
        <v/>
      </c>
      <c r="V2962" s="17">
        <f>IF(COUNTA(INDEX(Listado!B:B,ROW()):INDEX(Listado!F:F,ROW()))&gt;0,1,0)</f>
        <v/>
      </c>
      <c r="W2962" s="17" t="str">
        <f>IF(INDEX(Listado!L:L,ROW())="","",INDEX(Listado!L:L,ROW()))</f>
        <v/>
      </c>
      <c r="X2962" s="17">
        <f>IF(N2962="","",IF(INDEX(Listado!$M:$M,N2962)="No","No","Sí"))</f>
        <v/>
      </c>
    </row>
    <row r="2963" spans="2:24" ht="14.25">
      <c r="N2963" s="17" t="str">
        <f>IF(V2963=0,"",IFERROR(LOOKUP(2,1/(INDEX(Listado!A:A,2):INDEX(Listado!A:A,ROW())&lt;&gt;""),ROW(INDEX(Listado!A:A,2):INDEX(Listado!A:A,ROW()))),""))</f>
        <v/>
      </c>
      <c r="O2963" s="17" t="str">
        <f>IFERROR(IF(N2963="","",IF(INDEX(Listado!M:M,N2963)="No",IF(INDEX(Listado!N:N,N2963)=0,"",INDEX(Listado!N:N,N2963)),IF(INDEX(Listado!I:I,N2963)=0,"",INDEX(Listado!I:I,N2963)))),"")</f>
        <v/>
      </c>
      <c r="P2963" s="17">
        <f t="shared" ca="1" si="139"/>
        <v/>
      </c>
      <c r="Q2963" s="17">
        <f>IFERROR(IF(AND(N2963&lt;&gt;"",ISNUMBER(O2963),O2963&gt;0,O2963&gt;=TODAY()-90),1,0),0)</f>
        <v/>
      </c>
      <c r="R2963" s="17" t="str">
        <f t="shared" si="141"/>
        <v/>
      </c>
      <c r="S2963" s="17" t="str">
        <f>IF(INDEX(Listado!A:A,ROW())="","",INDEX(Listado!A:A,ROW()))</f>
        <v/>
      </c>
      <c r="T2963" s="17" t="str">
        <f ca="1">IF(INDEX(Listado!G:G,ROW())="","",INDEX(Listado!G:G,ROW()))</f>
        <v/>
      </c>
      <c r="U2963" s="17" t="str">
        <f>IF(INDEX(Listado!F:F,ROW())="","",INDEX(Listado!F:F,ROW()))</f>
        <v/>
      </c>
      <c r="V2963" s="17">
        <f>IF(COUNTA(INDEX(Listado!B:B,ROW()):INDEX(Listado!F:F,ROW()))&gt;0,1,0)</f>
        <v/>
      </c>
      <c r="W2963" s="17" t="str">
        <f>IF(INDEX(Listado!L:L,ROW())="","",INDEX(Listado!L:L,ROW()))</f>
        <v/>
      </c>
      <c r="X2963" s="17">
        <f>IF(N2963="","",IF(INDEX(Listado!$M:$M,N2963)="No","No","Sí"))</f>
        <v/>
      </c>
    </row>
    <row r="2964" spans="2:24" ht="14.25">
      <c r="N2964" s="17" t="str">
        <f>IF(V2964=0,"",IFERROR(LOOKUP(2,1/(INDEX(Listado!A:A,2):INDEX(Listado!A:A,ROW())&lt;&gt;""),ROW(INDEX(Listado!A:A,2):INDEX(Listado!A:A,ROW()))),""))</f>
        <v/>
      </c>
      <c r="O2964" s="17" t="str">
        <f>IFERROR(IF(N2964="","",IF(INDEX(Listado!M:M,N2964)="No",IF(INDEX(Listado!N:N,N2964)=0,"",INDEX(Listado!N:N,N2964)),IF(INDEX(Listado!I:I,N2964)=0,"",INDEX(Listado!I:I,N2964)))),"")</f>
        <v/>
      </c>
      <c r="P2964" s="17">
        <f t="shared" ca="1" si="139"/>
        <v/>
      </c>
      <c r="Q2964" s="17">
        <f>IFERROR(IF(AND(N2964&lt;&gt;"",ISNUMBER(O2964),O2964&gt;0,O2964&gt;=TODAY()-90),1,0),0)</f>
        <v/>
      </c>
      <c r="R2964" s="17" t="str">
        <f t="shared" si="141"/>
        <v/>
      </c>
      <c r="S2964" s="17" t="str">
        <f>IF(INDEX(Listado!A:A,ROW())="","",INDEX(Listado!A:A,ROW()))</f>
        <v/>
      </c>
      <c r="T2964" s="17" t="str">
        <f ca="1">IF(INDEX(Listado!G:G,ROW())="","",INDEX(Listado!G:G,ROW()))</f>
        <v/>
      </c>
      <c r="U2964" s="17" t="str">
        <f>IF(INDEX(Listado!F:F,ROW())="","",INDEX(Listado!F:F,ROW()))</f>
        <v/>
      </c>
      <c r="V2964" s="17">
        <f>IF(COUNTA(INDEX(Listado!B:B,ROW()):INDEX(Listado!F:F,ROW()))&gt;0,1,0)</f>
        <v/>
      </c>
      <c r="W2964" s="17" t="str">
        <f>IF(INDEX(Listado!L:L,ROW())="","",INDEX(Listado!L:L,ROW()))</f>
        <v/>
      </c>
      <c r="X2964" s="17">
        <f>IF(N2964="","",IF(INDEX(Listado!$M:$M,N2964)="No","No","Sí"))</f>
        <v/>
      </c>
    </row>
    <row r="2965" spans="2:24" ht="14.25">
      <c r="N2965" s="17" t="str">
        <f>IF(V2965=0,"",IFERROR(LOOKUP(2,1/(INDEX(Listado!A:A,2):INDEX(Listado!A:A,ROW())&lt;&gt;""),ROW(INDEX(Listado!A:A,2):INDEX(Listado!A:A,ROW()))),""))</f>
        <v/>
      </c>
      <c r="O2965" s="17" t="str">
        <f>IFERROR(IF(N2965="","",IF(INDEX(Listado!M:M,N2965)="No",IF(INDEX(Listado!N:N,N2965)=0,"",INDEX(Listado!N:N,N2965)),IF(INDEX(Listado!I:I,N2965)=0,"",INDEX(Listado!I:I,N2965)))),"")</f>
        <v/>
      </c>
      <c r="P2965" s="17">
        <f t="shared" ca="1" si="139"/>
        <v/>
      </c>
      <c r="Q2965" s="17">
        <f>IFERROR(IF(AND(N2965&lt;&gt;"",ISNUMBER(O2965),O2965&gt;0,O2965&gt;=TODAY()-90),1,0),0)</f>
        <v/>
      </c>
      <c r="R2965" s="17" t="str">
        <f t="shared" si="141"/>
        <v/>
      </c>
      <c r="S2965" s="17" t="str">
        <f>IF(INDEX(Listado!A:A,ROW())="","",INDEX(Listado!A:A,ROW()))</f>
        <v/>
      </c>
      <c r="T2965" s="17" t="str">
        <f ca="1">IF(INDEX(Listado!G:G,ROW())="","",INDEX(Listado!G:G,ROW()))</f>
        <v/>
      </c>
      <c r="U2965" s="17" t="str">
        <f>IF(INDEX(Listado!F:F,ROW())="","",INDEX(Listado!F:F,ROW()))</f>
        <v/>
      </c>
      <c r="V2965" s="17">
        <f>IF(COUNTA(INDEX(Listado!B:B,ROW()):INDEX(Listado!F:F,ROW()))&gt;0,1,0)</f>
        <v/>
      </c>
      <c r="W2965" s="17" t="str">
        <f>IF(INDEX(Listado!L:L,ROW())="","",INDEX(Listado!L:L,ROW()))</f>
        <v/>
      </c>
      <c r="X2965" s="17">
        <f>IF(N2965="","",IF(INDEX(Listado!$M:$M,N2965)="No","No","Sí"))</f>
        <v/>
      </c>
    </row>
    <row r="2966" spans="2:24" ht="14.25">
      <c r="N2966" s="17" t="str">
        <f>IF(V2966=0,"",IFERROR(LOOKUP(2,1/(INDEX(Listado!A:A,2):INDEX(Listado!A:A,ROW())&lt;&gt;""),ROW(INDEX(Listado!A:A,2):INDEX(Listado!A:A,ROW()))),""))</f>
        <v/>
      </c>
      <c r="O2966" s="17" t="str">
        <f>IFERROR(IF(N2966="","",IF(INDEX(Listado!M:M,N2966)="No",IF(INDEX(Listado!N:N,N2966)=0,"",INDEX(Listado!N:N,N2966)),IF(INDEX(Listado!I:I,N2966)=0,"",INDEX(Listado!I:I,N2966)))),"")</f>
        <v/>
      </c>
      <c r="P2966" s="17">
        <f t="shared" ca="1" si="139"/>
        <v/>
      </c>
      <c r="Q2966" s="17">
        <f>IFERROR(IF(AND(N2966&lt;&gt;"",ISNUMBER(O2966),O2966&gt;0,O2966&gt;=TODAY()-90),1,0),0)</f>
        <v/>
      </c>
      <c r="R2966" s="17" t="str">
        <f t="shared" si="141"/>
        <v/>
      </c>
      <c r="S2966" s="17" t="str">
        <f>IF(INDEX(Listado!A:A,ROW())="","",INDEX(Listado!A:A,ROW()))</f>
        <v/>
      </c>
      <c r="T2966" s="17" t="str">
        <f ca="1">IF(INDEX(Listado!G:G,ROW())="","",INDEX(Listado!G:G,ROW()))</f>
        <v/>
      </c>
      <c r="U2966" s="17" t="str">
        <f>IF(INDEX(Listado!F:F,ROW())="","",INDEX(Listado!F:F,ROW()))</f>
        <v/>
      </c>
      <c r="V2966" s="17">
        <f>IF(COUNTA(INDEX(Listado!B:B,ROW()):INDEX(Listado!F:F,ROW()))&gt;0,1,0)</f>
        <v/>
      </c>
      <c r="W2966" s="17" t="str">
        <f>IF(INDEX(Listado!L:L,ROW())="","",INDEX(Listado!L:L,ROW()))</f>
        <v/>
      </c>
      <c r="X2966" s="17">
        <f>IF(N2966="","",IF(INDEX(Listado!$M:$M,N2966)="No","No","Sí"))</f>
        <v/>
      </c>
    </row>
    <row r="2967" spans="2:24" ht="14.25">
      <c r="N2967" s="17" t="str">
        <f>IF(V2967=0,"",IFERROR(LOOKUP(2,1/(INDEX(Listado!A:A,2):INDEX(Listado!A:A,ROW())&lt;&gt;""),ROW(INDEX(Listado!A:A,2):INDEX(Listado!A:A,ROW()))),""))</f>
        <v/>
      </c>
      <c r="O2967" s="17" t="str">
        <f>IFERROR(IF(N2967="","",IF(INDEX(Listado!M:M,N2967)="No",IF(INDEX(Listado!N:N,N2967)=0,"",INDEX(Listado!N:N,N2967)),IF(INDEX(Listado!I:I,N2967)=0,"",INDEX(Listado!I:I,N2967)))),"")</f>
        <v/>
      </c>
      <c r="P2967" s="17">
        <f t="shared" ca="1" si="139"/>
        <v/>
      </c>
      <c r="Q2967" s="17">
        <f>IFERROR(IF(AND(N2967&lt;&gt;"",ISNUMBER(O2967),O2967&gt;0,O2967&gt;=TODAY()-90),1,0),0)</f>
        <v/>
      </c>
      <c r="R2967" s="17" t="str">
        <f t="shared" si="141"/>
        <v/>
      </c>
      <c r="S2967" s="17" t="str">
        <f>IF(INDEX(Listado!A:A,ROW())="","",INDEX(Listado!A:A,ROW()))</f>
        <v/>
      </c>
      <c r="T2967" s="17" t="str">
        <f ca="1">IF(INDEX(Listado!G:G,ROW())="","",INDEX(Listado!G:G,ROW()))</f>
        <v/>
      </c>
      <c r="U2967" s="17" t="str">
        <f>IF(INDEX(Listado!F:F,ROW())="","",INDEX(Listado!F:F,ROW()))</f>
        <v/>
      </c>
      <c r="V2967" s="17">
        <f>IF(COUNTA(INDEX(Listado!B:B,ROW()):INDEX(Listado!F:F,ROW()))&gt;0,1,0)</f>
        <v/>
      </c>
      <c r="W2967" s="17" t="str">
        <f>IF(INDEX(Listado!L:L,ROW())="","",INDEX(Listado!L:L,ROW()))</f>
        <v/>
      </c>
      <c r="X2967" s="17">
        <f>IF(N2967="","",IF(INDEX(Listado!$M:$M,N2967)="No","No","Sí"))</f>
        <v/>
      </c>
    </row>
    <row r="2968" spans="2:24" ht="14.25">
      <c r="N2968" s="17" t="str">
        <f>IF(V2968=0,"",IFERROR(LOOKUP(2,1/(INDEX(Listado!A:A,2):INDEX(Listado!A:A,ROW())&lt;&gt;""),ROW(INDEX(Listado!A:A,2):INDEX(Listado!A:A,ROW()))),""))</f>
        <v/>
      </c>
      <c r="O2968" s="17" t="str">
        <f>IFERROR(IF(N2968="","",IF(INDEX(Listado!M:M,N2968)="No",IF(INDEX(Listado!N:N,N2968)=0,"",INDEX(Listado!N:N,N2968)),IF(INDEX(Listado!I:I,N2968)=0,"",INDEX(Listado!I:I,N2968)))),"")</f>
        <v/>
      </c>
      <c r="P2968" s="17">
        <f t="shared" ca="1" si="139"/>
        <v/>
      </c>
      <c r="Q2968" s="17">
        <f>IFERROR(IF(AND(N2968&lt;&gt;"",ISNUMBER(O2968),O2968&gt;0,O2968&gt;=TODAY()-90),1,0),0)</f>
        <v/>
      </c>
      <c r="R2968" s="17" t="str">
        <f t="shared" si="141"/>
        <v/>
      </c>
      <c r="S2968" s="17" t="str">
        <f>IF(INDEX(Listado!A:A,ROW())="","",INDEX(Listado!A:A,ROW()))</f>
        <v/>
      </c>
      <c r="T2968" s="17" t="str">
        <f ca="1">IF(INDEX(Listado!G:G,ROW())="","",INDEX(Listado!G:G,ROW()))</f>
        <v/>
      </c>
      <c r="U2968" s="17" t="str">
        <f>IF(INDEX(Listado!F:F,ROW())="","",INDEX(Listado!F:F,ROW()))</f>
        <v/>
      </c>
      <c r="V2968" s="17">
        <f>IF(COUNTA(INDEX(Listado!B:B,ROW()):INDEX(Listado!F:F,ROW()))&gt;0,1,0)</f>
        <v/>
      </c>
      <c r="W2968" s="17" t="str">
        <f>IF(INDEX(Listado!L:L,ROW())="","",INDEX(Listado!L:L,ROW()))</f>
        <v/>
      </c>
      <c r="X2968" s="17">
        <f>IF(N2968="","",IF(INDEX(Listado!$M:$M,N2968)="No","No","Sí"))</f>
        <v/>
      </c>
    </row>
    <row r="2969" spans="2:24" ht="14.25">
      <c r="N2969" s="17" t="str">
        <f>IF(V2969=0,"",IFERROR(LOOKUP(2,1/(INDEX(Listado!A:A,2):INDEX(Listado!A:A,ROW())&lt;&gt;""),ROW(INDEX(Listado!A:A,2):INDEX(Listado!A:A,ROW()))),""))</f>
        <v/>
      </c>
      <c r="O2969" s="17" t="str">
        <f>IFERROR(IF(N2969="","",IF(INDEX(Listado!M:M,N2969)="No",IF(INDEX(Listado!N:N,N2969)=0,"",INDEX(Listado!N:N,N2969)),IF(INDEX(Listado!I:I,N2969)=0,"",INDEX(Listado!I:I,N2969)))),"")</f>
        <v/>
      </c>
      <c r="P2969" s="17">
        <f t="shared" ca="1" si="139"/>
        <v/>
      </c>
      <c r="Q2969" s="17">
        <f>IFERROR(IF(AND(N2969&lt;&gt;"",ISNUMBER(O2969),O2969&gt;0,O2969&gt;=TODAY()-90),1,0),0)</f>
        <v/>
      </c>
      <c r="R2969" s="17" t="str">
        <f t="shared" si="141"/>
        <v/>
      </c>
      <c r="S2969" s="17" t="str">
        <f>IF(INDEX(Listado!A:A,ROW())="","",INDEX(Listado!A:A,ROW()))</f>
        <v/>
      </c>
      <c r="T2969" s="17" t="str">
        <f ca="1">IF(INDEX(Listado!G:G,ROW())="","",INDEX(Listado!G:G,ROW()))</f>
        <v/>
      </c>
      <c r="U2969" s="17" t="str">
        <f>IF(INDEX(Listado!F:F,ROW())="","",INDEX(Listado!F:F,ROW()))</f>
        <v/>
      </c>
      <c r="V2969" s="17">
        <f>IF(COUNTA(INDEX(Listado!B:B,ROW()):INDEX(Listado!F:F,ROW()))&gt;0,1,0)</f>
        <v/>
      </c>
      <c r="W2969" s="17" t="str">
        <f>IF(INDEX(Listado!L:L,ROW())="","",INDEX(Listado!L:L,ROW()))</f>
        <v/>
      </c>
      <c r="X2969" s="17">
        <f>IF(N2969="","",IF(INDEX(Listado!$M:$M,N2969)="No","No","Sí"))</f>
        <v/>
      </c>
    </row>
    <row r="2970" spans="2:24" ht="14.25">
      <c r="N2970" s="17" t="str">
        <f>IF(V2970=0,"",IFERROR(LOOKUP(2,1/(INDEX(Listado!A:A,2):INDEX(Listado!A:A,ROW())&lt;&gt;""),ROW(INDEX(Listado!A:A,2):INDEX(Listado!A:A,ROW()))),""))</f>
        <v/>
      </c>
      <c r="O2970" s="17" t="str">
        <f>IFERROR(IF(N2970="","",IF(INDEX(Listado!M:M,N2970)="No",IF(INDEX(Listado!N:N,N2970)=0,"",INDEX(Listado!N:N,N2970)),IF(INDEX(Listado!I:I,N2970)=0,"",INDEX(Listado!I:I,N2970)))),"")</f>
        <v/>
      </c>
      <c r="P2970" s="17">
        <f t="shared" ca="1" si="139"/>
        <v/>
      </c>
      <c r="Q2970" s="17">
        <f>IFERROR(IF(AND(N2970&lt;&gt;"",ISNUMBER(O2970),O2970&gt;0,O2970&gt;=TODAY()-90),1,0),0)</f>
        <v/>
      </c>
      <c r="R2970" s="17" t="str">
        <f t="shared" si="141"/>
        <v/>
      </c>
      <c r="S2970" s="17" t="str">
        <f>IF(INDEX(Listado!A:A,ROW())="","",INDEX(Listado!A:A,ROW()))</f>
        <v/>
      </c>
      <c r="T2970" s="17" t="str">
        <f ca="1">IF(INDEX(Listado!G:G,ROW())="","",INDEX(Listado!G:G,ROW()))</f>
        <v/>
      </c>
      <c r="U2970" s="17" t="str">
        <f>IF(INDEX(Listado!F:F,ROW())="","",INDEX(Listado!F:F,ROW()))</f>
        <v/>
      </c>
      <c r="V2970" s="17">
        <f>IF(COUNTA(INDEX(Listado!B:B,ROW()):INDEX(Listado!F:F,ROW()))&gt;0,1,0)</f>
        <v/>
      </c>
      <c r="W2970" s="17" t="str">
        <f>IF(INDEX(Listado!L:L,ROW())="","",INDEX(Listado!L:L,ROW()))</f>
        <v/>
      </c>
      <c r="X2970" s="17">
        <f>IF(N2970="","",IF(INDEX(Listado!$M:$M,N2970)="No","No","Sí"))</f>
        <v/>
      </c>
    </row>
    <row r="2971" spans="2:24" ht="14.25">
      <c r="N2971" s="17" t="str">
        <f>IF(V2971=0,"",IFERROR(LOOKUP(2,1/(INDEX(Listado!A:A,2):INDEX(Listado!A:A,ROW())&lt;&gt;""),ROW(INDEX(Listado!A:A,2):INDEX(Listado!A:A,ROW()))),""))</f>
        <v/>
      </c>
      <c r="O2971" s="17" t="str">
        <f>IFERROR(IF(N2971="","",IF(INDEX(Listado!M:M,N2971)="No",IF(INDEX(Listado!N:N,N2971)=0,"",INDEX(Listado!N:N,N2971)),IF(INDEX(Listado!I:I,N2971)=0,"",INDEX(Listado!I:I,N2971)))),"")</f>
        <v/>
      </c>
      <c r="P2971" s="17">
        <f t="shared" ca="1" si="139"/>
        <v/>
      </c>
      <c r="Q2971" s="17">
        <f>IFERROR(IF(AND(N2971&lt;&gt;"",ISNUMBER(O2971),O2971&gt;0,O2971&gt;=TODAY()-90),1,0),0)</f>
        <v/>
      </c>
      <c r="R2971" s="17" t="str">
        <f t="shared" si="141"/>
        <v/>
      </c>
      <c r="S2971" s="17" t="str">
        <f>IF(INDEX(Listado!A:A,ROW())="","",INDEX(Listado!A:A,ROW()))</f>
        <v/>
      </c>
      <c r="T2971" s="17" t="str">
        <f ca="1">IF(INDEX(Listado!G:G,ROW())="","",INDEX(Listado!G:G,ROW()))</f>
        <v/>
      </c>
      <c r="U2971" s="17" t="str">
        <f>IF(INDEX(Listado!F:F,ROW())="","",INDEX(Listado!F:F,ROW()))</f>
        <v/>
      </c>
      <c r="V2971" s="17">
        <f>IF(COUNTA(INDEX(Listado!B:B,ROW()):INDEX(Listado!F:F,ROW()))&gt;0,1,0)</f>
        <v/>
      </c>
      <c r="W2971" s="17" t="str">
        <f>IF(INDEX(Listado!L:L,ROW())="","",INDEX(Listado!L:L,ROW()))</f>
        <v/>
      </c>
      <c r="X2971" s="17">
        <f>IF(N2971="","",IF(INDEX(Listado!$M:$M,N2971)="No","No","Sí"))</f>
        <v/>
      </c>
    </row>
    <row r="2972" spans="2:24" ht="14.25">
      <c r="N2972" s="17" t="str">
        <f>IF(V2972=0,"",IFERROR(LOOKUP(2,1/(INDEX(Listado!A:A,2):INDEX(Listado!A:A,ROW())&lt;&gt;""),ROW(INDEX(Listado!A:A,2):INDEX(Listado!A:A,ROW()))),""))</f>
        <v/>
      </c>
      <c r="O2972" s="17" t="str">
        <f>IFERROR(IF(N2972="","",IF(INDEX(Listado!M:M,N2972)="No",IF(INDEX(Listado!N:N,N2972)=0,"",INDEX(Listado!N:N,N2972)),IF(INDEX(Listado!I:I,N2972)=0,"",INDEX(Listado!I:I,N2972)))),"")</f>
        <v/>
      </c>
      <c r="P2972" s="17">
        <f t="shared" ca="1" si="139"/>
        <v/>
      </c>
      <c r="Q2972" s="17">
        <f>IFERROR(IF(AND(N2972&lt;&gt;"",ISNUMBER(O2972),O2972&gt;0,O2972&gt;=TODAY()-90),1,0),0)</f>
        <v/>
      </c>
      <c r="R2972" s="17" t="str">
        <f t="shared" si="141"/>
        <v/>
      </c>
      <c r="S2972" s="17" t="str">
        <f>IF(INDEX(Listado!A:A,ROW())="","",INDEX(Listado!A:A,ROW()))</f>
        <v/>
      </c>
      <c r="T2972" s="17" t="str">
        <f ca="1">IF(INDEX(Listado!G:G,ROW())="","",INDEX(Listado!G:G,ROW()))</f>
        <v/>
      </c>
      <c r="U2972" s="17" t="str">
        <f>IF(INDEX(Listado!F:F,ROW())="","",INDEX(Listado!F:F,ROW()))</f>
        <v/>
      </c>
      <c r="V2972" s="17">
        <f>IF(COUNTA(INDEX(Listado!B:B,ROW()):INDEX(Listado!F:F,ROW()))&gt;0,1,0)</f>
        <v/>
      </c>
      <c r="W2972" s="17" t="str">
        <f>IF(INDEX(Listado!L:L,ROW())="","",INDEX(Listado!L:L,ROW()))</f>
        <v/>
      </c>
      <c r="X2972" s="17">
        <f>IF(N2972="","",IF(INDEX(Listado!$M:$M,N2972)="No","No","Sí"))</f>
        <v/>
      </c>
    </row>
    <row r="2973" spans="2:24" ht="14.25">
      <c r="N2973" s="17" t="str">
        <f>IF(V2973=0,"",IFERROR(LOOKUP(2,1/(INDEX(Listado!A:A,2):INDEX(Listado!A:A,ROW())&lt;&gt;""),ROW(INDEX(Listado!A:A,2):INDEX(Listado!A:A,ROW()))),""))</f>
        <v/>
      </c>
      <c r="O2973" s="17" t="str">
        <f>IFERROR(IF(N2973="","",IF(INDEX(Listado!M:M,N2973)="No",IF(INDEX(Listado!N:N,N2973)=0,"",INDEX(Listado!N:N,N2973)),IF(INDEX(Listado!I:I,N2973)=0,"",INDEX(Listado!I:I,N2973)))),"")</f>
        <v/>
      </c>
      <c r="P2973" s="17">
        <f t="shared" ca="1" si="139"/>
        <v/>
      </c>
      <c r="Q2973" s="17">
        <f>IFERROR(IF(AND(N2973&lt;&gt;"",ISNUMBER(O2973),O2973&gt;0,O2973&gt;=TODAY()-90),1,0),0)</f>
        <v/>
      </c>
      <c r="R2973" s="17" t="str">
        <f t="shared" si="141"/>
        <v/>
      </c>
      <c r="S2973" s="17" t="str">
        <f>IF(INDEX(Listado!A:A,ROW())="","",INDEX(Listado!A:A,ROW()))</f>
        <v/>
      </c>
      <c r="T2973" s="17" t="str">
        <f ca="1">IF(INDEX(Listado!G:G,ROW())="","",INDEX(Listado!G:G,ROW()))</f>
        <v/>
      </c>
      <c r="U2973" s="17" t="str">
        <f>IF(INDEX(Listado!F:F,ROW())="","",INDEX(Listado!F:F,ROW()))</f>
        <v/>
      </c>
      <c r="V2973" s="17">
        <f>IF(COUNTA(INDEX(Listado!B:B,ROW()):INDEX(Listado!F:F,ROW()))&gt;0,1,0)</f>
        <v/>
      </c>
      <c r="W2973" s="17" t="str">
        <f>IF(INDEX(Listado!L:L,ROW())="","",INDEX(Listado!L:L,ROW()))</f>
        <v/>
      </c>
      <c r="X2973" s="17">
        <f>IF(N2973="","",IF(INDEX(Listado!$M:$M,N2973)="No","No","Sí"))</f>
        <v/>
      </c>
    </row>
    <row r="2974" spans="2:24" ht="14.25">
      <c r="N2974" s="17" t="str">
        <f>IF(V2974=0,"",IFERROR(LOOKUP(2,1/(INDEX(Listado!A:A,2):INDEX(Listado!A:A,ROW())&lt;&gt;""),ROW(INDEX(Listado!A:A,2):INDEX(Listado!A:A,ROW()))),""))</f>
        <v/>
      </c>
      <c r="O2974" s="17" t="str">
        <f>IFERROR(IF(N2974="","",IF(INDEX(Listado!M:M,N2974)="No",IF(INDEX(Listado!N:N,N2974)=0,"",INDEX(Listado!N:N,N2974)),IF(INDEX(Listado!I:I,N2974)=0,"",INDEX(Listado!I:I,N2974)))),"")</f>
        <v/>
      </c>
      <c r="P2974" s="17">
        <f t="shared" ca="1" si="139"/>
        <v/>
      </c>
      <c r="Q2974" s="17">
        <f>IFERROR(IF(AND(N2974&lt;&gt;"",ISNUMBER(O2974),O2974&gt;0,O2974&gt;=TODAY()-90),1,0),0)</f>
        <v/>
      </c>
      <c r="R2974" s="17" t="str">
        <f t="shared" si="141"/>
        <v/>
      </c>
      <c r="S2974" s="17" t="str">
        <f>IF(INDEX(Listado!A:A,ROW())="","",INDEX(Listado!A:A,ROW()))</f>
        <v/>
      </c>
      <c r="T2974" s="17" t="str">
        <f ca="1">IF(INDEX(Listado!G:G,ROW())="","",INDEX(Listado!G:G,ROW()))</f>
        <v/>
      </c>
      <c r="U2974" s="17" t="str">
        <f>IF(INDEX(Listado!F:F,ROW())="","",INDEX(Listado!F:F,ROW()))</f>
        <v/>
      </c>
      <c r="V2974" s="17">
        <f>IF(COUNTA(INDEX(Listado!B:B,ROW()):INDEX(Listado!F:F,ROW()))&gt;0,1,0)</f>
        <v/>
      </c>
      <c r="W2974" s="17" t="str">
        <f>IF(INDEX(Listado!L:L,ROW())="","",INDEX(Listado!L:L,ROW()))</f>
        <v/>
      </c>
      <c r="X2974" s="17">
        <f>IF(N2974="","",IF(INDEX(Listado!$M:$M,N2974)="No","No","Sí"))</f>
        <v/>
      </c>
    </row>
    <row r="2975" spans="2:24" ht="14.25">
      <c r="N2975" s="17" t="str">
        <f>IF(V2975=0,"",IFERROR(LOOKUP(2,1/(INDEX(Listado!A:A,2):INDEX(Listado!A:A,ROW())&lt;&gt;""),ROW(INDEX(Listado!A:A,2):INDEX(Listado!A:A,ROW()))),""))</f>
        <v/>
      </c>
      <c r="O2975" s="17" t="str">
        <f>IFERROR(IF(N2975="","",IF(INDEX(Listado!M:M,N2975)="No",IF(INDEX(Listado!N:N,N2975)=0,"",INDEX(Listado!N:N,N2975)),IF(INDEX(Listado!I:I,N2975)=0,"",INDEX(Listado!I:I,N2975)))),"")</f>
        <v/>
      </c>
      <c r="P2975" s="17">
        <f t="shared" ca="1" si="139"/>
        <v/>
      </c>
      <c r="Q2975" s="17">
        <f>IFERROR(IF(AND(N2975&lt;&gt;"",ISNUMBER(O2975),O2975&gt;0,O2975&gt;=TODAY()-90),1,0),0)</f>
        <v/>
      </c>
      <c r="R2975" s="17" t="str">
        <f t="shared" si="141"/>
        <v/>
      </c>
      <c r="S2975" s="17" t="str">
        <f>IF(INDEX(Listado!A:A,ROW())="","",INDEX(Listado!A:A,ROW()))</f>
        <v/>
      </c>
      <c r="T2975" s="17" t="str">
        <f ca="1">IF(INDEX(Listado!G:G,ROW())="","",INDEX(Listado!G:G,ROW()))</f>
        <v/>
      </c>
      <c r="U2975" s="17" t="str">
        <f>IF(INDEX(Listado!F:F,ROW())="","",INDEX(Listado!F:F,ROW()))</f>
        <v/>
      </c>
      <c r="V2975" s="17">
        <f>IF(COUNTA(INDEX(Listado!B:B,ROW()):INDEX(Listado!F:F,ROW()))&gt;0,1,0)</f>
        <v/>
      </c>
      <c r="W2975" s="17" t="str">
        <f>IF(INDEX(Listado!L:L,ROW())="","",INDEX(Listado!L:L,ROW()))</f>
        <v/>
      </c>
      <c r="X2975" s="17">
        <f>IF(N2975="","",IF(INDEX(Listado!$M:$M,N2975)="No","No","Sí"))</f>
        <v/>
      </c>
    </row>
    <row r="2976" spans="2:24" ht="14.25">
      <c r="N2976" s="17" t="str">
        <f>IF(V2976=0,"",IFERROR(LOOKUP(2,1/(INDEX(Listado!A:A,2):INDEX(Listado!A:A,ROW())&lt;&gt;""),ROW(INDEX(Listado!A:A,2):INDEX(Listado!A:A,ROW()))),""))</f>
        <v/>
      </c>
      <c r="O2976" s="17" t="str">
        <f>IFERROR(IF(N2976="","",IF(INDEX(Listado!M:M,N2976)="No",IF(INDEX(Listado!N:N,N2976)=0,"",INDEX(Listado!N:N,N2976)),IF(INDEX(Listado!I:I,N2976)=0,"",INDEX(Listado!I:I,N2976)))),"")</f>
        <v/>
      </c>
      <c r="P2976" s="17">
        <f t="shared" ca="1" si="139"/>
        <v/>
      </c>
      <c r="Q2976" s="17">
        <f>IFERROR(IF(AND(N2976&lt;&gt;"",ISNUMBER(O2976),O2976&gt;0,O2976&gt;=TODAY()-90),1,0),0)</f>
        <v/>
      </c>
      <c r="R2976" s="17" t="str">
        <f t="shared" si="141"/>
        <v/>
      </c>
      <c r="S2976" s="17" t="str">
        <f>IF(INDEX(Listado!A:A,ROW())="","",INDEX(Listado!A:A,ROW()))</f>
        <v/>
      </c>
      <c r="T2976" s="17" t="str">
        <f ca="1">IF(INDEX(Listado!G:G,ROW())="","",INDEX(Listado!G:G,ROW()))</f>
        <v/>
      </c>
      <c r="U2976" s="17" t="str">
        <f>IF(INDEX(Listado!F:F,ROW())="","",INDEX(Listado!F:F,ROW()))</f>
        <v/>
      </c>
      <c r="V2976" s="17">
        <f>IF(COUNTA(INDEX(Listado!B:B,ROW()):INDEX(Listado!F:F,ROW()))&gt;0,1,0)</f>
        <v/>
      </c>
      <c r="W2976" s="17" t="str">
        <f>IF(INDEX(Listado!L:L,ROW())="","",INDEX(Listado!L:L,ROW()))</f>
        <v/>
      </c>
      <c r="X2976" s="17">
        <f>IF(N2976="","",IF(INDEX(Listado!$M:$M,N2976)="No","No","Sí"))</f>
        <v/>
      </c>
    </row>
    <row r="2977" spans="2:24" ht="14.25">
      <c r="N2977" s="17" t="str">
        <f>IF(V2977=0,"",IFERROR(LOOKUP(2,1/(INDEX(Listado!A:A,2):INDEX(Listado!A:A,ROW())&lt;&gt;""),ROW(INDEX(Listado!A:A,2):INDEX(Listado!A:A,ROW()))),""))</f>
        <v/>
      </c>
      <c r="O2977" s="17" t="str">
        <f>IFERROR(IF(N2977="","",IF(INDEX(Listado!M:M,N2977)="No",IF(INDEX(Listado!N:N,N2977)=0,"",INDEX(Listado!N:N,N2977)),IF(INDEX(Listado!I:I,N2977)=0,"",INDEX(Listado!I:I,N2977)))),"")</f>
        <v/>
      </c>
      <c r="P2977" s="17">
        <f t="shared" ca="1" si="139"/>
        <v/>
      </c>
      <c r="Q2977" s="17">
        <f>IFERROR(IF(AND(N2977&lt;&gt;"",ISNUMBER(O2977),O2977&gt;0,O2977&gt;=TODAY()-90),1,0),0)</f>
        <v/>
      </c>
      <c r="R2977" s="17" t="str">
        <f t="shared" si="141"/>
        <v/>
      </c>
      <c r="S2977" s="17" t="str">
        <f>IF(INDEX(Listado!A:A,ROW())="","",INDEX(Listado!A:A,ROW()))</f>
        <v/>
      </c>
      <c r="T2977" s="17" t="str">
        <f ca="1">IF(INDEX(Listado!G:G,ROW())="","",INDEX(Listado!G:G,ROW()))</f>
        <v/>
      </c>
      <c r="U2977" s="17" t="str">
        <f>IF(INDEX(Listado!F:F,ROW())="","",INDEX(Listado!F:F,ROW()))</f>
        <v/>
      </c>
      <c r="V2977" s="17">
        <f>IF(COUNTA(INDEX(Listado!B:B,ROW()):INDEX(Listado!F:F,ROW()))&gt;0,1,0)</f>
        <v/>
      </c>
      <c r="W2977" s="17" t="str">
        <f>IF(INDEX(Listado!L:L,ROW())="","",INDEX(Listado!L:L,ROW()))</f>
        <v/>
      </c>
      <c r="X2977" s="17">
        <f>IF(N2977="","",IF(INDEX(Listado!$M:$M,N2977)="No","No","Sí"))</f>
        <v/>
      </c>
    </row>
    <row r="2978" spans="2:24" ht="14.25">
      <c r="N2978" s="17" t="str">
        <f>IF(V2978=0,"",IFERROR(LOOKUP(2,1/(INDEX(Listado!A:A,2):INDEX(Listado!A:A,ROW())&lt;&gt;""),ROW(INDEX(Listado!A:A,2):INDEX(Listado!A:A,ROW()))),""))</f>
        <v/>
      </c>
      <c r="O2978" s="17" t="str">
        <f>IFERROR(IF(N2978="","",IF(INDEX(Listado!M:M,N2978)="No",IF(INDEX(Listado!N:N,N2978)=0,"",INDEX(Listado!N:N,N2978)),IF(INDEX(Listado!I:I,N2978)=0,"",INDEX(Listado!I:I,N2978)))),"")</f>
        <v/>
      </c>
      <c r="P2978" s="17">
        <f t="shared" ca="1" si="139"/>
        <v/>
      </c>
      <c r="Q2978" s="17">
        <f>IFERROR(IF(AND(N2978&lt;&gt;"",ISNUMBER(O2978),O2978&gt;0,O2978&gt;=TODAY()-90),1,0),0)</f>
        <v/>
      </c>
      <c r="R2978" s="17" t="str">
        <f t="shared" si="141"/>
        <v/>
      </c>
      <c r="S2978" s="17" t="str">
        <f>IF(INDEX(Listado!A:A,ROW())="","",INDEX(Listado!A:A,ROW()))</f>
        <v/>
      </c>
      <c r="T2978" s="17" t="str">
        <f ca="1">IF(INDEX(Listado!G:G,ROW())="","",INDEX(Listado!G:G,ROW()))</f>
        <v/>
      </c>
      <c r="U2978" s="17" t="str">
        <f>IF(INDEX(Listado!F:F,ROW())="","",INDEX(Listado!F:F,ROW()))</f>
        <v/>
      </c>
      <c r="V2978" s="17">
        <f>IF(COUNTA(INDEX(Listado!B:B,ROW()):INDEX(Listado!F:F,ROW()))&gt;0,1,0)</f>
        <v/>
      </c>
      <c r="W2978" s="17" t="str">
        <f>IF(INDEX(Listado!L:L,ROW())="","",INDEX(Listado!L:L,ROW()))</f>
        <v/>
      </c>
      <c r="X2978" s="17">
        <f>IF(N2978="","",IF(INDEX(Listado!$M:$M,N2978)="No","No","Sí"))</f>
        <v/>
      </c>
    </row>
    <row r="2979" spans="2:24" ht="14.25">
      <c r="N2979" s="17" t="str">
        <f>IF(V2979=0,"",IFERROR(LOOKUP(2,1/(INDEX(Listado!A:A,2):INDEX(Listado!A:A,ROW())&lt;&gt;""),ROW(INDEX(Listado!A:A,2):INDEX(Listado!A:A,ROW()))),""))</f>
        <v/>
      </c>
      <c r="O2979" s="17" t="str">
        <f>IFERROR(IF(N2979="","",IF(INDEX(Listado!M:M,N2979)="No",IF(INDEX(Listado!N:N,N2979)=0,"",INDEX(Listado!N:N,N2979)),IF(INDEX(Listado!I:I,N2979)=0,"",INDEX(Listado!I:I,N2979)))),"")</f>
        <v/>
      </c>
      <c r="P2979" s="17">
        <f t="shared" ca="1" si="139"/>
        <v/>
      </c>
      <c r="Q2979" s="17">
        <f>IFERROR(IF(AND(N2979&lt;&gt;"",ISNUMBER(O2979),O2979&gt;0,O2979&gt;=TODAY()-90),1,0),0)</f>
        <v/>
      </c>
      <c r="R2979" s="17" t="str">
        <f t="shared" si="141"/>
        <v/>
      </c>
      <c r="S2979" s="17" t="str">
        <f>IF(INDEX(Listado!A:A,ROW())="","",INDEX(Listado!A:A,ROW()))</f>
        <v/>
      </c>
      <c r="T2979" s="17" t="str">
        <f ca="1">IF(INDEX(Listado!G:G,ROW())="","",INDEX(Listado!G:G,ROW()))</f>
        <v/>
      </c>
      <c r="U2979" s="17" t="str">
        <f>IF(INDEX(Listado!F:F,ROW())="","",INDEX(Listado!F:F,ROW()))</f>
        <v/>
      </c>
      <c r="V2979" s="17">
        <f>IF(COUNTA(INDEX(Listado!B:B,ROW()):INDEX(Listado!F:F,ROW()))&gt;0,1,0)</f>
        <v/>
      </c>
      <c r="W2979" s="17" t="str">
        <f>IF(INDEX(Listado!L:L,ROW())="","",INDEX(Listado!L:L,ROW()))</f>
        <v/>
      </c>
      <c r="X2979" s="17">
        <f>IF(N2979="","",IF(INDEX(Listado!$M:$M,N2979)="No","No","Sí"))</f>
        <v/>
      </c>
    </row>
    <row r="2980" spans="2:24" ht="14.25">
      <c r="N2980" s="17" t="str">
        <f>IF(V2980=0,"",IFERROR(LOOKUP(2,1/(INDEX(Listado!A:A,2):INDEX(Listado!A:A,ROW())&lt;&gt;""),ROW(INDEX(Listado!A:A,2):INDEX(Listado!A:A,ROW()))),""))</f>
        <v/>
      </c>
      <c r="O2980" s="17" t="str">
        <f>IFERROR(IF(N2980="","",IF(INDEX(Listado!M:M,N2980)="No",IF(INDEX(Listado!N:N,N2980)=0,"",INDEX(Listado!N:N,N2980)),IF(INDEX(Listado!I:I,N2980)=0,"",INDEX(Listado!I:I,N2980)))),"")</f>
        <v/>
      </c>
      <c r="P2980" s="17">
        <f t="shared" ca="1" si="139"/>
        <v/>
      </c>
      <c r="Q2980" s="17">
        <f>IFERROR(IF(AND(N2980&lt;&gt;"",ISNUMBER(O2980),O2980&gt;0,O2980&gt;=TODAY()-90),1,0),0)</f>
        <v/>
      </c>
      <c r="R2980" s="17" t="str">
        <f t="shared" si="141"/>
        <v/>
      </c>
      <c r="S2980" s="17" t="str">
        <f>IF(INDEX(Listado!A:A,ROW())="","",INDEX(Listado!A:A,ROW()))</f>
        <v/>
      </c>
      <c r="T2980" s="17" t="str">
        <f ca="1">IF(INDEX(Listado!G:G,ROW())="","",INDEX(Listado!G:G,ROW()))</f>
        <v/>
      </c>
      <c r="U2980" s="17" t="str">
        <f>IF(INDEX(Listado!F:F,ROW())="","",INDEX(Listado!F:F,ROW()))</f>
        <v/>
      </c>
      <c r="V2980" s="17">
        <f>IF(COUNTA(INDEX(Listado!B:B,ROW()):INDEX(Listado!F:F,ROW()))&gt;0,1,0)</f>
        <v/>
      </c>
      <c r="W2980" s="17" t="str">
        <f>IF(INDEX(Listado!L:L,ROW())="","",INDEX(Listado!L:L,ROW()))</f>
        <v/>
      </c>
      <c r="X2980" s="17">
        <f>IF(N2980="","",IF(INDEX(Listado!$M:$M,N2980)="No","No","Sí"))</f>
        <v/>
      </c>
    </row>
    <row r="2981" spans="2:24" ht="14.25">
      <c r="N2981" s="17" t="str">
        <f>IF(V2981=0,"",IFERROR(LOOKUP(2,1/(INDEX(Listado!A:A,2):INDEX(Listado!A:A,ROW())&lt;&gt;""),ROW(INDEX(Listado!A:A,2):INDEX(Listado!A:A,ROW()))),""))</f>
        <v/>
      </c>
      <c r="O2981" s="17" t="str">
        <f>IFERROR(IF(N2981="","",IF(INDEX(Listado!M:M,N2981)="No",IF(INDEX(Listado!N:N,N2981)=0,"",INDEX(Listado!N:N,N2981)),IF(INDEX(Listado!I:I,N2981)=0,"",INDEX(Listado!I:I,N2981)))),"")</f>
        <v/>
      </c>
      <c r="P2981" s="17">
        <f t="shared" ca="1" si="139"/>
        <v/>
      </c>
      <c r="Q2981" s="17">
        <f>IFERROR(IF(AND(N2981&lt;&gt;"",ISNUMBER(O2981),O2981&gt;0,O2981&gt;=TODAY()-90),1,0),0)</f>
        <v/>
      </c>
      <c r="R2981" s="17" t="str">
        <f t="shared" si="141"/>
        <v/>
      </c>
      <c r="S2981" s="17" t="str">
        <f>IF(INDEX(Listado!A:A,ROW())="","",INDEX(Listado!A:A,ROW()))</f>
        <v/>
      </c>
      <c r="T2981" s="17" t="str">
        <f ca="1">IF(INDEX(Listado!G:G,ROW())="","",INDEX(Listado!G:G,ROW()))</f>
        <v/>
      </c>
      <c r="U2981" s="17" t="str">
        <f>IF(INDEX(Listado!F:F,ROW())="","",INDEX(Listado!F:F,ROW()))</f>
        <v/>
      </c>
      <c r="V2981" s="17">
        <f>IF(COUNTA(INDEX(Listado!B:B,ROW()):INDEX(Listado!F:F,ROW()))&gt;0,1,0)</f>
        <v/>
      </c>
      <c r="W2981" s="17" t="str">
        <f>IF(INDEX(Listado!L:L,ROW())="","",INDEX(Listado!L:L,ROW()))</f>
        <v/>
      </c>
      <c r="X2981" s="17">
        <f>IF(N2981="","",IF(INDEX(Listado!$M:$M,N2981)="No","No","Sí"))</f>
        <v/>
      </c>
    </row>
    <row r="2982" spans="2:24" ht="14.25">
      <c r="N2982" s="17" t="str">
        <f>IF(V2982=0,"",IFERROR(LOOKUP(2,1/(INDEX(Listado!A:A,2):INDEX(Listado!A:A,ROW())&lt;&gt;""),ROW(INDEX(Listado!A:A,2):INDEX(Listado!A:A,ROW()))),""))</f>
        <v/>
      </c>
      <c r="O2982" s="17" t="str">
        <f>IFERROR(IF(N2982="","",IF(INDEX(Listado!M:M,N2982)="No",IF(INDEX(Listado!N:N,N2982)=0,"",INDEX(Listado!N:N,N2982)),IF(INDEX(Listado!I:I,N2982)=0,"",INDEX(Listado!I:I,N2982)))),"")</f>
        <v/>
      </c>
      <c r="P2982" s="17">
        <f t="shared" ca="1" si="139"/>
        <v/>
      </c>
      <c r="Q2982" s="17">
        <f>IFERROR(IF(AND(N2982&lt;&gt;"",ISNUMBER(O2982),O2982&gt;0,O2982&gt;=TODAY()-90),1,0),0)</f>
        <v/>
      </c>
      <c r="R2982" s="17" t="str">
        <f t="shared" si="141"/>
        <v/>
      </c>
      <c r="S2982" s="17" t="str">
        <f>IF(INDEX(Listado!A:A,ROW())="","",INDEX(Listado!A:A,ROW()))</f>
        <v/>
      </c>
      <c r="T2982" s="17" t="str">
        <f ca="1">IF(INDEX(Listado!G:G,ROW())="","",INDEX(Listado!G:G,ROW()))</f>
        <v/>
      </c>
      <c r="U2982" s="17" t="str">
        <f>IF(INDEX(Listado!F:F,ROW())="","",INDEX(Listado!F:F,ROW()))</f>
        <v/>
      </c>
      <c r="V2982" s="17">
        <f>IF(COUNTA(INDEX(Listado!B:B,ROW()):INDEX(Listado!F:F,ROW()))&gt;0,1,0)</f>
        <v/>
      </c>
      <c r="W2982" s="17" t="str">
        <f>IF(INDEX(Listado!L:L,ROW())="","",INDEX(Listado!L:L,ROW()))</f>
        <v/>
      </c>
      <c r="X2982" s="17">
        <f>IF(N2982="","",IF(INDEX(Listado!$M:$M,N2982)="No","No","Sí"))</f>
        <v/>
      </c>
    </row>
    <row r="2983" spans="2:24" ht="14.25">
      <c r="N2983" s="17" t="str">
        <f>IF(V2983=0,"",IFERROR(LOOKUP(2,1/(INDEX(Listado!A:A,2):INDEX(Listado!A:A,ROW())&lt;&gt;""),ROW(INDEX(Listado!A:A,2):INDEX(Listado!A:A,ROW()))),""))</f>
        <v/>
      </c>
      <c r="O2983" s="17" t="str">
        <f>IFERROR(IF(N2983="","",IF(INDEX(Listado!M:M,N2983)="No",IF(INDEX(Listado!N:N,N2983)=0,"",INDEX(Listado!N:N,N2983)),IF(INDEX(Listado!I:I,N2983)=0,"",INDEX(Listado!I:I,N2983)))),"")</f>
        <v/>
      </c>
      <c r="P2983" s="17">
        <f t="shared" ca="1" si="139"/>
        <v/>
      </c>
      <c r="Q2983" s="17">
        <f>IFERROR(IF(AND(N2983&lt;&gt;"",ISNUMBER(O2983),O2983&gt;0,O2983&gt;=TODAY()-90),1,0),0)</f>
        <v/>
      </c>
      <c r="R2983" s="17" t="str">
        <f t="shared" si="141"/>
        <v/>
      </c>
      <c r="S2983" s="17" t="str">
        <f>IF(INDEX(Listado!A:A,ROW())="","",INDEX(Listado!A:A,ROW()))</f>
        <v/>
      </c>
      <c r="T2983" s="17" t="str">
        <f ca="1">IF(INDEX(Listado!G:G,ROW())="","",INDEX(Listado!G:G,ROW()))</f>
        <v/>
      </c>
      <c r="U2983" s="17" t="str">
        <f>IF(INDEX(Listado!F:F,ROW())="","",INDEX(Listado!F:F,ROW()))</f>
        <v/>
      </c>
      <c r="V2983" s="17">
        <f>IF(COUNTA(INDEX(Listado!B:B,ROW()):INDEX(Listado!F:F,ROW()))&gt;0,1,0)</f>
        <v/>
      </c>
      <c r="W2983" s="17" t="str">
        <f>IF(INDEX(Listado!L:L,ROW())="","",INDEX(Listado!L:L,ROW()))</f>
        <v/>
      </c>
      <c r="X2983" s="17">
        <f>IF(N2983="","",IF(INDEX(Listado!$M:$M,N2983)="No","No","Sí"))</f>
        <v/>
      </c>
    </row>
    <row r="2984" spans="2:24" ht="14.25">
      <c r="N2984" s="17" t="str">
        <f>IF(V2984=0,"",IFERROR(LOOKUP(2,1/(INDEX(Listado!A:A,2):INDEX(Listado!A:A,ROW())&lt;&gt;""),ROW(INDEX(Listado!A:A,2):INDEX(Listado!A:A,ROW()))),""))</f>
        <v/>
      </c>
      <c r="O2984" s="17" t="str">
        <f>IFERROR(IF(N2984="","",IF(INDEX(Listado!M:M,N2984)="No",IF(INDEX(Listado!N:N,N2984)=0,"",INDEX(Listado!N:N,N2984)),IF(INDEX(Listado!I:I,N2984)=0,"",INDEX(Listado!I:I,N2984)))),"")</f>
        <v/>
      </c>
      <c r="P2984" s="17">
        <f t="shared" ca="1" si="139"/>
        <v/>
      </c>
      <c r="Q2984" s="17">
        <f>IFERROR(IF(AND(N2984&lt;&gt;"",ISNUMBER(O2984),O2984&gt;0,O2984&gt;=TODAY()-90),1,0),0)</f>
        <v/>
      </c>
      <c r="R2984" s="17" t="str">
        <f t="shared" si="141"/>
        <v/>
      </c>
      <c r="S2984" s="17" t="str">
        <f>IF(INDEX(Listado!A:A,ROW())="","",INDEX(Listado!A:A,ROW()))</f>
        <v/>
      </c>
      <c r="T2984" s="17" t="str">
        <f ca="1">IF(INDEX(Listado!G:G,ROW())="","",INDEX(Listado!G:G,ROW()))</f>
        <v/>
      </c>
      <c r="U2984" s="17" t="str">
        <f>IF(INDEX(Listado!F:F,ROW())="","",INDEX(Listado!F:F,ROW()))</f>
        <v/>
      </c>
      <c r="V2984" s="17">
        <f>IF(COUNTA(INDEX(Listado!B:B,ROW()):INDEX(Listado!F:F,ROW()))&gt;0,1,0)</f>
        <v/>
      </c>
      <c r="W2984" s="17" t="str">
        <f>IF(INDEX(Listado!L:L,ROW())="","",INDEX(Listado!L:L,ROW()))</f>
        <v/>
      </c>
      <c r="X2984" s="17">
        <f>IF(N2984="","",IF(INDEX(Listado!$M:$M,N2984)="No","No","Sí"))</f>
        <v/>
      </c>
    </row>
    <row r="2985" spans="2:24" ht="14.25">
      <c r="N2985" s="17" t="str">
        <f>IF(V2985=0,"",IFERROR(LOOKUP(2,1/(INDEX(Listado!A:A,2):INDEX(Listado!A:A,ROW())&lt;&gt;""),ROW(INDEX(Listado!A:A,2):INDEX(Listado!A:A,ROW()))),""))</f>
        <v/>
      </c>
      <c r="O2985" s="17" t="str">
        <f>IFERROR(IF(N2985="","",IF(INDEX(Listado!M:M,N2985)="No",IF(INDEX(Listado!N:N,N2985)=0,"",INDEX(Listado!N:N,N2985)),IF(INDEX(Listado!I:I,N2985)=0,"",INDEX(Listado!I:I,N2985)))),"")</f>
        <v/>
      </c>
      <c r="P2985" s="17">
        <f t="shared" ca="1" si="139"/>
        <v/>
      </c>
      <c r="Q2985" s="17">
        <f>IFERROR(IF(AND(N2985&lt;&gt;"",ISNUMBER(O2985),O2985&gt;0,O2985&gt;=TODAY()-90),1,0),0)</f>
        <v/>
      </c>
      <c r="R2985" s="17" t="str">
        <f t="shared" si="141"/>
        <v/>
      </c>
      <c r="S2985" s="17" t="str">
        <f>IF(INDEX(Listado!A:A,ROW())="","",INDEX(Listado!A:A,ROW()))</f>
        <v/>
      </c>
      <c r="T2985" s="17" t="str">
        <f ca="1">IF(INDEX(Listado!G:G,ROW())="","",INDEX(Listado!G:G,ROW()))</f>
        <v/>
      </c>
      <c r="U2985" s="17" t="str">
        <f>IF(INDEX(Listado!F:F,ROW())="","",INDEX(Listado!F:F,ROW()))</f>
        <v/>
      </c>
      <c r="V2985" s="17">
        <f>IF(COUNTA(INDEX(Listado!B:B,ROW()):INDEX(Listado!F:F,ROW()))&gt;0,1,0)</f>
        <v/>
      </c>
      <c r="W2985" s="17" t="str">
        <f>IF(INDEX(Listado!L:L,ROW())="","",INDEX(Listado!L:L,ROW()))</f>
        <v/>
      </c>
      <c r="X2985" s="17">
        <f>IF(N2985="","",IF(INDEX(Listado!$M:$M,N2985)="No","No","Sí"))</f>
        <v/>
      </c>
    </row>
    <row r="2986" spans="2:24" ht="14.25">
      <c r="N2986" s="17" t="str">
        <f>IF(V2986=0,"",IFERROR(LOOKUP(2,1/(INDEX(Listado!A:A,2):INDEX(Listado!A:A,ROW())&lt;&gt;""),ROW(INDEX(Listado!A:A,2):INDEX(Listado!A:A,ROW()))),""))</f>
        <v/>
      </c>
      <c r="O2986" s="17" t="str">
        <f>IFERROR(IF(N2986="","",IF(INDEX(Listado!M:M,N2986)="No",IF(INDEX(Listado!N:N,N2986)=0,"",INDEX(Listado!N:N,N2986)),IF(INDEX(Listado!I:I,N2986)=0,"",INDEX(Listado!I:I,N2986)))),"")</f>
        <v/>
      </c>
      <c r="P2986" s="17">
        <f t="shared" ca="1" si="139"/>
        <v/>
      </c>
      <c r="Q2986" s="17">
        <f>IFERROR(IF(AND(N2986&lt;&gt;"",ISNUMBER(O2986),O2986&gt;0,O2986&gt;=TODAY()-90),1,0),0)</f>
        <v/>
      </c>
      <c r="R2986" s="17" t="str">
        <f t="shared" si="141"/>
        <v/>
      </c>
      <c r="S2986" s="17" t="str">
        <f>IF(INDEX(Listado!A:A,ROW())="","",INDEX(Listado!A:A,ROW()))</f>
        <v/>
      </c>
      <c r="T2986" s="17" t="str">
        <f ca="1">IF(INDEX(Listado!G:G,ROW())="","",INDEX(Listado!G:G,ROW()))</f>
        <v/>
      </c>
      <c r="U2986" s="17" t="str">
        <f>IF(INDEX(Listado!F:F,ROW())="","",INDEX(Listado!F:F,ROW()))</f>
        <v/>
      </c>
      <c r="V2986" s="17">
        <f>IF(COUNTA(INDEX(Listado!B:B,ROW()):INDEX(Listado!F:F,ROW()))&gt;0,1,0)</f>
        <v/>
      </c>
      <c r="W2986" s="17" t="str">
        <f>IF(INDEX(Listado!L:L,ROW())="","",INDEX(Listado!L:L,ROW()))</f>
        <v/>
      </c>
      <c r="X2986" s="17">
        <f>IF(N2986="","",IF(INDEX(Listado!$M:$M,N2986)="No","No","Sí"))</f>
        <v/>
      </c>
    </row>
    <row r="2987" spans="2:24" ht="14.25">
      <c r="N2987" s="17" t="str">
        <f>IF(V2987=0,"",IFERROR(LOOKUP(2,1/(INDEX(Listado!A:A,2):INDEX(Listado!A:A,ROW())&lt;&gt;""),ROW(INDEX(Listado!A:A,2):INDEX(Listado!A:A,ROW()))),""))</f>
        <v/>
      </c>
      <c r="O2987" s="17" t="str">
        <f>IFERROR(IF(N2987="","",IF(INDEX(Listado!M:M,N2987)="No",IF(INDEX(Listado!N:N,N2987)=0,"",INDEX(Listado!N:N,N2987)),IF(INDEX(Listado!I:I,N2987)=0,"",INDEX(Listado!I:I,N2987)))),"")</f>
        <v/>
      </c>
      <c r="P2987" s="17">
        <f t="shared" ca="1" si="139"/>
        <v/>
      </c>
      <c r="Q2987" s="17">
        <f>IFERROR(IF(AND(N2987&lt;&gt;"",ISNUMBER(O2987),O2987&gt;0,O2987&gt;=TODAY()-90),1,0),0)</f>
        <v/>
      </c>
      <c r="R2987" s="17" t="str">
        <f t="shared" si="141"/>
        <v/>
      </c>
      <c r="S2987" s="17" t="str">
        <f>IF(INDEX(Listado!A:A,ROW())="","",INDEX(Listado!A:A,ROW()))</f>
        <v/>
      </c>
      <c r="T2987" s="17" t="str">
        <f ca="1">IF(INDEX(Listado!G:G,ROW())="","",INDEX(Listado!G:G,ROW()))</f>
        <v/>
      </c>
      <c r="U2987" s="17" t="str">
        <f>IF(INDEX(Listado!F:F,ROW())="","",INDEX(Listado!F:F,ROW()))</f>
        <v/>
      </c>
      <c r="V2987" s="17">
        <f>IF(COUNTA(INDEX(Listado!B:B,ROW()):INDEX(Listado!F:F,ROW()))&gt;0,1,0)</f>
        <v/>
      </c>
      <c r="W2987" s="17" t="str">
        <f>IF(INDEX(Listado!L:L,ROW())="","",INDEX(Listado!L:L,ROW()))</f>
        <v/>
      </c>
      <c r="X2987" s="17">
        <f>IF(N2987="","",IF(INDEX(Listado!$M:$M,N2987)="No","No","Sí"))</f>
        <v/>
      </c>
    </row>
    <row r="2988" spans="2:24" ht="14.25">
      <c r="N2988" s="17" t="str">
        <f>IF(V2988=0,"",IFERROR(LOOKUP(2,1/(INDEX(Listado!A:A,2):INDEX(Listado!A:A,ROW())&lt;&gt;""),ROW(INDEX(Listado!A:A,2):INDEX(Listado!A:A,ROW()))),""))</f>
        <v/>
      </c>
      <c r="O2988" s="17" t="str">
        <f>IFERROR(IF(N2988="","",IF(INDEX(Listado!M:M,N2988)="No",IF(INDEX(Listado!N:N,N2988)=0,"",INDEX(Listado!N:N,N2988)),IF(INDEX(Listado!I:I,N2988)=0,"",INDEX(Listado!I:I,N2988)))),"")</f>
        <v/>
      </c>
      <c r="P2988" s="17">
        <f t="shared" ca="1" si="139"/>
        <v/>
      </c>
      <c r="Q2988" s="17">
        <f>IFERROR(IF(AND(N2988&lt;&gt;"",ISNUMBER(O2988),O2988&gt;0,O2988&gt;=TODAY()-90),1,0),0)</f>
        <v/>
      </c>
      <c r="R2988" s="17" t="str">
        <f t="shared" si="141"/>
        <v/>
      </c>
      <c r="S2988" s="17" t="str">
        <f>IF(INDEX(Listado!A:A,ROW())="","",INDEX(Listado!A:A,ROW()))</f>
        <v/>
      </c>
      <c r="T2988" s="17" t="str">
        <f ca="1">IF(INDEX(Listado!G:G,ROW())="","",INDEX(Listado!G:G,ROW()))</f>
        <v/>
      </c>
      <c r="U2988" s="17" t="str">
        <f>IF(INDEX(Listado!F:F,ROW())="","",INDEX(Listado!F:F,ROW()))</f>
        <v/>
      </c>
      <c r="V2988" s="17">
        <f>IF(COUNTA(INDEX(Listado!B:B,ROW()):INDEX(Listado!F:F,ROW()))&gt;0,1,0)</f>
        <v/>
      </c>
      <c r="W2988" s="17" t="str">
        <f>IF(INDEX(Listado!L:L,ROW())="","",INDEX(Listado!L:L,ROW()))</f>
        <v/>
      </c>
      <c r="X2988" s="17">
        <f>IF(N2988="","",IF(INDEX(Listado!$M:$M,N2988)="No","No","Sí"))</f>
        <v/>
      </c>
    </row>
    <row r="2989" spans="2:24" ht="14.25">
      <c r="N2989" s="17" t="str">
        <f>IF(V2989=0,"",IFERROR(LOOKUP(2,1/(INDEX(Listado!A:A,2):INDEX(Listado!A:A,ROW())&lt;&gt;""),ROW(INDEX(Listado!A:A,2):INDEX(Listado!A:A,ROW()))),""))</f>
        <v/>
      </c>
      <c r="O2989" s="17" t="str">
        <f>IFERROR(IF(N2989="","",IF(INDEX(Listado!M:M,N2989)="No",IF(INDEX(Listado!N:N,N2989)=0,"",INDEX(Listado!N:N,N2989)),IF(INDEX(Listado!I:I,N2989)=0,"",INDEX(Listado!I:I,N2989)))),"")</f>
        <v/>
      </c>
      <c r="P2989" s="17">
        <f t="shared" ca="1" si="139"/>
        <v/>
      </c>
      <c r="Q2989" s="17">
        <f>IFERROR(IF(AND(N2989&lt;&gt;"",ISNUMBER(O2989),O2989&gt;0,O2989&gt;=TODAY()-90),1,0),0)</f>
        <v/>
      </c>
      <c r="R2989" s="17" t="str">
        <f t="shared" si="141"/>
        <v/>
      </c>
      <c r="S2989" s="17" t="str">
        <f>IF(INDEX(Listado!A:A,ROW())="","",INDEX(Listado!A:A,ROW()))</f>
        <v/>
      </c>
      <c r="T2989" s="17" t="str">
        <f ca="1">IF(INDEX(Listado!G:G,ROW())="","",INDEX(Listado!G:G,ROW()))</f>
        <v/>
      </c>
      <c r="U2989" s="17" t="str">
        <f>IF(INDEX(Listado!F:F,ROW())="","",INDEX(Listado!F:F,ROW()))</f>
        <v/>
      </c>
      <c r="V2989" s="17">
        <f>IF(COUNTA(INDEX(Listado!B:B,ROW()):INDEX(Listado!F:F,ROW()))&gt;0,1,0)</f>
        <v/>
      </c>
      <c r="W2989" s="17" t="str">
        <f>IF(INDEX(Listado!L:L,ROW())="","",INDEX(Listado!L:L,ROW()))</f>
        <v/>
      </c>
      <c r="X2989" s="17">
        <f>IF(N2989="","",IF(INDEX(Listado!$M:$M,N2989)="No","No","Sí"))</f>
        <v/>
      </c>
    </row>
    <row r="2990" spans="2:24" ht="14.25">
      <c r="N2990" s="17" t="str">
        <f>IF(V2990=0,"",IFERROR(LOOKUP(2,1/(INDEX(Listado!A:A,2):INDEX(Listado!A:A,ROW())&lt;&gt;""),ROW(INDEX(Listado!A:A,2):INDEX(Listado!A:A,ROW()))),""))</f>
        <v/>
      </c>
      <c r="O2990" s="17" t="str">
        <f>IFERROR(IF(N2990="","",IF(INDEX(Listado!M:M,N2990)="No",IF(INDEX(Listado!N:N,N2990)=0,"",INDEX(Listado!N:N,N2990)),IF(INDEX(Listado!I:I,N2990)=0,"",INDEX(Listado!I:I,N2990)))),"")</f>
        <v/>
      </c>
      <c r="P2990" s="17">
        <f t="shared" ca="1" si="139"/>
        <v/>
      </c>
      <c r="Q2990" s="17">
        <f>IFERROR(IF(AND(N2990&lt;&gt;"",ISNUMBER(O2990),O2990&gt;0,O2990&gt;=TODAY()-90),1,0),0)</f>
        <v/>
      </c>
      <c r="R2990" s="17" t="str">
        <f t="shared" si="141"/>
        <v/>
      </c>
      <c r="S2990" s="17" t="str">
        <f>IF(INDEX(Listado!A:A,ROW())="","",INDEX(Listado!A:A,ROW()))</f>
        <v/>
      </c>
      <c r="T2990" s="17" t="str">
        <f ca="1">IF(INDEX(Listado!G:G,ROW())="","",INDEX(Listado!G:G,ROW()))</f>
        <v/>
      </c>
      <c r="U2990" s="17" t="str">
        <f>IF(INDEX(Listado!F:F,ROW())="","",INDEX(Listado!F:F,ROW()))</f>
        <v/>
      </c>
      <c r="V2990" s="17">
        <f>IF(COUNTA(INDEX(Listado!B:B,ROW()):INDEX(Listado!F:F,ROW()))&gt;0,1,0)</f>
        <v/>
      </c>
      <c r="W2990" s="17" t="str">
        <f>IF(INDEX(Listado!L:L,ROW())="","",INDEX(Listado!L:L,ROW()))</f>
        <v/>
      </c>
      <c r="X2990" s="17">
        <f>IF(N2990="","",IF(INDEX(Listado!$M:$M,N2990)="No","No","Sí"))</f>
        <v/>
      </c>
    </row>
    <row r="2991" spans="2:24" ht="14.25">
      <c r="N2991" s="17" t="str">
        <f>IF(V2991=0,"",IFERROR(LOOKUP(2,1/(INDEX(Listado!A:A,2):INDEX(Listado!A:A,ROW())&lt;&gt;""),ROW(INDEX(Listado!A:A,2):INDEX(Listado!A:A,ROW()))),""))</f>
        <v/>
      </c>
      <c r="O2991" s="17" t="str">
        <f>IFERROR(IF(N2991="","",IF(INDEX(Listado!M:M,N2991)="No",IF(INDEX(Listado!N:N,N2991)=0,"",INDEX(Listado!N:N,N2991)),IF(INDEX(Listado!I:I,N2991)=0,"",INDEX(Listado!I:I,N2991)))),"")</f>
        <v/>
      </c>
      <c r="P2991" s="17">
        <f t="shared" ca="1" si="139"/>
        <v/>
      </c>
      <c r="Q2991" s="17">
        <f>IFERROR(IF(AND(N2991&lt;&gt;"",ISNUMBER(O2991),O2991&gt;0,O2991&gt;=TODAY()-90),1,0),0)</f>
        <v/>
      </c>
      <c r="R2991" s="17" t="str">
        <f t="shared" si="141"/>
        <v/>
      </c>
      <c r="S2991" s="17" t="str">
        <f>IF(INDEX(Listado!A:A,ROW())="","",INDEX(Listado!A:A,ROW()))</f>
        <v/>
      </c>
      <c r="T2991" s="17" t="str">
        <f ca="1">IF(INDEX(Listado!G:G,ROW())="","",INDEX(Listado!G:G,ROW()))</f>
        <v/>
      </c>
      <c r="U2991" s="17" t="str">
        <f>IF(INDEX(Listado!F:F,ROW())="","",INDEX(Listado!F:F,ROW()))</f>
        <v/>
      </c>
      <c r="V2991" s="17">
        <f>IF(COUNTA(INDEX(Listado!B:B,ROW()):INDEX(Listado!F:F,ROW()))&gt;0,1,0)</f>
        <v/>
      </c>
      <c r="W2991" s="17" t="str">
        <f>IF(INDEX(Listado!L:L,ROW())="","",INDEX(Listado!L:L,ROW()))</f>
        <v/>
      </c>
      <c r="X2991" s="17">
        <f>IF(N2991="","",IF(INDEX(Listado!$M:$M,N2991)="No","No","Sí"))</f>
        <v/>
      </c>
    </row>
    <row r="2992" spans="2:24" ht="14.25">
      <c r="N2992" s="17" t="str">
        <f>IF(V2992=0,"",IFERROR(LOOKUP(2,1/(INDEX(Listado!A:A,2):INDEX(Listado!A:A,ROW())&lt;&gt;""),ROW(INDEX(Listado!A:A,2):INDEX(Listado!A:A,ROW()))),""))</f>
        <v/>
      </c>
      <c r="O2992" s="17" t="str">
        <f>IFERROR(IF(N2992="","",IF(INDEX(Listado!M:M,N2992)="No",IF(INDEX(Listado!N:N,N2992)=0,"",INDEX(Listado!N:N,N2992)),IF(INDEX(Listado!I:I,N2992)=0,"",INDEX(Listado!I:I,N2992)))),"")</f>
        <v/>
      </c>
      <c r="P2992" s="17">
        <f t="shared" ca="1" si="139"/>
        <v/>
      </c>
      <c r="Q2992" s="17">
        <f>IFERROR(IF(AND(N2992&lt;&gt;"",ISNUMBER(O2992),O2992&gt;0,O2992&gt;=TODAY()-90),1,0),0)</f>
        <v/>
      </c>
      <c r="R2992" s="17" t="str">
        <f t="shared" si="141"/>
        <v/>
      </c>
      <c r="S2992" s="17" t="str">
        <f>IF(INDEX(Listado!A:A,ROW())="","",INDEX(Listado!A:A,ROW()))</f>
        <v/>
      </c>
      <c r="T2992" s="17" t="str">
        <f ca="1">IF(INDEX(Listado!G:G,ROW())="","",INDEX(Listado!G:G,ROW()))</f>
        <v/>
      </c>
      <c r="U2992" s="17" t="str">
        <f>IF(INDEX(Listado!F:F,ROW())="","",INDEX(Listado!F:F,ROW()))</f>
        <v/>
      </c>
      <c r="V2992" s="17">
        <f>IF(COUNTA(INDEX(Listado!B:B,ROW()):INDEX(Listado!F:F,ROW()))&gt;0,1,0)</f>
        <v/>
      </c>
      <c r="W2992" s="17" t="str">
        <f>IF(INDEX(Listado!L:L,ROW())="","",INDEX(Listado!L:L,ROW()))</f>
        <v/>
      </c>
      <c r="X2992" s="17">
        <f>IF(N2992="","",IF(INDEX(Listado!$M:$M,N2992)="No","No","Sí"))</f>
        <v/>
      </c>
    </row>
    <row r="2993" spans="2:24" ht="14.25">
      <c r="N2993" s="17" t="str">
        <f>IF(V2993=0,"",IFERROR(LOOKUP(2,1/(INDEX(Listado!A:A,2):INDEX(Listado!A:A,ROW())&lt;&gt;""),ROW(INDEX(Listado!A:A,2):INDEX(Listado!A:A,ROW()))),""))</f>
        <v/>
      </c>
      <c r="O2993" s="17" t="str">
        <f>IFERROR(IF(N2993="","",IF(INDEX(Listado!M:M,N2993)="No",IF(INDEX(Listado!N:N,N2993)=0,"",INDEX(Listado!N:N,N2993)),IF(INDEX(Listado!I:I,N2993)=0,"",INDEX(Listado!I:I,N2993)))),"")</f>
        <v/>
      </c>
      <c r="P2993" s="17">
        <f t="shared" ca="1" si="139"/>
        <v/>
      </c>
      <c r="Q2993" s="17">
        <f>IFERROR(IF(AND(N2993&lt;&gt;"",ISNUMBER(O2993),O2993&gt;0,O2993&gt;=TODAY()-90),1,0),0)</f>
        <v/>
      </c>
      <c r="R2993" s="17" t="str">
        <f t="shared" si="141"/>
        <v/>
      </c>
      <c r="S2993" s="17" t="str">
        <f>IF(INDEX(Listado!A:A,ROW())="","",INDEX(Listado!A:A,ROW()))</f>
        <v/>
      </c>
      <c r="T2993" s="17" t="str">
        <f ca="1">IF(INDEX(Listado!G:G,ROW())="","",INDEX(Listado!G:G,ROW()))</f>
        <v/>
      </c>
      <c r="U2993" s="17" t="str">
        <f>IF(INDEX(Listado!F:F,ROW())="","",INDEX(Listado!F:F,ROW()))</f>
        <v/>
      </c>
      <c r="V2993" s="17">
        <f>IF(COUNTA(INDEX(Listado!B:B,ROW()):INDEX(Listado!F:F,ROW()))&gt;0,1,0)</f>
        <v/>
      </c>
      <c r="W2993" s="17" t="str">
        <f>IF(INDEX(Listado!L:L,ROW())="","",INDEX(Listado!L:L,ROW()))</f>
        <v/>
      </c>
      <c r="X2993" s="17">
        <f>IF(N2993="","",IF(INDEX(Listado!$M:$M,N2993)="No","No","Sí"))</f>
        <v/>
      </c>
    </row>
    <row r="2994" spans="2:24" ht="14.25">
      <c r="N2994" s="17" t="str">
        <f>IF(V2994=0,"",IFERROR(LOOKUP(2,1/(INDEX(Listado!A:A,2):INDEX(Listado!A:A,ROW())&lt;&gt;""),ROW(INDEX(Listado!A:A,2):INDEX(Listado!A:A,ROW()))),""))</f>
        <v/>
      </c>
      <c r="O2994" s="17" t="str">
        <f>IFERROR(IF(N2994="","",IF(INDEX(Listado!M:M,N2994)="No",IF(INDEX(Listado!N:N,N2994)=0,"",INDEX(Listado!N:N,N2994)),IF(INDEX(Listado!I:I,N2994)=0,"",INDEX(Listado!I:I,N2994)))),"")</f>
        <v/>
      </c>
      <c r="P2994" s="17">
        <f t="shared" ca="1" si="139"/>
        <v/>
      </c>
      <c r="Q2994" s="17">
        <f>IFERROR(IF(AND(N2994&lt;&gt;"",ISNUMBER(O2994),O2994&gt;0,O2994&gt;=TODAY()-90),1,0),0)</f>
        <v/>
      </c>
      <c r="R2994" s="17" t="str">
        <f t="shared" si="141"/>
        <v/>
      </c>
      <c r="S2994" s="17" t="str">
        <f>IF(INDEX(Listado!A:A,ROW())="","",INDEX(Listado!A:A,ROW()))</f>
        <v/>
      </c>
      <c r="T2994" s="17" t="str">
        <f ca="1">IF(INDEX(Listado!G:G,ROW())="","",INDEX(Listado!G:G,ROW()))</f>
        <v/>
      </c>
      <c r="U2994" s="17" t="str">
        <f>IF(INDEX(Listado!F:F,ROW())="","",INDEX(Listado!F:F,ROW()))</f>
        <v/>
      </c>
      <c r="V2994" s="17">
        <f>IF(COUNTA(INDEX(Listado!B:B,ROW()):INDEX(Listado!F:F,ROW()))&gt;0,1,0)</f>
        <v/>
      </c>
      <c r="W2994" s="17" t="str">
        <f>IF(INDEX(Listado!L:L,ROW())="","",INDEX(Listado!L:L,ROW()))</f>
        <v/>
      </c>
      <c r="X2994" s="17">
        <f>IF(N2994="","",IF(INDEX(Listado!$M:$M,N2994)="No","No","Sí"))</f>
        <v/>
      </c>
    </row>
    <row r="2995" spans="2:24" ht="14.25">
      <c r="N2995" s="17" t="str">
        <f>IF(V2995=0,"",IFERROR(LOOKUP(2,1/(INDEX(Listado!A:A,2):INDEX(Listado!A:A,ROW())&lt;&gt;""),ROW(INDEX(Listado!A:A,2):INDEX(Listado!A:A,ROW()))),""))</f>
        <v/>
      </c>
      <c r="O2995" s="17" t="str">
        <f>IFERROR(IF(N2995="","",IF(INDEX(Listado!M:M,N2995)="No",IF(INDEX(Listado!N:N,N2995)=0,"",INDEX(Listado!N:N,N2995)),IF(INDEX(Listado!I:I,N2995)=0,"",INDEX(Listado!I:I,N2995)))),"")</f>
        <v/>
      </c>
      <c r="P2995" s="17">
        <f t="shared" ca="1" si="139"/>
        <v/>
      </c>
      <c r="Q2995" s="17">
        <f>IFERROR(IF(AND(N2995&lt;&gt;"",ISNUMBER(O2995),O2995&gt;0,O2995&gt;=TODAY()-90),1,0),0)</f>
        <v/>
      </c>
      <c r="R2995" s="17" t="str">
        <f t="shared" si="141"/>
        <v/>
      </c>
      <c r="S2995" s="17" t="str">
        <f>IF(INDEX(Listado!A:A,ROW())="","",INDEX(Listado!A:A,ROW()))</f>
        <v/>
      </c>
      <c r="T2995" s="17" t="str">
        <f ca="1">IF(INDEX(Listado!G:G,ROW())="","",INDEX(Listado!G:G,ROW()))</f>
        <v/>
      </c>
      <c r="U2995" s="17" t="str">
        <f>IF(INDEX(Listado!F:F,ROW())="","",INDEX(Listado!F:F,ROW()))</f>
        <v/>
      </c>
      <c r="V2995" s="17">
        <f>IF(COUNTA(INDEX(Listado!B:B,ROW()):INDEX(Listado!F:F,ROW()))&gt;0,1,0)</f>
        <v/>
      </c>
      <c r="W2995" s="17" t="str">
        <f>IF(INDEX(Listado!L:L,ROW())="","",INDEX(Listado!L:L,ROW()))</f>
        <v/>
      </c>
      <c r="X2995" s="17">
        <f>IF(N2995="","",IF(INDEX(Listado!$M:$M,N2995)="No","No","Sí"))</f>
        <v/>
      </c>
    </row>
    <row r="2996" spans="2:24" ht="14.25">
      <c r="N2996" s="17" t="str">
        <f>IF(V2996=0,"",IFERROR(LOOKUP(2,1/(INDEX(Listado!A:A,2):INDEX(Listado!A:A,ROW())&lt;&gt;""),ROW(INDEX(Listado!A:A,2):INDEX(Listado!A:A,ROW()))),""))</f>
        <v/>
      </c>
      <c r="O2996" s="17" t="str">
        <f>IFERROR(IF(N2996="","",IF(INDEX(Listado!M:M,N2996)="No",IF(INDEX(Listado!N:N,N2996)=0,"",INDEX(Listado!N:N,N2996)),IF(INDEX(Listado!I:I,N2996)=0,"",INDEX(Listado!I:I,N2996)))),"")</f>
        <v/>
      </c>
      <c r="P2996" s="17">
        <f t="shared" ca="1" si="139"/>
        <v/>
      </c>
      <c r="Q2996" s="17">
        <f>IFERROR(IF(AND(N2996&lt;&gt;"",ISNUMBER(O2996),O2996&gt;0,O2996&gt;=TODAY()-90),1,0),0)</f>
        <v/>
      </c>
      <c r="R2996" s="17" t="str">
        <f t="shared" si="141"/>
        <v/>
      </c>
      <c r="S2996" s="17" t="str">
        <f>IF(INDEX(Listado!A:A,ROW())="","",INDEX(Listado!A:A,ROW()))</f>
        <v/>
      </c>
      <c r="T2996" s="17" t="str">
        <f ca="1">IF(INDEX(Listado!G:G,ROW())="","",INDEX(Listado!G:G,ROW()))</f>
        <v/>
      </c>
      <c r="U2996" s="17" t="str">
        <f>IF(INDEX(Listado!F:F,ROW())="","",INDEX(Listado!F:F,ROW()))</f>
        <v/>
      </c>
      <c r="V2996" s="17">
        <f>IF(COUNTA(INDEX(Listado!B:B,ROW()):INDEX(Listado!F:F,ROW()))&gt;0,1,0)</f>
        <v/>
      </c>
      <c r="W2996" s="17" t="str">
        <f>IF(INDEX(Listado!L:L,ROW())="","",INDEX(Listado!L:L,ROW()))</f>
        <v/>
      </c>
      <c r="X2996" s="17">
        <f>IF(N2996="","",IF(INDEX(Listado!$M:$M,N2996)="No","No","Sí"))</f>
        <v/>
      </c>
    </row>
    <row r="2997" spans="2:24" ht="14.25">
      <c r="N2997" s="17" t="str">
        <f>IF(V2997=0,"",IFERROR(LOOKUP(2,1/(INDEX(Listado!A:A,2):INDEX(Listado!A:A,ROW())&lt;&gt;""),ROW(INDEX(Listado!A:A,2):INDEX(Listado!A:A,ROW()))),""))</f>
        <v/>
      </c>
      <c r="O2997" s="17" t="str">
        <f>IFERROR(IF(N2997="","",IF(INDEX(Listado!M:M,N2997)="No",IF(INDEX(Listado!N:N,N2997)=0,"",INDEX(Listado!N:N,N2997)),IF(INDEX(Listado!I:I,N2997)=0,"",INDEX(Listado!I:I,N2997)))),"")</f>
        <v/>
      </c>
      <c r="P2997" s="17">
        <f t="shared" ca="1" si="139"/>
        <v/>
      </c>
      <c r="Q2997" s="17">
        <f>IFERROR(IF(AND(N2997&lt;&gt;"",ISNUMBER(O2997),O2997&gt;0,O2997&gt;=TODAY()-90),1,0),0)</f>
        <v/>
      </c>
      <c r="R2997" s="17" t="str">
        <f t="shared" si="141"/>
        <v/>
      </c>
      <c r="S2997" s="17" t="str">
        <f>IF(INDEX(Listado!A:A,ROW())="","",INDEX(Listado!A:A,ROW()))</f>
        <v/>
      </c>
      <c r="T2997" s="17" t="str">
        <f ca="1">IF(INDEX(Listado!G:G,ROW())="","",INDEX(Listado!G:G,ROW()))</f>
        <v/>
      </c>
      <c r="U2997" s="17" t="str">
        <f>IF(INDEX(Listado!F:F,ROW())="","",INDEX(Listado!F:F,ROW()))</f>
        <v/>
      </c>
      <c r="V2997" s="17">
        <f>IF(COUNTA(INDEX(Listado!B:B,ROW()):INDEX(Listado!F:F,ROW()))&gt;0,1,0)</f>
        <v/>
      </c>
      <c r="W2997" s="17" t="str">
        <f>IF(INDEX(Listado!L:L,ROW())="","",INDEX(Listado!L:L,ROW()))</f>
        <v/>
      </c>
      <c r="X2997" s="17">
        <f>IF(N2997="","",IF(INDEX(Listado!$M:$M,N2997)="No","No","Sí"))</f>
        <v/>
      </c>
    </row>
    <row r="2998" spans="2:24" ht="14.25">
      <c r="N2998" s="17" t="str">
        <f>IF(V2998=0,"",IFERROR(LOOKUP(2,1/(INDEX(Listado!A:A,2):INDEX(Listado!A:A,ROW())&lt;&gt;""),ROW(INDEX(Listado!A:A,2):INDEX(Listado!A:A,ROW()))),""))</f>
        <v/>
      </c>
      <c r="O2998" s="17" t="str">
        <f>IFERROR(IF(N2998="","",IF(INDEX(Listado!M:M,N2998)="No",IF(INDEX(Listado!N:N,N2998)=0,"",INDEX(Listado!N:N,N2998)),IF(INDEX(Listado!I:I,N2998)=0,"",INDEX(Listado!I:I,N2998)))),"")</f>
        <v/>
      </c>
      <c r="P2998" s="17">
        <f t="shared" ca="1" si="139"/>
        <v/>
      </c>
      <c r="Q2998" s="17">
        <f>IFERROR(IF(AND(N2998&lt;&gt;"",ISNUMBER(O2998),O2998&gt;0,O2998&gt;=TODAY()-90),1,0),0)</f>
        <v/>
      </c>
      <c r="R2998" s="17" t="str">
        <f t="shared" si="141"/>
        <v/>
      </c>
      <c r="S2998" s="17" t="str">
        <f>IF(INDEX(Listado!A:A,ROW())="","",INDEX(Listado!A:A,ROW()))</f>
        <v/>
      </c>
      <c r="T2998" s="17" t="str">
        <f ca="1">IF(INDEX(Listado!G:G,ROW())="","",INDEX(Listado!G:G,ROW()))</f>
        <v/>
      </c>
      <c r="U2998" s="17" t="str">
        <f>IF(INDEX(Listado!F:F,ROW())="","",INDEX(Listado!F:F,ROW()))</f>
        <v/>
      </c>
      <c r="V2998" s="17">
        <f>IF(COUNTA(INDEX(Listado!B:B,ROW()):INDEX(Listado!F:F,ROW()))&gt;0,1,0)</f>
        <v/>
      </c>
      <c r="W2998" s="17" t="str">
        <f>IF(INDEX(Listado!L:L,ROW())="","",INDEX(Listado!L:L,ROW()))</f>
        <v/>
      </c>
      <c r="X2998" s="17">
        <f>IF(N2998="","",IF(INDEX(Listado!$M:$M,N2998)="No","No","Sí"))</f>
        <v/>
      </c>
    </row>
    <row r="2999" spans="2:24" ht="14.25">
      <c r="N2999" s="17" t="str">
        <f>IF(V2999=0,"",IFERROR(LOOKUP(2,1/(INDEX(Listado!A:A,2):INDEX(Listado!A:A,ROW())&lt;&gt;""),ROW(INDEX(Listado!A:A,2):INDEX(Listado!A:A,ROW()))),""))</f>
        <v/>
      </c>
      <c r="O2999" s="17" t="str">
        <f>IFERROR(IF(N2999="","",IF(INDEX(Listado!M:M,N2999)="No",IF(INDEX(Listado!N:N,N2999)=0,"",INDEX(Listado!N:N,N2999)),IF(INDEX(Listado!I:I,N2999)=0,"",INDEX(Listado!I:I,N2999)))),"")</f>
        <v/>
      </c>
      <c r="P2999" s="17">
        <f t="shared" ca="1" si="139"/>
        <v/>
      </c>
      <c r="Q2999" s="17">
        <f>IFERROR(IF(AND(N2999&lt;&gt;"",ISNUMBER(O2999),O2999&gt;0,O2999&gt;=TODAY()-90),1,0),0)</f>
        <v/>
      </c>
      <c r="R2999" s="17" t="str">
        <f t="shared" si="141"/>
        <v/>
      </c>
      <c r="S2999" s="17" t="str">
        <f>IF(INDEX(Listado!A:A,ROW())="","",INDEX(Listado!A:A,ROW()))</f>
        <v/>
      </c>
      <c r="T2999" s="17" t="str">
        <f ca="1">IF(INDEX(Listado!G:G,ROW())="","",INDEX(Listado!G:G,ROW()))</f>
        <v/>
      </c>
      <c r="U2999" s="17" t="str">
        <f>IF(INDEX(Listado!F:F,ROW())="","",INDEX(Listado!F:F,ROW()))</f>
        <v/>
      </c>
      <c r="V2999" s="17">
        <f>IF(COUNTA(INDEX(Listado!B:B,ROW()):INDEX(Listado!F:F,ROW()))&gt;0,1,0)</f>
        <v/>
      </c>
      <c r="W2999" s="17" t="str">
        <f>IF(INDEX(Listado!L:L,ROW())="","",INDEX(Listado!L:L,ROW()))</f>
        <v/>
      </c>
      <c r="X2999" s="17">
        <f>IF(N2999="","",IF(INDEX(Listado!$M:$M,N2999)="No","No","Sí"))</f>
        <v/>
      </c>
    </row>
  </sheetData>
  <mergeCells count="13">
    <mergeCell ref="B23:G23"/>
    <mergeCell ref="B24:D24"/>
    <mergeCell ref="E24:G24"/>
    <mergeCell ref="B25:D25"/>
    <mergeCell ref="E25:G25"/>
    <mergeCell ref="B20:D20"/>
    <mergeCell ref="E20:G20"/>
    <mergeCell ref="B2:G2"/>
    <mergeCell ref="B3:C3"/>
    <mergeCell ref="D3:E3"/>
    <mergeCell ref="B16:G16"/>
    <mergeCell ref="B19:D19"/>
    <mergeCell ref="E19:G19"/>
  </mergeCells>
  <pageMargins left="0.7" right="0.7" top="1.14375" bottom="1.14375" header="0.511811023622047" footer="0.511811023622047"/>
  <pageSetup paperSize="9" orientation="portrait" horizontalDpi="300" verticalDpi="300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/>
  <ns0:TotalTime>214</ns0:TotalTime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2</ns1:i4>
      </ns1:variant>
    </ns1:vector>
  </ns0:HeadingPairs>
  <ns0:TitlesOfParts>
    <ns1:vector size="2" baseType="lpstr">
      <ns1:lpstr>Listado</ns1:lpstr>
      <ns1:lpstr>Resumen</ns1:lpstr>
    </ns1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Banco de Alimentos Tenerife</dc:creator>
  <dc:description/>
  <cp:lastModifiedBy>Banco de Alimentos Tenerife</cp:lastModifiedBy>
  <cp:revision>40</cp:revision>
  <dcterms:created xsi:type="dcterms:W3CDTF">2025-03-12T08:51:22Z</dcterms:created>
  <dcterms:modified xsi:type="dcterms:W3CDTF">2026-10-20T10:26:45Z</dcterms:modified>
  <dc:language>es-ES</dc:language>
</cp:coreProperties>
</file>